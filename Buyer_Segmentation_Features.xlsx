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mentation Summary" sheetId="1" state="visible" r:id="rId3"/>
    <sheet name="EDA Dashboard" sheetId="2" state="visible" r:id="rId4"/>
    <sheet name="Client Features" sheetId="3" state="visible" r:id="rId5"/>
    <sheet name="How This Was Buil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<sst xmlns="http://schemas.openxmlformats.org/spreadsheetml/2006/main" count="20126" uniqueCount="4006">
  <si>
    <t xml:space="preserve">Median Total Investment (threshold)</t>
  </si>
  <si>
    <t xml:space="preserve">Median Age (threshold)</t>
  </si>
  <si>
    <t xml:space="preserve">Buyer Segmentation Summary</t>
  </si>
  <si>
    <t xml:space="preserve">Parcl Real Estate  |  Rule-based segmentation mirroring K-Means cluster logic (C1-C4 from PRD)</t>
  </si>
  <si>
    <t xml:space="preserve">Segment</t>
  </si>
  <si>
    <t xml:space="preserve">Clients</t>
  </si>
  <si>
    <t xml:space="preserve">Avg Investment</t>
  </si>
  <si>
    <t xml:space="preserve">Avg Satisfaction</t>
  </si>
  <si>
    <t xml:space="preserve">Avg Properties</t>
  </si>
  <si>
    <t xml:space="preserve">C1 - Global Investors</t>
  </si>
  <si>
    <t xml:space="preserve">C2 - First-Time Buyers</t>
  </si>
  <si>
    <t xml:space="preserve">C3 - Corporate Buyers</t>
  </si>
  <si>
    <t xml:space="preserve">C4 - Luxury Investors</t>
  </si>
  <si>
    <t xml:space="preserve">C5 - Other Individual Buyers</t>
  </si>
  <si>
    <t xml:space="preserve">Segment Definitions (as classified by the formulas)</t>
  </si>
  <si>
    <t xml:space="preserve">Acquisition purpose = Investment, and total investment above the median — high-value investment-driven buyers.</t>
  </si>
  <si>
    <t xml:space="preserve">Below-median age and used loan financing — younger buyers who are financing their purchase.</t>
  </si>
  <si>
    <t xml:space="preserve">Client type = Company — institutional buyers purchasing on behalf of an organization.</t>
  </si>
  <si>
    <t xml:space="preserve">Satisfaction score 4-5 and total investment above the median — highly satisfied, high-value buyers.</t>
  </si>
  <si>
    <t xml:space="preserve">Individual buyers who don't meet the above criteria — typically standard home buyers.</t>
  </si>
  <si>
    <t xml:space="preserve">Buyer Segmentation — Exploratory Data Analysis</t>
  </si>
  <si>
    <t xml:space="preserve">Parcl Real Estate  |  2,000 clients, all data cleaned &amp; joined via SQL</t>
  </si>
  <si>
    <t xml:space="preserve">FILTERS</t>
  </si>
  <si>
    <t xml:space="preserve">Country</t>
  </si>
  <si>
    <t xml:space="preserve">All</t>
  </si>
  <si>
    <t xml:space="preserve">Client Type</t>
  </si>
  <si>
    <t xml:space="preserve">Acquisition Purpose</t>
  </si>
  <si>
    <t xml:space="preserve">KEY METRICS</t>
  </si>
  <si>
    <t xml:space="preserve">Clients Matching Filters</t>
  </si>
  <si>
    <t xml:space="preserve">Avg. Total Investment</t>
  </si>
  <si>
    <t xml:space="preserve">Avg. Satisfaction Score</t>
  </si>
  <si>
    <t xml:space="preserve">Avg. Properties Purchased</t>
  </si>
  <si>
    <t xml:space="preserve">% Using Loan Financing</t>
  </si>
  <si>
    <t xml:space="preserve">USA</t>
  </si>
  <si>
    <t xml:space="preserve">Individual</t>
  </si>
  <si>
    <t xml:space="preserve">UK</t>
  </si>
  <si>
    <t xml:space="preserve">Company</t>
  </si>
  <si>
    <t xml:space="preserve">Canada</t>
  </si>
  <si>
    <t xml:space="preserve">Germany</t>
  </si>
  <si>
    <t xml:space="preserve">Purpose</t>
  </si>
  <si>
    <t xml:space="preserve">France</t>
  </si>
  <si>
    <t xml:space="preserve">Home</t>
  </si>
  <si>
    <t xml:space="preserve">Belgium</t>
  </si>
  <si>
    <t xml:space="preserve">Investment</t>
  </si>
  <si>
    <t xml:space="preserve">Mexico</t>
  </si>
  <si>
    <t xml:space="preserve">Australia</t>
  </si>
  <si>
    <t xml:space="preserve">Russia</t>
  </si>
  <si>
    <t xml:space="preserve">Denmark</t>
  </si>
  <si>
    <t xml:space="preserve">client_id</t>
  </si>
  <si>
    <t xml:space="preserve">client_type</t>
  </si>
  <si>
    <t xml:space="preserve">full_name</t>
  </si>
  <si>
    <t xml:space="preserve">age</t>
  </si>
  <si>
    <t xml:space="preserve">gender</t>
  </si>
  <si>
    <t xml:space="preserve">country</t>
  </si>
  <si>
    <t xml:space="preserve">region</t>
  </si>
  <si>
    <t xml:space="preserve">acquisition_purpose</t>
  </si>
  <si>
    <t xml:space="preserve">satisfaction_score</t>
  </si>
  <si>
    <t xml:space="preserve">loan_applied_flag</t>
  </si>
  <si>
    <t xml:space="preserve">referral_channel</t>
  </si>
  <si>
    <t xml:space="preserve">num_properties_purchased</t>
  </si>
  <si>
    <t xml:space="preserve">total_investment_value</t>
  </si>
  <si>
    <t xml:space="preserve">avg_purchase_price</t>
  </si>
  <si>
    <t xml:space="preserve">avg_floor_area_sqft</t>
  </si>
  <si>
    <t xml:space="preserve">num_office_units</t>
  </si>
  <si>
    <t xml:space="preserve">num_apartment_units</t>
  </si>
  <si>
    <t xml:space="preserve">first_purchase_date</t>
  </si>
  <si>
    <t xml:space="preserve">last_purchase_date</t>
  </si>
  <si>
    <t xml:space="preserve">is_repeat_buyer</t>
  </si>
  <si>
    <t xml:space="preserve">type_Individual</t>
  </si>
  <si>
    <t xml:space="preserve">type_Company</t>
  </si>
  <si>
    <t xml:space="preserve">purpose_Home</t>
  </si>
  <si>
    <t xml:space="preserve">purpose_Investment</t>
  </si>
  <si>
    <t xml:space="preserve">referral_Website</t>
  </si>
  <si>
    <t xml:space="preserve">referral_Agency</t>
  </si>
  <si>
    <t xml:space="preserve">referral_Client</t>
  </si>
  <si>
    <t xml:space="preserve">age_z</t>
  </si>
  <si>
    <t xml:space="preserve">satisfaction_z</t>
  </si>
  <si>
    <t xml:space="preserve">num_purchased_z</t>
  </si>
  <si>
    <t xml:space="preserve">total_investment_z</t>
  </si>
  <si>
    <t xml:space="preserve">avg_price_z</t>
  </si>
  <si>
    <t xml:space="preserve">avg_area_z</t>
  </si>
  <si>
    <t xml:space="preserve">C0128</t>
  </si>
  <si>
    <t xml:space="preserve">Abdiel Co</t>
  </si>
  <si>
    <t xml:space="preserve">M</t>
  </si>
  <si>
    <t xml:space="preserve">Nevada</t>
  </si>
  <si>
    <t xml:space="preserve">Website</t>
  </si>
  <si>
    <t xml:space="preserve">2024-01-05</t>
  </si>
  <si>
    <t xml:space="preserve">2025-01-12</t>
  </si>
  <si>
    <t xml:space="preserve">C0454</t>
  </si>
  <si>
    <t xml:space="preserve">Altira Co</t>
  </si>
  <si>
    <t xml:space="preserve">F</t>
  </si>
  <si>
    <t xml:space="preserve">Agency</t>
  </si>
  <si>
    <t xml:space="preserve">2024-01-01</t>
  </si>
  <si>
    <t xml:space="preserve">2024-01-11</t>
  </si>
  <si>
    <t xml:space="preserve">C1510</t>
  </si>
  <si>
    <t xml:space="preserve">California</t>
  </si>
  <si>
    <t xml:space="preserve">C0573</t>
  </si>
  <si>
    <t xml:space="preserve">Georgia</t>
  </si>
  <si>
    <t xml:space="preserve">2024-01-03</t>
  </si>
  <si>
    <t xml:space="preserve">C1856</t>
  </si>
  <si>
    <t xml:space="preserve">Virginia</t>
  </si>
  <si>
    <t xml:space="preserve">2024-01-02</t>
  </si>
  <si>
    <t xml:space="preserve">C0670</t>
  </si>
  <si>
    <t xml:space="preserve">2025-01-01</t>
  </si>
  <si>
    <t xml:space="preserve">C0899</t>
  </si>
  <si>
    <t xml:space="preserve">Apex Co</t>
  </si>
  <si>
    <t xml:space="preserve">Washington</t>
  </si>
  <si>
    <t xml:space="preserve">2025-01-02</t>
  </si>
  <si>
    <t xml:space="preserve">C1317</t>
  </si>
  <si>
    <t xml:space="preserve">Atlas Co</t>
  </si>
  <si>
    <t xml:space="preserve">Utah</t>
  </si>
  <si>
    <t xml:space="preserve">2024-01-08</t>
  </si>
  <si>
    <t xml:space="preserve">2025-01-03</t>
  </si>
  <si>
    <t xml:space="preserve">C0221</t>
  </si>
  <si>
    <t xml:space="preserve">2025-01-10</t>
  </si>
  <si>
    <t xml:space="preserve">C1771</t>
  </si>
  <si>
    <t xml:space="preserve">Client</t>
  </si>
  <si>
    <t xml:space="preserve">2024-01-04</t>
  </si>
  <si>
    <t xml:space="preserve">C0561</t>
  </si>
  <si>
    <t xml:space="preserve">Bravada Co</t>
  </si>
  <si>
    <t xml:space="preserve">Arizona</t>
  </si>
  <si>
    <t xml:space="preserve">2024-01-06</t>
  </si>
  <si>
    <t xml:space="preserve">C1876</t>
  </si>
  <si>
    <t xml:space="preserve">Ohio</t>
  </si>
  <si>
    <t xml:space="preserve">2024-01-07</t>
  </si>
  <si>
    <t xml:space="preserve">2025-01-11</t>
  </si>
  <si>
    <t xml:space="preserve">C0416</t>
  </si>
  <si>
    <t xml:space="preserve">North Rhine-Westphalia</t>
  </si>
  <si>
    <t xml:space="preserve">2024-01-09</t>
  </si>
  <si>
    <t xml:space="preserve">C0054</t>
  </si>
  <si>
    <t xml:space="preserve">Bridger CAL Co</t>
  </si>
  <si>
    <t xml:space="preserve">C1895</t>
  </si>
  <si>
    <t xml:space="preserve">Caldera Co</t>
  </si>
  <si>
    <t xml:space="preserve">2025-01-08</t>
  </si>
  <si>
    <t xml:space="preserve">C1481</t>
  </si>
  <si>
    <t xml:space="preserve">2025-01-05</t>
  </si>
  <si>
    <t xml:space="preserve">C1118</t>
  </si>
  <si>
    <t xml:space="preserve">Scotland</t>
  </si>
  <si>
    <t xml:space="preserve">C1860</t>
  </si>
  <si>
    <t xml:space="preserve">C0755</t>
  </si>
  <si>
    <t xml:space="preserve">Celera Co</t>
  </si>
  <si>
    <t xml:space="preserve">2025-01-04</t>
  </si>
  <si>
    <t xml:space="preserve">C0265</t>
  </si>
  <si>
    <t xml:space="preserve">Flanders</t>
  </si>
  <si>
    <t xml:space="preserve">C0261</t>
  </si>
  <si>
    <t xml:space="preserve">Florida</t>
  </si>
  <si>
    <t xml:space="preserve">C1037</t>
  </si>
  <si>
    <t xml:space="preserve">Corvus Co</t>
  </si>
  <si>
    <t xml:space="preserve">Baja California</t>
  </si>
  <si>
    <t xml:space="preserve">C1111</t>
  </si>
  <si>
    <t xml:space="preserve">2024-01-10</t>
  </si>
  <si>
    <t xml:space="preserve">C0966</t>
  </si>
  <si>
    <t xml:space="preserve">2025-01-06</t>
  </si>
  <si>
    <t xml:space="preserve">C0559</t>
  </si>
  <si>
    <t xml:space="preserve">2025-01-09</t>
  </si>
  <si>
    <t xml:space="preserve">C0957</t>
  </si>
  <si>
    <t xml:space="preserve">Crestwood Co</t>
  </si>
  <si>
    <t xml:space="preserve">Oregon</t>
  </si>
  <si>
    <t xml:space="preserve">C1742</t>
  </si>
  <si>
    <t xml:space="preserve">C1126</t>
  </si>
  <si>
    <t xml:space="preserve">Elara Co</t>
  </si>
  <si>
    <t xml:space="preserve">C0703</t>
  </si>
  <si>
    <t xml:space="preserve">Colorado</t>
  </si>
  <si>
    <t xml:space="preserve">C1590</t>
  </si>
  <si>
    <t xml:space="preserve">2025-01-07</t>
  </si>
  <si>
    <t xml:space="preserve">C0014</t>
  </si>
  <si>
    <t xml:space="preserve">Esther Co</t>
  </si>
  <si>
    <t xml:space="preserve">C1772</t>
  </si>
  <si>
    <t xml:space="preserve">Forsyte Co</t>
  </si>
  <si>
    <t xml:space="preserve">Alberta</t>
  </si>
  <si>
    <t xml:space="preserve">C1769</t>
  </si>
  <si>
    <t xml:space="preserve">C1340</t>
  </si>
  <si>
    <t xml:space="preserve">C0230</t>
  </si>
  <si>
    <t xml:space="preserve">C0998</t>
  </si>
  <si>
    <t xml:space="preserve">Grandis Co</t>
  </si>
  <si>
    <t xml:space="preserve">C1630</t>
  </si>
  <si>
    <t xml:space="preserve">C1902</t>
  </si>
  <si>
    <t xml:space="preserve">C1408</t>
  </si>
  <si>
    <t xml:space="preserve">C0432</t>
  </si>
  <si>
    <t xml:space="preserve">C1719</t>
  </si>
  <si>
    <t xml:space="preserve">Halcyon Co</t>
  </si>
  <si>
    <t xml:space="preserve">C1102</t>
  </si>
  <si>
    <t xml:space="preserve">Harmon Co</t>
  </si>
  <si>
    <t xml:space="preserve">Berlin</t>
  </si>
  <si>
    <t xml:space="preserve">C0870</t>
  </si>
  <si>
    <t xml:space="preserve">Northern Ireland</t>
  </si>
  <si>
    <t xml:space="preserve">C0953</t>
  </si>
  <si>
    <t xml:space="preserve">Helios Co</t>
  </si>
  <si>
    <t xml:space="preserve">C1529</t>
  </si>
  <si>
    <t xml:space="preserve">C0681</t>
  </si>
  <si>
    <t xml:space="preserve">C0651</t>
  </si>
  <si>
    <t xml:space="preserve">Horizon Co</t>
  </si>
  <si>
    <t xml:space="preserve">C0815</t>
  </si>
  <si>
    <t xml:space="preserve">C0405</t>
  </si>
  <si>
    <t xml:space="preserve">C1553</t>
  </si>
  <si>
    <t xml:space="preserve">C1523</t>
  </si>
  <si>
    <t xml:space="preserve">Victoria</t>
  </si>
  <si>
    <t xml:space="preserve">C0155</t>
  </si>
  <si>
    <t xml:space="preserve">Kamd Co</t>
  </si>
  <si>
    <t xml:space="preserve">C0058</t>
  </si>
  <si>
    <t xml:space="preserve">Kenyon Co</t>
  </si>
  <si>
    <t xml:space="preserve">C0012</t>
  </si>
  <si>
    <t xml:space="preserve">Kylax Co</t>
  </si>
  <si>
    <t xml:space="preserve">C1628</t>
  </si>
  <si>
    <t xml:space="preserve">Lumina Co</t>
  </si>
  <si>
    <t xml:space="preserve">Normandy</t>
  </si>
  <si>
    <t xml:space="preserve">C0518</t>
  </si>
  <si>
    <t xml:space="preserve">New York</t>
  </si>
  <si>
    <t xml:space="preserve">C0542</t>
  </si>
  <si>
    <t xml:space="preserve">Mexico City</t>
  </si>
  <si>
    <t xml:space="preserve">C0005</t>
  </si>
  <si>
    <t xml:space="preserve">Marleez Co</t>
  </si>
  <si>
    <t xml:space="preserve">C1081</t>
  </si>
  <si>
    <t xml:space="preserve">Meridian Co</t>
  </si>
  <si>
    <t xml:space="preserve">Novosibirsk</t>
  </si>
  <si>
    <t xml:space="preserve">2024-01-12</t>
  </si>
  <si>
    <t xml:space="preserve">C0777</t>
  </si>
  <si>
    <t xml:space="preserve">C1584</t>
  </si>
  <si>
    <t xml:space="preserve">Nexus Co</t>
  </si>
  <si>
    <t xml:space="preserve">Brittany</t>
  </si>
  <si>
    <t xml:space="preserve">C0798</t>
  </si>
  <si>
    <t xml:space="preserve">Novex Co</t>
  </si>
  <si>
    <t xml:space="preserve">C0383</t>
  </si>
  <si>
    <t xml:space="preserve">C1933</t>
  </si>
  <si>
    <t xml:space="preserve">Oasis Co</t>
  </si>
  <si>
    <t xml:space="preserve">Queensland</t>
  </si>
  <si>
    <t xml:space="preserve">C1973</t>
  </si>
  <si>
    <t xml:space="preserve">C1952</t>
  </si>
  <si>
    <t xml:space="preserve">Optima Co</t>
  </si>
  <si>
    <t xml:space="preserve">C0379</t>
  </si>
  <si>
    <t xml:space="preserve">C1412</t>
  </si>
  <si>
    <t xml:space="preserve">C0902</t>
  </si>
  <si>
    <t xml:space="preserve">Peerex Co</t>
  </si>
  <si>
    <t xml:space="preserve">C0650</t>
  </si>
  <si>
    <t xml:space="preserve">Polaris Co</t>
  </si>
  <si>
    <t xml:space="preserve">Occitanie</t>
  </si>
  <si>
    <t xml:space="preserve">C0771</t>
  </si>
  <si>
    <t xml:space="preserve">Quasar Co</t>
  </si>
  <si>
    <t xml:space="preserve">C1374</t>
  </si>
  <si>
    <t xml:space="preserve">Ile-de-France</t>
  </si>
  <si>
    <t xml:space="preserve">C1456</t>
  </si>
  <si>
    <t xml:space="preserve">C1842</t>
  </si>
  <si>
    <t xml:space="preserve">Rexon Co</t>
  </si>
  <si>
    <t xml:space="preserve">C1339</t>
  </si>
  <si>
    <t xml:space="preserve">C1854</t>
  </si>
  <si>
    <t xml:space="preserve">C0785</t>
  </si>
  <si>
    <t xml:space="preserve">C0818</t>
  </si>
  <si>
    <t xml:space="preserve">Sterling Co</t>
  </si>
  <si>
    <t xml:space="preserve">C1008</t>
  </si>
  <si>
    <t xml:space="preserve">C0694</t>
  </si>
  <si>
    <t xml:space="preserve">C1750</t>
  </si>
  <si>
    <t xml:space="preserve">Stratos Co</t>
  </si>
  <si>
    <t xml:space="preserve">C0313</t>
  </si>
  <si>
    <t xml:space="preserve">C1942</t>
  </si>
  <si>
    <t xml:space="preserve">C1978</t>
  </si>
  <si>
    <t xml:space="preserve">Summit Co</t>
  </si>
  <si>
    <t xml:space="preserve">C0763</t>
  </si>
  <si>
    <t xml:space="preserve">C1202</t>
  </si>
  <si>
    <t xml:space="preserve">Telnox Co</t>
  </si>
  <si>
    <t xml:space="preserve">Quebec</t>
  </si>
  <si>
    <t xml:space="preserve">C1910</t>
  </si>
  <si>
    <t xml:space="preserve">C0422</t>
  </si>
  <si>
    <t xml:space="preserve">C1548</t>
  </si>
  <si>
    <t xml:space="preserve">C1963</t>
  </si>
  <si>
    <t xml:space="preserve">Terova Co</t>
  </si>
  <si>
    <t xml:space="preserve">Texas</t>
  </si>
  <si>
    <t xml:space="preserve">C1420</t>
  </si>
  <si>
    <t xml:space="preserve">Wales</t>
  </si>
  <si>
    <t xml:space="preserve">C1434</t>
  </si>
  <si>
    <t xml:space="preserve">C1256</t>
  </si>
  <si>
    <t xml:space="preserve">Triton Co</t>
  </si>
  <si>
    <t xml:space="preserve">C1346</t>
  </si>
  <si>
    <t xml:space="preserve">C1503</t>
  </si>
  <si>
    <t xml:space="preserve">C0748</t>
  </si>
  <si>
    <t xml:space="preserve">Vantage Co</t>
  </si>
  <si>
    <t xml:space="preserve">C1919</t>
  </si>
  <si>
    <t xml:space="preserve">C0550</t>
  </si>
  <si>
    <t xml:space="preserve">Vertex Co</t>
  </si>
  <si>
    <t xml:space="preserve">C1297</t>
  </si>
  <si>
    <t xml:space="preserve">C1636</t>
  </si>
  <si>
    <t xml:space="preserve">Zynex Co</t>
  </si>
  <si>
    <t xml:space="preserve">C1477</t>
  </si>
  <si>
    <t xml:space="preserve">C0319</t>
  </si>
  <si>
    <t xml:space="preserve">C0641</t>
  </si>
  <si>
    <t xml:space="preserve">C1815</t>
  </si>
  <si>
    <t xml:space="preserve">Aaron Carter</t>
  </si>
  <si>
    <t xml:space="preserve">C0509</t>
  </si>
  <si>
    <t xml:space="preserve">Aaron Cook</t>
  </si>
  <si>
    <t xml:space="preserve">Wallonia</t>
  </si>
  <si>
    <t xml:space="preserve">C1551</t>
  </si>
  <si>
    <t xml:space="preserve">Aaron Howard</t>
  </si>
  <si>
    <t xml:space="preserve">C0848</t>
  </si>
  <si>
    <t xml:space="preserve">Aaron Hughes</t>
  </si>
  <si>
    <t xml:space="preserve">C1071</t>
  </si>
  <si>
    <t xml:space="preserve">Aaron Johnson</t>
  </si>
  <si>
    <t xml:space="preserve">C1616</t>
  </si>
  <si>
    <t xml:space="preserve">Aaron Nelson</t>
  </si>
  <si>
    <t xml:space="preserve">C0555</t>
  </si>
  <si>
    <t xml:space="preserve">C1001</t>
  </si>
  <si>
    <t xml:space="preserve">C0266</t>
  </si>
  <si>
    <t xml:space="preserve">Aaron Owens</t>
  </si>
  <si>
    <t xml:space="preserve">C1251</t>
  </si>
  <si>
    <t xml:space="preserve">Aaron Thompson</t>
  </si>
  <si>
    <t xml:space="preserve">C1093</t>
  </si>
  <si>
    <t xml:space="preserve">Adam Allen</t>
  </si>
  <si>
    <t xml:space="preserve">C1707</t>
  </si>
  <si>
    <t xml:space="preserve">C0571</t>
  </si>
  <si>
    <t xml:space="preserve">Adam Chavez</t>
  </si>
  <si>
    <t xml:space="preserve">C0469</t>
  </si>
  <si>
    <t xml:space="preserve">Adam Foster</t>
  </si>
  <si>
    <t xml:space="preserve">C1957</t>
  </si>
  <si>
    <t xml:space="preserve">Adam Howard</t>
  </si>
  <si>
    <t xml:space="preserve">C1382</t>
  </si>
  <si>
    <t xml:space="preserve">Adam James</t>
  </si>
  <si>
    <t xml:space="preserve">C1192</t>
  </si>
  <si>
    <t xml:space="preserve">Adam Jones</t>
  </si>
  <si>
    <t xml:space="preserve">C1053</t>
  </si>
  <si>
    <t xml:space="preserve">Adam Kim</t>
  </si>
  <si>
    <t xml:space="preserve">Nuevo Leon</t>
  </si>
  <si>
    <t xml:space="preserve">C0692</t>
  </si>
  <si>
    <t xml:space="preserve">Adam Roberts</t>
  </si>
  <si>
    <t xml:space="preserve">C0836</t>
  </si>
  <si>
    <t xml:space="preserve">Adam Sanders</t>
  </si>
  <si>
    <t xml:space="preserve">C1821</t>
  </si>
  <si>
    <t xml:space="preserve">Adam Smith</t>
  </si>
  <si>
    <t xml:space="preserve">C1786</t>
  </si>
  <si>
    <t xml:space="preserve">Adam White</t>
  </si>
  <si>
    <t xml:space="preserve">C0126</t>
  </si>
  <si>
    <t xml:space="preserve">Adriana Shaffer</t>
  </si>
  <si>
    <t xml:space="preserve">C0080</t>
  </si>
  <si>
    <t xml:space="preserve">Aiyana Christensen</t>
  </si>
  <si>
    <t xml:space="preserve">C0030</t>
  </si>
  <si>
    <t xml:space="preserve">Alanna Hess</t>
  </si>
  <si>
    <t xml:space="preserve">C0805</t>
  </si>
  <si>
    <t xml:space="preserve">Albert Cook</t>
  </si>
  <si>
    <t xml:space="preserve">C0216</t>
  </si>
  <si>
    <t xml:space="preserve">Albert Hansen</t>
  </si>
  <si>
    <t xml:space="preserve">C0602</t>
  </si>
  <si>
    <t xml:space="preserve">Albert Hayes</t>
  </si>
  <si>
    <t xml:space="preserve">Bavaria</t>
  </si>
  <si>
    <t xml:space="preserve">C1748</t>
  </si>
  <si>
    <t xml:space="preserve">Albert Jones</t>
  </si>
  <si>
    <t xml:space="preserve">C1804</t>
  </si>
  <si>
    <t xml:space="preserve">Albert Kim</t>
  </si>
  <si>
    <t xml:space="preserve">C0399</t>
  </si>
  <si>
    <t xml:space="preserve">C1784</t>
  </si>
  <si>
    <t xml:space="preserve">Albert Moore</t>
  </si>
  <si>
    <t xml:space="preserve">Western Australia</t>
  </si>
  <si>
    <t xml:space="preserve">C0506</t>
  </si>
  <si>
    <t xml:space="preserve">Albert Stone</t>
  </si>
  <si>
    <t xml:space="preserve">C0739</t>
  </si>
  <si>
    <t xml:space="preserve">Albert Turner</t>
  </si>
  <si>
    <t xml:space="preserve">C1976</t>
  </si>
  <si>
    <t xml:space="preserve">Albert Wilson</t>
  </si>
  <si>
    <t xml:space="preserve">C0073</t>
  </si>
  <si>
    <t xml:space="preserve">Alejandra Greer</t>
  </si>
  <si>
    <t xml:space="preserve">Capital Region</t>
  </si>
  <si>
    <t xml:space="preserve">C0039</t>
  </si>
  <si>
    <t xml:space="preserve">Aleksandra Karenina</t>
  </si>
  <si>
    <t xml:space="preserve">Krasnodar Krai</t>
  </si>
  <si>
    <t xml:space="preserve">C0087</t>
  </si>
  <si>
    <t xml:space="preserve">Alessandra Perry</t>
  </si>
  <si>
    <t xml:space="preserve">C0196</t>
  </si>
  <si>
    <t xml:space="preserve">Alexander Adams</t>
  </si>
  <si>
    <t xml:space="preserve">C0657</t>
  </si>
  <si>
    <t xml:space="preserve">Alexander Allen</t>
  </si>
  <si>
    <t xml:space="preserve">C1004</t>
  </si>
  <si>
    <t xml:space="preserve">Alexander Anderson</t>
  </si>
  <si>
    <t xml:space="preserve">C1398</t>
  </si>
  <si>
    <t xml:space="preserve">Alexander Jones</t>
  </si>
  <si>
    <t xml:space="preserve">C1951</t>
  </si>
  <si>
    <t xml:space="preserve">Alexander Murray</t>
  </si>
  <si>
    <t xml:space="preserve">C1031</t>
  </si>
  <si>
    <t xml:space="preserve">Alexander Reed</t>
  </si>
  <si>
    <t xml:space="preserve">England</t>
  </si>
  <si>
    <t xml:space="preserve">C1227</t>
  </si>
  <si>
    <t xml:space="preserve">Alexander Reyes</t>
  </si>
  <si>
    <t xml:space="preserve">C1470</t>
  </si>
  <si>
    <t xml:space="preserve">Alexander Richardson</t>
  </si>
  <si>
    <t xml:space="preserve">C1741</t>
  </si>
  <si>
    <t xml:space="preserve">Alexander Wright</t>
  </si>
  <si>
    <t xml:space="preserve">C0024</t>
  </si>
  <si>
    <t xml:space="preserve">Alonso Terrell</t>
  </si>
  <si>
    <t xml:space="preserve">C0760</t>
  </si>
  <si>
    <t xml:space="preserve">Amanda Adams</t>
  </si>
  <si>
    <t xml:space="preserve">C1682</t>
  </si>
  <si>
    <t xml:space="preserve">Amanda Brooks</t>
  </si>
  <si>
    <t xml:space="preserve">C1170</t>
  </si>
  <si>
    <t xml:space="preserve">Amanda Collins</t>
  </si>
  <si>
    <t xml:space="preserve">C0460</t>
  </si>
  <si>
    <t xml:space="preserve">Amanda Cox</t>
  </si>
  <si>
    <t xml:space="preserve">C1688</t>
  </si>
  <si>
    <t xml:space="preserve">Amanda Flores</t>
  </si>
  <si>
    <t xml:space="preserve">C0855</t>
  </si>
  <si>
    <t xml:space="preserve">Amanda Foster</t>
  </si>
  <si>
    <t xml:space="preserve">C0843</t>
  </si>
  <si>
    <t xml:space="preserve">Amanda Hansen</t>
  </si>
  <si>
    <t xml:space="preserve">C1912</t>
  </si>
  <si>
    <t xml:space="preserve">Amanda Jackson</t>
  </si>
  <si>
    <t xml:space="preserve">C2000</t>
  </si>
  <si>
    <t xml:space="preserve">Amanda James</t>
  </si>
  <si>
    <t xml:space="preserve">C0862</t>
  </si>
  <si>
    <t xml:space="preserve">Amanda Jordan</t>
  </si>
  <si>
    <t xml:space="preserve">C0995</t>
  </si>
  <si>
    <t xml:space="preserve">Amanda Kim</t>
  </si>
  <si>
    <t xml:space="preserve">New South Wales</t>
  </si>
  <si>
    <t xml:space="preserve">C0411</t>
  </si>
  <si>
    <t xml:space="preserve">Amanda Moore</t>
  </si>
  <si>
    <t xml:space="preserve">C1573</t>
  </si>
  <si>
    <t xml:space="preserve">Amanda Richardson</t>
  </si>
  <si>
    <t xml:space="preserve">C0895</t>
  </si>
  <si>
    <t xml:space="preserve">Amanda Rogers</t>
  </si>
  <si>
    <t xml:space="preserve">C0434</t>
  </si>
  <si>
    <t xml:space="preserve">Amanda Sanders</t>
  </si>
  <si>
    <t xml:space="preserve">Tatarstan</t>
  </si>
  <si>
    <t xml:space="preserve">C0115</t>
  </si>
  <si>
    <t xml:space="preserve">Amanda Simon</t>
  </si>
  <si>
    <t xml:space="preserve">C1570</t>
  </si>
  <si>
    <t xml:space="preserve">Amanda Williams</t>
  </si>
  <si>
    <t xml:space="preserve">C0656</t>
  </si>
  <si>
    <t xml:space="preserve">Amber Allen</t>
  </si>
  <si>
    <t xml:space="preserve">C0989</t>
  </si>
  <si>
    <t xml:space="preserve">Amber Cook</t>
  </si>
  <si>
    <t xml:space="preserve">C1446</t>
  </si>
  <si>
    <t xml:space="preserve">Amber Gray</t>
  </si>
  <si>
    <t xml:space="preserve">C0317</t>
  </si>
  <si>
    <t xml:space="preserve">Amber Hansen</t>
  </si>
  <si>
    <t xml:space="preserve">C1735</t>
  </si>
  <si>
    <t xml:space="preserve">Amber Miller</t>
  </si>
  <si>
    <t xml:space="preserve">C0240</t>
  </si>
  <si>
    <t xml:space="preserve">Amber Morales</t>
  </si>
  <si>
    <t xml:space="preserve">C0238</t>
  </si>
  <si>
    <t xml:space="preserve">Amber Patterson</t>
  </si>
  <si>
    <t xml:space="preserve">C1683</t>
  </si>
  <si>
    <t xml:space="preserve">C0969</t>
  </si>
  <si>
    <t xml:space="preserve">Amber Ward</t>
  </si>
  <si>
    <t xml:space="preserve">C0672</t>
  </si>
  <si>
    <t xml:space="preserve">Amber Williams</t>
  </si>
  <si>
    <t xml:space="preserve">C0173</t>
  </si>
  <si>
    <t xml:space="preserve">Amber Wilson</t>
  </si>
  <si>
    <t xml:space="preserve">C1676</t>
  </si>
  <si>
    <t xml:space="preserve">Amy Allen</t>
  </si>
  <si>
    <t xml:space="preserve">C0807</t>
  </si>
  <si>
    <t xml:space="preserve">Amy Chavez</t>
  </si>
  <si>
    <t xml:space="preserve">C0211</t>
  </si>
  <si>
    <t xml:space="preserve">Amy Evans</t>
  </si>
  <si>
    <t xml:space="preserve">C1858</t>
  </si>
  <si>
    <t xml:space="preserve">Amy Hayes</t>
  </si>
  <si>
    <t xml:space="preserve">C0346</t>
  </si>
  <si>
    <t xml:space="preserve">Amy Nelson</t>
  </si>
  <si>
    <t xml:space="preserve">C1193</t>
  </si>
  <si>
    <t xml:space="preserve">Amy Owens</t>
  </si>
  <si>
    <t xml:space="preserve">C0318</t>
  </si>
  <si>
    <t xml:space="preserve">Amy Peterson</t>
  </si>
  <si>
    <t xml:space="preserve">C1871</t>
  </si>
  <si>
    <t xml:space="preserve">Amy Reyes</t>
  </si>
  <si>
    <t xml:space="preserve">C0384</t>
  </si>
  <si>
    <t xml:space="preserve">Amy Stewart</t>
  </si>
  <si>
    <t xml:space="preserve">C0019</t>
  </si>
  <si>
    <t xml:space="preserve">Anahi Curry</t>
  </si>
  <si>
    <t xml:space="preserve">C0234</t>
  </si>
  <si>
    <t xml:space="preserve">Andrea Hughes</t>
  </si>
  <si>
    <t xml:space="preserve">C0356</t>
  </si>
  <si>
    <t xml:space="preserve">Andrea Kim</t>
  </si>
  <si>
    <t xml:space="preserve">C1908</t>
  </si>
  <si>
    <t xml:space="preserve">Andrea Moore</t>
  </si>
  <si>
    <t xml:space="preserve">C0185</t>
  </si>
  <si>
    <t xml:space="preserve">Andrea Nelson</t>
  </si>
  <si>
    <t xml:space="preserve">C0775</t>
  </si>
  <si>
    <t xml:space="preserve">Andrea Reyes</t>
  </si>
  <si>
    <t xml:space="preserve">C1364</t>
  </si>
  <si>
    <t xml:space="preserve">Andrea Watson</t>
  </si>
  <si>
    <t xml:space="preserve">C1016</t>
  </si>
  <si>
    <t xml:space="preserve">Andrea Wilson</t>
  </si>
  <si>
    <t xml:space="preserve">C1708</t>
  </si>
  <si>
    <t xml:space="preserve">Hesse</t>
  </si>
  <si>
    <t xml:space="preserve">C1034</t>
  </si>
  <si>
    <t xml:space="preserve">C0675</t>
  </si>
  <si>
    <t xml:space="preserve">Andrea Wright</t>
  </si>
  <si>
    <t xml:space="preserve">C0527</t>
  </si>
  <si>
    <t xml:space="preserve">Andrew Baker</t>
  </si>
  <si>
    <t xml:space="preserve">C1896</t>
  </si>
  <si>
    <t xml:space="preserve">Andrew Bryant</t>
  </si>
  <si>
    <t xml:space="preserve">C0680</t>
  </si>
  <si>
    <t xml:space="preserve">Andrew Griffin</t>
  </si>
  <si>
    <t xml:space="preserve">C0787</t>
  </si>
  <si>
    <t xml:space="preserve">Andrew Jackson</t>
  </si>
  <si>
    <t xml:space="preserve">C0314</t>
  </si>
  <si>
    <t xml:space="preserve">Andrew Jones</t>
  </si>
  <si>
    <t xml:space="preserve">C0334</t>
  </si>
  <si>
    <t xml:space="preserve">Andrew Roberts</t>
  </si>
  <si>
    <t xml:space="preserve">C1598</t>
  </si>
  <si>
    <t xml:space="preserve">Angela Adams</t>
  </si>
  <si>
    <t xml:space="preserve">C1807</t>
  </si>
  <si>
    <t xml:space="preserve">Angela Allen</t>
  </si>
  <si>
    <t xml:space="preserve">C1929</t>
  </si>
  <si>
    <t xml:space="preserve">Angela Baker</t>
  </si>
  <si>
    <t xml:space="preserve">Jalisco</t>
  </si>
  <si>
    <t xml:space="preserve">C1304</t>
  </si>
  <si>
    <t xml:space="preserve">Angela Cook</t>
  </si>
  <si>
    <t xml:space="preserve">C1116</t>
  </si>
  <si>
    <t xml:space="preserve">Angela Freeman</t>
  </si>
  <si>
    <t xml:space="preserve">C1917</t>
  </si>
  <si>
    <t xml:space="preserve">Angela Montgomery</t>
  </si>
  <si>
    <t xml:space="preserve">C1622</t>
  </si>
  <si>
    <t xml:space="preserve">Angela Taylor</t>
  </si>
  <si>
    <t xml:space="preserve">C1048</t>
  </si>
  <si>
    <t xml:space="preserve">Angela Turner</t>
  </si>
  <si>
    <t xml:space="preserve">C1670</t>
  </si>
  <si>
    <t xml:space="preserve">Angela Watson</t>
  </si>
  <si>
    <t xml:space="preserve">C1915</t>
  </si>
  <si>
    <t xml:space="preserve">Angela Williams</t>
  </si>
  <si>
    <t xml:space="preserve">C1515</t>
  </si>
  <si>
    <t xml:space="preserve">C0101</t>
  </si>
  <si>
    <t xml:space="preserve">Aniya Miller</t>
  </si>
  <si>
    <t xml:space="preserve">C0105</t>
  </si>
  <si>
    <t xml:space="preserve">Aniyah Ali</t>
  </si>
  <si>
    <t xml:space="preserve">C1736</t>
  </si>
  <si>
    <t xml:space="preserve">Ann Cook</t>
  </si>
  <si>
    <t xml:space="preserve">C1127</t>
  </si>
  <si>
    <t xml:space="preserve">Ann Cooper</t>
  </si>
  <si>
    <t xml:space="preserve">C1893</t>
  </si>
  <si>
    <t xml:space="preserve">Ann Davis</t>
  </si>
  <si>
    <t xml:space="preserve">C0897</t>
  </si>
  <si>
    <t xml:space="preserve">Ann Foster</t>
  </si>
  <si>
    <t xml:space="preserve">C0723</t>
  </si>
  <si>
    <t xml:space="preserve">Ann Hansen</t>
  </si>
  <si>
    <t xml:space="preserve">C1511</t>
  </si>
  <si>
    <t xml:space="preserve">Provence</t>
  </si>
  <si>
    <t xml:space="preserve">C0572</t>
  </si>
  <si>
    <t xml:space="preserve">Ann Johnson</t>
  </si>
  <si>
    <t xml:space="preserve">C1454</t>
  </si>
  <si>
    <t xml:space="preserve">Ann Kim</t>
  </si>
  <si>
    <t xml:space="preserve">C1782</t>
  </si>
  <si>
    <t xml:space="preserve">Ann King</t>
  </si>
  <si>
    <t xml:space="preserve">C0952</t>
  </si>
  <si>
    <t xml:space="preserve">Ann Martin</t>
  </si>
  <si>
    <t xml:space="preserve">C0331</t>
  </si>
  <si>
    <t xml:space="preserve">C0610</t>
  </si>
  <si>
    <t xml:space="preserve">Ann Owens</t>
  </si>
  <si>
    <t xml:space="preserve">C0633</t>
  </si>
  <si>
    <t xml:space="preserve">C1310</t>
  </si>
  <si>
    <t xml:space="preserve">Ann Roberts</t>
  </si>
  <si>
    <t xml:space="preserve">C1745</t>
  </si>
  <si>
    <t xml:space="preserve">Ann Sanders</t>
  </si>
  <si>
    <t xml:space="preserve">C0689</t>
  </si>
  <si>
    <t xml:space="preserve">Ann Williams</t>
  </si>
  <si>
    <t xml:space="preserve">C0189</t>
  </si>
  <si>
    <t xml:space="preserve">Anna Adams</t>
  </si>
  <si>
    <t xml:space="preserve">C0939</t>
  </si>
  <si>
    <t xml:space="preserve">Anna Alexander</t>
  </si>
  <si>
    <t xml:space="preserve">Brussels</t>
  </si>
  <si>
    <t xml:space="preserve">C1295</t>
  </si>
  <si>
    <t xml:space="preserve">Anna Bryant</t>
  </si>
  <si>
    <t xml:space="preserve">C0540</t>
  </si>
  <si>
    <t xml:space="preserve">Anna Long</t>
  </si>
  <si>
    <t xml:space="preserve">C0595</t>
  </si>
  <si>
    <t xml:space="preserve">Anna Murray</t>
  </si>
  <si>
    <t xml:space="preserve">C0353</t>
  </si>
  <si>
    <t xml:space="preserve">C1171</t>
  </si>
  <si>
    <t xml:space="preserve">Anna Patterson</t>
  </si>
  <si>
    <t xml:space="preserve">C1195</t>
  </si>
  <si>
    <t xml:space="preserve">Anna Pierce</t>
  </si>
  <si>
    <t xml:space="preserve">C1293</t>
  </si>
  <si>
    <t xml:space="preserve">Anna Wright</t>
  </si>
  <si>
    <t xml:space="preserve">C0762</t>
  </si>
  <si>
    <t xml:space="preserve">Anna Young</t>
  </si>
  <si>
    <t xml:space="preserve">C1512</t>
  </si>
  <si>
    <t xml:space="preserve">C0139</t>
  </si>
  <si>
    <t xml:space="preserve">Annabel Robles</t>
  </si>
  <si>
    <t xml:space="preserve">C1533</t>
  </si>
  <si>
    <t xml:space="preserve">Anthony Bryant</t>
  </si>
  <si>
    <t xml:space="preserve">British Columbia</t>
  </si>
  <si>
    <t xml:space="preserve">C0585</t>
  </si>
  <si>
    <t xml:space="preserve">Anthony Edwards</t>
  </si>
  <si>
    <t xml:space="preserve">C0663</t>
  </si>
  <si>
    <t xml:space="preserve">Anthony Flores</t>
  </si>
  <si>
    <t xml:space="preserve">C0263</t>
  </si>
  <si>
    <t xml:space="preserve">Anthony Garcia</t>
  </si>
  <si>
    <t xml:space="preserve">C0541</t>
  </si>
  <si>
    <t xml:space="preserve">C0256</t>
  </si>
  <si>
    <t xml:space="preserve">Anthony Hughes</t>
  </si>
  <si>
    <t xml:space="preserve">C0667</t>
  </si>
  <si>
    <t xml:space="preserve">Anthony Mitchell</t>
  </si>
  <si>
    <t xml:space="preserve">C1411</t>
  </si>
  <si>
    <t xml:space="preserve">Anthony Watson</t>
  </si>
  <si>
    <t xml:space="preserve">C1593</t>
  </si>
  <si>
    <t xml:space="preserve">Anthony Williams</t>
  </si>
  <si>
    <t xml:space="preserve">C1566</t>
  </si>
  <si>
    <t xml:space="preserve">Anthony Wilson</t>
  </si>
  <si>
    <t xml:space="preserve">C0017</t>
  </si>
  <si>
    <t xml:space="preserve">Antonio Porter</t>
  </si>
  <si>
    <t xml:space="preserve">C0160</t>
  </si>
  <si>
    <t xml:space="preserve">Anya Stephenson</t>
  </si>
  <si>
    <t xml:space="preserve">C0151</t>
  </si>
  <si>
    <t xml:space="preserve">Arabella Ferrell</t>
  </si>
  <si>
    <t xml:space="preserve">C0022</t>
  </si>
  <si>
    <t xml:space="preserve">Araceli Nelson</t>
  </si>
  <si>
    <t xml:space="preserve">C0113</t>
  </si>
  <si>
    <t xml:space="preserve">Arthur Bray</t>
  </si>
  <si>
    <t xml:space="preserve">C0628</t>
  </si>
  <si>
    <t xml:space="preserve">Arthur Campbell</t>
  </si>
  <si>
    <t xml:space="preserve">C0590</t>
  </si>
  <si>
    <t xml:space="preserve">C0645</t>
  </si>
  <si>
    <t xml:space="preserve">Arthur Cox</t>
  </si>
  <si>
    <t xml:space="preserve">C1276</t>
  </si>
  <si>
    <t xml:space="preserve">Arthur Griffin</t>
  </si>
  <si>
    <t xml:space="preserve">C1278</t>
  </si>
  <si>
    <t xml:space="preserve">C1753</t>
  </si>
  <si>
    <t xml:space="preserve">Arthur Peterson</t>
  </si>
  <si>
    <t xml:space="preserve">C1091</t>
  </si>
  <si>
    <t xml:space="preserve">Arthur Phillips</t>
  </si>
  <si>
    <t xml:space="preserve">C1740</t>
  </si>
  <si>
    <t xml:space="preserve">Ashley Alexander</t>
  </si>
  <si>
    <t xml:space="preserve">C0478</t>
  </si>
  <si>
    <t xml:space="preserve">Ashley Garcia</t>
  </si>
  <si>
    <t xml:space="preserve">C1203</t>
  </si>
  <si>
    <t xml:space="preserve">Ashley Green</t>
  </si>
  <si>
    <t xml:space="preserve">C0878</t>
  </si>
  <si>
    <t xml:space="preserve">Ashley Hansen</t>
  </si>
  <si>
    <t xml:space="preserve">C1466</t>
  </si>
  <si>
    <t xml:space="preserve">Ashley Howard</t>
  </si>
  <si>
    <t xml:space="preserve">C1671</t>
  </si>
  <si>
    <t xml:space="preserve">C0845</t>
  </si>
  <si>
    <t xml:space="preserve">Ashley Long</t>
  </si>
  <si>
    <t xml:space="preserve">C1066</t>
  </si>
  <si>
    <t xml:space="preserve">Ashley Moore</t>
  </si>
  <si>
    <t xml:space="preserve">C0776</t>
  </si>
  <si>
    <t xml:space="preserve">Ashley Morales</t>
  </si>
  <si>
    <t xml:space="preserve">C1361</t>
  </si>
  <si>
    <t xml:space="preserve">Ashley Owens</t>
  </si>
  <si>
    <t xml:space="preserve">C1937</t>
  </si>
  <si>
    <t xml:space="preserve">Ashley Richardson</t>
  </si>
  <si>
    <t xml:space="preserve">C1282</t>
  </si>
  <si>
    <t xml:space="preserve">Ashley Taylor</t>
  </si>
  <si>
    <t xml:space="preserve">C0179</t>
  </si>
  <si>
    <t xml:space="preserve">Ashley Turner</t>
  </si>
  <si>
    <t xml:space="preserve">C0946</t>
  </si>
  <si>
    <t xml:space="preserve">Ashley Weaver</t>
  </si>
  <si>
    <t xml:space="preserve">C1935</t>
  </si>
  <si>
    <t xml:space="preserve">Ashley Young</t>
  </si>
  <si>
    <t xml:space="preserve">C0072</t>
  </si>
  <si>
    <t xml:space="preserve">Augustus Hinton</t>
  </si>
  <si>
    <t xml:space="preserve">C0489</t>
  </si>
  <si>
    <t xml:space="preserve">Austin Jordan</t>
  </si>
  <si>
    <t xml:space="preserve">C1805</t>
  </si>
  <si>
    <t xml:space="preserve">Austin Kim</t>
  </si>
  <si>
    <t xml:space="preserve">C0431</t>
  </si>
  <si>
    <t xml:space="preserve">Austin King</t>
  </si>
  <si>
    <t xml:space="preserve">C0618</t>
  </si>
  <si>
    <t xml:space="preserve">Austin Taylor</t>
  </si>
  <si>
    <t xml:space="preserve">C1841</t>
  </si>
  <si>
    <t xml:space="preserve">Austin Williams</t>
  </si>
  <si>
    <t xml:space="preserve">C0565</t>
  </si>
  <si>
    <t xml:space="preserve">Austin Wood</t>
  </si>
  <si>
    <t xml:space="preserve">C0028</t>
  </si>
  <si>
    <t xml:space="preserve">Ava Phelps</t>
  </si>
  <si>
    <t xml:space="preserve">C0094</t>
  </si>
  <si>
    <t xml:space="preserve">Avah Huang</t>
  </si>
  <si>
    <t xml:space="preserve">C0934</t>
  </si>
  <si>
    <t xml:space="preserve">Barbara Allen</t>
  </si>
  <si>
    <t xml:space="preserve">C1391</t>
  </si>
  <si>
    <t xml:space="preserve">Barbara Campbell</t>
  </si>
  <si>
    <t xml:space="preserve">C1005</t>
  </si>
  <si>
    <t xml:space="preserve">Barbara Chavez</t>
  </si>
  <si>
    <t xml:space="preserve">Hamburg</t>
  </si>
  <si>
    <t xml:space="preserve">C0299</t>
  </si>
  <si>
    <t xml:space="preserve">Barbara Davis</t>
  </si>
  <si>
    <t xml:space="preserve">C0919</t>
  </si>
  <si>
    <t xml:space="preserve">Barbara Foster</t>
  </si>
  <si>
    <t xml:space="preserve">C1980</t>
  </si>
  <si>
    <t xml:space="preserve">Barbara Green</t>
  </si>
  <si>
    <t xml:space="preserve">C1322</t>
  </si>
  <si>
    <t xml:space="preserve">Barbara Reyes</t>
  </si>
  <si>
    <t xml:space="preserve">C1940</t>
  </si>
  <si>
    <t xml:space="preserve">Barbara Turner</t>
  </si>
  <si>
    <t xml:space="preserve">Manitoba</t>
  </si>
  <si>
    <t xml:space="preserve">C0122</t>
  </si>
  <si>
    <t xml:space="preserve">Belinda Hogan</t>
  </si>
  <si>
    <t xml:space="preserve">C1517</t>
  </si>
  <si>
    <t xml:space="preserve">Benjamin Chavez</t>
  </si>
  <si>
    <t xml:space="preserve">C0876</t>
  </si>
  <si>
    <t xml:space="preserve">C0528</t>
  </si>
  <si>
    <t xml:space="preserve">Benjamin Davis</t>
  </si>
  <si>
    <t xml:space="preserve">C1352</t>
  </si>
  <si>
    <t xml:space="preserve">Benjamin Gray</t>
  </si>
  <si>
    <t xml:space="preserve">C1301</t>
  </si>
  <si>
    <t xml:space="preserve">Benjamin Hayes</t>
  </si>
  <si>
    <t xml:space="preserve">C1508</t>
  </si>
  <si>
    <t xml:space="preserve">Benjamin Morris</t>
  </si>
  <si>
    <t xml:space="preserve">C1438</t>
  </si>
  <si>
    <t xml:space="preserve">Benjamin Taylor</t>
  </si>
  <si>
    <t xml:space="preserve">C1955</t>
  </si>
  <si>
    <t xml:space="preserve">Benjamin Wright</t>
  </si>
  <si>
    <t xml:space="preserve">C0121</t>
  </si>
  <si>
    <t xml:space="preserve">Bennett Chen</t>
  </si>
  <si>
    <t xml:space="preserve">C1231</t>
  </si>
  <si>
    <t xml:space="preserve">Betty Carter</t>
  </si>
  <si>
    <t xml:space="preserve">C1327</t>
  </si>
  <si>
    <t xml:space="preserve">C0900</t>
  </si>
  <si>
    <t xml:space="preserve">Betty Cook</t>
  </si>
  <si>
    <t xml:space="preserve">C1775</t>
  </si>
  <si>
    <t xml:space="preserve">Betty Howard</t>
  </si>
  <si>
    <t xml:space="preserve">C1443</t>
  </si>
  <si>
    <t xml:space="preserve">Betty Hughes</t>
  </si>
  <si>
    <t xml:space="preserve">C0253</t>
  </si>
  <si>
    <t xml:space="preserve">C1796</t>
  </si>
  <si>
    <t xml:space="preserve">C0362</t>
  </si>
  <si>
    <t xml:space="preserve">Betty Moore</t>
  </si>
  <si>
    <t xml:space="preserve">C1568</t>
  </si>
  <si>
    <t xml:space="preserve">Betty Owens</t>
  </si>
  <si>
    <t xml:space="preserve">C0303</t>
  </si>
  <si>
    <t xml:space="preserve">C1770</t>
  </si>
  <si>
    <t xml:space="preserve">Betty Parker</t>
  </si>
  <si>
    <t xml:space="preserve">C0801</t>
  </si>
  <si>
    <t xml:space="preserve">Betty Price</t>
  </si>
  <si>
    <t xml:space="preserve">C0958</t>
  </si>
  <si>
    <t xml:space="preserve">Betty Rogers</t>
  </si>
  <si>
    <t xml:space="preserve">C0783</t>
  </si>
  <si>
    <t xml:space="preserve">Betty Sanders</t>
  </si>
  <si>
    <t xml:space="preserve">C0368</t>
  </si>
  <si>
    <t xml:space="preserve">Betty Scott</t>
  </si>
  <si>
    <t xml:space="preserve">C1258</t>
  </si>
  <si>
    <t xml:space="preserve">Betty Stone</t>
  </si>
  <si>
    <t xml:space="preserve">C1781</t>
  </si>
  <si>
    <t xml:space="preserve">Betty Thomas</t>
  </si>
  <si>
    <t xml:space="preserve">C1076</t>
  </si>
  <si>
    <t xml:space="preserve">Betty Thompson</t>
  </si>
  <si>
    <t xml:space="preserve">C0262</t>
  </si>
  <si>
    <t xml:space="preserve">Billy Bryant</t>
  </si>
  <si>
    <t xml:space="preserve">C0486</t>
  </si>
  <si>
    <t xml:space="preserve">Billy Carter</t>
  </si>
  <si>
    <t xml:space="preserve">C1062</t>
  </si>
  <si>
    <t xml:space="preserve">Billy Foster</t>
  </si>
  <si>
    <t xml:space="preserve">C0551</t>
  </si>
  <si>
    <t xml:space="preserve">Billy Freeman</t>
  </si>
  <si>
    <t xml:space="preserve">C1422</t>
  </si>
  <si>
    <t xml:space="preserve">Billy Hansen</t>
  </si>
  <si>
    <t xml:space="preserve">C1140</t>
  </si>
  <si>
    <t xml:space="preserve">Billy Jackson</t>
  </si>
  <si>
    <t xml:space="preserve">C1360</t>
  </si>
  <si>
    <t xml:space="preserve">Billy Nelson</t>
  </si>
  <si>
    <t xml:space="preserve">C0285</t>
  </si>
  <si>
    <t xml:space="preserve">Billy Parker</t>
  </si>
  <si>
    <t xml:space="preserve">C1646</t>
  </si>
  <si>
    <t xml:space="preserve">Billy Patterson</t>
  </si>
  <si>
    <t xml:space="preserve">C0496</t>
  </si>
  <si>
    <t xml:space="preserve">Billy Reyes</t>
  </si>
  <si>
    <t xml:space="preserve">C0452</t>
  </si>
  <si>
    <t xml:space="preserve">Brandon Adams</t>
  </si>
  <si>
    <t xml:space="preserve">C0879</t>
  </si>
  <si>
    <t xml:space="preserve">C0175</t>
  </si>
  <si>
    <t xml:space="preserve">Brandon Alexander</t>
  </si>
  <si>
    <t xml:space="preserve">C0400</t>
  </si>
  <si>
    <t xml:space="preserve">Brandon Anderson</t>
  </si>
  <si>
    <t xml:space="preserve">C1236</t>
  </si>
  <si>
    <t xml:space="preserve">Brandon Cook</t>
  </si>
  <si>
    <t xml:space="preserve">C0790</t>
  </si>
  <si>
    <t xml:space="preserve">Brandon Cooper</t>
  </si>
  <si>
    <t xml:space="preserve">C0436</t>
  </si>
  <si>
    <t xml:space="preserve">Brandon Jones</t>
  </si>
  <si>
    <t xml:space="preserve">C0316</t>
  </si>
  <si>
    <t xml:space="preserve">Brandon Martin</t>
  </si>
  <si>
    <t xml:space="preserve">C1326</t>
  </si>
  <si>
    <t xml:space="preserve">Brandon Mitchell</t>
  </si>
  <si>
    <t xml:space="preserve">C1749</t>
  </si>
  <si>
    <t xml:space="preserve">Brandon Moore</t>
  </si>
  <si>
    <t xml:space="preserve">C0365</t>
  </si>
  <si>
    <t xml:space="preserve">Brandon Morales</t>
  </si>
  <si>
    <t xml:space="preserve">C0961</t>
  </si>
  <si>
    <t xml:space="preserve">C0863</t>
  </si>
  <si>
    <t xml:space="preserve">Brandon Peterson</t>
  </si>
  <si>
    <t xml:space="preserve">C1064</t>
  </si>
  <si>
    <t xml:space="preserve">Brandon Pierce</t>
  </si>
  <si>
    <t xml:space="preserve">C0414</t>
  </si>
  <si>
    <t xml:space="preserve">Brandon Reed</t>
  </si>
  <si>
    <t xml:space="preserve">C0413</t>
  </si>
  <si>
    <t xml:space="preserve">Brandon Smith</t>
  </si>
  <si>
    <t xml:space="preserve">C0909</t>
  </si>
  <si>
    <t xml:space="preserve">Brandon Turner</t>
  </si>
  <si>
    <t xml:space="preserve">C1666</t>
  </si>
  <si>
    <t xml:space="preserve">Brenda Edwards</t>
  </si>
  <si>
    <t xml:space="preserve">C0402</t>
  </si>
  <si>
    <t xml:space="preserve">Brenda Garcia</t>
  </si>
  <si>
    <t xml:space="preserve">C1914</t>
  </si>
  <si>
    <t xml:space="preserve">Brenda Gray</t>
  </si>
  <si>
    <t xml:space="preserve">C1113</t>
  </si>
  <si>
    <t xml:space="preserve">Brenda Martin</t>
  </si>
  <si>
    <t xml:space="preserve">C1881</t>
  </si>
  <si>
    <t xml:space="preserve">Brenda Phillips</t>
  </si>
  <si>
    <t xml:space="preserve">C1501</t>
  </si>
  <si>
    <t xml:space="preserve">Brenda White</t>
  </si>
  <si>
    <t xml:space="preserve">C0401</t>
  </si>
  <si>
    <t xml:space="preserve">Brian Anderson</t>
  </si>
  <si>
    <t xml:space="preserve">C0708</t>
  </si>
  <si>
    <t xml:space="preserve">Brian Cook</t>
  </si>
  <si>
    <t xml:space="preserve">C1744</t>
  </si>
  <si>
    <t xml:space="preserve">Brian Green</t>
  </si>
  <si>
    <t xml:space="preserve">C1847</t>
  </si>
  <si>
    <t xml:space="preserve">Brian Griffin</t>
  </si>
  <si>
    <t xml:space="preserve">C0575</t>
  </si>
  <si>
    <t xml:space="preserve">Brian Hansen</t>
  </si>
  <si>
    <t xml:space="preserve">C1757</t>
  </si>
  <si>
    <t xml:space="preserve">Brian Hayes</t>
  </si>
  <si>
    <t xml:space="preserve">C1128</t>
  </si>
  <si>
    <t xml:space="preserve">Brian Montgomery</t>
  </si>
  <si>
    <t xml:space="preserve">C1979</t>
  </si>
  <si>
    <t xml:space="preserve">Brian Richardson</t>
  </si>
  <si>
    <t xml:space="preserve">C1233</t>
  </si>
  <si>
    <t xml:space="preserve">Brian Scott</t>
  </si>
  <si>
    <t xml:space="preserve">C0849</t>
  </si>
  <si>
    <t xml:space="preserve">Brian Wilson</t>
  </si>
  <si>
    <t xml:space="preserve">C0046</t>
  </si>
  <si>
    <t xml:space="preserve">Brisa Mckee</t>
  </si>
  <si>
    <t xml:space="preserve">C1147</t>
  </si>
  <si>
    <t xml:space="preserve">Brittany Edwards</t>
  </si>
  <si>
    <t xml:space="preserve">C0983</t>
  </si>
  <si>
    <t xml:space="preserve">Brittany Freeman</t>
  </si>
  <si>
    <t xml:space="preserve">C1168</t>
  </si>
  <si>
    <t xml:space="preserve">Brittany Reyes</t>
  </si>
  <si>
    <t xml:space="preserve">C0536</t>
  </si>
  <si>
    <t xml:space="preserve">Brittany Weaver</t>
  </si>
  <si>
    <t xml:space="preserve">C0092</t>
  </si>
  <si>
    <t xml:space="preserve">Brock Fischer</t>
  </si>
  <si>
    <t xml:space="preserve">Kansas</t>
  </si>
  <si>
    <t xml:space="preserve">C1531</t>
  </si>
  <si>
    <t xml:space="preserve">Bryan Cox</t>
  </si>
  <si>
    <t xml:space="preserve">C1747</t>
  </si>
  <si>
    <t xml:space="preserve">Bryan Flores</t>
  </si>
  <si>
    <t xml:space="preserve">C1521</t>
  </si>
  <si>
    <t xml:space="preserve">Bryan Foster</t>
  </si>
  <si>
    <t xml:space="preserve">C0742</t>
  </si>
  <si>
    <t xml:space="preserve">Bryan Howard</t>
  </si>
  <si>
    <t xml:space="preserve">C0534</t>
  </si>
  <si>
    <t xml:space="preserve">Bryan Miller</t>
  </si>
  <si>
    <t xml:space="preserve">C0697</t>
  </si>
  <si>
    <t xml:space="preserve">Bryan Mitchell</t>
  </si>
  <si>
    <t xml:space="preserve">C1496</t>
  </si>
  <si>
    <t xml:space="preserve">Bryan Patterson</t>
  </si>
  <si>
    <t xml:space="preserve">C1416</t>
  </si>
  <si>
    <t xml:space="preserve">Bryan Peterson</t>
  </si>
  <si>
    <t xml:space="preserve">C1798</t>
  </si>
  <si>
    <t xml:space="preserve">C0020</t>
  </si>
  <si>
    <t xml:space="preserve">Camille Sharp</t>
  </si>
  <si>
    <t xml:space="preserve">C1541</t>
  </si>
  <si>
    <t xml:space="preserve">Carl Adams</t>
  </si>
  <si>
    <t xml:space="preserve">C1681</t>
  </si>
  <si>
    <t xml:space="preserve">Carl Alexander</t>
  </si>
  <si>
    <t xml:space="preserve">C0811</t>
  </si>
  <si>
    <t xml:space="preserve">Carl Allen</t>
  </si>
  <si>
    <t xml:space="preserve">C0537</t>
  </si>
  <si>
    <t xml:space="preserve">Carl Baker</t>
  </si>
  <si>
    <t xml:space="preserve">C0852</t>
  </si>
  <si>
    <t xml:space="preserve">Carl Brown</t>
  </si>
  <si>
    <t xml:space="preserve">C0990</t>
  </si>
  <si>
    <t xml:space="preserve">Carl Carter</t>
  </si>
  <si>
    <t xml:space="preserve">C0341</t>
  </si>
  <si>
    <t xml:space="preserve">Carl Chavez</t>
  </si>
  <si>
    <t xml:space="preserve">C1073</t>
  </si>
  <si>
    <t xml:space="preserve">Carl Collins</t>
  </si>
  <si>
    <t xml:space="preserve">C0248</t>
  </si>
  <si>
    <t xml:space="preserve">C1587</t>
  </si>
  <si>
    <t xml:space="preserve">Carl Cooper</t>
  </si>
  <si>
    <t xml:space="preserve">C1324</t>
  </si>
  <si>
    <t xml:space="preserve">Carl Edwards</t>
  </si>
  <si>
    <t xml:space="preserve">C0894</t>
  </si>
  <si>
    <t xml:space="preserve">Carl Evans</t>
  </si>
  <si>
    <t xml:space="preserve">C0959</t>
  </si>
  <si>
    <t xml:space="preserve">Carl Hayes</t>
  </si>
  <si>
    <t xml:space="preserve">C0624</t>
  </si>
  <si>
    <t xml:space="preserve">Carl Jordan</t>
  </si>
  <si>
    <t xml:space="preserve">C0908</t>
  </si>
  <si>
    <t xml:space="preserve">Carl Kim</t>
  </si>
  <si>
    <t xml:space="preserve">C0554</t>
  </si>
  <si>
    <t xml:space="preserve">Carl Moore</t>
  </si>
  <si>
    <t xml:space="preserve">C0258</t>
  </si>
  <si>
    <t xml:space="preserve">Carl Murray</t>
  </si>
  <si>
    <t xml:space="preserve">C1344</t>
  </si>
  <si>
    <t xml:space="preserve">Carl Phillips</t>
  </si>
  <si>
    <t xml:space="preserve">C1758</t>
  </si>
  <si>
    <t xml:space="preserve">Carl Pierce</t>
  </si>
  <si>
    <t xml:space="preserve">C1643</t>
  </si>
  <si>
    <t xml:space="preserve">Carl Rogers</t>
  </si>
  <si>
    <t xml:space="preserve">C1183</t>
  </si>
  <si>
    <t xml:space="preserve">C1721</t>
  </si>
  <si>
    <t xml:space="preserve">Carl Weaver</t>
  </si>
  <si>
    <t xml:space="preserve">C0453</t>
  </si>
  <si>
    <t xml:space="preserve">Carl Wood</t>
  </si>
  <si>
    <t xml:space="preserve">C1621</t>
  </si>
  <si>
    <t xml:space="preserve">C1723</t>
  </si>
  <si>
    <t xml:space="preserve">Carol Allen</t>
  </si>
  <si>
    <t xml:space="preserve">C0696</t>
  </si>
  <si>
    <t xml:space="preserve">Carol Green</t>
  </si>
  <si>
    <t xml:space="preserve">C0186</t>
  </si>
  <si>
    <t xml:space="preserve">C1043</t>
  </si>
  <si>
    <t xml:space="preserve">Carol Griffin</t>
  </si>
  <si>
    <t xml:space="preserve">C0927</t>
  </si>
  <si>
    <t xml:space="preserve">Carol Hayes</t>
  </si>
  <si>
    <t xml:space="preserve">C1137</t>
  </si>
  <si>
    <t xml:space="preserve">Carol Price</t>
  </si>
  <si>
    <t xml:space="preserve">C0722</t>
  </si>
  <si>
    <t xml:space="preserve">Carol Sanders</t>
  </si>
  <si>
    <t xml:space="preserve">C0386</t>
  </si>
  <si>
    <t xml:space="preserve">Carol Stewart</t>
  </si>
  <si>
    <t xml:space="preserve">C1972</t>
  </si>
  <si>
    <t xml:space="preserve">Carol Wilson</t>
  </si>
  <si>
    <t xml:space="preserve">C1921</t>
  </si>
  <si>
    <t xml:space="preserve">Carolyn Adams</t>
  </si>
  <si>
    <t xml:space="preserve">C0936</t>
  </si>
  <si>
    <t xml:space="preserve">Carolyn Brooks</t>
  </si>
  <si>
    <t xml:space="preserve">C1376</t>
  </si>
  <si>
    <t xml:space="preserve">Carolyn Edwards</t>
  </si>
  <si>
    <t xml:space="preserve">C0617</t>
  </si>
  <si>
    <t xml:space="preserve">Carolyn Evans</t>
  </si>
  <si>
    <t xml:space="preserve">C1375</t>
  </si>
  <si>
    <t xml:space="preserve">Carolyn Flores</t>
  </si>
  <si>
    <t xml:space="preserve">C1121</t>
  </si>
  <si>
    <t xml:space="preserve">Carolyn Gray</t>
  </si>
  <si>
    <t xml:space="preserve">C1586</t>
  </si>
  <si>
    <t xml:space="preserve">Carolyn Roberts</t>
  </si>
  <si>
    <t xml:space="preserve">C1019</t>
  </si>
  <si>
    <t xml:space="preserve">Carolyn Stewart</t>
  </si>
  <si>
    <t xml:space="preserve">C0606</t>
  </si>
  <si>
    <t xml:space="preserve">Carolyn Stone</t>
  </si>
  <si>
    <t xml:space="preserve">C1075</t>
  </si>
  <si>
    <t xml:space="preserve">Carolyn Watson</t>
  </si>
  <si>
    <t xml:space="preserve">C0166</t>
  </si>
  <si>
    <t xml:space="preserve">Carolyn Weaver</t>
  </si>
  <si>
    <t xml:space="preserve">C0156</t>
  </si>
  <si>
    <t xml:space="preserve">Case Sanchez</t>
  </si>
  <si>
    <t xml:space="preserve">C1239</t>
  </si>
  <si>
    <t xml:space="preserve">Catherine Adams</t>
  </si>
  <si>
    <t xml:space="preserve">C1305</t>
  </si>
  <si>
    <t xml:space="preserve">Catherine Anderson</t>
  </si>
  <si>
    <t xml:space="preserve">C0172</t>
  </si>
  <si>
    <t xml:space="preserve">Catherine Carter</t>
  </si>
  <si>
    <t xml:space="preserve">C0308</t>
  </si>
  <si>
    <t xml:space="preserve">Catherine Roberts</t>
  </si>
  <si>
    <t xml:space="preserve">C1897</t>
  </si>
  <si>
    <t xml:space="preserve">Catherine Rogers</t>
  </si>
  <si>
    <t xml:space="preserve">Ontario</t>
  </si>
  <si>
    <t xml:space="preserve">C0637</t>
  </si>
  <si>
    <t xml:space="preserve">Catherine Stone</t>
  </si>
  <si>
    <t xml:space="preserve">C0147</t>
  </si>
  <si>
    <t xml:space="preserve">Cedric Goodwin</t>
  </si>
  <si>
    <t xml:space="preserve">C0396</t>
  </si>
  <si>
    <t xml:space="preserve">Charles Allen</t>
  </si>
  <si>
    <t xml:space="preserve">C0784</t>
  </si>
  <si>
    <t xml:space="preserve">Charles Baker</t>
  </si>
  <si>
    <t xml:space="preserve">C0660</t>
  </si>
  <si>
    <t xml:space="preserve">Charles Kim</t>
  </si>
  <si>
    <t xml:space="preserve">C0335</t>
  </si>
  <si>
    <t xml:space="preserve">Charles Morris</t>
  </si>
  <si>
    <t xml:space="preserve">C1162</t>
  </si>
  <si>
    <t xml:space="preserve">Charles Nelson</t>
  </si>
  <si>
    <t xml:space="preserve">C0377</t>
  </si>
  <si>
    <t xml:space="preserve">Charles Patterson</t>
  </si>
  <si>
    <t xml:space="preserve">C1215</t>
  </si>
  <si>
    <t xml:space="preserve">C1641</t>
  </si>
  <si>
    <t xml:space="preserve">Charles Phillips</t>
  </si>
  <si>
    <t xml:space="preserve">C1595</t>
  </si>
  <si>
    <t xml:space="preserve">Charles Reed</t>
  </si>
  <si>
    <t xml:space="preserve">C0973</t>
  </si>
  <si>
    <t xml:space="preserve">Charles Stone</t>
  </si>
  <si>
    <t xml:space="preserve">C0669</t>
  </si>
  <si>
    <t xml:space="preserve">Cheryl Bell</t>
  </si>
  <si>
    <t xml:space="preserve">C1873</t>
  </si>
  <si>
    <t xml:space="preserve">Cheryl Collins</t>
  </si>
  <si>
    <t xml:space="preserve">C1799</t>
  </si>
  <si>
    <t xml:space="preserve">Cheryl Freeman</t>
  </si>
  <si>
    <t xml:space="preserve">C1051</t>
  </si>
  <si>
    <t xml:space="preserve">Cheryl Hansen</t>
  </si>
  <si>
    <t xml:space="preserve">C0187</t>
  </si>
  <si>
    <t xml:space="preserve">Cheryl Kim</t>
  </si>
  <si>
    <t xml:space="preserve">C1131</t>
  </si>
  <si>
    <t xml:space="preserve">C1173</t>
  </si>
  <si>
    <t xml:space="preserve">Cheryl Price</t>
  </si>
  <si>
    <t xml:space="preserve">C1270</t>
  </si>
  <si>
    <t xml:space="preserve">Cheryl Ward</t>
  </si>
  <si>
    <t xml:space="preserve">C1114</t>
  </si>
  <si>
    <t xml:space="preserve">Cheryl Wood</t>
  </si>
  <si>
    <t xml:space="preserve">C0558</t>
  </si>
  <si>
    <t xml:space="preserve">North Denmark</t>
  </si>
  <si>
    <t xml:space="preserve">C0077</t>
  </si>
  <si>
    <t xml:space="preserve">Christian Costa</t>
  </si>
  <si>
    <t xml:space="preserve">C1060</t>
  </si>
  <si>
    <t xml:space="preserve">Christian Evans</t>
  </si>
  <si>
    <t xml:space="preserve">C1303</t>
  </si>
  <si>
    <t xml:space="preserve">Christian Miller</t>
  </si>
  <si>
    <t xml:space="preserve">C1433</t>
  </si>
  <si>
    <t xml:space="preserve">Christian Mitchell</t>
  </si>
  <si>
    <t xml:space="preserve">C0513</t>
  </si>
  <si>
    <t xml:space="preserve">Christian Morales</t>
  </si>
  <si>
    <t xml:space="preserve">C1904</t>
  </si>
  <si>
    <t xml:space="preserve">Christian Nelson</t>
  </si>
  <si>
    <t xml:space="preserve">C0330</t>
  </si>
  <si>
    <t xml:space="preserve">Christian Richardson</t>
  </si>
  <si>
    <t xml:space="preserve">C1104</t>
  </si>
  <si>
    <t xml:space="preserve">Christian Weaver</t>
  </si>
  <si>
    <t xml:space="preserve">C0920</t>
  </si>
  <si>
    <t xml:space="preserve">Christian Williams</t>
  </si>
  <si>
    <t xml:space="preserve">C1331</t>
  </si>
  <si>
    <t xml:space="preserve">Christina Bennett</t>
  </si>
  <si>
    <t xml:space="preserve">C1426</t>
  </si>
  <si>
    <t xml:space="preserve">Christina Campbell</t>
  </si>
  <si>
    <t xml:space="preserve">C0912</t>
  </si>
  <si>
    <t xml:space="preserve">Christina Freeman</t>
  </si>
  <si>
    <t xml:space="preserve">C1560</t>
  </si>
  <si>
    <t xml:space="preserve">Christina Hughes</t>
  </si>
  <si>
    <t xml:space="preserve">C1949</t>
  </si>
  <si>
    <t xml:space="preserve">Christina James</t>
  </si>
  <si>
    <t xml:space="preserve">C1022</t>
  </si>
  <si>
    <t xml:space="preserve">Christina King</t>
  </si>
  <si>
    <t xml:space="preserve">C1220</t>
  </si>
  <si>
    <t xml:space="preserve">Christina Martin</t>
  </si>
  <si>
    <t xml:space="preserve">C1484</t>
  </si>
  <si>
    <t xml:space="preserve">Christina Nelson</t>
  </si>
  <si>
    <t xml:space="preserve">C1679</t>
  </si>
  <si>
    <t xml:space="preserve">C1455</t>
  </si>
  <si>
    <t xml:space="preserve">C0950</t>
  </si>
  <si>
    <t xml:space="preserve">Christina Price</t>
  </si>
  <si>
    <t xml:space="preserve">C0921</t>
  </si>
  <si>
    <t xml:space="preserve">Christina Reyes</t>
  </si>
  <si>
    <t xml:space="preserve">C1589</t>
  </si>
  <si>
    <t xml:space="preserve">Christina Ward</t>
  </si>
  <si>
    <t xml:space="preserve">C0203</t>
  </si>
  <si>
    <t xml:space="preserve">Christine Brooks</t>
  </si>
  <si>
    <t xml:space="preserve">C1591</t>
  </si>
  <si>
    <t xml:space="preserve">C0406</t>
  </si>
  <si>
    <t xml:space="preserve">Christine Brown</t>
  </si>
  <si>
    <t xml:space="preserve">C0363</t>
  </si>
  <si>
    <t xml:space="preserve">Christine Edwards</t>
  </si>
  <si>
    <t xml:space="preserve">C1338</t>
  </si>
  <si>
    <t xml:space="preserve">Christine James</t>
  </si>
  <si>
    <t xml:space="preserve">C0903</t>
  </si>
  <si>
    <t xml:space="preserve">Christine Morales</t>
  </si>
  <si>
    <t xml:space="preserve">C1030</t>
  </si>
  <si>
    <t xml:space="preserve">Christine Owens</t>
  </si>
  <si>
    <t xml:space="preserve">C0511</t>
  </si>
  <si>
    <t xml:space="preserve">Christine Parker</t>
  </si>
  <si>
    <t xml:space="preserve">C0861</t>
  </si>
  <si>
    <t xml:space="preserve">Christine Peterson</t>
  </si>
  <si>
    <t xml:space="preserve">C0700</t>
  </si>
  <si>
    <t xml:space="preserve">Christine Sanders</t>
  </si>
  <si>
    <t xml:space="preserve">C1751</t>
  </si>
  <si>
    <t xml:space="preserve">Christine Scott</t>
  </si>
  <si>
    <t xml:space="preserve">C1818</t>
  </si>
  <si>
    <t xml:space="preserve">Christine Wood</t>
  </si>
  <si>
    <t xml:space="preserve">C0548</t>
  </si>
  <si>
    <t xml:space="preserve">Christopher Foster</t>
  </si>
  <si>
    <t xml:space="preserve">C1266</t>
  </si>
  <si>
    <t xml:space="preserve">Christopher Hughes</t>
  </si>
  <si>
    <t xml:space="preserve">C0577</t>
  </si>
  <si>
    <t xml:space="preserve">Christopher Miller</t>
  </si>
  <si>
    <t xml:space="preserve">C1182</t>
  </si>
  <si>
    <t xml:space="preserve">Christopher Murray</t>
  </si>
  <si>
    <t xml:space="preserve">C0332</t>
  </si>
  <si>
    <t xml:space="preserve">Christopher Price</t>
  </si>
  <si>
    <t xml:space="preserve">C1321</t>
  </si>
  <si>
    <t xml:space="preserve">Christopher Reed</t>
  </si>
  <si>
    <t xml:space="preserve">C0222</t>
  </si>
  <si>
    <t xml:space="preserve">Christopher Stone</t>
  </si>
  <si>
    <t xml:space="preserve">C1222</t>
  </si>
  <si>
    <t xml:space="preserve">Christopher Taylor</t>
  </si>
  <si>
    <t xml:space="preserve">C0773</t>
  </si>
  <si>
    <t xml:space="preserve">Saint Petersburg</t>
  </si>
  <si>
    <t xml:space="preserve">C0579</t>
  </si>
  <si>
    <t xml:space="preserve">Christopher Ward</t>
  </si>
  <si>
    <t xml:space="preserve">C1311</t>
  </si>
  <si>
    <t xml:space="preserve">C0589</t>
  </si>
  <si>
    <t xml:space="preserve">Christopher Williams</t>
  </si>
  <si>
    <t xml:space="preserve">C0023</t>
  </si>
  <si>
    <t xml:space="preserve">Cole Taylor</t>
  </si>
  <si>
    <t xml:space="preserve">C0159</t>
  </si>
  <si>
    <t xml:space="preserve">Colin Campos</t>
  </si>
  <si>
    <t xml:space="preserve">C0040</t>
  </si>
  <si>
    <t xml:space="preserve">Conner Huff</t>
  </si>
  <si>
    <t xml:space="preserve">C0138</t>
  </si>
  <si>
    <t xml:space="preserve">Crystal Wyatt</t>
  </si>
  <si>
    <t xml:space="preserve">C0093</t>
  </si>
  <si>
    <t xml:space="preserve">Curtis Howard</t>
  </si>
  <si>
    <t xml:space="preserve">C0646</t>
  </si>
  <si>
    <t xml:space="preserve">Cynthia Campbell</t>
  </si>
  <si>
    <t xml:space="preserve">C0613</t>
  </si>
  <si>
    <t xml:space="preserve">Cynthia Cox</t>
  </si>
  <si>
    <t xml:space="preserve">C1817</t>
  </si>
  <si>
    <t xml:space="preserve">Cynthia Garcia</t>
  </si>
  <si>
    <t xml:space="preserve">C0523</t>
  </si>
  <si>
    <t xml:space="preserve">Cynthia Hansen</t>
  </si>
  <si>
    <t xml:space="preserve">C1095</t>
  </si>
  <si>
    <t xml:space="preserve">Cynthia Howard</t>
  </si>
  <si>
    <t xml:space="preserve">C1768</t>
  </si>
  <si>
    <t xml:space="preserve">Cynthia Hughes</t>
  </si>
  <si>
    <t xml:space="preserve">C0971</t>
  </si>
  <si>
    <t xml:space="preserve">Cynthia Mitchell</t>
  </si>
  <si>
    <t xml:space="preserve">C1638</t>
  </si>
  <si>
    <t xml:space="preserve">Cynthia Peterson</t>
  </si>
  <si>
    <t xml:space="preserve">C1221</t>
  </si>
  <si>
    <t xml:space="preserve">Cynthia Thomas</t>
  </si>
  <si>
    <t xml:space="preserve">C0079</t>
  </si>
  <si>
    <t xml:space="preserve">Dangelo Shea</t>
  </si>
  <si>
    <t xml:space="preserve">C1756</t>
  </si>
  <si>
    <t xml:space="preserve">Daniel Cook</t>
  </si>
  <si>
    <t xml:space="preserve">C0980</t>
  </si>
  <si>
    <t xml:space="preserve">Daniel Davis</t>
  </si>
  <si>
    <t xml:space="preserve">C0607</t>
  </si>
  <si>
    <t xml:space="preserve">Daniel Edwards</t>
  </si>
  <si>
    <t xml:space="preserve">C0340</t>
  </si>
  <si>
    <t xml:space="preserve">Daniel Garcia</t>
  </si>
  <si>
    <t xml:space="preserve">C1898</t>
  </si>
  <si>
    <t xml:space="preserve">Daniel James</t>
  </si>
  <si>
    <t xml:space="preserve">C0931</t>
  </si>
  <si>
    <t xml:space="preserve">Daniel Parker</t>
  </si>
  <si>
    <t xml:space="preserve">C0326</t>
  </si>
  <si>
    <t xml:space="preserve">Daniel Reed</t>
  </si>
  <si>
    <t xml:space="preserve">C0549</t>
  </si>
  <si>
    <t xml:space="preserve">Daniel Sanders</t>
  </si>
  <si>
    <t xml:space="preserve">C0268</t>
  </si>
  <si>
    <t xml:space="preserve">Danielle Carter</t>
  </si>
  <si>
    <t xml:space="preserve">C1709</t>
  </si>
  <si>
    <t xml:space="preserve">Danielle Cox</t>
  </si>
  <si>
    <t xml:space="preserve">C1059</t>
  </si>
  <si>
    <t xml:space="preserve">Danielle Davis</t>
  </si>
  <si>
    <t xml:space="preserve">C0357</t>
  </si>
  <si>
    <t xml:space="preserve">Danielle Griffin</t>
  </si>
  <si>
    <t xml:space="preserve">C1219</t>
  </si>
  <si>
    <t xml:space="preserve">Danielle Howard</t>
  </si>
  <si>
    <t xml:space="preserve">C1680</t>
  </si>
  <si>
    <t xml:space="preserve">C0437</t>
  </si>
  <si>
    <t xml:space="preserve">Danielle James</t>
  </si>
  <si>
    <t xml:space="preserve">C1720</t>
  </si>
  <si>
    <t xml:space="preserve">Danielle Kim</t>
  </si>
  <si>
    <t xml:space="preserve">C1241</t>
  </si>
  <si>
    <t xml:space="preserve">Danielle Martin</t>
  </si>
  <si>
    <t xml:space="preserve">C0604</t>
  </si>
  <si>
    <t xml:space="preserve">Danielle Montgomery</t>
  </si>
  <si>
    <t xml:space="preserve">C1513</t>
  </si>
  <si>
    <t xml:space="preserve">Danielle Morales</t>
  </si>
  <si>
    <t xml:space="preserve">C1357</t>
  </si>
  <si>
    <t xml:space="preserve">Danielle Patterson</t>
  </si>
  <si>
    <t xml:space="preserve">C0701</t>
  </si>
  <si>
    <t xml:space="preserve">Danielle Peterson</t>
  </si>
  <si>
    <t xml:space="preserve">C0907</t>
  </si>
  <si>
    <t xml:space="preserve">Danielle Scott</t>
  </si>
  <si>
    <t xml:space="preserve">C0429</t>
  </si>
  <si>
    <t xml:space="preserve">Danielle Stone</t>
  </si>
  <si>
    <t xml:space="preserve">C0857</t>
  </si>
  <si>
    <t xml:space="preserve">Danielle Ward</t>
  </si>
  <si>
    <t xml:space="preserve">C0734</t>
  </si>
  <si>
    <t xml:space="preserve">C1480</t>
  </si>
  <si>
    <t xml:space="preserve">Danielle White</t>
  </si>
  <si>
    <t xml:space="preserve">C0096</t>
  </si>
  <si>
    <t xml:space="preserve">Darien Dorsey</t>
  </si>
  <si>
    <t xml:space="preserve">C0767</t>
  </si>
  <si>
    <t xml:space="preserve">David Brown</t>
  </si>
  <si>
    <t xml:space="preserve">C1627</t>
  </si>
  <si>
    <t xml:space="preserve">David Bryant</t>
  </si>
  <si>
    <t xml:space="preserve">C0381</t>
  </si>
  <si>
    <t xml:space="preserve">David Gray</t>
  </si>
  <si>
    <t xml:space="preserve">C1686</t>
  </si>
  <si>
    <t xml:space="preserve">David Howard</t>
  </si>
  <si>
    <t xml:space="preserve">C1184</t>
  </si>
  <si>
    <t xml:space="preserve">David Nelson</t>
  </si>
  <si>
    <t xml:space="preserve">C1309</t>
  </si>
  <si>
    <t xml:space="preserve">David Reyes</t>
  </si>
  <si>
    <t xml:space="preserve">C0854</t>
  </si>
  <si>
    <t xml:space="preserve">C0269</t>
  </si>
  <si>
    <t xml:space="preserve">David Stewart</t>
  </si>
  <si>
    <t xml:space="preserve">C1014</t>
  </si>
  <si>
    <t xml:space="preserve">David Weaver</t>
  </si>
  <si>
    <t xml:space="preserve">C0774</t>
  </si>
  <si>
    <t xml:space="preserve">David Wood</t>
  </si>
  <si>
    <t xml:space="preserve">C0132</t>
  </si>
  <si>
    <t xml:space="preserve">Davion Stout</t>
  </si>
  <si>
    <t xml:space="preserve">C0148</t>
  </si>
  <si>
    <t xml:space="preserve">Dayton Hatfield</t>
  </si>
  <si>
    <t xml:space="preserve">C0482</t>
  </si>
  <si>
    <t xml:space="preserve">Deborah Brown</t>
  </si>
  <si>
    <t xml:space="preserve">C0395</t>
  </si>
  <si>
    <t xml:space="preserve">Deborah Chavez</t>
  </si>
  <si>
    <t xml:space="preserve">C1281</t>
  </si>
  <si>
    <t xml:space="preserve">Deborah Edwards</t>
  </si>
  <si>
    <t xml:space="preserve">C0625</t>
  </si>
  <si>
    <t xml:space="preserve">Deborah Hayes</t>
  </si>
  <si>
    <t xml:space="preserve">C0898</t>
  </si>
  <si>
    <t xml:space="preserve">Deborah King</t>
  </si>
  <si>
    <t xml:space="preserve">C0217</t>
  </si>
  <si>
    <t xml:space="preserve">Deborah Miller</t>
  </si>
  <si>
    <t xml:space="preserve">C1180</t>
  </si>
  <si>
    <t xml:space="preserve">C0322</t>
  </si>
  <si>
    <t xml:space="preserve">Deborah Moore</t>
  </si>
  <si>
    <t xml:space="preserve">C1020</t>
  </si>
  <si>
    <t xml:space="preserve">Deborah Morales</t>
  </si>
  <si>
    <t xml:space="preserve">C1197</t>
  </si>
  <si>
    <t xml:space="preserve">Deborah Roberts</t>
  </si>
  <si>
    <t xml:space="preserve">C1879</t>
  </si>
  <si>
    <t xml:space="preserve">C1882</t>
  </si>
  <si>
    <t xml:space="preserve">Deborah Turner</t>
  </si>
  <si>
    <t xml:space="preserve">C0661</t>
  </si>
  <si>
    <t xml:space="preserve">Deborah Williams</t>
  </si>
  <si>
    <t xml:space="preserve">C0816</t>
  </si>
  <si>
    <t xml:space="preserve">Deborah Wright</t>
  </si>
  <si>
    <t xml:space="preserve">C1394</t>
  </si>
  <si>
    <t xml:space="preserve">Debra Hansen</t>
  </si>
  <si>
    <t xml:space="preserve">C1711</t>
  </si>
  <si>
    <t xml:space="preserve">Debra Hayes</t>
  </si>
  <si>
    <t xml:space="preserve">C1353</t>
  </si>
  <si>
    <t xml:space="preserve">Debra Jackson</t>
  </si>
  <si>
    <t xml:space="preserve">C1522</t>
  </si>
  <si>
    <t xml:space="preserve">Debra Mitchell</t>
  </si>
  <si>
    <t xml:space="preserve">C0930</t>
  </si>
  <si>
    <t xml:space="preserve">Debra Moore</t>
  </si>
  <si>
    <t xml:space="preserve">C0874</t>
  </si>
  <si>
    <t xml:space="preserve">Debra Murray</t>
  </si>
  <si>
    <t xml:space="preserve">C0764</t>
  </si>
  <si>
    <t xml:space="preserve">Debra Parker</t>
  </si>
  <si>
    <t xml:space="preserve">C0420</t>
  </si>
  <si>
    <t xml:space="preserve">Debra Reyes</t>
  </si>
  <si>
    <t xml:space="preserve">C0713</t>
  </si>
  <si>
    <t xml:space="preserve">Debra Thomas</t>
  </si>
  <si>
    <t xml:space="preserve">C1210</t>
  </si>
  <si>
    <t xml:space="preserve">Dennis Cox</t>
  </si>
  <si>
    <t xml:space="preserve">C1490</t>
  </si>
  <si>
    <t xml:space="preserve">Dennis Hall</t>
  </si>
  <si>
    <t xml:space="preserve">C0500</t>
  </si>
  <si>
    <t xml:space="preserve">Dennis Howard</t>
  </si>
  <si>
    <t xml:space="preserve">C1010</t>
  </si>
  <si>
    <t xml:space="preserve">Dennis Moore</t>
  </si>
  <si>
    <t xml:space="preserve">C1417</t>
  </si>
  <si>
    <t xml:space="preserve">Dennis Williams</t>
  </si>
  <si>
    <t xml:space="preserve">C0048</t>
  </si>
  <si>
    <t xml:space="preserve">Derick Li</t>
  </si>
  <si>
    <t xml:space="preserve">C0044</t>
  </si>
  <si>
    <t xml:space="preserve">Diana Hunt</t>
  </si>
  <si>
    <t xml:space="preserve">C0547</t>
  </si>
  <si>
    <t xml:space="preserve">Diane Allen</t>
  </si>
  <si>
    <t xml:space="preserve">C1287</t>
  </si>
  <si>
    <t xml:space="preserve">Diane Hughes</t>
  </si>
  <si>
    <t xml:space="preserve">C0410</t>
  </si>
  <si>
    <t xml:space="preserve">Diane Johnson</t>
  </si>
  <si>
    <t xml:space="preserve">C0329</t>
  </si>
  <si>
    <t xml:space="preserve">Diane Morales</t>
  </si>
  <si>
    <t xml:space="preserve">C0594</t>
  </si>
  <si>
    <t xml:space="preserve">Diane Patterson</t>
  </si>
  <si>
    <t xml:space="preserve">C1726</t>
  </si>
  <si>
    <t xml:space="preserve">Diane Scott</t>
  </si>
  <si>
    <t xml:space="preserve">C0603</t>
  </si>
  <si>
    <t xml:space="preserve">Diane Thompson</t>
  </si>
  <si>
    <t xml:space="preserve">C1144</t>
  </si>
  <si>
    <t xml:space="preserve">Diane Young</t>
  </si>
  <si>
    <t xml:space="preserve">C0035</t>
  </si>
  <si>
    <t xml:space="preserve">Diego Mendez</t>
  </si>
  <si>
    <t xml:space="preserve">C1572</t>
  </si>
  <si>
    <t xml:space="preserve">Donald Baker</t>
  </si>
  <si>
    <t xml:space="preserve">C0682</t>
  </si>
  <si>
    <t xml:space="preserve">Donald Bennett</t>
  </si>
  <si>
    <t xml:space="preserve">C1112</t>
  </si>
  <si>
    <t xml:space="preserve">Donald Green</t>
  </si>
  <si>
    <t xml:space="preserve">C1888</t>
  </si>
  <si>
    <t xml:space="preserve">Donald Griffin</t>
  </si>
  <si>
    <t xml:space="preserve">C0956</t>
  </si>
  <si>
    <t xml:space="preserve">Donald Jackson</t>
  </si>
  <si>
    <t xml:space="preserve">C1657</t>
  </si>
  <si>
    <t xml:space="preserve">Donald Kim</t>
  </si>
  <si>
    <t xml:space="preserve">C0911</t>
  </si>
  <si>
    <t xml:space="preserve">Donald Long</t>
  </si>
  <si>
    <t xml:space="preserve">C0684</t>
  </si>
  <si>
    <t xml:space="preserve">Donald Miller</t>
  </si>
  <si>
    <t xml:space="preserve">C1953</t>
  </si>
  <si>
    <t xml:space="preserve">C1827</t>
  </si>
  <si>
    <t xml:space="preserve">Donald Thompson</t>
  </si>
  <si>
    <t xml:space="preserve">C1693</t>
  </si>
  <si>
    <t xml:space="preserve">Donald Turner</t>
  </si>
  <si>
    <t xml:space="preserve">C0071</t>
  </si>
  <si>
    <t xml:space="preserve">Donavan Flowers</t>
  </si>
  <si>
    <t xml:space="preserve">C1932</t>
  </si>
  <si>
    <t xml:space="preserve">Dorothy Allen</t>
  </si>
  <si>
    <t xml:space="preserve">C0749</t>
  </si>
  <si>
    <t xml:space="preserve">Dorothy Anderson</t>
  </si>
  <si>
    <t xml:space="preserve">C1134</t>
  </si>
  <si>
    <t xml:space="preserve">Dorothy Bennett</t>
  </si>
  <si>
    <t xml:space="preserve">C1960</t>
  </si>
  <si>
    <t xml:space="preserve">Dorothy Brown</t>
  </si>
  <si>
    <t xml:space="preserve">C1975</t>
  </si>
  <si>
    <t xml:space="preserve">Dorothy Campbell</t>
  </si>
  <si>
    <t xml:space="preserve">C1262</t>
  </si>
  <si>
    <t xml:space="preserve">Dorothy Evans</t>
  </si>
  <si>
    <t xml:space="preserve">C0631</t>
  </si>
  <si>
    <t xml:space="preserve">Dorothy Flores</t>
  </si>
  <si>
    <t xml:space="preserve">C1156</t>
  </si>
  <si>
    <t xml:space="preserve">Dorothy Kim</t>
  </si>
  <si>
    <t xml:space="preserve">C0591</t>
  </si>
  <si>
    <t xml:space="preserve">Dorothy Long</t>
  </si>
  <si>
    <t xml:space="preserve">C1918</t>
  </si>
  <si>
    <t xml:space="preserve">Dorothy Murray</t>
  </si>
  <si>
    <t xml:space="preserve">C1267</t>
  </si>
  <si>
    <t xml:space="preserve">Dorothy Peterson</t>
  </si>
  <si>
    <t xml:space="preserve">C0832</t>
  </si>
  <si>
    <t xml:space="preserve">Dorothy Ward</t>
  </si>
  <si>
    <t xml:space="preserve">C1794</t>
  </si>
  <si>
    <t xml:space="preserve">Douglas Chavez</t>
  </si>
  <si>
    <t xml:space="preserve">C0988</t>
  </si>
  <si>
    <t xml:space="preserve">Douglas Cooper</t>
  </si>
  <si>
    <t xml:space="preserve">C0824</t>
  </si>
  <si>
    <t xml:space="preserve">Douglas Cox</t>
  </si>
  <si>
    <t xml:space="preserve">C1987</t>
  </si>
  <si>
    <t xml:space="preserve">Douglas Davis</t>
  </si>
  <si>
    <t xml:space="preserve">C0418</t>
  </si>
  <si>
    <t xml:space="preserve">Douglas Howard</t>
  </si>
  <si>
    <t xml:space="preserve">C0385</t>
  </si>
  <si>
    <t xml:space="preserve">Douglas Owens</t>
  </si>
  <si>
    <t xml:space="preserve">C0446</t>
  </si>
  <si>
    <t xml:space="preserve">Douglas Thomas</t>
  </si>
  <si>
    <t xml:space="preserve">C1993</t>
  </si>
  <si>
    <t xml:space="preserve">Douglas Thompson</t>
  </si>
  <si>
    <t xml:space="preserve">C1789</t>
  </si>
  <si>
    <t xml:space="preserve">Edward Brooks</t>
  </si>
  <si>
    <t xml:space="preserve">C1054</t>
  </si>
  <si>
    <t xml:space="preserve">Edward Foster</t>
  </si>
  <si>
    <t xml:space="preserve">C1650</t>
  </si>
  <si>
    <t xml:space="preserve">Edward Griffin</t>
  </si>
  <si>
    <t xml:space="preserve">C0472</t>
  </si>
  <si>
    <t xml:space="preserve">Edward Moore</t>
  </si>
  <si>
    <t xml:space="preserve">C1245</t>
  </si>
  <si>
    <t xml:space="preserve">Edward Reyes</t>
  </si>
  <si>
    <t xml:space="preserve">C1465</t>
  </si>
  <si>
    <t xml:space="preserve">Edward Stewart</t>
  </si>
  <si>
    <t xml:space="preserve">C0310</t>
  </si>
  <si>
    <t xml:space="preserve">Edward Weaver</t>
  </si>
  <si>
    <t xml:space="preserve">C1950</t>
  </si>
  <si>
    <t xml:space="preserve">C0098</t>
  </si>
  <si>
    <t xml:space="preserve">Elena Petrova</t>
  </si>
  <si>
    <t xml:space="preserve">C0839</t>
  </si>
  <si>
    <t xml:space="preserve">Elizabeth Baker</t>
  </si>
  <si>
    <t xml:space="preserve">C0593</t>
  </si>
  <si>
    <t xml:space="preserve">Elizabeth Carter</t>
  </si>
  <si>
    <t xml:space="preserve">C1335</t>
  </si>
  <si>
    <t xml:space="preserve">Elizabeth Hall</t>
  </si>
  <si>
    <t xml:space="preserve">C0964</t>
  </si>
  <si>
    <t xml:space="preserve">C0821</t>
  </si>
  <si>
    <t xml:space="preserve">Elizabeth Moore</t>
  </si>
  <si>
    <t xml:space="preserve">C1545</t>
  </si>
  <si>
    <t xml:space="preserve">Elizabeth Price</t>
  </si>
  <si>
    <t xml:space="preserve">C0252</t>
  </si>
  <si>
    <t xml:space="preserve">Elizabeth Rogers</t>
  </si>
  <si>
    <t xml:space="preserve">C0828</t>
  </si>
  <si>
    <t xml:space="preserve">Elizabeth Stewart</t>
  </si>
  <si>
    <t xml:space="preserve">C0327</t>
  </si>
  <si>
    <t xml:space="preserve">Elizabeth Ward</t>
  </si>
  <si>
    <t xml:space="preserve">C1260</t>
  </si>
  <si>
    <t xml:space="preserve">C1502</t>
  </si>
  <si>
    <t xml:space="preserve">Elizabeth Weaver</t>
  </si>
  <si>
    <t xml:space="preserve">C0840</t>
  </si>
  <si>
    <t xml:space="preserve">Elizabeth Wilson</t>
  </si>
  <si>
    <t xml:space="preserve">C0145</t>
  </si>
  <si>
    <t xml:space="preserve">Emely Watts</t>
  </si>
  <si>
    <t xml:space="preserve">C0137</t>
  </si>
  <si>
    <t xml:space="preserve">Emilie Morrison</t>
  </si>
  <si>
    <t xml:space="preserve">C0745</t>
  </si>
  <si>
    <t xml:space="preserve">Emily Collins</t>
  </si>
  <si>
    <t xml:space="preserve">C0945</t>
  </si>
  <si>
    <t xml:space="preserve">Emily Hayes</t>
  </si>
  <si>
    <t xml:space="preserve">C1674</t>
  </si>
  <si>
    <t xml:space="preserve">Emily Jackson</t>
  </si>
  <si>
    <t xml:space="preserve">C1696</t>
  </si>
  <si>
    <t xml:space="preserve">Emily Jones</t>
  </si>
  <si>
    <t xml:space="preserve">C0305</t>
  </si>
  <si>
    <t xml:space="preserve">Emily Kim</t>
  </si>
  <si>
    <t xml:space="preserve">C0282</t>
  </si>
  <si>
    <t xml:space="preserve">Emily Owens</t>
  </si>
  <si>
    <t xml:space="preserve">C1478</t>
  </si>
  <si>
    <t xml:space="preserve">Emily Reed</t>
  </si>
  <si>
    <t xml:space="preserve">C0640</t>
  </si>
  <si>
    <t xml:space="preserve">Emily Thompson</t>
  </si>
  <si>
    <t xml:space="preserve">C0531</t>
  </si>
  <si>
    <t xml:space="preserve">Emily White</t>
  </si>
  <si>
    <t xml:space="preserve">C0490</t>
  </si>
  <si>
    <t xml:space="preserve">Emily Wright</t>
  </si>
  <si>
    <t xml:space="preserve">C0924</t>
  </si>
  <si>
    <t xml:space="preserve">C0905</t>
  </si>
  <si>
    <t xml:space="preserve">Emma Allen</t>
  </si>
  <si>
    <t xml:space="preserve">C1887</t>
  </si>
  <si>
    <t xml:space="preserve">Emma Campbell</t>
  </si>
  <si>
    <t xml:space="preserve">C0259</t>
  </si>
  <si>
    <t xml:space="preserve">Emma Chavez</t>
  </si>
  <si>
    <t xml:space="preserve">C1607</t>
  </si>
  <si>
    <t xml:space="preserve">Emma Hall</t>
  </si>
  <si>
    <t xml:space="preserve">C1971</t>
  </si>
  <si>
    <t xml:space="preserve">Emma Jordan</t>
  </si>
  <si>
    <t xml:space="preserve">C1316</t>
  </si>
  <si>
    <t xml:space="preserve">Emma King</t>
  </si>
  <si>
    <t xml:space="preserve">C0948</t>
  </si>
  <si>
    <t xml:space="preserve">Emma Nelson</t>
  </si>
  <si>
    <t xml:space="preserve">C1675</t>
  </si>
  <si>
    <t xml:space="preserve">Emma Reyes</t>
  </si>
  <si>
    <t xml:space="preserve">C0497</t>
  </si>
  <si>
    <t xml:space="preserve">Emma Stewart</t>
  </si>
  <si>
    <t xml:space="preserve">C1164</t>
  </si>
  <si>
    <t xml:space="preserve">Emma Watson</t>
  </si>
  <si>
    <t xml:space="preserve">C0100</t>
  </si>
  <si>
    <t xml:space="preserve">Emmett Estes</t>
  </si>
  <si>
    <t xml:space="preserve">C0158</t>
  </si>
  <si>
    <t xml:space="preserve">Emmy Singh</t>
  </si>
  <si>
    <t xml:space="preserve">C0067</t>
  </si>
  <si>
    <t xml:space="preserve">Enrique Cardenas</t>
  </si>
  <si>
    <t xml:space="preserve">C1687</t>
  </si>
  <si>
    <t xml:space="preserve">Eric Anderson</t>
  </si>
  <si>
    <t xml:space="preserve">C1381</t>
  </si>
  <si>
    <t xml:space="preserve">Eric Cox</t>
  </si>
  <si>
    <t xml:space="preserve">C0654</t>
  </si>
  <si>
    <t xml:space="preserve">Eric Griffin</t>
  </si>
  <si>
    <t xml:space="preserve">C1044</t>
  </si>
  <si>
    <t xml:space="preserve">Eric Howard</t>
  </si>
  <si>
    <t xml:space="preserve">C1033</t>
  </si>
  <si>
    <t xml:space="preserve">Eric Jackson</t>
  </si>
  <si>
    <t xml:space="preserve">C1825</t>
  </si>
  <si>
    <t xml:space="preserve">Eric Jones</t>
  </si>
  <si>
    <t xml:space="preserve">C1943</t>
  </si>
  <si>
    <t xml:space="preserve">Eric Long</t>
  </si>
  <si>
    <t xml:space="preserve">C0462</t>
  </si>
  <si>
    <t xml:space="preserve">Eric White</t>
  </si>
  <si>
    <t xml:space="preserve">C0056</t>
  </si>
  <si>
    <t xml:space="preserve">Erik Mora</t>
  </si>
  <si>
    <t xml:space="preserve">C0119</t>
  </si>
  <si>
    <t xml:space="preserve">Erika Gallagher</t>
  </si>
  <si>
    <t xml:space="preserve">C0116</t>
  </si>
  <si>
    <t xml:space="preserve">Erika Steward</t>
  </si>
  <si>
    <t xml:space="preserve">C1577</t>
  </si>
  <si>
    <t xml:space="preserve">Ethan Edwards</t>
  </si>
  <si>
    <t xml:space="preserve">C1254</t>
  </si>
  <si>
    <t xml:space="preserve">Ethan Freeman</t>
  </si>
  <si>
    <t xml:space="preserve">C1145</t>
  </si>
  <si>
    <t xml:space="preserve">Ethan King</t>
  </si>
  <si>
    <t xml:space="preserve">C1571</t>
  </si>
  <si>
    <t xml:space="preserve">Ethan Morales</t>
  </si>
  <si>
    <t xml:space="preserve">C0772</t>
  </si>
  <si>
    <t xml:space="preserve">Ethan White</t>
  </si>
  <si>
    <t xml:space="preserve">C0782</t>
  </si>
  <si>
    <t xml:space="preserve">Ethan Williams</t>
  </si>
  <si>
    <t xml:space="preserve">C1009</t>
  </si>
  <si>
    <t xml:space="preserve">Evelyn Bell</t>
  </si>
  <si>
    <t xml:space="preserve">C0380</t>
  </si>
  <si>
    <t xml:space="preserve">Evelyn Chavez</t>
  </si>
  <si>
    <t xml:space="preserve">C1175</t>
  </si>
  <si>
    <t xml:space="preserve">Evelyn Long</t>
  </si>
  <si>
    <t xml:space="preserve">C0803</t>
  </si>
  <si>
    <t xml:space="preserve">Evelyn Moore</t>
  </si>
  <si>
    <t xml:space="preserve">C1041</t>
  </si>
  <si>
    <t xml:space="preserve">Evelyn Morris</t>
  </si>
  <si>
    <t xml:space="preserve">C0225</t>
  </si>
  <si>
    <t xml:space="preserve">Evelyn Reyes</t>
  </si>
  <si>
    <t xml:space="preserve">C0893</t>
  </si>
  <si>
    <t xml:space="preserve">Evelyn Thompson</t>
  </si>
  <si>
    <t xml:space="preserve">C0143</t>
  </si>
  <si>
    <t xml:space="preserve">Ezra Lozano</t>
  </si>
  <si>
    <t xml:space="preserve">C1702</t>
  </si>
  <si>
    <t xml:space="preserve">Frank Alexander</t>
  </si>
  <si>
    <t xml:space="preserve">C1444</t>
  </si>
  <si>
    <t xml:space="preserve">C1370</t>
  </si>
  <si>
    <t xml:space="preserve">Frank Evans</t>
  </si>
  <si>
    <t xml:space="preserve">C0525</t>
  </si>
  <si>
    <t xml:space="preserve">Frank Gray</t>
  </si>
  <si>
    <t xml:space="preserve">C1754</t>
  </si>
  <si>
    <t xml:space="preserve">C1596</t>
  </si>
  <si>
    <t xml:space="preserve">Frank Hall</t>
  </si>
  <si>
    <t xml:space="preserve">C1107</t>
  </si>
  <si>
    <t xml:space="preserve">Frank Hayes</t>
  </si>
  <si>
    <t xml:space="preserve">C1774</t>
  </si>
  <si>
    <t xml:space="preserve">Frank James</t>
  </si>
  <si>
    <t xml:space="preserve">C0095</t>
  </si>
  <si>
    <t xml:space="preserve">Frank Meyer</t>
  </si>
  <si>
    <t xml:space="preserve">C1100</t>
  </si>
  <si>
    <t xml:space="preserve">Frank Thomas</t>
  </si>
  <si>
    <t xml:space="preserve">C1822</t>
  </si>
  <si>
    <t xml:space="preserve">Frank Weaver</t>
  </si>
  <si>
    <t xml:space="preserve">C1567</t>
  </si>
  <si>
    <t xml:space="preserve">Frank Wilson</t>
  </si>
  <si>
    <t xml:space="preserve">C0097</t>
  </si>
  <si>
    <t xml:space="preserve">Franklin Mack</t>
  </si>
  <si>
    <t xml:space="preserve">C0471</t>
  </si>
  <si>
    <t xml:space="preserve">Gary Collins</t>
  </si>
  <si>
    <t xml:space="preserve">C1542</t>
  </si>
  <si>
    <t xml:space="preserve">Gary Cook</t>
  </si>
  <si>
    <t xml:space="preserve">C1483</t>
  </si>
  <si>
    <t xml:space="preserve">Gary Hall</t>
  </si>
  <si>
    <t xml:space="preserve">C1891</t>
  </si>
  <si>
    <t xml:space="preserve">Gary James</t>
  </si>
  <si>
    <t xml:space="preserve">C1913</t>
  </si>
  <si>
    <t xml:space="preserve">Gary King</t>
  </si>
  <si>
    <t xml:space="preserve">C1662</t>
  </si>
  <si>
    <t xml:space="preserve">Gary Montgomery</t>
  </si>
  <si>
    <t xml:space="preserve">C1574</t>
  </si>
  <si>
    <t xml:space="preserve">Gary Morris</t>
  </si>
  <si>
    <t xml:space="preserve">C1359</t>
  </si>
  <si>
    <t xml:space="preserve">Gary Owens</t>
  </si>
  <si>
    <t xml:space="preserve">C0746</t>
  </si>
  <si>
    <t xml:space="preserve">Gary Reyes</t>
  </si>
  <si>
    <t xml:space="preserve">C1549</t>
  </si>
  <si>
    <t xml:space="preserve">C1678</t>
  </si>
  <si>
    <t xml:space="preserve">Gary Sanders</t>
  </si>
  <si>
    <t xml:space="preserve">C1265</t>
  </si>
  <si>
    <t xml:space="preserve">Gary White</t>
  </si>
  <si>
    <t xml:space="preserve">C0614</t>
  </si>
  <si>
    <t xml:space="preserve">George Bryant</t>
  </si>
  <si>
    <t xml:space="preserve">C0465</t>
  </si>
  <si>
    <t xml:space="preserve">George Carter</t>
  </si>
  <si>
    <t xml:space="preserve">C1074</t>
  </si>
  <si>
    <t xml:space="preserve">George Foster</t>
  </si>
  <si>
    <t xml:space="preserve">C0364</t>
  </si>
  <si>
    <t xml:space="preserve">George Gray</t>
  </si>
  <si>
    <t xml:space="preserve">C1138</t>
  </si>
  <si>
    <t xml:space="preserve">George Green</t>
  </si>
  <si>
    <t xml:space="preserve">C1325</t>
  </si>
  <si>
    <t xml:space="preserve">George Jones</t>
  </si>
  <si>
    <t xml:space="preserve">C0747</t>
  </si>
  <si>
    <t xml:space="preserve">George Patterson</t>
  </si>
  <si>
    <t xml:space="preserve">C0778</t>
  </si>
  <si>
    <t xml:space="preserve">George Pierce</t>
  </si>
  <si>
    <t xml:space="preserve">C1366</t>
  </si>
  <si>
    <t xml:space="preserve">George Thompson</t>
  </si>
  <si>
    <t xml:space="preserve">C0653</t>
  </si>
  <si>
    <t xml:space="preserve">Gerald Adams</t>
  </si>
  <si>
    <t xml:space="preserve">C0853</t>
  </si>
  <si>
    <t xml:space="preserve">Gerald Bryant</t>
  </si>
  <si>
    <t xml:space="preserve">C0937</t>
  </si>
  <si>
    <t xml:space="preserve">Gerald Chavez</t>
  </si>
  <si>
    <t xml:space="preserve">C1242</t>
  </si>
  <si>
    <t xml:space="preserve">Gerald Collins</t>
  </si>
  <si>
    <t xml:space="preserve">C0813</t>
  </si>
  <si>
    <t xml:space="preserve">Gerald Cook</t>
  </si>
  <si>
    <t xml:space="preserve">C1703</t>
  </si>
  <si>
    <t xml:space="preserve">Gerald Cox</t>
  </si>
  <si>
    <t xml:space="preserve">C0574</t>
  </si>
  <si>
    <t xml:space="preserve">C1038</t>
  </si>
  <si>
    <t xml:space="preserve">Gerald Gray</t>
  </si>
  <si>
    <t xml:space="preserve">C0236</t>
  </si>
  <si>
    <t xml:space="preserve">Gerald Howard</t>
  </si>
  <si>
    <t xml:space="preserve">C1159</t>
  </si>
  <si>
    <t xml:space="preserve">C1273</t>
  </si>
  <si>
    <t xml:space="preserve">Gerald Jordan</t>
  </si>
  <si>
    <t xml:space="preserve">C0873</t>
  </si>
  <si>
    <t xml:space="preserve">Gerald Murray</t>
  </si>
  <si>
    <t xml:space="preserve">C0596</t>
  </si>
  <si>
    <t xml:space="preserve">Gerald Phillips</t>
  </si>
  <si>
    <t xml:space="preserve">C0781</t>
  </si>
  <si>
    <t xml:space="preserve">Gerald Sanders</t>
  </si>
  <si>
    <t xml:space="preserve">C1791</t>
  </si>
  <si>
    <t xml:space="preserve">Gerald Scott</t>
  </si>
  <si>
    <t xml:space="preserve">C1437</t>
  </si>
  <si>
    <t xml:space="preserve">Gerald Stewart</t>
  </si>
  <si>
    <t xml:space="preserve">C0883</t>
  </si>
  <si>
    <t xml:space="preserve">Gerald Thompson</t>
  </si>
  <si>
    <t xml:space="preserve">C1840</t>
  </si>
  <si>
    <t xml:space="preserve">Gerald Weaver</t>
  </si>
  <si>
    <t xml:space="preserve">C1027</t>
  </si>
  <si>
    <t xml:space="preserve">Gerald White</t>
  </si>
  <si>
    <t xml:space="preserve">C0425</t>
  </si>
  <si>
    <t xml:space="preserve">Gerald Wright</t>
  </si>
  <si>
    <t xml:space="preserve">C0136</t>
  </si>
  <si>
    <t xml:space="preserve">Gianni Fritz</t>
  </si>
  <si>
    <t xml:space="preserve">C1694</t>
  </si>
  <si>
    <t xml:space="preserve">Gloria Foster</t>
  </si>
  <si>
    <t xml:space="preserve">C1268</t>
  </si>
  <si>
    <t xml:space="preserve">Gloria Green</t>
  </si>
  <si>
    <t xml:space="preserve">C1855</t>
  </si>
  <si>
    <t xml:space="preserve">Gloria Hansen</t>
  </si>
  <si>
    <t xml:space="preserve">C0276</t>
  </si>
  <si>
    <t xml:space="preserve">Gloria Harris</t>
  </si>
  <si>
    <t xml:space="preserve">C1489</t>
  </si>
  <si>
    <t xml:space="preserve">Gloria Montgomery</t>
  </si>
  <si>
    <t xml:space="preserve">C1461</t>
  </si>
  <si>
    <t xml:space="preserve">Gloria Reyes</t>
  </si>
  <si>
    <t xml:space="preserve">C0428</t>
  </si>
  <si>
    <t xml:space="preserve">Gloria Rogers</t>
  </si>
  <si>
    <t xml:space="preserve">C1939</t>
  </si>
  <si>
    <t xml:space="preserve">Gloria White</t>
  </si>
  <si>
    <t xml:space="preserve">C1240</t>
  </si>
  <si>
    <t xml:space="preserve">Gloria Wright</t>
  </si>
  <si>
    <t xml:space="preserve">C0064</t>
  </si>
  <si>
    <t xml:space="preserve">Gordon Brown</t>
  </si>
  <si>
    <t xml:space="preserve">C0494</t>
  </si>
  <si>
    <t xml:space="preserve">Grace Carter</t>
  </si>
  <si>
    <t xml:space="preserve">C1684</t>
  </si>
  <si>
    <t xml:space="preserve">Grace Cooper</t>
  </si>
  <si>
    <t xml:space="preserve">C1096</t>
  </si>
  <si>
    <t xml:space="preserve">Grace Edwards</t>
  </si>
  <si>
    <t xml:space="preserve">C0167</t>
  </si>
  <si>
    <t xml:space="preserve">Grace Green</t>
  </si>
  <si>
    <t xml:space="preserve">C1844</t>
  </si>
  <si>
    <t xml:space="preserve">Grace Howard</t>
  </si>
  <si>
    <t xml:space="preserve">C1319</t>
  </si>
  <si>
    <t xml:space="preserve">Grace James</t>
  </si>
  <si>
    <t xml:space="preserve">C0941</t>
  </si>
  <si>
    <t xml:space="preserve">Grace Moore</t>
  </si>
  <si>
    <t xml:space="preserve">C0086</t>
  </si>
  <si>
    <t xml:space="preserve">Grace Stein</t>
  </si>
  <si>
    <t xml:space="preserve">C0817</t>
  </si>
  <si>
    <t xml:space="preserve">Grace Thompson</t>
  </si>
  <si>
    <t xml:space="preserve">C0415</t>
  </si>
  <si>
    <t xml:space="preserve">Grace Turner</t>
  </si>
  <si>
    <t xml:space="preserve">C0508</t>
  </si>
  <si>
    <t xml:space="preserve">Grace Weaver</t>
  </si>
  <si>
    <t xml:space="preserve">C1556</t>
  </si>
  <si>
    <t xml:space="preserve">Grace Wood</t>
  </si>
  <si>
    <t xml:space="preserve">C1516</t>
  </si>
  <si>
    <t xml:space="preserve">C0027</t>
  </si>
  <si>
    <t xml:space="preserve">Grant Weber</t>
  </si>
  <si>
    <t xml:space="preserve">C0901</t>
  </si>
  <si>
    <t xml:space="preserve">Gregory Allen</t>
  </si>
  <si>
    <t xml:space="preserve">C0730</t>
  </si>
  <si>
    <t xml:space="preserve">Gregory Baker</t>
  </si>
  <si>
    <t xml:space="preserve">C1985</t>
  </si>
  <si>
    <t xml:space="preserve">Gregory Bell</t>
  </si>
  <si>
    <t xml:space="preserve">C0438</t>
  </si>
  <si>
    <t xml:space="preserve">Gregory Collins</t>
  </si>
  <si>
    <t xml:space="preserve">C1554</t>
  </si>
  <si>
    <t xml:space="preserve">Gregory Cox</t>
  </si>
  <si>
    <t xml:space="preserve">C1445</t>
  </si>
  <si>
    <t xml:space="preserve">Gregory Hall</t>
  </si>
  <si>
    <t xml:space="preserve">C1024</t>
  </si>
  <si>
    <t xml:space="preserve">Gregory Long</t>
  </si>
  <si>
    <t xml:space="preserve">C1850</t>
  </si>
  <si>
    <t xml:space="preserve">Gregory Miller</t>
  </si>
  <si>
    <t xml:space="preserve">C0794</t>
  </si>
  <si>
    <t xml:space="preserve">Gregory Mitchell</t>
  </si>
  <si>
    <t xml:space="preserve">C0975</t>
  </si>
  <si>
    <t xml:space="preserve">Gregory Reyes</t>
  </si>
  <si>
    <t xml:space="preserve">C1358</t>
  </si>
  <si>
    <t xml:space="preserve">Gregory Taylor</t>
  </si>
  <si>
    <t xml:space="preserve">C0464</t>
  </si>
  <si>
    <t xml:space="preserve">Gregory Turner</t>
  </si>
  <si>
    <t xml:space="preserve">C0808</t>
  </si>
  <si>
    <t xml:space="preserve">Gregory Ward</t>
  </si>
  <si>
    <t xml:space="preserve">C0474</t>
  </si>
  <si>
    <t xml:space="preserve">Gregory Young</t>
  </si>
  <si>
    <t xml:space="preserve">C0809</t>
  </si>
  <si>
    <t xml:space="preserve">Hannah Alexander</t>
  </si>
  <si>
    <t xml:space="preserve">C0512</t>
  </si>
  <si>
    <t xml:space="preserve">Hannah Flores</t>
  </si>
  <si>
    <t xml:space="preserve">C0228</t>
  </si>
  <si>
    <t xml:space="preserve">Hannah Owens</t>
  </si>
  <si>
    <t xml:space="preserve">C0570</t>
  </si>
  <si>
    <t xml:space="preserve">Hannah Peterson</t>
  </si>
  <si>
    <t xml:space="preserve">C1603</t>
  </si>
  <si>
    <t xml:space="preserve">Hannah Rogers</t>
  </si>
  <si>
    <t xml:space="preserve">C1080</t>
  </si>
  <si>
    <t xml:space="preserve">Hannah Stewart</t>
  </si>
  <si>
    <t xml:space="preserve">C1388</t>
  </si>
  <si>
    <t xml:space="preserve">Hannah Stone</t>
  </si>
  <si>
    <t xml:space="preserve">C1451</t>
  </si>
  <si>
    <t xml:space="preserve">Hannah Turner</t>
  </si>
  <si>
    <t xml:space="preserve">C1715</t>
  </si>
  <si>
    <t xml:space="preserve">Hannah Watson</t>
  </si>
  <si>
    <t xml:space="preserve">C1864</t>
  </si>
  <si>
    <t xml:space="preserve">Hannah Weaver</t>
  </si>
  <si>
    <t xml:space="preserve">C0176</t>
  </si>
  <si>
    <t xml:space="preserve">Hannah Williams</t>
  </si>
  <si>
    <t xml:space="preserve">C0397</t>
  </si>
  <si>
    <t xml:space="preserve">C0013</t>
  </si>
  <si>
    <t xml:space="preserve">Harley Lucero</t>
  </si>
  <si>
    <t xml:space="preserve">C1582</t>
  </si>
  <si>
    <t xml:space="preserve">Harold Baker</t>
  </si>
  <si>
    <t xml:space="preserve">C1665</t>
  </si>
  <si>
    <t xml:space="preserve">Harold Bell</t>
  </si>
  <si>
    <t xml:space="preserve">C0812</t>
  </si>
  <si>
    <t xml:space="preserve">Harold Cooper</t>
  </si>
  <si>
    <t xml:space="preserve">C0526</t>
  </si>
  <si>
    <t xml:space="preserve">Harold Green</t>
  </si>
  <si>
    <t xml:space="preserve">C0737</t>
  </si>
  <si>
    <t xml:space="preserve">Harold Harris</t>
  </si>
  <si>
    <t xml:space="preserve">C1386</t>
  </si>
  <si>
    <t xml:space="preserve">Harold Howard</t>
  </si>
  <si>
    <t xml:space="preserve">C0795</t>
  </si>
  <si>
    <t xml:space="preserve">Harold Murray</t>
  </si>
  <si>
    <t xml:space="preserve">C0517</t>
  </si>
  <si>
    <t xml:space="preserve">Harold Thompson</t>
  </si>
  <si>
    <t xml:space="preserve">C0524</t>
  </si>
  <si>
    <t xml:space="preserve">C1602</t>
  </si>
  <si>
    <t xml:space="preserve">Harold Turner</t>
  </si>
  <si>
    <t xml:space="preserve">C1110</t>
  </si>
  <si>
    <t xml:space="preserve">Harold Watson</t>
  </si>
  <si>
    <t xml:space="preserve">C1625</t>
  </si>
  <si>
    <t xml:space="preserve">Harold Wright</t>
  </si>
  <si>
    <t xml:space="preserve">C0146</t>
  </si>
  <si>
    <t xml:space="preserve">Hazel Ayers</t>
  </si>
  <si>
    <t xml:space="preserve">C0991</t>
  </si>
  <si>
    <t xml:space="preserve">Heather Adams</t>
  </si>
  <si>
    <t xml:space="preserve">C1592</t>
  </si>
  <si>
    <t xml:space="preserve">Heather Allen</t>
  </si>
  <si>
    <t xml:space="preserve">C0378</t>
  </si>
  <si>
    <t xml:space="preserve">Heather Anderson</t>
  </si>
  <si>
    <t xml:space="preserve">C1023</t>
  </si>
  <si>
    <t xml:space="preserve">Heather Bell</t>
  </si>
  <si>
    <t xml:space="preserve">C1576</t>
  </si>
  <si>
    <t xml:space="preserve">Heather Cook</t>
  </si>
  <si>
    <t xml:space="preserve">C1544</t>
  </si>
  <si>
    <t xml:space="preserve">Heather Evans</t>
  </si>
  <si>
    <t xml:space="preserve">C0652</t>
  </si>
  <si>
    <t xml:space="preserve">Heather Johnson</t>
  </si>
  <si>
    <t xml:space="preserve">C0391</t>
  </si>
  <si>
    <t xml:space="preserve">Heather Long</t>
  </si>
  <si>
    <t xml:space="preserve">C0279</t>
  </si>
  <si>
    <t xml:space="preserve">Heather Montgomery</t>
  </si>
  <si>
    <t xml:space="preserve">C0619</t>
  </si>
  <si>
    <t xml:space="preserve">Heather Morales</t>
  </si>
  <si>
    <t xml:space="preserve">C1608</t>
  </si>
  <si>
    <t xml:space="preserve">Heather Pierce</t>
  </si>
  <si>
    <t xml:space="preserve">C1909</t>
  </si>
  <si>
    <t xml:space="preserve">C1313</t>
  </si>
  <si>
    <t xml:space="preserve">Heather Reed</t>
  </si>
  <si>
    <t xml:space="preserve">C0580</t>
  </si>
  <si>
    <t xml:space="preserve">Heather Watson</t>
  </si>
  <si>
    <t xml:space="preserve">C1640</t>
  </si>
  <si>
    <t xml:space="preserve">Helen Adams</t>
  </si>
  <si>
    <t xml:space="preserve">C1441</t>
  </si>
  <si>
    <t xml:space="preserve">Helen Campbell</t>
  </si>
  <si>
    <t xml:space="preserve">C1237</t>
  </si>
  <si>
    <t xml:space="preserve">Helen Cook</t>
  </si>
  <si>
    <t xml:space="preserve">C0914</t>
  </si>
  <si>
    <t xml:space="preserve">Helen Freeman</t>
  </si>
  <si>
    <t xml:space="preserve">C0333</t>
  </si>
  <si>
    <t xml:space="preserve">Helen Hall</t>
  </si>
  <si>
    <t xml:space="preserve">C1733</t>
  </si>
  <si>
    <t xml:space="preserve">Helen Jones</t>
  </si>
  <si>
    <t xml:space="preserve">C1402</t>
  </si>
  <si>
    <t xml:space="preserve">Helen Jordan</t>
  </si>
  <si>
    <t xml:space="preserve">C1439</t>
  </si>
  <si>
    <t xml:space="preserve">Helen Morales</t>
  </si>
  <si>
    <t xml:space="preserve">C0744</t>
  </si>
  <si>
    <t xml:space="preserve">C0369</t>
  </si>
  <si>
    <t xml:space="preserve">Helen Murray</t>
  </si>
  <si>
    <t xml:space="preserve">C0834</t>
  </si>
  <si>
    <t xml:space="preserve">Helen Parker</t>
  </si>
  <si>
    <t xml:space="preserve">C1108</t>
  </si>
  <si>
    <t xml:space="preserve">Helen Ward</t>
  </si>
  <si>
    <t xml:space="preserve">South Australia</t>
  </si>
  <si>
    <t xml:space="preserve">C0892</t>
  </si>
  <si>
    <t xml:space="preserve">Helen Watson</t>
  </si>
  <si>
    <t xml:space="preserve">C0520</t>
  </si>
  <si>
    <t xml:space="preserve">Helen White</t>
  </si>
  <si>
    <t xml:space="preserve">C0068</t>
  </si>
  <si>
    <t xml:space="preserve">Helen Williamson</t>
  </si>
  <si>
    <t xml:space="preserve">C0214</t>
  </si>
  <si>
    <t xml:space="preserve">Helen Wood</t>
  </si>
  <si>
    <t xml:space="preserve">C0355</t>
  </si>
  <si>
    <t xml:space="preserve">Henry Alexander</t>
  </si>
  <si>
    <t xml:space="preserve">C1294</t>
  </si>
  <si>
    <t xml:space="preserve">Henry Davis</t>
  </si>
  <si>
    <t xml:space="preserve">C1832</t>
  </si>
  <si>
    <t xml:space="preserve">Henry Garcia</t>
  </si>
  <si>
    <t xml:space="preserve">C0057</t>
  </si>
  <si>
    <t xml:space="preserve">Henry Kennedy</t>
  </si>
  <si>
    <t xml:space="preserve">C1944</t>
  </si>
  <si>
    <t xml:space="preserve">Henry Pierce</t>
  </si>
  <si>
    <t xml:space="preserve">C1660</t>
  </si>
  <si>
    <t xml:space="preserve">Henry Richardson</t>
  </si>
  <si>
    <t xml:space="preserve">C1200</t>
  </si>
  <si>
    <t xml:space="preserve">Henry Taylor</t>
  </si>
  <si>
    <t xml:space="preserve">C1988</t>
  </si>
  <si>
    <t xml:space="preserve">Henry Thompson</t>
  </si>
  <si>
    <t xml:space="preserve">C1448</t>
  </si>
  <si>
    <t xml:space="preserve">Henry Ward</t>
  </si>
  <si>
    <t xml:space="preserve">C0085</t>
  </si>
  <si>
    <t xml:space="preserve">Iris Larsen</t>
  </si>
  <si>
    <t xml:space="preserve">C0089</t>
  </si>
  <si>
    <t xml:space="preserve">Irvin Ellis</t>
  </si>
  <si>
    <t xml:space="preserve">C0069</t>
  </si>
  <si>
    <t xml:space="preserve">Isis Rios</t>
  </si>
  <si>
    <t xml:space="preserve">C0083</t>
  </si>
  <si>
    <t xml:space="preserve">Issac Edwards</t>
  </si>
  <si>
    <t xml:space="preserve">C0162</t>
  </si>
  <si>
    <t xml:space="preserve">Ivan Bright</t>
  </si>
  <si>
    <t xml:space="preserve">C0049</t>
  </si>
  <si>
    <t xml:space="preserve">Jace Riggs</t>
  </si>
  <si>
    <t xml:space="preserve">C0102</t>
  </si>
  <si>
    <t xml:space="preserve">Jack Anderson</t>
  </si>
  <si>
    <t xml:space="preserve">C1269</t>
  </si>
  <si>
    <t xml:space="preserve">Jack Bennett</t>
  </si>
  <si>
    <t xml:space="preserve">C1423</t>
  </si>
  <si>
    <t xml:space="preserve">Jack Brooks</t>
  </si>
  <si>
    <t xml:space="preserve">C0929</t>
  </si>
  <si>
    <t xml:space="preserve">Jack Hall</t>
  </si>
  <si>
    <t xml:space="preserve">C0419</t>
  </si>
  <si>
    <t xml:space="preserve">Jack Hansen</t>
  </si>
  <si>
    <t xml:space="preserve">C1333</t>
  </si>
  <si>
    <t xml:space="preserve">C0099</t>
  </si>
  <si>
    <t xml:space="preserve">Jack Hanson</t>
  </si>
  <si>
    <t xml:space="preserve">C1802</t>
  </si>
  <si>
    <t xml:space="preserve">Jack Morris</t>
  </si>
  <si>
    <t xml:space="preserve">C0348</t>
  </si>
  <si>
    <t xml:space="preserve">Jack Pierce</t>
  </si>
  <si>
    <t xml:space="preserve">C0202</t>
  </si>
  <si>
    <t xml:space="preserve">Jack Reyes</t>
  </si>
  <si>
    <t xml:space="preserve">C0806</t>
  </si>
  <si>
    <t xml:space="preserve">Jack Richardson</t>
  </si>
  <si>
    <t xml:space="preserve">C1826</t>
  </si>
  <si>
    <t xml:space="preserve">Jack Williams</t>
  </si>
  <si>
    <t xml:space="preserve">C1656</t>
  </si>
  <si>
    <t xml:space="preserve">Jacob Baker</t>
  </si>
  <si>
    <t xml:space="preserve">C1280</t>
  </si>
  <si>
    <t xml:space="preserve">Jacob Bennett</t>
  </si>
  <si>
    <t xml:space="preserve">C1637</t>
  </si>
  <si>
    <t xml:space="preserve">Jacob Cook</t>
  </si>
  <si>
    <t xml:space="preserve">C1783</t>
  </si>
  <si>
    <t xml:space="preserve">Jacob Garcia</t>
  </si>
  <si>
    <t xml:space="preserve">C0598</t>
  </si>
  <si>
    <t xml:space="preserve">Jacob Gray</t>
  </si>
  <si>
    <t xml:space="preserve">C1790</t>
  </si>
  <si>
    <t xml:space="preserve">Jacob Hansen</t>
  </si>
  <si>
    <t xml:space="preserve">C0170</t>
  </si>
  <si>
    <t xml:space="preserve">Jacob Jones</t>
  </si>
  <si>
    <t xml:space="preserve">C1620</t>
  </si>
  <si>
    <t xml:space="preserve">Jacob Morales</t>
  </si>
  <si>
    <t xml:space="preserve">C0838</t>
  </si>
  <si>
    <t xml:space="preserve">Jacob Morris</t>
  </si>
  <si>
    <t xml:space="preserve">C0611</t>
  </si>
  <si>
    <t xml:space="preserve">Jacob Price</t>
  </si>
  <si>
    <t xml:space="preserve">C1823</t>
  </si>
  <si>
    <t xml:space="preserve">Jacob Watson</t>
  </si>
  <si>
    <t xml:space="preserve">C1035</t>
  </si>
  <si>
    <t xml:space="preserve">Jacob Williams</t>
  </si>
  <si>
    <t xml:space="preserve">C0180</t>
  </si>
  <si>
    <t xml:space="preserve">Jacob Wilson</t>
  </si>
  <si>
    <t xml:space="preserve">C0212</t>
  </si>
  <si>
    <t xml:space="preserve">Jacob Wood</t>
  </si>
  <si>
    <t xml:space="preserve">C0906</t>
  </si>
  <si>
    <t xml:space="preserve">Jacqueline Baker</t>
  </si>
  <si>
    <t xml:space="preserve">C0999</t>
  </si>
  <si>
    <t xml:space="preserve">Jacqueline Cox</t>
  </si>
  <si>
    <t xml:space="preserve">C0091</t>
  </si>
  <si>
    <t xml:space="preserve">Jacqueline Grant</t>
  </si>
  <si>
    <t xml:space="preserve">C1672</t>
  </si>
  <si>
    <t xml:space="preserve">Jacqueline Morales</t>
  </si>
  <si>
    <t xml:space="preserve">C1722</t>
  </si>
  <si>
    <t xml:space="preserve">Jacqueline Morris</t>
  </si>
  <si>
    <t xml:space="preserve">C0986</t>
  </si>
  <si>
    <t xml:space="preserve">Jacqueline Ward</t>
  </si>
  <si>
    <t xml:space="preserve">C0075</t>
  </si>
  <si>
    <t xml:space="preserve">Jaelyn Berger</t>
  </si>
  <si>
    <t xml:space="preserve">C0050</t>
  </si>
  <si>
    <t xml:space="preserve">Jair Johns</t>
  </si>
  <si>
    <t xml:space="preserve">C0117</t>
  </si>
  <si>
    <t xml:space="preserve">Jakobe Bailey</t>
  </si>
  <si>
    <t xml:space="preserve">C0088</t>
  </si>
  <si>
    <t xml:space="preserve">Jamal Mueller</t>
  </si>
  <si>
    <t xml:space="preserve">C0553</t>
  </si>
  <si>
    <t xml:space="preserve">James Bell</t>
  </si>
  <si>
    <t xml:space="preserve">C0291</t>
  </si>
  <si>
    <t xml:space="preserve">James Bryant</t>
  </si>
  <si>
    <t xml:space="preserve">C1800</t>
  </si>
  <si>
    <t xml:space="preserve">James Campbell</t>
  </si>
  <si>
    <t xml:space="preserve">C0963</t>
  </si>
  <si>
    <t xml:space="preserve">James Davis</t>
  </si>
  <si>
    <t xml:space="preserve">C1421</t>
  </si>
  <si>
    <t xml:space="preserve">James Jones</t>
  </si>
  <si>
    <t xml:space="preserve">C1905</t>
  </si>
  <si>
    <t xml:space="preserve">James Morris</t>
  </si>
  <si>
    <t xml:space="preserve">C1581</t>
  </si>
  <si>
    <t xml:space="preserve">James Reyes</t>
  </si>
  <si>
    <t xml:space="preserve">C1363</t>
  </si>
  <si>
    <t xml:space="preserve">James Stone</t>
  </si>
  <si>
    <t xml:space="preserve">C0038</t>
  </si>
  <si>
    <t xml:space="preserve">Janelle Espinoza</t>
  </si>
  <si>
    <t xml:space="preserve">C1249</t>
  </si>
  <si>
    <t xml:space="preserve">Janet James</t>
  </si>
  <si>
    <t xml:space="preserve">C1718</t>
  </si>
  <si>
    <t xml:space="preserve">Janet Peterson</t>
  </si>
  <si>
    <t xml:space="preserve">C1447</t>
  </si>
  <si>
    <t xml:space="preserve">Janet Rogers</t>
  </si>
  <si>
    <t xml:space="preserve">C0690</t>
  </si>
  <si>
    <t xml:space="preserve">Janet Stewart</t>
  </si>
  <si>
    <t xml:space="preserve">C0484</t>
  </si>
  <si>
    <t xml:space="preserve">Janet Wright</t>
  </si>
  <si>
    <t xml:space="preserve">C0251</t>
  </si>
  <si>
    <t xml:space="preserve">Janice Chavez</t>
  </si>
  <si>
    <t xml:space="preserve">C0856</t>
  </si>
  <si>
    <t xml:space="preserve">C1283</t>
  </si>
  <si>
    <t xml:space="preserve">Janice Collins</t>
  </si>
  <si>
    <t xml:space="preserve">C0673</t>
  </si>
  <si>
    <t xml:space="preserve">Janice Hayes</t>
  </si>
  <si>
    <t xml:space="preserve">C0566</t>
  </si>
  <si>
    <t xml:space="preserve">Janice Miller</t>
  </si>
  <si>
    <t xml:space="preserve">C0560</t>
  </si>
  <si>
    <t xml:space="preserve">Janice Nelson</t>
  </si>
  <si>
    <t xml:space="preserve">C0750</t>
  </si>
  <si>
    <t xml:space="preserve">Janice Price</t>
  </si>
  <si>
    <t xml:space="preserve">C0210</t>
  </si>
  <si>
    <t xml:space="preserve">C1831</t>
  </si>
  <si>
    <t xml:space="preserve">Janice Smith</t>
  </si>
  <si>
    <t xml:space="preserve">C0584</t>
  </si>
  <si>
    <t xml:space="preserve">Janice Taylor</t>
  </si>
  <si>
    <t xml:space="preserve">C0588</t>
  </si>
  <si>
    <t xml:space="preserve">Janice White</t>
  </si>
  <si>
    <t xml:space="preserve">C0715</t>
  </si>
  <si>
    <t xml:space="preserve">Janice Wilson</t>
  </si>
  <si>
    <t xml:space="preserve">C1619</t>
  </si>
  <si>
    <t xml:space="preserve">Jason Baker</t>
  </si>
  <si>
    <t xml:space="preserve">C1977</t>
  </si>
  <si>
    <t xml:space="preserve">Jason Bennett</t>
  </si>
  <si>
    <t xml:space="preserve">C1253</t>
  </si>
  <si>
    <t xml:space="preserve">Jason Flores</t>
  </si>
  <si>
    <t xml:space="preserve">C0213</t>
  </si>
  <si>
    <t xml:space="preserve">Jason Gray</t>
  </si>
  <si>
    <t xml:space="preserve">C1133</t>
  </si>
  <si>
    <t xml:space="preserve">Jason Hansen</t>
  </si>
  <si>
    <t xml:space="preserve">C1495</t>
  </si>
  <si>
    <t xml:space="preserve">Jason Hughes</t>
  </si>
  <si>
    <t xml:space="preserve">C0728</t>
  </si>
  <si>
    <t xml:space="preserve">Jason Jones</t>
  </si>
  <si>
    <t xml:space="preserve">C0719</t>
  </si>
  <si>
    <t xml:space="preserve">Jason Jordan</t>
  </si>
  <si>
    <t xml:space="preserve">C0638</t>
  </si>
  <si>
    <t xml:space="preserve">Jason King</t>
  </si>
  <si>
    <t xml:space="preserve">C1777</t>
  </si>
  <si>
    <t xml:space="preserve">Jason Long</t>
  </si>
  <si>
    <t xml:space="preserve">C1468</t>
  </si>
  <si>
    <t xml:space="preserve">Jason Martin</t>
  </si>
  <si>
    <t xml:space="preserve">C1615</t>
  </si>
  <si>
    <t xml:space="preserve">Jason Mitchell</t>
  </si>
  <si>
    <t xml:space="preserve">C0237</t>
  </si>
  <si>
    <t xml:space="preserve">Jason Nelson</t>
  </si>
  <si>
    <t xml:space="preserve">C1419</t>
  </si>
  <si>
    <t xml:space="preserve">Jason Peterson</t>
  </si>
  <si>
    <t xml:space="preserve">C1612</t>
  </si>
  <si>
    <t xml:space="preserve">Jason Price</t>
  </si>
  <si>
    <t xml:space="preserve">C1550</t>
  </si>
  <si>
    <t xml:space="preserve">Jason Rogers</t>
  </si>
  <si>
    <t xml:space="preserve">C0826</t>
  </si>
  <si>
    <t xml:space="preserve">Jason Stewart</t>
  </si>
  <si>
    <t xml:space="preserve">C1152</t>
  </si>
  <si>
    <t xml:space="preserve">Jason Williams</t>
  </si>
  <si>
    <t xml:space="preserve">C1564</t>
  </si>
  <si>
    <t xml:space="preserve">Jason Wood</t>
  </si>
  <si>
    <t xml:space="preserve">C0124</t>
  </si>
  <si>
    <t xml:space="preserve">Jaylen Turner</t>
  </si>
  <si>
    <t xml:space="preserve">C0015</t>
  </si>
  <si>
    <t xml:space="preserve">Jaylynn Hickman</t>
  </si>
  <si>
    <t xml:space="preserve">C1936</t>
  </si>
  <si>
    <t xml:space="preserve">Jeffrey Brown</t>
  </si>
  <si>
    <t xml:space="preserve">C1021</t>
  </si>
  <si>
    <t xml:space="preserve">Jeffrey Bryant</t>
  </si>
  <si>
    <t xml:space="preserve">C1778</t>
  </si>
  <si>
    <t xml:space="preserve">Jeffrey Cox</t>
  </si>
  <si>
    <t xml:space="preserve">C1243</t>
  </si>
  <si>
    <t xml:space="preserve">Jeffrey Edwards</t>
  </si>
  <si>
    <t xml:space="preserve">C0875</t>
  </si>
  <si>
    <t xml:space="preserve">Jeffrey Evans</t>
  </si>
  <si>
    <t xml:space="preserve">C0504</t>
  </si>
  <si>
    <t xml:space="preserve">Jeffrey Green</t>
  </si>
  <si>
    <t xml:space="preserve">C1561</t>
  </si>
  <si>
    <t xml:space="preserve">C1824</t>
  </si>
  <si>
    <t xml:space="preserve">Jeffrey Weaver</t>
  </si>
  <si>
    <t xml:space="preserve">C0533</t>
  </si>
  <si>
    <t xml:space="preserve">Jeffrey Williams</t>
  </si>
  <si>
    <t xml:space="preserve">C1730</t>
  </si>
  <si>
    <t xml:space="preserve">Jeffrey Young</t>
  </si>
  <si>
    <t xml:space="preserve">Puebla</t>
  </si>
  <si>
    <t xml:space="preserve">C0403</t>
  </si>
  <si>
    <t xml:space="preserve">Jennifer Adams</t>
  </si>
  <si>
    <t xml:space="preserve">C0398</t>
  </si>
  <si>
    <t xml:space="preserve">Jennifer Alexander</t>
  </si>
  <si>
    <t xml:space="preserve">C1746</t>
  </si>
  <si>
    <t xml:space="preserve">Jennifer Cox</t>
  </si>
  <si>
    <t xml:space="preserve">C1410</t>
  </si>
  <si>
    <t xml:space="preserve">Jennifer Edwards</t>
  </si>
  <si>
    <t xml:space="preserve">C1737</t>
  </si>
  <si>
    <t xml:space="preserve">Jennifer Jackson</t>
  </si>
  <si>
    <t xml:space="preserve">C1337</t>
  </si>
  <si>
    <t xml:space="preserve">Jennifer Johnson</t>
  </si>
  <si>
    <t xml:space="preserve">C0444</t>
  </si>
  <si>
    <t xml:space="preserve">Jennifer Martin</t>
  </si>
  <si>
    <t xml:space="preserve">C0967</t>
  </si>
  <si>
    <t xml:space="preserve">Jennifer Moore</t>
  </si>
  <si>
    <t xml:space="preserve">C1626</t>
  </si>
  <si>
    <t xml:space="preserve">Jennifer Morales</t>
  </si>
  <si>
    <t xml:space="preserve">C1853</t>
  </si>
  <si>
    <t xml:space="preserve">Jennifer Owens</t>
  </si>
  <si>
    <t xml:space="preserve">C1214</t>
  </si>
  <si>
    <t xml:space="preserve">Jennifer Peterson</t>
  </si>
  <si>
    <t xml:space="preserve">C1600</t>
  </si>
  <si>
    <t xml:space="preserve">Jennifer Rogers</t>
  </si>
  <si>
    <t xml:space="preserve">C1624</t>
  </si>
  <si>
    <t xml:space="preserve">Jennifer Stewart</t>
  </si>
  <si>
    <t xml:space="preserve">C0599</t>
  </si>
  <si>
    <t xml:space="preserve">Jennifer Turner</t>
  </si>
  <si>
    <t xml:space="preserve">C1528</t>
  </si>
  <si>
    <t xml:space="preserve">Jennifer Weaver</t>
  </si>
  <si>
    <t xml:space="preserve">C1833</t>
  </si>
  <si>
    <t xml:space="preserve">C0877</t>
  </si>
  <si>
    <t xml:space="preserve">C1535</t>
  </si>
  <si>
    <t xml:space="preserve">Jeremy Stone</t>
  </si>
  <si>
    <t xml:space="preserve">C0608</t>
  </si>
  <si>
    <t xml:space="preserve">Jerry Adams</t>
  </si>
  <si>
    <t xml:space="preserve">C1302</t>
  </si>
  <si>
    <t xml:space="preserve">Jerry Anderson</t>
  </si>
  <si>
    <t xml:space="preserve">C1154</t>
  </si>
  <si>
    <t xml:space="preserve">Jerry Brown</t>
  </si>
  <si>
    <t xml:space="preserve">C0495</t>
  </si>
  <si>
    <t xml:space="preserve">Jerry Hall</t>
  </si>
  <si>
    <t xml:space="preserve">C0677</t>
  </si>
  <si>
    <t xml:space="preserve">Jerry Miller</t>
  </si>
  <si>
    <t xml:space="preserve">C0671</t>
  </si>
  <si>
    <t xml:space="preserve">Jerry Pierce</t>
  </si>
  <si>
    <t xml:space="preserve">C0693</t>
  </si>
  <si>
    <t xml:space="preserve">Jesse Chavez</t>
  </si>
  <si>
    <t xml:space="preserve">C0321</t>
  </si>
  <si>
    <t xml:space="preserve">Jesse Cook</t>
  </si>
  <si>
    <t xml:space="preserve">C1057</t>
  </si>
  <si>
    <t xml:space="preserve">Jesse Garcia</t>
  </si>
  <si>
    <t xml:space="preserve">C1969</t>
  </si>
  <si>
    <t xml:space="preserve">Jesse James</t>
  </si>
  <si>
    <t xml:space="preserve">C1429</t>
  </si>
  <si>
    <t xml:space="preserve">Jesse Stewart</t>
  </si>
  <si>
    <t xml:space="preserve">C0477</t>
  </si>
  <si>
    <t xml:space="preserve">Jesse Stone</t>
  </si>
  <si>
    <t xml:space="preserve">C1984</t>
  </si>
  <si>
    <t xml:space="preserve">Jesse Watson</t>
  </si>
  <si>
    <t xml:space="preserve">C1922</t>
  </si>
  <si>
    <t xml:space="preserve">Jessica Garcia</t>
  </si>
  <si>
    <t xml:space="preserve">C1538</t>
  </si>
  <si>
    <t xml:space="preserve">Jessica Kim</t>
  </si>
  <si>
    <t xml:space="preserve">C0387</t>
  </si>
  <si>
    <t xml:space="preserve">Jessica Owens</t>
  </si>
  <si>
    <t xml:space="preserve">C0756</t>
  </si>
  <si>
    <t xml:space="preserve">Jessica Patterson</t>
  </si>
  <si>
    <t xml:space="preserve">C1178</t>
  </si>
  <si>
    <t xml:space="preserve">Jessica Richardson</t>
  </si>
  <si>
    <t xml:space="preserve">C1275</t>
  </si>
  <si>
    <t xml:space="preserve">Jessica Roberts</t>
  </si>
  <si>
    <t xml:space="preserve">C0981</t>
  </si>
  <si>
    <t xml:space="preserve">Jessica Stewart</t>
  </si>
  <si>
    <t xml:space="preserve">C0822</t>
  </si>
  <si>
    <t xml:space="preserve">Jessica Weaver</t>
  </si>
  <si>
    <t xml:space="preserve">C0487</t>
  </si>
  <si>
    <t xml:space="preserve">Jessica Williams</t>
  </si>
  <si>
    <t xml:space="preserve">C0021</t>
  </si>
  <si>
    <t xml:space="preserve">Jesus Obrien</t>
  </si>
  <si>
    <t xml:space="preserve">C0470</t>
  </si>
  <si>
    <t xml:space="preserve">Joan Anderson</t>
  </si>
  <si>
    <t xml:space="preserve">C0287</t>
  </si>
  <si>
    <t xml:space="preserve">Joan Bell</t>
  </si>
  <si>
    <t xml:space="preserve">C0887</t>
  </si>
  <si>
    <t xml:space="preserve">Joan Bryant</t>
  </si>
  <si>
    <t xml:space="preserve">C0441</t>
  </si>
  <si>
    <t xml:space="preserve">Joan Foster</t>
  </si>
  <si>
    <t xml:space="preserve">C0797</t>
  </si>
  <si>
    <t xml:space="preserve">Joan Gray</t>
  </si>
  <si>
    <t xml:space="preserve">C1557</t>
  </si>
  <si>
    <t xml:space="preserve">Joan Griffin</t>
  </si>
  <si>
    <t xml:space="preserve">C0942</t>
  </si>
  <si>
    <t xml:space="preserve">Joan Jackson</t>
  </si>
  <si>
    <t xml:space="preserve">C1880</t>
  </si>
  <si>
    <t xml:space="preserve">Joan Morales</t>
  </si>
  <si>
    <t xml:space="preserve">C0543</t>
  </si>
  <si>
    <t xml:space="preserve">Joan Parker</t>
  </si>
  <si>
    <t xml:space="preserve">C1631</t>
  </si>
  <si>
    <t xml:space="preserve">Joan Patterson</t>
  </si>
  <si>
    <t xml:space="preserve">C1158</t>
  </si>
  <si>
    <t xml:space="preserve">Joan Pierce</t>
  </si>
  <si>
    <t xml:space="preserve">C1099</t>
  </si>
  <si>
    <t xml:space="preserve">Joan Scott</t>
  </si>
  <si>
    <t xml:space="preserve">C0814</t>
  </si>
  <si>
    <t xml:space="preserve">Joan Stewart</t>
  </si>
  <si>
    <t xml:space="preserve">C0009</t>
  </si>
  <si>
    <t xml:space="preserve">Joaquin Mullins</t>
  </si>
  <si>
    <t xml:space="preserve">C0758</t>
  </si>
  <si>
    <t xml:space="preserve">Joe Allen</t>
  </si>
  <si>
    <t xml:space="preserve">C0922</t>
  </si>
  <si>
    <t xml:space="preserve">Joe Bell</t>
  </si>
  <si>
    <t xml:space="preserve">C1924</t>
  </si>
  <si>
    <t xml:space="preserve">Joe Cooper</t>
  </si>
  <si>
    <t xml:space="preserve">C1710</t>
  </si>
  <si>
    <t xml:space="preserve">Joe Flores</t>
  </si>
  <si>
    <t xml:space="preserve">C0765</t>
  </si>
  <si>
    <t xml:space="preserve">Joe Green</t>
  </si>
  <si>
    <t xml:space="preserve">C1899</t>
  </si>
  <si>
    <t xml:space="preserve">Joe Mitchell</t>
  </si>
  <si>
    <t xml:space="preserve">C0884</t>
  </si>
  <si>
    <t xml:space="preserve">Joe Reed</t>
  </si>
  <si>
    <t xml:space="preserve">C1767</t>
  </si>
  <si>
    <t xml:space="preserve">Joe Sanders</t>
  </si>
  <si>
    <t xml:space="preserve">C0123</t>
  </si>
  <si>
    <t xml:space="preserve">Johanna Fisher</t>
  </si>
  <si>
    <t xml:space="preserve">C0623</t>
  </si>
  <si>
    <t xml:space="preserve">Jonathan Adams</t>
  </si>
  <si>
    <t xml:space="preserve">C1055</t>
  </si>
  <si>
    <t xml:space="preserve">Jonathan Bennett</t>
  </si>
  <si>
    <t xml:space="preserve">C1752</t>
  </si>
  <si>
    <t xml:space="preserve">Jonathan Cook</t>
  </si>
  <si>
    <t xml:space="preserve">C0194</t>
  </si>
  <si>
    <t xml:space="preserve">Jonathan Hall</t>
  </si>
  <si>
    <t xml:space="preserve">C1356</t>
  </si>
  <si>
    <t xml:space="preserve">Jonathan Morales</t>
  </si>
  <si>
    <t xml:space="preserve">C0461</t>
  </si>
  <si>
    <t xml:space="preserve">Jonathan Peterson</t>
  </si>
  <si>
    <t xml:space="preserve">C1920</t>
  </si>
  <si>
    <t xml:space="preserve">Jonathan Pierce</t>
  </si>
  <si>
    <t xml:space="preserve">C0829</t>
  </si>
  <si>
    <t xml:space="preserve">Jonathan Stewart</t>
  </si>
  <si>
    <t xml:space="preserve">C0621</t>
  </si>
  <si>
    <t xml:space="preserve">Jonathan Turner</t>
  </si>
  <si>
    <t xml:space="preserve">C1925</t>
  </si>
  <si>
    <t xml:space="preserve">Jordan Baker</t>
  </si>
  <si>
    <t xml:space="preserve">C0736</t>
  </si>
  <si>
    <t xml:space="preserve">Jordan Campbell</t>
  </si>
  <si>
    <t xml:space="preserve">C0716</t>
  </si>
  <si>
    <t xml:space="preserve">Jordan Davis</t>
  </si>
  <si>
    <t xml:space="preserve">C1292</t>
  </si>
  <si>
    <t xml:space="preserve">Jordan Evans</t>
  </si>
  <si>
    <t xml:space="preserve">C0277</t>
  </si>
  <si>
    <t xml:space="preserve">Jordan Garcia</t>
  </si>
  <si>
    <t xml:space="preserve">C0928</t>
  </si>
  <si>
    <t xml:space="preserve">Jordan Jordan</t>
  </si>
  <si>
    <t xml:space="preserve">C0615</t>
  </si>
  <si>
    <t xml:space="preserve">Jordan King</t>
  </si>
  <si>
    <t xml:space="preserve">C0449</t>
  </si>
  <si>
    <t xml:space="preserve">C1580</t>
  </si>
  <si>
    <t xml:space="preserve">Jordan Martin</t>
  </si>
  <si>
    <t xml:space="preserve">C1389</t>
  </si>
  <si>
    <t xml:space="preserve">Jordan Montgomery</t>
  </si>
  <si>
    <t xml:space="preserve">C1250</t>
  </si>
  <si>
    <t xml:space="preserve">Jordan Stewart</t>
  </si>
  <si>
    <t xml:space="preserve">C1524</t>
  </si>
  <si>
    <t xml:space="preserve">Jordan Wilson</t>
  </si>
  <si>
    <t xml:space="preserve">C0043</t>
  </si>
  <si>
    <t xml:space="preserve">Jordyn Park</t>
  </si>
  <si>
    <t xml:space="preserve">C0819</t>
  </si>
  <si>
    <t xml:space="preserve">Jose Bryant</t>
  </si>
  <si>
    <t xml:space="preserve">C1368</t>
  </si>
  <si>
    <t xml:space="preserve">Jose Gray</t>
  </si>
  <si>
    <t xml:space="preserve">C1801</t>
  </si>
  <si>
    <t xml:space="preserve">Jose Howard</t>
  </si>
  <si>
    <t xml:space="preserve">C1392</t>
  </si>
  <si>
    <t xml:space="preserve">Jose Johnson</t>
  </si>
  <si>
    <t xml:space="preserve">C1103</t>
  </si>
  <si>
    <t xml:space="preserve">C1982</t>
  </si>
  <si>
    <t xml:space="preserve">Jose Long</t>
  </si>
  <si>
    <t xml:space="preserve">C0188</t>
  </si>
  <si>
    <t xml:space="preserve">Jose Martin</t>
  </si>
  <si>
    <t xml:space="preserve">C1387</t>
  </si>
  <si>
    <t xml:space="preserve">Jose Reed</t>
  </si>
  <si>
    <t xml:space="preserve">C0869</t>
  </si>
  <si>
    <t xml:space="preserve">Jose Roberts</t>
  </si>
  <si>
    <t xml:space="preserve">C1759</t>
  </si>
  <si>
    <t xml:space="preserve">Jose Stone</t>
  </si>
  <si>
    <t xml:space="preserve">C1843</t>
  </si>
  <si>
    <t xml:space="preserve">C0229</t>
  </si>
  <si>
    <t xml:space="preserve">Jose Turner</t>
  </si>
  <si>
    <t xml:space="preserve">C0738</t>
  </si>
  <si>
    <t xml:space="preserve">Jose White</t>
  </si>
  <si>
    <t xml:space="preserve">C1115</t>
  </si>
  <si>
    <t xml:space="preserve">Joseph Bell</t>
  </si>
  <si>
    <t xml:space="preserve">C0886</t>
  </si>
  <si>
    <t xml:space="preserve">Joseph Brooks</t>
  </si>
  <si>
    <t xml:space="preserve">C1228</t>
  </si>
  <si>
    <t xml:space="preserve">Joseph Howard</t>
  </si>
  <si>
    <t xml:space="preserve">C1692</t>
  </si>
  <si>
    <t xml:space="preserve">Joseph Patterson</t>
  </si>
  <si>
    <t xml:space="preserve">C1244</t>
  </si>
  <si>
    <t xml:space="preserve">Joseph Phillips</t>
  </si>
  <si>
    <t xml:space="preserve">C0026</t>
  </si>
  <si>
    <t xml:space="preserve">Joseph Reeves</t>
  </si>
  <si>
    <t xml:space="preserve">C0792</t>
  </si>
  <si>
    <t xml:space="preserve">Joseph Richardson</t>
  </si>
  <si>
    <t xml:space="preserve">C0712</t>
  </si>
  <si>
    <t xml:space="preserve">Joseph Scott</t>
  </si>
  <si>
    <t xml:space="preserve">C0678</t>
  </si>
  <si>
    <t xml:space="preserve">Joseph Watson</t>
  </si>
  <si>
    <t xml:space="preserve">C1849</t>
  </si>
  <si>
    <t xml:space="preserve">Joseph Wilson</t>
  </si>
  <si>
    <t xml:space="preserve">C1040</t>
  </si>
  <si>
    <t xml:space="preserve">Joseph Young</t>
  </si>
  <si>
    <t xml:space="preserve">C0743</t>
  </si>
  <si>
    <t xml:space="preserve">Joshua Allen</t>
  </si>
  <si>
    <t xml:space="preserve">C1238</t>
  </si>
  <si>
    <t xml:space="preserve">Joshua Bennett</t>
  </si>
  <si>
    <t xml:space="preserve">C1605</t>
  </si>
  <si>
    <t xml:space="preserve">Joshua Collins</t>
  </si>
  <si>
    <t xml:space="preserve">C1315</t>
  </si>
  <si>
    <t xml:space="preserve">Joshua Garcia</t>
  </si>
  <si>
    <t xml:space="preserve">C1663</t>
  </si>
  <si>
    <t xml:space="preserve">C1845</t>
  </si>
  <si>
    <t xml:space="preserve">Joshua Green</t>
  </si>
  <si>
    <t xml:space="preserve">C1078</t>
  </si>
  <si>
    <t xml:space="preserve">Joshua Howard</t>
  </si>
  <si>
    <t xml:space="preserve">C0344</t>
  </si>
  <si>
    <t xml:space="preserve">Joshua Jackson</t>
  </si>
  <si>
    <t xml:space="preserve">C1862</t>
  </si>
  <si>
    <t xml:space="preserve">Joshua Long</t>
  </si>
  <si>
    <t xml:space="preserve">C1148</t>
  </si>
  <si>
    <t xml:space="preserve">Joshua Rogers</t>
  </si>
  <si>
    <t xml:space="preserve">C1659</t>
  </si>
  <si>
    <t xml:space="preserve">Joshua Thompson</t>
  </si>
  <si>
    <t xml:space="preserve">Zealand</t>
  </si>
  <si>
    <t xml:space="preserve">C1926</t>
  </si>
  <si>
    <t xml:space="preserve">Joshua Watson</t>
  </si>
  <si>
    <t xml:space="preserve">C1007</t>
  </si>
  <si>
    <t xml:space="preserve">Joyce Brooks</t>
  </si>
  <si>
    <t xml:space="preserve">C1507</t>
  </si>
  <si>
    <t xml:space="preserve">Joyce Cooper</t>
  </si>
  <si>
    <t xml:space="preserve">C1894</t>
  </si>
  <si>
    <t xml:space="preserve">Joyce Hall</t>
  </si>
  <si>
    <t xml:space="preserve">C1246</t>
  </si>
  <si>
    <t xml:space="preserve">Joyce Jackson</t>
  </si>
  <si>
    <t xml:space="preserve">C0982</t>
  </si>
  <si>
    <t xml:space="preserve">C1349</t>
  </si>
  <si>
    <t xml:space="preserve">Joyce Johnson</t>
  </si>
  <si>
    <t xml:space="preserve">C1866</t>
  </si>
  <si>
    <t xml:space="preserve">Joyce Martin</t>
  </si>
  <si>
    <t xml:space="preserve">C1838</t>
  </si>
  <si>
    <t xml:space="preserve">Joyce Morales</t>
  </si>
  <si>
    <t xml:space="preserve">C0761</t>
  </si>
  <si>
    <t xml:space="preserve">Joyce Patterson</t>
  </si>
  <si>
    <t xml:space="preserve">C0204</t>
  </si>
  <si>
    <t xml:space="preserve">Joyce Pierce</t>
  </si>
  <si>
    <t xml:space="preserve">C0244</t>
  </si>
  <si>
    <t xml:space="preserve">C1336</t>
  </si>
  <si>
    <t xml:space="preserve">Joyce Thompson</t>
  </si>
  <si>
    <t xml:space="preserve">C0343</t>
  </si>
  <si>
    <t xml:space="preserve">C0535</t>
  </si>
  <si>
    <t xml:space="preserve">Judith Allen</t>
  </si>
  <si>
    <t xml:space="preserve">C0880</t>
  </si>
  <si>
    <t xml:space="preserve">Judith Bennett</t>
  </si>
  <si>
    <t xml:space="preserve">C1654</t>
  </si>
  <si>
    <t xml:space="preserve">Judith Brooks</t>
  </si>
  <si>
    <t xml:space="preserve">C1300</t>
  </si>
  <si>
    <t xml:space="preserve">Judith Collins</t>
  </si>
  <si>
    <t xml:space="preserve">C0820</t>
  </si>
  <si>
    <t xml:space="preserve">C1122</t>
  </si>
  <si>
    <t xml:space="preserve">Judith Evans</t>
  </si>
  <si>
    <t xml:space="preserve">C1181</t>
  </si>
  <si>
    <t xml:space="preserve">Judith Hansen</t>
  </si>
  <si>
    <t xml:space="preserve">C1664</t>
  </si>
  <si>
    <t xml:space="preserve">Judith Hayes</t>
  </si>
  <si>
    <t xml:space="preserve">C1351</t>
  </si>
  <si>
    <t xml:space="preserve">Judith Long</t>
  </si>
  <si>
    <t xml:space="preserve">C0831</t>
  </si>
  <si>
    <t xml:space="preserve">Judith Martin</t>
  </si>
  <si>
    <t xml:space="preserve">C1000</t>
  </si>
  <si>
    <t xml:space="preserve">Judith Parker</t>
  </si>
  <si>
    <t xml:space="preserve">C1471</t>
  </si>
  <si>
    <t xml:space="preserve">Judith Williams</t>
  </si>
  <si>
    <t xml:space="preserve">C0352</t>
  </si>
  <si>
    <t xml:space="preserve">C1968</t>
  </si>
  <si>
    <t xml:space="preserve">Judy Griffin</t>
  </si>
  <si>
    <t xml:space="preserve">C0557</t>
  </si>
  <si>
    <t xml:space="preserve">C1424</t>
  </si>
  <si>
    <t xml:space="preserve">Judy Harris</t>
  </si>
  <si>
    <t xml:space="preserve">C0267</t>
  </si>
  <si>
    <t xml:space="preserve">Judy Howard</t>
  </si>
  <si>
    <t xml:space="preserve">C1247</t>
  </si>
  <si>
    <t xml:space="preserve">Judy Moore</t>
  </si>
  <si>
    <t xml:space="preserve">C1959</t>
  </si>
  <si>
    <t xml:space="preserve">Judy Morales</t>
  </si>
  <si>
    <t xml:space="preserve">C0562</t>
  </si>
  <si>
    <t xml:space="preserve">Judy Peterson</t>
  </si>
  <si>
    <t xml:space="preserve">C1954</t>
  </si>
  <si>
    <t xml:space="preserve">Judy Roberts</t>
  </si>
  <si>
    <t xml:space="preserve">C0850</t>
  </si>
  <si>
    <t xml:space="preserve">Judy Stone</t>
  </si>
  <si>
    <t xml:space="preserve">C0674</t>
  </si>
  <si>
    <t xml:space="preserve">Judy Turner</t>
  </si>
  <si>
    <t xml:space="preserve">C1836</t>
  </si>
  <si>
    <t xml:space="preserve">Judy Wood</t>
  </si>
  <si>
    <t xml:space="preserve">C0740</t>
  </si>
  <si>
    <t xml:space="preserve">Julia Bell</t>
  </si>
  <si>
    <t xml:space="preserve">C1713</t>
  </si>
  <si>
    <t xml:space="preserve">Julia Cook</t>
  </si>
  <si>
    <t xml:space="preserve">C0867</t>
  </si>
  <si>
    <t xml:space="preserve">Julia Davis</t>
  </si>
  <si>
    <t xml:space="preserve">C1837</t>
  </si>
  <si>
    <t xml:space="preserve">Julia Freeman</t>
  </si>
  <si>
    <t xml:space="preserve">C1623</t>
  </si>
  <si>
    <t xml:space="preserve">Julia Hall</t>
  </si>
  <si>
    <t xml:space="preserve">C1142</t>
  </si>
  <si>
    <t xml:space="preserve">Julia Hughes</t>
  </si>
  <si>
    <t xml:space="preserve">C0721</t>
  </si>
  <si>
    <t xml:space="preserve">Julia Jordan</t>
  </si>
  <si>
    <t xml:space="preserve">C0226</t>
  </si>
  <si>
    <t xml:space="preserve">C1350</t>
  </si>
  <si>
    <t xml:space="preserve">Julia King</t>
  </si>
  <si>
    <t xml:space="preserve">C1555</t>
  </si>
  <si>
    <t xml:space="preserve">Julia Martin</t>
  </si>
  <si>
    <t xml:space="preserve">C0485</t>
  </si>
  <si>
    <t xml:space="preserve">Julia Morales</t>
  </si>
  <si>
    <t xml:space="preserve">C0297</t>
  </si>
  <si>
    <t xml:space="preserve">Julia Murray</t>
  </si>
  <si>
    <t xml:space="preserve">C0949</t>
  </si>
  <si>
    <t xml:space="preserve">Julia Price</t>
  </si>
  <si>
    <t xml:space="preserve">C0642</t>
  </si>
  <si>
    <t xml:space="preserve">Julia Reyes</t>
  </si>
  <si>
    <t xml:space="preserve">C1427</t>
  </si>
  <si>
    <t xml:space="preserve">Julia Richardson</t>
  </si>
  <si>
    <t xml:space="preserve">C0609</t>
  </si>
  <si>
    <t xml:space="preserve">C1648</t>
  </si>
  <si>
    <t xml:space="preserve">Julia Wood</t>
  </si>
  <si>
    <t xml:space="preserve">C0616</t>
  </si>
  <si>
    <t xml:space="preserve">Julie Brooks</t>
  </si>
  <si>
    <t xml:space="preserve">C0426</t>
  </si>
  <si>
    <t xml:space="preserve">Julie Brown</t>
  </si>
  <si>
    <t xml:space="preserve">C0359</t>
  </si>
  <si>
    <t xml:space="preserve">Julie Cooper</t>
  </si>
  <si>
    <t xml:space="preserve">C1341</t>
  </si>
  <si>
    <t xml:space="preserve">Julie Cox</t>
  </si>
  <si>
    <t xml:space="preserve">C1457</t>
  </si>
  <si>
    <t xml:space="preserve">Julie Foster</t>
  </si>
  <si>
    <t xml:space="preserve">C1852</t>
  </si>
  <si>
    <t xml:space="preserve">Julie Hall</t>
  </si>
  <si>
    <t xml:space="preserve">C0968</t>
  </si>
  <si>
    <t xml:space="preserve">Julie Hansen</t>
  </si>
  <si>
    <t xml:space="preserve">C0890</t>
  </si>
  <si>
    <t xml:space="preserve">Julie Nelson</t>
  </si>
  <si>
    <t xml:space="preserve">C0171</t>
  </si>
  <si>
    <t xml:space="preserve">Julie Sanders</t>
  </si>
  <si>
    <t xml:space="preserve">C1956</t>
  </si>
  <si>
    <t xml:space="preserve">Julie Weaver</t>
  </si>
  <si>
    <t xml:space="preserve">C1614</t>
  </si>
  <si>
    <t xml:space="preserve">Julie Williams</t>
  </si>
  <si>
    <t xml:space="preserve">C0127</t>
  </si>
  <si>
    <t xml:space="preserve">Julio Leonard</t>
  </si>
  <si>
    <t xml:space="preserve">C0311</t>
  </si>
  <si>
    <t xml:space="preserve">Justin Anderson</t>
  </si>
  <si>
    <t xml:space="preserve">C1199</t>
  </si>
  <si>
    <t xml:space="preserve">Justin Campbell</t>
  </si>
  <si>
    <t xml:space="preserve">C1724</t>
  </si>
  <si>
    <t xml:space="preserve">Justin Cook</t>
  </si>
  <si>
    <t xml:space="preserve">C1874</t>
  </si>
  <si>
    <t xml:space="preserve">Justin Cooper</t>
  </si>
  <si>
    <t xml:space="preserve">C0732</t>
  </si>
  <si>
    <t xml:space="preserve">Justin Peterson</t>
  </si>
  <si>
    <t xml:space="preserve">C1609</t>
  </si>
  <si>
    <t xml:space="preserve">Justin Reed</t>
  </si>
  <si>
    <t xml:space="preserve">C0250</t>
  </si>
  <si>
    <t xml:space="preserve">Justin Stewart</t>
  </si>
  <si>
    <t xml:space="preserve">C1901</t>
  </si>
  <si>
    <t xml:space="preserve">C0634</t>
  </si>
  <si>
    <t xml:space="preserve">Justin Ward</t>
  </si>
  <si>
    <t xml:space="preserve">C0103</t>
  </si>
  <si>
    <t xml:space="preserve">Kael Hurley</t>
  </si>
  <si>
    <t xml:space="preserve">C0082</t>
  </si>
  <si>
    <t xml:space="preserve">Kaitlin Owen</t>
  </si>
  <si>
    <t xml:space="preserve">C0003</t>
  </si>
  <si>
    <t xml:space="preserve">Kale Gay</t>
  </si>
  <si>
    <t xml:space="preserve">C0104</t>
  </si>
  <si>
    <t xml:space="preserve">Kamden Stewart</t>
  </si>
  <si>
    <t xml:space="preserve">C0114</t>
  </si>
  <si>
    <t xml:space="preserve">Kamila Collier</t>
  </si>
  <si>
    <t xml:space="preserve">C0001</t>
  </si>
  <si>
    <t xml:space="preserve">Kareem Liu</t>
  </si>
  <si>
    <t xml:space="preserve">C0943</t>
  </si>
  <si>
    <t xml:space="preserve">Karen Cox</t>
  </si>
  <si>
    <t xml:space="preserve">C1299</t>
  </si>
  <si>
    <t xml:space="preserve">Karen James</t>
  </si>
  <si>
    <t xml:space="preserve">C0190</t>
  </si>
  <si>
    <t xml:space="preserve">Karen Johnson</t>
  </si>
  <si>
    <t xml:space="preserve">C1234</t>
  </si>
  <si>
    <t xml:space="preserve">Karen King</t>
  </si>
  <si>
    <t xml:space="preserve">C1701</t>
  </si>
  <si>
    <t xml:space="preserve">Karen Montgomery</t>
  </si>
  <si>
    <t xml:space="preserve">C0373</t>
  </si>
  <si>
    <t xml:space="preserve">Karen Morales</t>
  </si>
  <si>
    <t xml:space="preserve">C0336</t>
  </si>
  <si>
    <t xml:space="preserve">Karen Price</t>
  </si>
  <si>
    <t xml:space="preserve">C0412</t>
  </si>
  <si>
    <t xml:space="preserve">Karen Richardson</t>
  </si>
  <si>
    <t xml:space="preserve">C0292</t>
  </si>
  <si>
    <t xml:space="preserve">Karen Watson</t>
  </si>
  <si>
    <t xml:space="preserve">C0455</t>
  </si>
  <si>
    <t xml:space="preserve">Karen Williams</t>
  </si>
  <si>
    <t xml:space="preserve">C0060</t>
  </si>
  <si>
    <t xml:space="preserve">Kassidy Vega</t>
  </si>
  <si>
    <t xml:space="preserve">C0392</t>
  </si>
  <si>
    <t xml:space="preserve">Katherine Adams</t>
  </si>
  <si>
    <t xml:space="preserve">C0935</t>
  </si>
  <si>
    <t xml:space="preserve">Katherine Cooper</t>
  </si>
  <si>
    <t xml:space="preserve">C0358</t>
  </si>
  <si>
    <t xml:space="preserve">Katherine Griffin</t>
  </si>
  <si>
    <t xml:space="preserve">C1797</t>
  </si>
  <si>
    <t xml:space="preserve">Katherine Howard</t>
  </si>
  <si>
    <t xml:space="preserve">C0627</t>
  </si>
  <si>
    <t xml:space="preserve">Katherine Johnson</t>
  </si>
  <si>
    <t xml:space="preserve">C0725</t>
  </si>
  <si>
    <t xml:space="preserve">Katherine Jones</t>
  </si>
  <si>
    <t xml:space="preserve">C1673</t>
  </si>
  <si>
    <t xml:space="preserve">Katherine Martin</t>
  </si>
  <si>
    <t xml:space="preserve">C1727</t>
  </si>
  <si>
    <t xml:space="preserve">Katherine Morales</t>
  </si>
  <si>
    <t xml:space="preserve">C0281</t>
  </si>
  <si>
    <t xml:space="preserve">Katherine Phillips</t>
  </si>
  <si>
    <t xml:space="preserve">C1409</t>
  </si>
  <si>
    <t xml:space="preserve">Katherine Price</t>
  </si>
  <si>
    <t xml:space="preserve">C0622</t>
  </si>
  <si>
    <t xml:space="preserve">Katherine Ward</t>
  </si>
  <si>
    <t xml:space="preserve">C0505</t>
  </si>
  <si>
    <t xml:space="preserve">Katherine Wilson</t>
  </si>
  <si>
    <t xml:space="preserve">C1068</t>
  </si>
  <si>
    <t xml:space="preserve">Kathleen Carter</t>
  </si>
  <si>
    <t xml:space="preserve">C1120</t>
  </si>
  <si>
    <t xml:space="preserve">C1594</t>
  </si>
  <si>
    <t xml:space="preserve">Kathleen Green</t>
  </si>
  <si>
    <t xml:space="preserve">C0688</t>
  </si>
  <si>
    <t xml:space="preserve">Kathleen Howard</t>
  </si>
  <si>
    <t xml:space="preserve">C0932</t>
  </si>
  <si>
    <t xml:space="preserve">Kathleen Moore</t>
  </si>
  <si>
    <t xml:space="preserve">C1306</t>
  </si>
  <si>
    <t xml:space="preserve">Kathleen Morales</t>
  </si>
  <si>
    <t xml:space="preserve">C1211</t>
  </si>
  <si>
    <t xml:space="preserve">Kathleen Owens</t>
  </si>
  <si>
    <t xml:space="preserve">C1685</t>
  </si>
  <si>
    <t xml:space="preserve">Kathleen Parker</t>
  </si>
  <si>
    <t xml:space="preserve">C0636</t>
  </si>
  <si>
    <t xml:space="preserve">Kathleen Rogers</t>
  </si>
  <si>
    <t xml:space="preserve">C0008</t>
  </si>
  <si>
    <t xml:space="preserve">Kayden Olsen</t>
  </si>
  <si>
    <t xml:space="preserve">C0070</t>
  </si>
  <si>
    <t xml:space="preserve">Kayley Nielsen</t>
  </si>
  <si>
    <t xml:space="preserve">C0134</t>
  </si>
  <si>
    <t xml:space="preserve">Kaylin Villarreal</t>
  </si>
  <si>
    <t xml:space="preserve">C1296</t>
  </si>
  <si>
    <t xml:space="preserve">Keith Hughes</t>
  </si>
  <si>
    <t xml:space="preserve">C0339</t>
  </si>
  <si>
    <t xml:space="preserve">Keith King</t>
  </si>
  <si>
    <t xml:space="preserve">C0366</t>
  </si>
  <si>
    <t xml:space="preserve">Keith Long</t>
  </si>
  <si>
    <t xml:space="preserve">C0842</t>
  </si>
  <si>
    <t xml:space="preserve">Keith Morales</t>
  </si>
  <si>
    <t xml:space="preserve">C0751</t>
  </si>
  <si>
    <t xml:space="preserve">Keith Parker</t>
  </si>
  <si>
    <t xml:space="preserve">C1974</t>
  </si>
  <si>
    <t xml:space="preserve">Keith Peterson</t>
  </si>
  <si>
    <t xml:space="preserve">C0503</t>
  </si>
  <si>
    <t xml:space="preserve">C1458</t>
  </si>
  <si>
    <t xml:space="preserve">Keith Reed</t>
  </si>
  <si>
    <t xml:space="preserve">C1469</t>
  </si>
  <si>
    <t xml:space="preserve">Keith Richardson</t>
  </si>
  <si>
    <t xml:space="preserve">C1488</t>
  </si>
  <si>
    <t xml:space="preserve">Keith Scott</t>
  </si>
  <si>
    <t xml:space="preserve">C0757</t>
  </si>
  <si>
    <t xml:space="preserve">Keith Taylor</t>
  </si>
  <si>
    <t xml:space="preserve">C0241</t>
  </si>
  <si>
    <t xml:space="preserve">Kelly Anderson</t>
  </si>
  <si>
    <t xml:space="preserve">C1764</t>
  </si>
  <si>
    <t xml:space="preserve">Kelly Baker</t>
  </si>
  <si>
    <t xml:space="preserve">C1452</t>
  </si>
  <si>
    <t xml:space="preserve">Kelly Edwards</t>
  </si>
  <si>
    <t xml:space="preserve">C0658</t>
  </si>
  <si>
    <t xml:space="preserve">Kelly Green</t>
  </si>
  <si>
    <t xml:space="preserve">C1330</t>
  </si>
  <si>
    <t xml:space="preserve">Kelly James</t>
  </si>
  <si>
    <t xml:space="preserve">C0205</t>
  </si>
  <si>
    <t xml:space="preserve">Kelly Nelson</t>
  </si>
  <si>
    <t xml:space="preserve">C0235</t>
  </si>
  <si>
    <t xml:space="preserve">Kenneth Allen</t>
  </si>
  <si>
    <t xml:space="preserve">C0691</t>
  </si>
  <si>
    <t xml:space="preserve">Kenneth Bell</t>
  </si>
  <si>
    <t xml:space="preserve">C1565</t>
  </si>
  <si>
    <t xml:space="preserve">Kenneth Bennett</t>
  </si>
  <si>
    <t xml:space="preserve">C1157</t>
  </si>
  <si>
    <t xml:space="preserve">Kenneth Davis</t>
  </si>
  <si>
    <t xml:space="preserve">C0457</t>
  </si>
  <si>
    <t xml:space="preserve">Kenneth Hansen</t>
  </si>
  <si>
    <t xml:space="preserve">C1705</t>
  </si>
  <si>
    <t xml:space="preserve">Kenneth Howard</t>
  </si>
  <si>
    <t xml:space="preserve">C0917</t>
  </si>
  <si>
    <t xml:space="preserve">Kenneth Hughes</t>
  </si>
  <si>
    <t xml:space="preserve">C0501</t>
  </si>
  <si>
    <t xml:space="preserve">Kenneth Jackson</t>
  </si>
  <si>
    <t xml:space="preserve">C1385</t>
  </si>
  <si>
    <t xml:space="preserve">Kenneth Owens</t>
  </si>
  <si>
    <t xml:space="preserve">C1453</t>
  </si>
  <si>
    <t xml:space="preserve">Kenneth Stone</t>
  </si>
  <si>
    <t xml:space="preserve">C1174</t>
  </si>
  <si>
    <t xml:space="preserve">Kenneth White</t>
  </si>
  <si>
    <t xml:space="preserve">C1610</t>
  </si>
  <si>
    <t xml:space="preserve">C1773</t>
  </si>
  <si>
    <t xml:space="preserve">Kenneth Williams</t>
  </si>
  <si>
    <t xml:space="preserve">C1167</t>
  </si>
  <si>
    <t xml:space="preserve">Kevin Alexander</t>
  </si>
  <si>
    <t xml:space="preserve">C1474</t>
  </si>
  <si>
    <t xml:space="preserve">Kevin Brown</t>
  </si>
  <si>
    <t xml:space="preserve">C0793</t>
  </si>
  <si>
    <t xml:space="preserve">C0288</t>
  </si>
  <si>
    <t xml:space="preserve">Kevin Freeman</t>
  </si>
  <si>
    <t xml:space="preserve">C1379</t>
  </si>
  <si>
    <t xml:space="preserve">Kevin Gray</t>
  </si>
  <si>
    <t xml:space="preserve">C0342</t>
  </si>
  <si>
    <t xml:space="preserve">Kevin Hughes</t>
  </si>
  <si>
    <t xml:space="preserve">C1476</t>
  </si>
  <si>
    <t xml:space="preserve">Kevin Jackson</t>
  </si>
  <si>
    <t xml:space="preserve">C0483</t>
  </si>
  <si>
    <t xml:space="preserve">C1964</t>
  </si>
  <si>
    <t xml:space="preserve">Kevin Martin</t>
  </si>
  <si>
    <t xml:space="preserve">C0045</t>
  </si>
  <si>
    <t xml:space="preserve">Kevin Mata</t>
  </si>
  <si>
    <t xml:space="preserve">C0247</t>
  </si>
  <si>
    <t xml:space="preserve">Kevin Morris</t>
  </si>
  <si>
    <t xml:space="preserve">C0583</t>
  </si>
  <si>
    <t xml:space="preserve">Kevin Scott</t>
  </si>
  <si>
    <t xml:space="preserve">C1677</t>
  </si>
  <si>
    <t xml:space="preserve">Kevin Thomas</t>
  </si>
  <si>
    <t xml:space="preserve">C1585</t>
  </si>
  <si>
    <t xml:space="preserve">Kevin Watson</t>
  </si>
  <si>
    <t xml:space="preserve">C0544</t>
  </si>
  <si>
    <t xml:space="preserve">Kevin White</t>
  </si>
  <si>
    <t xml:space="preserve">C0612</t>
  </si>
  <si>
    <t xml:space="preserve">Kevin Wood</t>
  </si>
  <si>
    <t xml:space="preserve">C0197</t>
  </si>
  <si>
    <t xml:space="preserve">Kevin Wright</t>
  </si>
  <si>
    <t xml:space="preserve">C1728</t>
  </si>
  <si>
    <t xml:space="preserve">Kimberly Garcia</t>
  </si>
  <si>
    <t xml:space="preserve">C1962</t>
  </si>
  <si>
    <t xml:space="preserve">Kimberly Harris</t>
  </si>
  <si>
    <t xml:space="preserve">C0933</t>
  </si>
  <si>
    <t xml:space="preserve">Kimberly Johnson</t>
  </si>
  <si>
    <t xml:space="preserve">C1072</t>
  </si>
  <si>
    <t xml:space="preserve">Kimberly Jones</t>
  </si>
  <si>
    <t xml:space="preserve">C0635</t>
  </si>
  <si>
    <t xml:space="preserve">Kimberly King</t>
  </si>
  <si>
    <t xml:space="preserve">C1851</t>
  </si>
  <si>
    <t xml:space="preserve">Kimberly Miller</t>
  </si>
  <si>
    <t xml:space="preserve">C1141</t>
  </si>
  <si>
    <t xml:space="preserve">Kimberly Montgomery</t>
  </si>
  <si>
    <t xml:space="preserve">C1482</t>
  </si>
  <si>
    <t xml:space="preserve">Kimberly Murray</t>
  </si>
  <si>
    <t xml:space="preserve">C1052</t>
  </si>
  <si>
    <t xml:space="preserve">Kimberly Parker</t>
  </si>
  <si>
    <t xml:space="preserve">C0581</t>
  </si>
  <si>
    <t xml:space="preserve">Kimberly Stewart</t>
  </si>
  <si>
    <t xml:space="preserve">C1149</t>
  </si>
  <si>
    <t xml:space="preserve">Kimberly Thomas</t>
  </si>
  <si>
    <t xml:space="preserve">C0354</t>
  </si>
  <si>
    <t xml:space="preserve">Kimberly Turner</t>
  </si>
  <si>
    <t xml:space="preserve">C1763</t>
  </si>
  <si>
    <t xml:space="preserve">Kimberly Young</t>
  </si>
  <si>
    <t xml:space="preserve">C0111</t>
  </si>
  <si>
    <t xml:space="preserve">Kole Shannon</t>
  </si>
  <si>
    <t xml:space="preserve">C0029</t>
  </si>
  <si>
    <t xml:space="preserve">Kyla Walker</t>
  </si>
  <si>
    <t xml:space="preserve">C0940</t>
  </si>
  <si>
    <t xml:space="preserve">Kyle Bell</t>
  </si>
  <si>
    <t xml:space="preserve">C0710</t>
  </si>
  <si>
    <t xml:space="preserve">Kyle Bryant</t>
  </si>
  <si>
    <t xml:space="preserve">C0552</t>
  </si>
  <si>
    <t xml:space="preserve">Kyle Cook</t>
  </si>
  <si>
    <t xml:space="preserve">C1418</t>
  </si>
  <si>
    <t xml:space="preserve">Kyle Cox</t>
  </si>
  <si>
    <t xml:space="preserve">C1015</t>
  </si>
  <si>
    <t xml:space="preserve">Kyle Davis</t>
  </si>
  <si>
    <t xml:space="preserve">C1519</t>
  </si>
  <si>
    <t xml:space="preserve">Kyle Freeman</t>
  </si>
  <si>
    <t xml:space="preserve">C1839</t>
  </si>
  <si>
    <t xml:space="preserve">Kyle Gray</t>
  </si>
  <si>
    <t xml:space="preserve">C0207</t>
  </si>
  <si>
    <t xml:space="preserve">C0209</t>
  </si>
  <si>
    <t xml:space="preserve">Kyle Moore</t>
  </si>
  <si>
    <t xml:space="preserve">C0714</t>
  </si>
  <si>
    <t xml:space="preserve">Kyle Murray</t>
  </si>
  <si>
    <t xml:space="preserve">C0706</t>
  </si>
  <si>
    <t xml:space="preserve">Kyle Thomas</t>
  </si>
  <si>
    <t xml:space="preserve">C0375</t>
  </si>
  <si>
    <t xml:space="preserve">Kyle Thompson</t>
  </si>
  <si>
    <t xml:space="preserve">C0851</t>
  </si>
  <si>
    <t xml:space="preserve">Kyle White</t>
  </si>
  <si>
    <t xml:space="preserve">C1907</t>
  </si>
  <si>
    <t xml:space="preserve">Kyle Wright</t>
  </si>
  <si>
    <t xml:space="preserve">C1436</t>
  </si>
  <si>
    <t xml:space="preserve">C0011</t>
  </si>
  <si>
    <t xml:space="preserve">Laci Guerra</t>
  </si>
  <si>
    <t xml:space="preserve">C0153</t>
  </si>
  <si>
    <t xml:space="preserve">Lara Carrillo</t>
  </si>
  <si>
    <t xml:space="preserve">C0451</t>
  </si>
  <si>
    <t xml:space="preserve">Larry Anderson</t>
  </si>
  <si>
    <t xml:space="preserve">C1032</t>
  </si>
  <si>
    <t xml:space="preserve">Larry Freeman</t>
  </si>
  <si>
    <t xml:space="preserve">C0233</t>
  </si>
  <si>
    <t xml:space="preserve">Larry Garcia</t>
  </si>
  <si>
    <t xml:space="preserve">C1119</t>
  </si>
  <si>
    <t xml:space="preserve">Larry Green</t>
  </si>
  <si>
    <t xml:space="preserve">C1762</t>
  </si>
  <si>
    <t xml:space="preserve">Larry Harris</t>
  </si>
  <si>
    <t xml:space="preserve">C0731</t>
  </si>
  <si>
    <t xml:space="preserve">C1225</t>
  </si>
  <si>
    <t xml:space="preserve">Larry James</t>
  </si>
  <si>
    <t xml:space="preserve">C1506</t>
  </si>
  <si>
    <t xml:space="preserve">Larry Price</t>
  </si>
  <si>
    <t xml:space="preserve">C1177</t>
  </si>
  <si>
    <t xml:space="preserve">Larry Sanders</t>
  </si>
  <si>
    <t xml:space="preserve">C0439</t>
  </si>
  <si>
    <t xml:space="preserve">Larry Thompson</t>
  </si>
  <si>
    <t xml:space="preserve">C0163</t>
  </si>
  <si>
    <t xml:space="preserve">Larry Turner</t>
  </si>
  <si>
    <t xml:space="preserve">C1432</t>
  </si>
  <si>
    <t xml:space="preserve">Larry Weaver</t>
  </si>
  <si>
    <t xml:space="preserve">C1056</t>
  </si>
  <si>
    <t xml:space="preserve">Larry Wilson</t>
  </si>
  <si>
    <t xml:space="preserve">C0360</t>
  </si>
  <si>
    <t xml:space="preserve">Laura Baker</t>
  </si>
  <si>
    <t xml:space="preserve">C0178</t>
  </si>
  <si>
    <t xml:space="preserve">Laura Chavez</t>
  </si>
  <si>
    <t xml:space="preserve">C0289</t>
  </si>
  <si>
    <t xml:space="preserve">Laura Hayes</t>
  </si>
  <si>
    <t xml:space="preserve">C0271</t>
  </si>
  <si>
    <t xml:space="preserve">Laura Hughes</t>
  </si>
  <si>
    <t xml:space="preserve">C1362</t>
  </si>
  <si>
    <t xml:space="preserve">Laura Jordan</t>
  </si>
  <si>
    <t xml:space="preserve">C1377</t>
  </si>
  <si>
    <t xml:space="preserve">Laura Long</t>
  </si>
  <si>
    <t xml:space="preserve">C1090</t>
  </si>
  <si>
    <t xml:space="preserve">Laura Moore</t>
  </si>
  <si>
    <t xml:space="preserve">C1809</t>
  </si>
  <si>
    <t xml:space="preserve">Laura White</t>
  </si>
  <si>
    <t xml:space="preserve">C0107</t>
  </si>
  <si>
    <t xml:space="preserve">Laurel Benitez</t>
  </si>
  <si>
    <t xml:space="preserve">C0965</t>
  </si>
  <si>
    <t xml:space="preserve">Lauren Adams</t>
  </si>
  <si>
    <t xml:space="preserve">C1785</t>
  </si>
  <si>
    <t xml:space="preserve">Lauren Allen</t>
  </si>
  <si>
    <t xml:space="preserve">C1176</t>
  </si>
  <si>
    <t xml:space="preserve">Lauren Baker</t>
  </si>
  <si>
    <t xml:space="preserve">C1003</t>
  </si>
  <si>
    <t xml:space="preserve">Lauren Bennett</t>
  </si>
  <si>
    <t xml:space="preserve">C0978</t>
  </si>
  <si>
    <t xml:space="preserve">Lauren Brown</t>
  </si>
  <si>
    <t xml:space="preserve">C1399</t>
  </si>
  <si>
    <t xml:space="preserve">Lauren Evans</t>
  </si>
  <si>
    <t xml:space="preserve">C0215</t>
  </si>
  <si>
    <t xml:space="preserve">Lauren Foster</t>
  </si>
  <si>
    <t xml:space="preserve">C1499</t>
  </si>
  <si>
    <t xml:space="preserve">Lauren Gray</t>
  </si>
  <si>
    <t xml:space="preserve">C1277</t>
  </si>
  <si>
    <t xml:space="preserve">Lauren Griffin</t>
  </si>
  <si>
    <t xml:space="preserve">C0926</t>
  </si>
  <si>
    <t xml:space="preserve">Lauren Harris</t>
  </si>
  <si>
    <t xml:space="preserve">C0532</t>
  </si>
  <si>
    <t xml:space="preserve">Lauren Moore</t>
  </si>
  <si>
    <t xml:space="preserve">C1207</t>
  </si>
  <si>
    <t xml:space="preserve">Lauren Price</t>
  </si>
  <si>
    <t xml:space="preserve">C0578</t>
  </si>
  <si>
    <t xml:space="preserve">Lauren Rogers</t>
  </si>
  <si>
    <t xml:space="preserve">C1390</t>
  </si>
  <si>
    <t xml:space="preserve">Lauren Thomas</t>
  </si>
  <si>
    <t xml:space="preserve">C0201</t>
  </si>
  <si>
    <t xml:space="preserve">Lauren Weaver</t>
  </si>
  <si>
    <t xml:space="preserve">C0034</t>
  </si>
  <si>
    <t xml:space="preserve">Lauryn Patrick</t>
  </si>
  <si>
    <t xml:space="preserve">C1263</t>
  </si>
  <si>
    <t xml:space="preserve">Lawrence Alexander</t>
  </si>
  <si>
    <t xml:space="preserve">C0866</t>
  </si>
  <si>
    <t xml:space="preserve">Lawrence Bryant</t>
  </si>
  <si>
    <t xml:space="preserve">C0539</t>
  </si>
  <si>
    <t xml:space="preserve">C1069</t>
  </si>
  <si>
    <t xml:space="preserve">Lawrence Cox</t>
  </si>
  <si>
    <t xml:space="preserve">C1212</t>
  </si>
  <si>
    <t xml:space="preserve">Lawrence Gray</t>
  </si>
  <si>
    <t xml:space="preserve">C1999</t>
  </si>
  <si>
    <t xml:space="preserve">Lawrence Montgomery</t>
  </si>
  <si>
    <t xml:space="preserve">C1870</t>
  </si>
  <si>
    <t xml:space="preserve">Lawrence Moore</t>
  </si>
  <si>
    <t xml:space="preserve">C1635</t>
  </si>
  <si>
    <t xml:space="preserve">C0516</t>
  </si>
  <si>
    <t xml:space="preserve">Lawrence Nelson</t>
  </si>
  <si>
    <t xml:space="preserve">C1230</t>
  </si>
  <si>
    <t xml:space="preserve">Lawrence Parker</t>
  </si>
  <si>
    <t xml:space="preserve">C0440</t>
  </si>
  <si>
    <t xml:space="preserve">C0181</t>
  </si>
  <si>
    <t xml:space="preserve">Lawrence Peterson</t>
  </si>
  <si>
    <t xml:space="preserve">C0800</t>
  </si>
  <si>
    <t xml:space="preserve">Lawrence Smith</t>
  </si>
  <si>
    <t xml:space="preserve">C1463</t>
  </si>
  <si>
    <t xml:space="preserve">Lawrence Ward</t>
  </si>
  <si>
    <t xml:space="preserve">C0664</t>
  </si>
  <si>
    <t xml:space="preserve">Lawrence Wood</t>
  </si>
  <si>
    <t xml:space="preserve">C1743</t>
  </si>
  <si>
    <t xml:space="preserve">Linda Bell</t>
  </si>
  <si>
    <t xml:space="preserve">C0960</t>
  </si>
  <si>
    <t xml:space="preserve">Linda Bennett</t>
  </si>
  <si>
    <t xml:space="preserve">C1514</t>
  </si>
  <si>
    <t xml:space="preserve">Linda Bryant</t>
  </si>
  <si>
    <t xml:space="preserve">C1397</t>
  </si>
  <si>
    <t xml:space="preserve">Linda Chavez</t>
  </si>
  <si>
    <t xml:space="preserve">C1532</t>
  </si>
  <si>
    <t xml:space="preserve">Linda Freeman</t>
  </si>
  <si>
    <t xml:space="preserve">C0200</t>
  </si>
  <si>
    <t xml:space="preserve">Linda Harris</t>
  </si>
  <si>
    <t xml:space="preserve">C1274</t>
  </si>
  <si>
    <t xml:space="preserve">Linda Jones</t>
  </si>
  <si>
    <t xml:space="preserve">C1618</t>
  </si>
  <si>
    <t xml:space="preserve">Linda Price</t>
  </si>
  <si>
    <t xml:space="preserve">C0301</t>
  </si>
  <si>
    <t xml:space="preserve">Lisa Alexander</t>
  </si>
  <si>
    <t xml:space="preserve">C0676</t>
  </si>
  <si>
    <t xml:space="preserve">Lisa Davis</t>
  </si>
  <si>
    <t xml:space="preserve">C1537</t>
  </si>
  <si>
    <t xml:space="preserve">Lisa Foster</t>
  </si>
  <si>
    <t xml:space="preserve">C0407</t>
  </si>
  <si>
    <t xml:space="preserve">Lisa Freeman</t>
  </si>
  <si>
    <t xml:space="preserve">C0779</t>
  </si>
  <si>
    <t xml:space="preserve">Lisa Hughes</t>
  </si>
  <si>
    <t xml:space="preserve">C0601</t>
  </si>
  <si>
    <t xml:space="preserve">Lisa Nelson</t>
  </si>
  <si>
    <t xml:space="preserve">C0499</t>
  </si>
  <si>
    <t xml:space="preserve">Lisa Patterson</t>
  </si>
  <si>
    <t xml:space="preserve">C0679</t>
  </si>
  <si>
    <t xml:space="preserve">C1372</t>
  </si>
  <si>
    <t xml:space="preserve">Lisa Turner</t>
  </si>
  <si>
    <t xml:space="preserve">C1198</t>
  </si>
  <si>
    <t xml:space="preserve">Lisa Young</t>
  </si>
  <si>
    <t xml:space="preserve">C0752</t>
  </si>
  <si>
    <t xml:space="preserve">C0133</t>
  </si>
  <si>
    <t xml:space="preserve">Logan Simmons</t>
  </si>
  <si>
    <t xml:space="preserve">C0130</t>
  </si>
  <si>
    <t xml:space="preserve">Luis Crane</t>
  </si>
  <si>
    <t xml:space="preserve">C0018</t>
  </si>
  <si>
    <t xml:space="preserve">Luke Lynn</t>
  </si>
  <si>
    <t xml:space="preserve">C0033</t>
  </si>
  <si>
    <t xml:space="preserve">Lydia Tate</t>
  </si>
  <si>
    <t xml:space="preserve">C0141</t>
  </si>
  <si>
    <t xml:space="preserve">Madalyn Mercer</t>
  </si>
  <si>
    <t xml:space="preserve">C0120</t>
  </si>
  <si>
    <t xml:space="preserve">Madeline Michael</t>
  </si>
  <si>
    <t xml:space="preserve">C1486</t>
  </si>
  <si>
    <t xml:space="preserve">Madison Campbell</t>
  </si>
  <si>
    <t xml:space="preserve">C0519</t>
  </si>
  <si>
    <t xml:space="preserve">Madison Freeman</t>
  </si>
  <si>
    <t xml:space="preserve">C0502</t>
  </si>
  <si>
    <t xml:space="preserve">Madison Gray</t>
  </si>
  <si>
    <t xml:space="preserve">C0374</t>
  </si>
  <si>
    <t xml:space="preserve">Madison Hughes</t>
  </si>
  <si>
    <t xml:space="preserve">C0789</t>
  </si>
  <si>
    <t xml:space="preserve">Madison Price</t>
  </si>
  <si>
    <t xml:space="preserve">C1229</t>
  </si>
  <si>
    <t xml:space="preserve">Madison Reyes</t>
  </si>
  <si>
    <t xml:space="preserve">C0979</t>
  </si>
  <si>
    <t xml:space="preserve">Madison Roberts</t>
  </si>
  <si>
    <t xml:space="preserve">C1089</t>
  </si>
  <si>
    <t xml:space="preserve">Madison Ward</t>
  </si>
  <si>
    <t xml:space="preserve">C0042</t>
  </si>
  <si>
    <t xml:space="preserve">Maia Chandler</t>
  </si>
  <si>
    <t xml:space="preserve">C0055</t>
  </si>
  <si>
    <t xml:space="preserve">Mara Franco</t>
  </si>
  <si>
    <t xml:space="preserve">C1869</t>
  </si>
  <si>
    <t xml:space="preserve">Margaret Campbell</t>
  </si>
  <si>
    <t xml:space="preserve">C1252</t>
  </si>
  <si>
    <t xml:space="preserve">Margaret Cook</t>
  </si>
  <si>
    <t xml:space="preserve">C0278</t>
  </si>
  <si>
    <t xml:space="preserve">Margaret Foster</t>
  </si>
  <si>
    <t xml:space="preserve">C1547</t>
  </si>
  <si>
    <t xml:space="preserve">Margaret Martin</t>
  </si>
  <si>
    <t xml:space="preserve">C0192</t>
  </si>
  <si>
    <t xml:space="preserve">Margaret Moore</t>
  </si>
  <si>
    <t xml:space="preserve">C0668</t>
  </si>
  <si>
    <t xml:space="preserve">Margaret Peterson</t>
  </si>
  <si>
    <t xml:space="preserve">C1413</t>
  </si>
  <si>
    <t xml:space="preserve">Margaret Rogers</t>
  </si>
  <si>
    <t xml:space="preserve">C0844</t>
  </si>
  <si>
    <t xml:space="preserve">Margaret Scott</t>
  </si>
  <si>
    <t xml:space="preserve">C1298</t>
  </si>
  <si>
    <t xml:space="preserve">Margaret Taylor</t>
  </si>
  <si>
    <t xml:space="preserve">C1642</t>
  </si>
  <si>
    <t xml:space="preserve">Maria Adams</t>
  </si>
  <si>
    <t xml:space="preserve">C1697</t>
  </si>
  <si>
    <t xml:space="preserve">Maria Brown</t>
  </si>
  <si>
    <t xml:space="preserve">C1810</t>
  </si>
  <si>
    <t xml:space="preserve">Maria Collins</t>
  </si>
  <si>
    <t xml:space="preserve">C0666</t>
  </si>
  <si>
    <t xml:space="preserve">Maria Davis</t>
  </si>
  <si>
    <t xml:space="preserve">C0302</t>
  </si>
  <si>
    <t xml:space="preserve">Maria Edwards</t>
  </si>
  <si>
    <t xml:space="preserve">C0325</t>
  </si>
  <si>
    <t xml:space="preserve">Maria Flores</t>
  </si>
  <si>
    <t xml:space="preserve">C0835</t>
  </si>
  <si>
    <t xml:space="preserve">Maria Foster</t>
  </si>
  <si>
    <t xml:space="preserve">C1473</t>
  </si>
  <si>
    <t xml:space="preserve">Maria Freeman</t>
  </si>
  <si>
    <t xml:space="preserve">C1342</t>
  </si>
  <si>
    <t xml:space="preserve">Maria Griffin</t>
  </si>
  <si>
    <t xml:space="preserve">C1941</t>
  </si>
  <si>
    <t xml:space="preserve">Maria James</t>
  </si>
  <si>
    <t xml:space="preserve">C0987</t>
  </si>
  <si>
    <t xml:space="preserve">Maria Johnson</t>
  </si>
  <si>
    <t xml:space="preserve">C1400</t>
  </si>
  <si>
    <t xml:space="preserve">Maria Jones</t>
  </si>
  <si>
    <t xml:space="preserve">C1378</t>
  </si>
  <si>
    <t xml:space="preserve">Maria Morales</t>
  </si>
  <si>
    <t xml:space="preserve">C1562</t>
  </si>
  <si>
    <t xml:space="preserve">Maria Morris</t>
  </si>
  <si>
    <t xml:space="preserve">C0629</t>
  </si>
  <si>
    <t xml:space="preserve">Maria Richardson</t>
  </si>
  <si>
    <t xml:space="preserve">C1886</t>
  </si>
  <si>
    <t xml:space="preserve">C0698</t>
  </si>
  <si>
    <t xml:space="preserve">Maria Scott</t>
  </si>
  <si>
    <t xml:space="preserve">C1046</t>
  </si>
  <si>
    <t xml:space="preserve">Maria Wood</t>
  </si>
  <si>
    <t xml:space="preserve">C1946</t>
  </si>
  <si>
    <t xml:space="preserve">Mark Bell</t>
  </si>
  <si>
    <t xml:space="preserve">C0639</t>
  </si>
  <si>
    <t xml:space="preserve">Mark Campbell</t>
  </si>
  <si>
    <t xml:space="preserve">C1755</t>
  </si>
  <si>
    <t xml:space="preserve">Mark Griffin</t>
  </si>
  <si>
    <t xml:space="preserve">C1347</t>
  </si>
  <si>
    <t xml:space="preserve">Mark James</t>
  </si>
  <si>
    <t xml:space="preserve">C0208</t>
  </si>
  <si>
    <t xml:space="preserve">C0984</t>
  </si>
  <si>
    <t xml:space="preserve">Mark Johnson</t>
  </si>
  <si>
    <t xml:space="preserve">C0507</t>
  </si>
  <si>
    <t xml:space="preserve">Mark Morales</t>
  </si>
  <si>
    <t xml:space="preserve">C1890</t>
  </si>
  <si>
    <t xml:space="preserve">Mark Nelson</t>
  </si>
  <si>
    <t xml:space="preserve">C1998</t>
  </si>
  <si>
    <t xml:space="preserve">Mark Patterson</t>
  </si>
  <si>
    <t xml:space="preserve">C1255</t>
  </si>
  <si>
    <t xml:space="preserve">C1065</t>
  </si>
  <si>
    <t xml:space="preserve">Mark Reyes</t>
  </si>
  <si>
    <t xml:space="preserve">C0347</t>
  </si>
  <si>
    <t xml:space="preserve">C1578</t>
  </si>
  <si>
    <t xml:space="preserve">Mark Turner</t>
  </si>
  <si>
    <t xml:space="preserve">C0448</t>
  </si>
  <si>
    <t xml:space="preserve">Mark White</t>
  </si>
  <si>
    <t xml:space="preserve">C0296</t>
  </si>
  <si>
    <t xml:space="preserve">Mark Young</t>
  </si>
  <si>
    <t xml:space="preserve">C1036</t>
  </si>
  <si>
    <t xml:space="preserve">Martha Collins</t>
  </si>
  <si>
    <t xml:space="preserve">C0780</t>
  </si>
  <si>
    <t xml:space="preserve">Martha Hansen</t>
  </si>
  <si>
    <t xml:space="preserve">C1129</t>
  </si>
  <si>
    <t xml:space="preserve">C0846</t>
  </si>
  <si>
    <t xml:space="preserve">Martha Harris</t>
  </si>
  <si>
    <t xml:space="preserve">C1216</t>
  </si>
  <si>
    <t xml:space="preserve">Martha Jordan</t>
  </si>
  <si>
    <t xml:space="preserve">C1776</t>
  </si>
  <si>
    <t xml:space="preserve">Martha Mitchell</t>
  </si>
  <si>
    <t xml:space="preserve">C0718</t>
  </si>
  <si>
    <t xml:space="preserve">Martha Scott</t>
  </si>
  <si>
    <t xml:space="preserve">C1717</t>
  </si>
  <si>
    <t xml:space="preserve">Martha Thomas</t>
  </si>
  <si>
    <t xml:space="preserve">C1527</t>
  </si>
  <si>
    <t xml:space="preserve">C1806</t>
  </si>
  <si>
    <t xml:space="preserve">Martha Turner</t>
  </si>
  <si>
    <t xml:space="preserve">C0569</t>
  </si>
  <si>
    <t xml:space="preserve">Mary Cook</t>
  </si>
  <si>
    <t xml:space="preserve">C1191</t>
  </si>
  <si>
    <t xml:space="preserve">Mary Cox</t>
  </si>
  <si>
    <t xml:space="preserve">C0165</t>
  </si>
  <si>
    <t xml:space="preserve">Mary Hall</t>
  </si>
  <si>
    <t xml:space="preserve">C1760</t>
  </si>
  <si>
    <t xml:space="preserve">Mary Harris</t>
  </si>
  <si>
    <t xml:space="preserve">C1232</t>
  </si>
  <si>
    <t xml:space="preserve">Mary Jackson</t>
  </si>
  <si>
    <t xml:space="preserve">C1345</t>
  </si>
  <si>
    <t xml:space="preserve">Mary Parker</t>
  </si>
  <si>
    <t xml:space="preserve">C1440</t>
  </si>
  <si>
    <t xml:space="preserve">Mary Phillips</t>
  </si>
  <si>
    <t xml:space="preserve">C1492</t>
  </si>
  <si>
    <t xml:space="preserve">Mary Taylor</t>
  </si>
  <si>
    <t xml:space="preserve">C1384</t>
  </si>
  <si>
    <t xml:space="preserve">Mary Young</t>
  </si>
  <si>
    <t xml:space="preserve">C0047</t>
  </si>
  <si>
    <t xml:space="preserve">Mason Gilbert</t>
  </si>
  <si>
    <t xml:space="preserve">C0051</t>
  </si>
  <si>
    <t xml:space="preserve">Matilda Madden</t>
  </si>
  <si>
    <t xml:space="preserve">C1997</t>
  </si>
  <si>
    <t xml:space="preserve">Matthew Cox</t>
  </si>
  <si>
    <t xml:space="preserve">C0450</t>
  </si>
  <si>
    <t xml:space="preserve">Matthew Jackson</t>
  </si>
  <si>
    <t xml:space="preserve">C1706</t>
  </si>
  <si>
    <t xml:space="preserve">Matthew Jordan</t>
  </si>
  <si>
    <t xml:space="preserve">C1101</t>
  </si>
  <si>
    <t xml:space="preserve">Matthew King</t>
  </si>
  <si>
    <t xml:space="preserve">C0735</t>
  </si>
  <si>
    <t xml:space="preserve">Matthew Long</t>
  </si>
  <si>
    <t xml:space="preserve">C0164</t>
  </si>
  <si>
    <t xml:space="preserve">Matthew Nelson</t>
  </si>
  <si>
    <t xml:space="preserve">C1087</t>
  </si>
  <si>
    <t xml:space="preserve">Matthew Owens</t>
  </si>
  <si>
    <t xml:space="preserve">C1889</t>
  </si>
  <si>
    <t xml:space="preserve">Matthew Richardson</t>
  </si>
  <si>
    <t xml:space="preserve">C0788</t>
  </si>
  <si>
    <t xml:space="preserve">Matthew Stone</t>
  </si>
  <si>
    <t xml:space="preserve">C0768</t>
  </si>
  <si>
    <t xml:space="preserve">Matthew Weaver</t>
  </si>
  <si>
    <t xml:space="preserve">Southern Denmark</t>
  </si>
  <si>
    <t xml:space="preserve">C1188</t>
  </si>
  <si>
    <t xml:space="preserve">Matthew White</t>
  </si>
  <si>
    <t xml:space="preserve">C0802</t>
  </si>
  <si>
    <t xml:space="preserve">Matthew Williams</t>
  </si>
  <si>
    <t xml:space="preserve">C0270</t>
  </si>
  <si>
    <t xml:space="preserve">Megan Allen</t>
  </si>
  <si>
    <t xml:space="preserve">C0859</t>
  </si>
  <si>
    <t xml:space="preserve">Megan Anderson</t>
  </si>
  <si>
    <t xml:space="preserve">C1017</t>
  </si>
  <si>
    <t xml:space="preserve">Megan Baker</t>
  </si>
  <si>
    <t xml:space="preserve">C0239</t>
  </si>
  <si>
    <t xml:space="preserve">C1395</t>
  </si>
  <si>
    <t xml:space="preserve">Megan Campbell</t>
  </si>
  <si>
    <t xml:space="preserve">C0567</t>
  </si>
  <si>
    <t xml:space="preserve">Megan Chavez</t>
  </si>
  <si>
    <t xml:space="preserve">C1644</t>
  </si>
  <si>
    <t xml:space="preserve">Megan Freeman</t>
  </si>
  <si>
    <t xml:space="preserve">C0955</t>
  </si>
  <si>
    <t xml:space="preserve">Megan Garcia</t>
  </si>
  <si>
    <t xml:space="preserve">C1863</t>
  </si>
  <si>
    <t xml:space="preserve">Megan Hansen</t>
  </si>
  <si>
    <t xml:space="preserve">C0488</t>
  </si>
  <si>
    <t xml:space="preserve">Megan Jackson</t>
  </si>
  <si>
    <t xml:space="preserve">C0232</t>
  </si>
  <si>
    <t xml:space="preserve">Megan Kim</t>
  </si>
  <si>
    <t xml:space="preserve">C1343</t>
  </si>
  <si>
    <t xml:space="preserve">Megan Turner</t>
  </si>
  <si>
    <t xml:space="preserve">C1732</t>
  </si>
  <si>
    <t xml:space="preserve">Megan Wilson</t>
  </si>
  <si>
    <t xml:space="preserve">C0066</t>
  </si>
  <si>
    <t xml:space="preserve">Melanie Holland</t>
  </si>
  <si>
    <t xml:space="preserve">C0112</t>
  </si>
  <si>
    <t xml:space="preserve">Melany Glover</t>
  </si>
  <si>
    <t xml:space="preserve">C1179</t>
  </si>
  <si>
    <t xml:space="preserve">Melissa Anderson</t>
  </si>
  <si>
    <t xml:space="preserve">C0264</t>
  </si>
  <si>
    <t xml:space="preserve">Melissa Baker</t>
  </si>
  <si>
    <t xml:space="preserve">C1206</t>
  </si>
  <si>
    <t xml:space="preserve">C1194</t>
  </si>
  <si>
    <t xml:space="preserve">Melissa Brooks</t>
  </si>
  <si>
    <t xml:space="preserve">C1373</t>
  </si>
  <si>
    <t xml:space="preserve">Melissa Evans</t>
  </si>
  <si>
    <t xml:space="preserve">C1431</t>
  </si>
  <si>
    <t xml:space="preserve">Melissa Griffin</t>
  </si>
  <si>
    <t xml:space="preserve">C1948</t>
  </si>
  <si>
    <t xml:space="preserve">Melissa Harris</t>
  </si>
  <si>
    <t xml:space="preserve">C0726</t>
  </si>
  <si>
    <t xml:space="preserve">C1931</t>
  </si>
  <si>
    <t xml:space="preserve">Melissa Jackson</t>
  </si>
  <si>
    <t xml:space="preserve">C0515</t>
  </si>
  <si>
    <t xml:space="preserve">Melissa Patterson</t>
  </si>
  <si>
    <t xml:space="preserve">C1135</t>
  </si>
  <si>
    <t xml:space="preserve">Melissa Phillips</t>
  </si>
  <si>
    <t xml:space="preserve">Moscow Oblast</t>
  </si>
  <si>
    <t xml:space="preserve">C1187</t>
  </si>
  <si>
    <t xml:space="preserve">Melissa Pierce</t>
  </si>
  <si>
    <t xml:space="preserve">C1649</t>
  </si>
  <si>
    <t xml:space="preserve">Melissa Price</t>
  </si>
  <si>
    <t xml:space="preserve">C1875</t>
  </si>
  <si>
    <t xml:space="preserve">Melissa Roberts</t>
  </si>
  <si>
    <t xml:space="preserve">C0150</t>
  </si>
  <si>
    <t xml:space="preserve">Memphis Mcconnell</t>
  </si>
  <si>
    <t xml:space="preserve">C0954</t>
  </si>
  <si>
    <t xml:space="preserve">Michael Evans</t>
  </si>
  <si>
    <t xml:space="preserve">C1143</t>
  </si>
  <si>
    <t xml:space="preserve">Michael Garcia</t>
  </si>
  <si>
    <t xml:space="preserve">C0974</t>
  </si>
  <si>
    <t xml:space="preserve">Michael Hansen</t>
  </si>
  <si>
    <t xml:space="preserve">C0686</t>
  </si>
  <si>
    <t xml:space="preserve">Michael Howard</t>
  </si>
  <si>
    <t xml:space="preserve">C1332</t>
  </si>
  <si>
    <t xml:space="preserve">C1380</t>
  </si>
  <si>
    <t xml:space="preserve">Michael Hughes</t>
  </si>
  <si>
    <t xml:space="preserve">C0125</t>
  </si>
  <si>
    <t xml:space="preserve">Michael Juarez</t>
  </si>
  <si>
    <t xml:space="preserve">C0994</t>
  </si>
  <si>
    <t xml:space="preserve">Michael Moore</t>
  </si>
  <si>
    <t xml:space="preserve">C1235</t>
  </si>
  <si>
    <t xml:space="preserve">Michael Morales</t>
  </si>
  <si>
    <t xml:space="preserve">C0315</t>
  </si>
  <si>
    <t xml:space="preserve">Michael Phillips</t>
  </si>
  <si>
    <t xml:space="preserve">C1226</t>
  </si>
  <si>
    <t xml:space="preserve">Michael Sanders</t>
  </si>
  <si>
    <t xml:space="preserve">C1257</t>
  </si>
  <si>
    <t xml:space="preserve">Michael Scott</t>
  </si>
  <si>
    <t xml:space="preserve">C0925</t>
  </si>
  <si>
    <t xml:space="preserve">Michael Ward</t>
  </si>
  <si>
    <t xml:space="preserve">C0885</t>
  </si>
  <si>
    <t xml:space="preserve">Michael Williams</t>
  </si>
  <si>
    <t xml:space="preserve">C1906</t>
  </si>
  <si>
    <t xml:space="preserve">Michelle Adams</t>
  </si>
  <si>
    <t xml:space="preserve">C1617</t>
  </si>
  <si>
    <t xml:space="preserve">Michelle Baker</t>
  </si>
  <si>
    <t xml:space="preserve">C0370</t>
  </si>
  <si>
    <t xml:space="preserve">Michelle Brooks</t>
  </si>
  <si>
    <t xml:space="preserve">C0142</t>
  </si>
  <si>
    <t xml:space="preserve">Michelle Cameron</t>
  </si>
  <si>
    <t xml:space="preserve">C0445</t>
  </si>
  <si>
    <t xml:space="preserve">Michelle Evans</t>
  </si>
  <si>
    <t xml:space="preserve">C1025</t>
  </si>
  <si>
    <t xml:space="preserve">Michelle King</t>
  </si>
  <si>
    <t xml:space="preserve">C1716</t>
  </si>
  <si>
    <t xml:space="preserve">Michelle Montgomery</t>
  </si>
  <si>
    <t xml:space="preserve">C1995</t>
  </si>
  <si>
    <t xml:space="preserve">Michelle Scott</t>
  </si>
  <si>
    <t xml:space="preserve">C1868</t>
  </si>
  <si>
    <t xml:space="preserve">Michelle Thomas</t>
  </si>
  <si>
    <t xml:space="preserve">C0351</t>
  </si>
  <si>
    <t xml:space="preserve">Michelle Watson</t>
  </si>
  <si>
    <t xml:space="preserve">C0198</t>
  </si>
  <si>
    <t xml:space="preserve">Michelle White</t>
  </si>
  <si>
    <t xml:space="preserve">C1414</t>
  </si>
  <si>
    <t xml:space="preserve">Michelle Wright</t>
  </si>
  <si>
    <t xml:space="preserve">C0053</t>
  </si>
  <si>
    <t xml:space="preserve">Miguel Walter</t>
  </si>
  <si>
    <t xml:space="preserve">C0131</t>
  </si>
  <si>
    <t xml:space="preserve">Mohammad Irwin</t>
  </si>
  <si>
    <t xml:space="preserve">C0061</t>
  </si>
  <si>
    <t xml:space="preserve">Morgan Glass</t>
  </si>
  <si>
    <t xml:space="preserve">C0109</t>
  </si>
  <si>
    <t xml:space="preserve">Myah Roman</t>
  </si>
  <si>
    <t xml:space="preserve">C0052</t>
  </si>
  <si>
    <t xml:space="preserve">Myla Ewing</t>
  </si>
  <si>
    <t xml:space="preserve">C0904</t>
  </si>
  <si>
    <t xml:space="preserve">Nancy Brooks</t>
  </si>
  <si>
    <t xml:space="preserve">C0498</t>
  </si>
  <si>
    <t xml:space="preserve">Nancy Collins</t>
  </si>
  <si>
    <t xml:space="preserve">C0823</t>
  </si>
  <si>
    <t xml:space="preserve">Nancy Hayes</t>
  </si>
  <si>
    <t xml:space="preserve">C1892</t>
  </si>
  <si>
    <t xml:space="preserve">Nancy Jones</t>
  </si>
  <si>
    <t xml:space="preserve">C0243</t>
  </si>
  <si>
    <t xml:space="preserve">Nancy Patterson</t>
  </si>
  <si>
    <t xml:space="preserve">C0206</t>
  </si>
  <si>
    <t xml:space="preserve">Nancy Roberts</t>
  </si>
  <si>
    <t xml:space="preserve">C0337</t>
  </si>
  <si>
    <t xml:space="preserve">Nathan Alexander</t>
  </si>
  <si>
    <t xml:space="preserve">C1714</t>
  </si>
  <si>
    <t xml:space="preserve">Nathan Brooks</t>
  </si>
  <si>
    <t xml:space="preserve">C1861</t>
  </si>
  <si>
    <t xml:space="preserve">Nathan Evans</t>
  </si>
  <si>
    <t xml:space="preserve">C0605</t>
  </si>
  <si>
    <t xml:space="preserve">Nathan Flores</t>
  </si>
  <si>
    <t xml:space="preserve">C1731</t>
  </si>
  <si>
    <t xml:space="preserve">Nathan Garcia</t>
  </si>
  <si>
    <t xml:space="preserve">C0916</t>
  </si>
  <si>
    <t xml:space="preserve">Nathan Hansen</t>
  </si>
  <si>
    <t xml:space="preserve">C0913</t>
  </si>
  <si>
    <t xml:space="preserve">C0280</t>
  </si>
  <si>
    <t xml:space="preserve">Nathan Price</t>
  </si>
  <si>
    <t xml:space="preserve">C0224</t>
  </si>
  <si>
    <t xml:space="preserve">Nathan Richardson</t>
  </si>
  <si>
    <t xml:space="preserve">C1039</t>
  </si>
  <si>
    <t xml:space="preserve">Nicholas Carter</t>
  </si>
  <si>
    <t xml:space="preserve">C1494</t>
  </si>
  <si>
    <t xml:space="preserve">Nicholas Cooper</t>
  </si>
  <si>
    <t xml:space="preserve">C1028</t>
  </si>
  <si>
    <t xml:space="preserve">Nicholas Cox</t>
  </si>
  <si>
    <t xml:space="preserve">C0702</t>
  </si>
  <si>
    <t xml:space="preserve">Nicholas Flores</t>
  </si>
  <si>
    <t xml:space="preserve">C0382</t>
  </si>
  <si>
    <t xml:space="preserve">Nicholas Garcia</t>
  </si>
  <si>
    <t xml:space="preserve">C0463</t>
  </si>
  <si>
    <t xml:space="preserve">C0183</t>
  </si>
  <si>
    <t xml:space="preserve">Nicholas Green</t>
  </si>
  <si>
    <t xml:space="preserve">C0962</t>
  </si>
  <si>
    <t xml:space="preserve">Nicholas Hansen</t>
  </si>
  <si>
    <t xml:space="preserve">C1820</t>
  </si>
  <si>
    <t xml:space="preserve">Nicholas Howard</t>
  </si>
  <si>
    <t xml:space="preserve">C0257</t>
  </si>
  <si>
    <t xml:space="preserve">Nicholas Kim</t>
  </si>
  <si>
    <t xml:space="preserve">C0361</t>
  </si>
  <si>
    <t xml:space="preserve">Nicholas Miller</t>
  </si>
  <si>
    <t xml:space="preserve">C1323</t>
  </si>
  <si>
    <t xml:space="preserve">Nicholas Moore</t>
  </si>
  <si>
    <t xml:space="preserve">C0753</t>
  </si>
  <si>
    <t xml:space="preserve">Nicholas Patterson</t>
  </si>
  <si>
    <t xml:space="preserve">C0294</t>
  </si>
  <si>
    <t xml:space="preserve">Nicholas Reyes</t>
  </si>
  <si>
    <t xml:space="preserve">C1088</t>
  </si>
  <si>
    <t xml:space="preserve">Nicholas Stewart</t>
  </si>
  <si>
    <t xml:space="preserve">C1761</t>
  </si>
  <si>
    <t xml:space="preserve">Nicholas Thompson</t>
  </si>
  <si>
    <t xml:space="preserve">C1700</t>
  </si>
  <si>
    <t xml:space="preserve">Nicholas Young</t>
  </si>
  <si>
    <t xml:space="preserve">C0010</t>
  </si>
  <si>
    <t xml:space="preserve">Nicolas Navarro</t>
  </si>
  <si>
    <t xml:space="preserve">C0393</t>
  </si>
  <si>
    <t xml:space="preserve">Nicole Allen</t>
  </si>
  <si>
    <t xml:space="preserve">C1428</t>
  </si>
  <si>
    <t xml:space="preserve">C1903</t>
  </si>
  <si>
    <t xml:space="preserve">Nicole Bennett</t>
  </si>
  <si>
    <t xml:space="preserve">C0522</t>
  </si>
  <si>
    <t xml:space="preserve">Nicole Campbell</t>
  </si>
  <si>
    <t xml:space="preserve">C1498</t>
  </si>
  <si>
    <t xml:space="preserve">Nicole Carter</t>
  </si>
  <si>
    <t xml:space="preserve">C1449</t>
  </si>
  <si>
    <t xml:space="preserve">Nicole Cox</t>
  </si>
  <si>
    <t xml:space="preserve">C0847</t>
  </si>
  <si>
    <t xml:space="preserve">Nicole James</t>
  </si>
  <si>
    <t xml:space="preserve">C0704</t>
  </si>
  <si>
    <t xml:space="preserve">Nicole Jordan</t>
  </si>
  <si>
    <t xml:space="preserve">C0769</t>
  </si>
  <si>
    <t xml:space="preserve">Nicole Long</t>
  </si>
  <si>
    <t xml:space="preserve">C1994</t>
  </si>
  <si>
    <t xml:space="preserve">Nicole Miller</t>
  </si>
  <si>
    <t xml:space="preserve">C1835</t>
  </si>
  <si>
    <t xml:space="preserve">Nicole Pierce</t>
  </si>
  <si>
    <t xml:space="preserve">C1063</t>
  </si>
  <si>
    <t xml:space="preserve">Nicole Weaver</t>
  </si>
  <si>
    <t xml:space="preserve">C1271</t>
  </si>
  <si>
    <t xml:space="preserve">Noah Anderson</t>
  </si>
  <si>
    <t xml:space="preserve">C0286</t>
  </si>
  <si>
    <t xml:space="preserve">Noah Brooks</t>
  </si>
  <si>
    <t xml:space="preserve">C1169</t>
  </si>
  <si>
    <t xml:space="preserve">Noah Bryant</t>
  </si>
  <si>
    <t xml:space="preserve">C0443</t>
  </si>
  <si>
    <t xml:space="preserve">Noah Foster</t>
  </si>
  <si>
    <t xml:space="preserve">C0864</t>
  </si>
  <si>
    <t xml:space="preserve">Noah Kim</t>
  </si>
  <si>
    <t xml:space="preserve">C1934</t>
  </si>
  <si>
    <t xml:space="preserve">Noah Montgomery</t>
  </si>
  <si>
    <t xml:space="preserve">C1383</t>
  </si>
  <si>
    <t xml:space="preserve">Noah Moore</t>
  </si>
  <si>
    <t xml:space="preserve">C1163</t>
  </si>
  <si>
    <t xml:space="preserve">Noah Morales</t>
  </si>
  <si>
    <t xml:space="preserve">C0586</t>
  </si>
  <si>
    <t xml:space="preserve">C1911</t>
  </si>
  <si>
    <t xml:space="preserve">Noah Murray</t>
  </si>
  <si>
    <t xml:space="preserve">C1208</t>
  </si>
  <si>
    <t xml:space="preserve">Noah Ward</t>
  </si>
  <si>
    <t xml:space="preserve">C0491</t>
  </si>
  <si>
    <t xml:space="preserve">Noah White</t>
  </si>
  <si>
    <t xml:space="preserve">C0078</t>
  </si>
  <si>
    <t xml:space="preserve">Nora Lynch</t>
  </si>
  <si>
    <t xml:space="preserve">C0110</t>
  </si>
  <si>
    <t xml:space="preserve">Nyla Blake</t>
  </si>
  <si>
    <t xml:space="preserve">C0016</t>
  </si>
  <si>
    <t xml:space="preserve">Olivia Oconnell</t>
  </si>
  <si>
    <t xml:space="preserve">C0059</t>
  </si>
  <si>
    <t xml:space="preserve">Oswaldo Palmer</t>
  </si>
  <si>
    <t xml:space="preserve">C0272</t>
  </si>
  <si>
    <t xml:space="preserve">Pamela Green</t>
  </si>
  <si>
    <t xml:space="preserve">C1083</t>
  </si>
  <si>
    <t xml:space="preserve">Pamela Jackson</t>
  </si>
  <si>
    <t xml:space="preserve">C0799</t>
  </si>
  <si>
    <t xml:space="preserve">Pamela Johnson</t>
  </si>
  <si>
    <t xml:space="preserve">C1460</t>
  </si>
  <si>
    <t xml:space="preserve">Pamela Long</t>
  </si>
  <si>
    <t xml:space="preserve">C0871</t>
  </si>
  <si>
    <t xml:space="preserve">Pamela Pierce</t>
  </si>
  <si>
    <t xml:space="preserve">C1765</t>
  </si>
  <si>
    <t xml:space="preserve">Pamela Reyes</t>
  </si>
  <si>
    <t xml:space="preserve">C0587</t>
  </si>
  <si>
    <t xml:space="preserve">Pamela Richardson</t>
  </si>
  <si>
    <t xml:space="preserve">C0168</t>
  </si>
  <si>
    <t xml:space="preserve">Pamela Sanders</t>
  </si>
  <si>
    <t xml:space="preserve">C1403</t>
  </si>
  <si>
    <t xml:space="preserve">Pamela Scott</t>
  </si>
  <si>
    <t xml:space="preserve">C1569</t>
  </si>
  <si>
    <t xml:space="preserve">Pamela Turner</t>
  </si>
  <si>
    <t xml:space="preserve">C1450</t>
  </si>
  <si>
    <t xml:space="preserve">Pamela White</t>
  </si>
  <si>
    <t xml:space="preserve">C0161</t>
  </si>
  <si>
    <t xml:space="preserve">Parker Poole</t>
  </si>
  <si>
    <t xml:space="preserve">C0466</t>
  </si>
  <si>
    <t xml:space="preserve">Patricia Cox</t>
  </si>
  <si>
    <t xml:space="preserve">C0447</t>
  </si>
  <si>
    <t xml:space="preserve">Patricia Johnson</t>
  </si>
  <si>
    <t xml:space="preserve">C0655</t>
  </si>
  <si>
    <t xml:space="preserve">Patricia King</t>
  </si>
  <si>
    <t xml:space="preserve">C1082</t>
  </si>
  <si>
    <t xml:space="preserve">Patricia Martin</t>
  </si>
  <si>
    <t xml:space="preserve">C0649</t>
  </si>
  <si>
    <t xml:space="preserve">Patricia Mitchell</t>
  </si>
  <si>
    <t xml:space="preserve">C0530</t>
  </si>
  <si>
    <t xml:space="preserve">Patricia Reed</t>
  </si>
  <si>
    <t xml:space="preserve">C1588</t>
  </si>
  <si>
    <t xml:space="preserve">Patricia Thomas</t>
  </si>
  <si>
    <t xml:space="preserve">C1430</t>
  </si>
  <si>
    <t xml:space="preserve">Patrick Allen</t>
  </si>
  <si>
    <t xml:space="preserve">C1284</t>
  </si>
  <si>
    <t xml:space="preserve">Patrick Bennett</t>
  </si>
  <si>
    <t xml:space="preserve">C0338</t>
  </si>
  <si>
    <t xml:space="preserve">Patrick Flores</t>
  </si>
  <si>
    <t xml:space="preserve">C1520</t>
  </si>
  <si>
    <t xml:space="preserve">Patrick Griffin</t>
  </si>
  <si>
    <t xml:space="preserve">C0223</t>
  </si>
  <si>
    <t xml:space="preserve">Patrick Hansen</t>
  </si>
  <si>
    <t xml:space="preserve">C1504</t>
  </si>
  <si>
    <t xml:space="preserve">Patrick Hughes</t>
  </si>
  <si>
    <t xml:space="preserve">C1354</t>
  </si>
  <si>
    <t xml:space="preserve">Patrick Johnson</t>
  </si>
  <si>
    <t xml:space="preserve">C0683</t>
  </si>
  <si>
    <t xml:space="preserve">Patrick Jordan</t>
  </si>
  <si>
    <t xml:space="preserve">C1261</t>
  </si>
  <si>
    <t xml:space="preserve">Patrick Kim</t>
  </si>
  <si>
    <t xml:space="preserve">C0304</t>
  </si>
  <si>
    <t xml:space="preserve">Patrick Morris</t>
  </si>
  <si>
    <t xml:space="preserve">C0284</t>
  </si>
  <si>
    <t xml:space="preserve">Patrick Owens</t>
  </si>
  <si>
    <t xml:space="preserve">C1205</t>
  </si>
  <si>
    <t xml:space="preserve">Patrick Pierce</t>
  </si>
  <si>
    <t xml:space="preserve">C1479</t>
  </si>
  <si>
    <t xml:space="preserve">Paul Carter</t>
  </si>
  <si>
    <t xml:space="preserve">C1224</t>
  </si>
  <si>
    <t xml:space="preserve">C1472</t>
  </si>
  <si>
    <t xml:space="preserve">Paul Flores</t>
  </si>
  <si>
    <t xml:space="preserve">C1575</t>
  </si>
  <si>
    <t xml:space="preserve">Paul Freeman</t>
  </si>
  <si>
    <t xml:space="preserve">C0545</t>
  </si>
  <si>
    <t xml:space="preserve">Paul Griffin</t>
  </si>
  <si>
    <t xml:space="preserve">C0349</t>
  </si>
  <si>
    <t xml:space="preserve">Paul Jackson</t>
  </si>
  <si>
    <t xml:space="preserve">C1291</t>
  </si>
  <si>
    <t xml:space="preserve">Paul Johnson</t>
  </si>
  <si>
    <t xml:space="preserve">C0529</t>
  </si>
  <si>
    <t xml:space="preserve">Paul Jordan</t>
  </si>
  <si>
    <t xml:space="preserve">C0273</t>
  </si>
  <si>
    <t xml:space="preserve">Paul Morales</t>
  </si>
  <si>
    <t xml:space="preserve">C1878</t>
  </si>
  <si>
    <t xml:space="preserve">Paul Rogers</t>
  </si>
  <si>
    <t xml:space="preserve">C1928</t>
  </si>
  <si>
    <t xml:space="preserve">Paul Scott</t>
  </si>
  <si>
    <t xml:space="preserve">C1647</t>
  </si>
  <si>
    <t xml:space="preserve">Paul Stone</t>
  </si>
  <si>
    <t xml:space="preserve">C1652</t>
  </si>
  <si>
    <t xml:space="preserve">Paul Weaver</t>
  </si>
  <si>
    <t xml:space="preserve">C1098</t>
  </si>
  <si>
    <t xml:space="preserve">Paul Young</t>
  </si>
  <si>
    <t xml:space="preserve">C1189</t>
  </si>
  <si>
    <t xml:space="preserve">Peter Alexander</t>
  </si>
  <si>
    <t xml:space="preserve">C1938</t>
  </si>
  <si>
    <t xml:space="preserve">Peter Anderson</t>
  </si>
  <si>
    <t xml:space="preserve">C0417</t>
  </si>
  <si>
    <t xml:space="preserve">Peter Collins</t>
  </si>
  <si>
    <t xml:space="preserve">C1369</t>
  </si>
  <si>
    <t xml:space="preserve">Peter Garcia</t>
  </si>
  <si>
    <t xml:space="preserve">C1077</t>
  </si>
  <si>
    <t xml:space="preserve">Peter Griffin</t>
  </si>
  <si>
    <t xml:space="preserve">C1348</t>
  </si>
  <si>
    <t xml:space="preserve">Peter Harris</t>
  </si>
  <si>
    <t xml:space="preserve">C0970</t>
  </si>
  <si>
    <t xml:space="preserve">Peter Johnson</t>
  </si>
  <si>
    <t xml:space="preserve">C0597</t>
  </si>
  <si>
    <t xml:space="preserve">Peter King</t>
  </si>
  <si>
    <t xml:space="preserve">C1279</t>
  </si>
  <si>
    <t xml:space="preserve">Peter Martin</t>
  </si>
  <si>
    <t xml:space="preserve">C0837</t>
  </si>
  <si>
    <t xml:space="preserve">Peter Montgomery</t>
  </si>
  <si>
    <t xml:space="preserve">C0882</t>
  </si>
  <si>
    <t xml:space="preserve">Peter Moore</t>
  </si>
  <si>
    <t xml:space="preserve">C1699</t>
  </si>
  <si>
    <t xml:space="preserve">Peter Phillips</t>
  </si>
  <si>
    <t xml:space="preserve">C0184</t>
  </si>
  <si>
    <t xml:space="preserve">Peter Pierce</t>
  </si>
  <si>
    <t xml:space="preserve">C1320</t>
  </si>
  <si>
    <t xml:space="preserve">Peter Reyes</t>
  </si>
  <si>
    <t xml:space="preserve">C1583</t>
  </si>
  <si>
    <t xml:space="preserve">Peter Scott</t>
  </si>
  <si>
    <t xml:space="preserve">C1552</t>
  </si>
  <si>
    <t xml:space="preserve">Peter Wilson</t>
  </si>
  <si>
    <t xml:space="preserve">C0149</t>
  </si>
  <si>
    <t xml:space="preserve">Piotr Aleksandrov</t>
  </si>
  <si>
    <t xml:space="preserve">C1930</t>
  </si>
  <si>
    <t xml:space="preserve">Rachel Adams</t>
  </si>
  <si>
    <t xml:space="preserve">C0951</t>
  </si>
  <si>
    <t xml:space="preserve">Rachel Chavez</t>
  </si>
  <si>
    <t xml:space="preserve">C1597</t>
  </si>
  <si>
    <t xml:space="preserve">Rachel Cox</t>
  </si>
  <si>
    <t xml:space="preserve">C0140</t>
  </si>
  <si>
    <t xml:space="preserve">Rachel Cross</t>
  </si>
  <si>
    <t xml:space="preserve">C0227</t>
  </si>
  <si>
    <t xml:space="preserve">Rachel Evans</t>
  </si>
  <si>
    <t xml:space="preserve">C0254</t>
  </si>
  <si>
    <t xml:space="preserve">Rachel Freeman</t>
  </si>
  <si>
    <t xml:space="preserve">C1900</t>
  </si>
  <si>
    <t xml:space="preserve">Rachel Griffin</t>
  </si>
  <si>
    <t xml:space="preserve">C1992</t>
  </si>
  <si>
    <t xml:space="preserve">Rachel Hansen</t>
  </si>
  <si>
    <t xml:space="preserve">C0174</t>
  </si>
  <si>
    <t xml:space="preserve">Rachel Harris</t>
  </si>
  <si>
    <t xml:space="preserve">C1314</t>
  </si>
  <si>
    <t xml:space="preserve">Rachel Miller</t>
  </si>
  <si>
    <t xml:space="preserve">C1307</t>
  </si>
  <si>
    <t xml:space="preserve">Rachel Rogers</t>
  </si>
  <si>
    <t xml:space="preserve">C0423</t>
  </si>
  <si>
    <t xml:space="preserve">Rachel Sanders</t>
  </si>
  <si>
    <t xml:space="preserve">C1485</t>
  </si>
  <si>
    <t xml:space="preserve">Rachel Scott</t>
  </si>
  <si>
    <t xml:space="preserve">C1829</t>
  </si>
  <si>
    <t xml:space="preserve">Rachel Ward</t>
  </si>
  <si>
    <t xml:space="preserve">C1058</t>
  </si>
  <si>
    <t xml:space="preserve">Rachel Weaver</t>
  </si>
  <si>
    <t xml:space="preserve">C0144</t>
  </si>
  <si>
    <t xml:space="preserve">Ramiro Oneill</t>
  </si>
  <si>
    <t xml:space="preserve">C1475</t>
  </si>
  <si>
    <t xml:space="preserve">Raymond Brown</t>
  </si>
  <si>
    <t xml:space="preserve">C1970</t>
  </si>
  <si>
    <t xml:space="preserve">Raymond Howard</t>
  </si>
  <si>
    <t xml:space="preserve">C1872</t>
  </si>
  <si>
    <t xml:space="preserve">Raymond Jones</t>
  </si>
  <si>
    <t xml:space="preserve">C0729</t>
  </si>
  <si>
    <t xml:space="preserve">Raymond Long</t>
  </si>
  <si>
    <t xml:space="preserve">C1012</t>
  </si>
  <si>
    <t xml:space="preserve">Raymond Morales</t>
  </si>
  <si>
    <t xml:space="preserve">C0324</t>
  </si>
  <si>
    <t xml:space="preserve">Raymond Parker</t>
  </si>
  <si>
    <t xml:space="preserve">C0492</t>
  </si>
  <si>
    <t xml:space="preserve">Raymond Price</t>
  </si>
  <si>
    <t xml:space="preserve">C0891</t>
  </si>
  <si>
    <t xml:space="preserve">Raymond Roberts</t>
  </si>
  <si>
    <t xml:space="preserve">C0468</t>
  </si>
  <si>
    <t xml:space="preserve">Raymond Smith</t>
  </si>
  <si>
    <t xml:space="preserve">C1425</t>
  </si>
  <si>
    <t xml:space="preserve">Raymond Taylor</t>
  </si>
  <si>
    <t xml:space="preserve">C0274</t>
  </si>
  <si>
    <t xml:space="preserve">Raymond Young</t>
  </si>
  <si>
    <t xml:space="preserve">C1467</t>
  </si>
  <si>
    <t xml:space="preserve">Rebecca Adams</t>
  </si>
  <si>
    <t xml:space="preserve">C1045</t>
  </si>
  <si>
    <t xml:space="preserve">Rebecca Allen</t>
  </si>
  <si>
    <t xml:space="preserve">C1109</t>
  </si>
  <si>
    <t xml:space="preserve">Rebecca Anderson</t>
  </si>
  <si>
    <t xml:space="preserve">C1509</t>
  </si>
  <si>
    <t xml:space="preserve">Rebecca Campbell</t>
  </si>
  <si>
    <t xml:space="preserve">C0467</t>
  </si>
  <si>
    <t xml:space="preserve">Rebecca Chavez</t>
  </si>
  <si>
    <t xml:space="preserve">C1491</t>
  </si>
  <si>
    <t xml:space="preserve">Rebecca Evans</t>
  </si>
  <si>
    <t xml:space="preserve">C0514</t>
  </si>
  <si>
    <t xml:space="preserve">C0865</t>
  </si>
  <si>
    <t xml:space="preserve">Rebecca Gray</t>
  </si>
  <si>
    <t xml:space="preserve">C1042</t>
  </si>
  <si>
    <t xml:space="preserve">Rebecca Parker</t>
  </si>
  <si>
    <t xml:space="preserve">C1117</t>
  </si>
  <si>
    <t xml:space="preserve">Rebecca Patterson</t>
  </si>
  <si>
    <t xml:space="preserve">C0260</t>
  </si>
  <si>
    <t xml:space="preserve">Rebecca Wood</t>
  </si>
  <si>
    <t xml:space="preserve">C1793</t>
  </si>
  <si>
    <t xml:space="preserve">Richard James</t>
  </si>
  <si>
    <t xml:space="preserve">C0350</t>
  </si>
  <si>
    <t xml:space="preserve">Richard Jones</t>
  </si>
  <si>
    <t xml:space="preserve">C1780</t>
  </si>
  <si>
    <t xml:space="preserve">Richard Patterson</t>
  </si>
  <si>
    <t xml:space="preserve">C0538</t>
  </si>
  <si>
    <t xml:space="preserve">Richard Pierce</t>
  </si>
  <si>
    <t xml:space="preserve">C1146</t>
  </si>
  <si>
    <t xml:space="preserve">Richard Weaver</t>
  </si>
  <si>
    <t xml:space="preserve">C0665</t>
  </si>
  <si>
    <t xml:space="preserve">Robert Adams</t>
  </si>
  <si>
    <t xml:space="preserve">C1579</t>
  </si>
  <si>
    <t xml:space="preserve">Robert Bell</t>
  </si>
  <si>
    <t xml:space="preserve">C0766</t>
  </si>
  <si>
    <t xml:space="preserve">Robert Bennett</t>
  </si>
  <si>
    <t xml:space="preserve">C1026</t>
  </si>
  <si>
    <t xml:space="preserve">Robert Parker</t>
  </si>
  <si>
    <t xml:space="preserve">C1123</t>
  </si>
  <si>
    <t xml:space="preserve">Robert Pierce</t>
  </si>
  <si>
    <t xml:space="preserve">C1691</t>
  </si>
  <si>
    <t xml:space="preserve">Robert Reed</t>
  </si>
  <si>
    <t xml:space="preserve">C1867</t>
  </si>
  <si>
    <t xml:space="preserve">Robert Richardson</t>
  </si>
  <si>
    <t xml:space="preserve">C1729</t>
  </si>
  <si>
    <t xml:space="preserve">C0025</t>
  </si>
  <si>
    <t xml:space="preserve">Rodolfo Gibson</t>
  </si>
  <si>
    <t xml:space="preserve">C0065</t>
  </si>
  <si>
    <t xml:space="preserve">Rodrigo Ramirez</t>
  </si>
  <si>
    <t xml:space="preserve">C0032</t>
  </si>
  <si>
    <t xml:space="preserve">Rodrigo Robinson</t>
  </si>
  <si>
    <t xml:space="preserve">C1967</t>
  </si>
  <si>
    <t xml:space="preserve">Roger Bryant</t>
  </si>
  <si>
    <t xml:space="preserve">C1540</t>
  </si>
  <si>
    <t xml:space="preserve">Roger Cox</t>
  </si>
  <si>
    <t xml:space="preserve">C0833</t>
  </si>
  <si>
    <t xml:space="preserve">Roger Green</t>
  </si>
  <si>
    <t xml:space="preserve">C0295</t>
  </si>
  <si>
    <t xml:space="preserve">Roger Harris</t>
  </si>
  <si>
    <t xml:space="preserve">C0592</t>
  </si>
  <si>
    <t xml:space="preserve">Roger Moore</t>
  </si>
  <si>
    <t xml:space="preserve">C1105</t>
  </si>
  <si>
    <t xml:space="preserve">Roger Ward</t>
  </si>
  <si>
    <t xml:space="preserve">C0430</t>
  </si>
  <si>
    <t xml:space="preserve">Roger Wood</t>
  </si>
  <si>
    <t xml:space="preserve">C0727</t>
  </si>
  <si>
    <t xml:space="preserve">Ronald Bell</t>
  </si>
  <si>
    <t xml:space="preserve">C1661</t>
  </si>
  <si>
    <t xml:space="preserve">Ronald Cox</t>
  </si>
  <si>
    <t xml:space="preserve">C0915</t>
  </si>
  <si>
    <t xml:space="preserve">Ronald Harris</t>
  </si>
  <si>
    <t xml:space="preserve">C1966</t>
  </si>
  <si>
    <t xml:space="preserve">Ronald Howard</t>
  </si>
  <si>
    <t xml:space="preserve">C1604</t>
  </si>
  <si>
    <t xml:space="preserve">Ronald Kim</t>
  </si>
  <si>
    <t xml:space="preserve">C1658</t>
  </si>
  <si>
    <t xml:space="preserve">Ronald Patterson</t>
  </si>
  <si>
    <t xml:space="preserve">C1185</t>
  </si>
  <si>
    <t xml:space="preserve">Ronald Peterson</t>
  </si>
  <si>
    <t xml:space="preserve">C1125</t>
  </si>
  <si>
    <t xml:space="preserve">Ronald Price</t>
  </si>
  <si>
    <t xml:space="preserve">C1047</t>
  </si>
  <si>
    <t xml:space="preserve">Ronald Reyes</t>
  </si>
  <si>
    <t xml:space="preserve">C0231</t>
  </si>
  <si>
    <t xml:space="preserve">Ronald Rogers</t>
  </si>
  <si>
    <t xml:space="preserve">Central Denmark</t>
  </si>
  <si>
    <t xml:space="preserve">C0810</t>
  </si>
  <si>
    <t xml:space="preserve">Ronald Sanders</t>
  </si>
  <si>
    <t xml:space="preserve">C1639</t>
  </si>
  <si>
    <t xml:space="preserve">Ronald Smith</t>
  </si>
  <si>
    <t xml:space="preserve">C0389</t>
  </si>
  <si>
    <t xml:space="preserve">Ronald Stone</t>
  </si>
  <si>
    <t xml:space="preserve">C0135</t>
  </si>
  <si>
    <t xml:space="preserve">Ruben Melton</t>
  </si>
  <si>
    <t xml:space="preserve">C0004</t>
  </si>
  <si>
    <t xml:space="preserve">Russell Gross</t>
  </si>
  <si>
    <t xml:space="preserve">C0293</t>
  </si>
  <si>
    <t xml:space="preserve">Ruth Collins</t>
  </si>
  <si>
    <t xml:space="preserve">C0985</t>
  </si>
  <si>
    <t xml:space="preserve">Ruth Griffin</t>
  </si>
  <si>
    <t xml:space="preserve">C0433</t>
  </si>
  <si>
    <t xml:space="preserve">Ruth Hughes</t>
  </si>
  <si>
    <t xml:space="preserve">C0825</t>
  </si>
  <si>
    <t xml:space="preserve">C1213</t>
  </si>
  <si>
    <t xml:space="preserve">Ruth Martin</t>
  </si>
  <si>
    <t xml:space="preserve">C0923</t>
  </si>
  <si>
    <t xml:space="preserve">Ruth Richardson</t>
  </si>
  <si>
    <t xml:space="preserve">C0881</t>
  </si>
  <si>
    <t xml:space="preserve">Ruth Weaver</t>
  </si>
  <si>
    <t xml:space="preserve">C0827</t>
  </si>
  <si>
    <t xml:space="preserve">Ruth Wright</t>
  </si>
  <si>
    <t xml:space="preserve">C1885</t>
  </si>
  <si>
    <t xml:space="preserve">Ryan Bell</t>
  </si>
  <si>
    <t xml:space="preserve">C1651</t>
  </si>
  <si>
    <t xml:space="preserve">C0199</t>
  </si>
  <si>
    <t xml:space="preserve">Ryan Brown</t>
  </si>
  <si>
    <t xml:space="preserve">C0993</t>
  </si>
  <si>
    <t xml:space="preserve">Ryan Campbell</t>
  </si>
  <si>
    <t xml:space="preserve">C1272</t>
  </si>
  <si>
    <t xml:space="preserve">Ryan Collins</t>
  </si>
  <si>
    <t xml:space="preserve">C1613</t>
  </si>
  <si>
    <t xml:space="preserve">Ryan Griffin</t>
  </si>
  <si>
    <t xml:space="preserve">C1029</t>
  </si>
  <si>
    <t xml:space="preserve">Ryan Jackson</t>
  </si>
  <si>
    <t xml:space="preserve">C0977</t>
  </si>
  <si>
    <t xml:space="preserve">Ryan James</t>
  </si>
  <si>
    <t xml:space="preserve">C0976</t>
  </si>
  <si>
    <t xml:space="preserve">Ryan Miller</t>
  </si>
  <si>
    <t xml:space="preserve">C0371</t>
  </si>
  <si>
    <t xml:space="preserve">Ryan Moore</t>
  </si>
  <si>
    <t xml:space="preserve">C1983</t>
  </si>
  <si>
    <t xml:space="preserve">Ryan Reed</t>
  </si>
  <si>
    <t xml:space="preserve">C1712</t>
  </si>
  <si>
    <t xml:space="preserve">Ryan Turner</t>
  </si>
  <si>
    <t xml:space="preserve">C0290</t>
  </si>
  <si>
    <t xml:space="preserve">Ryan Watson</t>
  </si>
  <si>
    <t xml:space="preserve">C1812</t>
  </si>
  <si>
    <t xml:space="preserve">Ryan White</t>
  </si>
  <si>
    <t xml:space="preserve">C1405</t>
  </si>
  <si>
    <t xml:space="preserve">Ryan Williams</t>
  </si>
  <si>
    <t xml:space="preserve">C1996</t>
  </si>
  <si>
    <t xml:space="preserve">Samantha Brooks</t>
  </si>
  <si>
    <t xml:space="preserve">C0947</t>
  </si>
  <si>
    <t xml:space="preserve">Samantha Cox</t>
  </si>
  <si>
    <t xml:space="preserve">C0510</t>
  </si>
  <si>
    <t xml:space="preserve">Samantha Evans</t>
  </si>
  <si>
    <t xml:space="preserve">C0323</t>
  </si>
  <si>
    <t xml:space="preserve">Samantha Hayes</t>
  </si>
  <si>
    <t xml:space="preserve">C0709</t>
  </si>
  <si>
    <t xml:space="preserve">Samantha Price</t>
  </si>
  <si>
    <t xml:space="preserve">C0643</t>
  </si>
  <si>
    <t xml:space="preserve">Samantha Richardson</t>
  </si>
  <si>
    <t xml:space="preserve">C0759</t>
  </si>
  <si>
    <t xml:space="preserve">Samuel Anderson</t>
  </si>
  <si>
    <t xml:space="preserve">C0367</t>
  </si>
  <si>
    <t xml:space="preserve">Samuel Collins</t>
  </si>
  <si>
    <t xml:space="preserve">C0546</t>
  </si>
  <si>
    <t xml:space="preserve">Samuel Flores</t>
  </si>
  <si>
    <t xml:space="preserve">C0306</t>
  </si>
  <si>
    <t xml:space="preserve">Samuel Foster</t>
  </si>
  <si>
    <t xml:space="preserve">C0307</t>
  </si>
  <si>
    <t xml:space="preserve">Samuel Freeman</t>
  </si>
  <si>
    <t xml:space="preserve">C1289</t>
  </si>
  <si>
    <t xml:space="preserve">C0858</t>
  </si>
  <si>
    <t xml:space="preserve">Samuel Howard</t>
  </si>
  <si>
    <t xml:space="preserve">C1067</t>
  </si>
  <si>
    <t xml:space="preserve">C0724</t>
  </si>
  <si>
    <t xml:space="preserve">C1497</t>
  </si>
  <si>
    <t xml:space="preserve">Samuel Parker</t>
  </si>
  <si>
    <t xml:space="preserve">C1190</t>
  </si>
  <si>
    <t xml:space="preserve">Sandra Baker</t>
  </si>
  <si>
    <t xml:space="preserve">C1328</t>
  </si>
  <si>
    <t xml:space="preserve">Sandra Cooper</t>
  </si>
  <si>
    <t xml:space="preserve">C0972</t>
  </si>
  <si>
    <t xml:space="preserve">Sandra Evans</t>
  </si>
  <si>
    <t xml:space="preserve">C1487</t>
  </si>
  <si>
    <t xml:space="preserve">Sandra Martin</t>
  </si>
  <si>
    <t xml:space="preserve">C1534</t>
  </si>
  <si>
    <t xml:space="preserve">Sandra Pierce</t>
  </si>
  <si>
    <t xml:space="preserve">C0741</t>
  </si>
  <si>
    <t xml:space="preserve">Sandra Stone</t>
  </si>
  <si>
    <t xml:space="preserve">C1846</t>
  </si>
  <si>
    <t xml:space="preserve">Sara Allen</t>
  </si>
  <si>
    <t xml:space="preserve">C1536</t>
  </si>
  <si>
    <t xml:space="preserve">Sara Baker</t>
  </si>
  <si>
    <t xml:space="preserve">C1633</t>
  </si>
  <si>
    <t xml:space="preserve">Sara Bennett</t>
  </si>
  <si>
    <t xml:space="preserve">C0404</t>
  </si>
  <si>
    <t xml:space="preserve">Sara Cook</t>
  </si>
  <si>
    <t xml:space="preserve">C1655</t>
  </si>
  <si>
    <t xml:space="preserve">Sara Cox</t>
  </si>
  <si>
    <t xml:space="preserve">C0659</t>
  </si>
  <si>
    <t xml:space="preserve">Sara Foster</t>
  </si>
  <si>
    <t xml:space="preserve">C0255</t>
  </si>
  <si>
    <t xml:space="preserve">Sara Jones</t>
  </si>
  <si>
    <t xml:space="preserve">C0626</t>
  </si>
  <si>
    <t xml:space="preserve">C1634</t>
  </si>
  <si>
    <t xml:space="preserve">Sara King</t>
  </si>
  <si>
    <t xml:space="preserve">C1559</t>
  </si>
  <si>
    <t xml:space="preserve">Sara Mitchell</t>
  </si>
  <si>
    <t xml:space="preserve">C0435</t>
  </si>
  <si>
    <t xml:space="preserve">Sara Richardson</t>
  </si>
  <si>
    <t xml:space="preserve">C1248</t>
  </si>
  <si>
    <t xml:space="preserve">Sara Scott</t>
  </si>
  <si>
    <t xml:space="preserve">C1653</t>
  </si>
  <si>
    <t xml:space="preserve">Sara White</t>
  </si>
  <si>
    <t xml:space="preserve">C1406</t>
  </si>
  <si>
    <t xml:space="preserve">Sara Wood</t>
  </si>
  <si>
    <t xml:space="preserve">C0872</t>
  </si>
  <si>
    <t xml:space="preserve">Sarah Bennett</t>
  </si>
  <si>
    <t xml:space="preserve">C1611</t>
  </si>
  <si>
    <t xml:space="preserve">Sarah Bryant</t>
  </si>
  <si>
    <t xml:space="preserve">C1094</t>
  </si>
  <si>
    <t xml:space="preserve">Sarah Cook</t>
  </si>
  <si>
    <t xml:space="preserve">C1923</t>
  </si>
  <si>
    <t xml:space="preserve">Sarah Cooper</t>
  </si>
  <si>
    <t xml:space="preserve">C1848</t>
  </si>
  <si>
    <t xml:space="preserve">Sarah Davis</t>
  </si>
  <si>
    <t xml:space="preserve">C1085</t>
  </si>
  <si>
    <t xml:space="preserve">Sarah Flores</t>
  </si>
  <si>
    <t xml:space="preserve">C1981</t>
  </si>
  <si>
    <t xml:space="preserve">C1264</t>
  </si>
  <si>
    <t xml:space="preserve">Sarah Garcia</t>
  </si>
  <si>
    <t xml:space="preserve">C0177</t>
  </si>
  <si>
    <t xml:space="preserve">Sarah Hansen</t>
  </si>
  <si>
    <t xml:space="preserve">C0442</t>
  </si>
  <si>
    <t xml:space="preserve">C1084</t>
  </si>
  <si>
    <t xml:space="preserve">C0620</t>
  </si>
  <si>
    <t xml:space="preserve">Sarah Howard</t>
  </si>
  <si>
    <t xml:space="preserve">C0786</t>
  </si>
  <si>
    <t xml:space="preserve">Sarah Martin</t>
  </si>
  <si>
    <t xml:space="preserve">C0298</t>
  </si>
  <si>
    <t xml:space="preserve">Sarah Patterson</t>
  </si>
  <si>
    <t xml:space="preserve">C0427</t>
  </si>
  <si>
    <t xml:space="preserve">Sarah Peterson</t>
  </si>
  <si>
    <t xml:space="preserve">C1546</t>
  </si>
  <si>
    <t xml:space="preserve">Sarah Scott</t>
  </si>
  <si>
    <t xml:space="preserve">C0424</t>
  </si>
  <si>
    <t xml:space="preserve">Sarah Stewart</t>
  </si>
  <si>
    <t xml:space="preserve">C0191</t>
  </si>
  <si>
    <t xml:space="preserve">Sarah Turner</t>
  </si>
  <si>
    <t xml:space="preserve">C1530</t>
  </si>
  <si>
    <t xml:space="preserve">Sarah Wright</t>
  </si>
  <si>
    <t xml:space="preserve">C0037</t>
  </si>
  <si>
    <t xml:space="preserve">Scarlet Hendricks</t>
  </si>
  <si>
    <t xml:space="preserve">C0564</t>
  </si>
  <si>
    <t xml:space="preserve">Scott Adams</t>
  </si>
  <si>
    <t xml:space="preserve">C0480</t>
  </si>
  <si>
    <t xml:space="preserve">Scott Bryant</t>
  </si>
  <si>
    <t xml:space="preserve">C0889</t>
  </si>
  <si>
    <t xml:space="preserve">Scott Campbell</t>
  </si>
  <si>
    <t xml:space="preserve">C1668</t>
  </si>
  <si>
    <t xml:space="preserve">Scott Green</t>
  </si>
  <si>
    <t xml:space="preserve">C1166</t>
  </si>
  <si>
    <t xml:space="preserve">Scott Hall</t>
  </si>
  <si>
    <t xml:space="preserve">C1990</t>
  </si>
  <si>
    <t xml:space="preserve">Scott Howard</t>
  </si>
  <si>
    <t xml:space="preserve">C1002</t>
  </si>
  <si>
    <t xml:space="preserve">Scott Hughes</t>
  </si>
  <si>
    <t xml:space="preserve">C0992</t>
  </si>
  <si>
    <t xml:space="preserve">C1329</t>
  </si>
  <si>
    <t xml:space="preserve">Scott Parker</t>
  </si>
  <si>
    <t xml:space="preserve">C1814</t>
  </si>
  <si>
    <t xml:space="preserve">Scott Roberts</t>
  </si>
  <si>
    <t xml:space="preserve">C1153</t>
  </si>
  <si>
    <t xml:space="preserve">Scott Sanders</t>
  </si>
  <si>
    <t xml:space="preserve">C1288</t>
  </si>
  <si>
    <t xml:space="preserve">Sean Cooper</t>
  </si>
  <si>
    <t xml:space="preserve">C1945</t>
  </si>
  <si>
    <t xml:space="preserve">Sean Johnson</t>
  </si>
  <si>
    <t xml:space="preserve">C0195</t>
  </si>
  <si>
    <t xml:space="preserve">Sean Jones</t>
  </si>
  <si>
    <t xml:space="preserve">C0245</t>
  </si>
  <si>
    <t xml:space="preserve">Sean Long</t>
  </si>
  <si>
    <t xml:space="preserve">C1106</t>
  </si>
  <si>
    <t xml:space="preserve">Sean Martin</t>
  </si>
  <si>
    <t xml:space="preserve">C1816</t>
  </si>
  <si>
    <t xml:space="preserve">Sean Miller</t>
  </si>
  <si>
    <t xml:space="preserve">C1883</t>
  </si>
  <si>
    <t xml:space="preserve">Sean Peterson</t>
  </si>
  <si>
    <t xml:space="preserve">C1865</t>
  </si>
  <si>
    <t xml:space="preserve">Sean Rogers</t>
  </si>
  <si>
    <t xml:space="preserve">C0481</t>
  </si>
  <si>
    <t xml:space="preserve">Sean Williams</t>
  </si>
  <si>
    <t xml:space="preserve">C1965</t>
  </si>
  <si>
    <t xml:space="preserve">Sean Wright</t>
  </si>
  <si>
    <t xml:space="preserve">C1766</t>
  </si>
  <si>
    <t xml:space="preserve">Sharon Bennett</t>
  </si>
  <si>
    <t xml:space="preserve">C0193</t>
  </si>
  <si>
    <t xml:space="preserve">Sharon Campbell</t>
  </si>
  <si>
    <t xml:space="preserve">C1738</t>
  </si>
  <si>
    <t xml:space="preserve">Sharon Hall</t>
  </si>
  <si>
    <t xml:space="preserve">C1407</t>
  </si>
  <si>
    <t xml:space="preserve">Sharon Hansen</t>
  </si>
  <si>
    <t xml:space="preserve">C0685</t>
  </si>
  <si>
    <t xml:space="preserve">C0888</t>
  </si>
  <si>
    <t xml:space="preserve">Sharon Montgomery</t>
  </si>
  <si>
    <t xml:space="preserve">C1124</t>
  </si>
  <si>
    <t xml:space="preserve">Sharon Murray</t>
  </si>
  <si>
    <t xml:space="preserve">C1725</t>
  </si>
  <si>
    <t xml:space="preserve">Sharon Patterson</t>
  </si>
  <si>
    <t xml:space="preserve">C0473</t>
  </si>
  <si>
    <t xml:space="preserve">Sharon Price</t>
  </si>
  <si>
    <t xml:space="preserve">C1223</t>
  </si>
  <si>
    <t xml:space="preserve">Sharon Stone</t>
  </si>
  <si>
    <t xml:space="preserve">C1779</t>
  </si>
  <si>
    <t xml:space="preserve">Sharon Thomas</t>
  </si>
  <si>
    <t xml:space="preserve">C1404</t>
  </si>
  <si>
    <t xml:space="preserve">Sharon Williams</t>
  </si>
  <si>
    <t xml:space="preserve">C0218</t>
  </si>
  <si>
    <t xml:space="preserve">Shirley Anderson</t>
  </si>
  <si>
    <t xml:space="preserve">C1645</t>
  </si>
  <si>
    <t xml:space="preserve">Shirley Chavez</t>
  </si>
  <si>
    <t xml:space="preserve">C0394</t>
  </si>
  <si>
    <t xml:space="preserve">Shirley Foster</t>
  </si>
  <si>
    <t xml:space="preserve">C0770</t>
  </si>
  <si>
    <t xml:space="preserve">Shirley Hall</t>
  </si>
  <si>
    <t xml:space="preserve">C1355</t>
  </si>
  <si>
    <t xml:space="preserve">Shirley Owens</t>
  </si>
  <si>
    <t xml:space="preserve">C0376</t>
  </si>
  <si>
    <t xml:space="preserve">Shirley Smith</t>
  </si>
  <si>
    <t xml:space="preserve">C1500</t>
  </si>
  <si>
    <t xml:space="preserve">Shirley Ward</t>
  </si>
  <si>
    <t xml:space="preserve">C1136</t>
  </si>
  <si>
    <t xml:space="preserve">Shirley Weaver</t>
  </si>
  <si>
    <t xml:space="preserve">C0720</t>
  </si>
  <si>
    <t xml:space="preserve">Shirley Wilson</t>
  </si>
  <si>
    <t xml:space="preserve">C0081</t>
  </si>
  <si>
    <t xml:space="preserve">Sidney Cline</t>
  </si>
  <si>
    <t xml:space="preserve">C0106</t>
  </si>
  <si>
    <t xml:space="preserve">Simon Bennett</t>
  </si>
  <si>
    <t xml:space="preserve">C0152</t>
  </si>
  <si>
    <t xml:space="preserve">Sincere Hansen</t>
  </si>
  <si>
    <t xml:space="preserve">C0031</t>
  </si>
  <si>
    <t xml:space="preserve">Skylar Buchanan</t>
  </si>
  <si>
    <t xml:space="preserve">C0118</t>
  </si>
  <si>
    <t xml:space="preserve">Sonia Choi</t>
  </si>
  <si>
    <t xml:space="preserve">C0521</t>
  </si>
  <si>
    <t xml:space="preserve">Stephanie Allen</t>
  </si>
  <si>
    <t xml:space="preserve">C1667</t>
  </si>
  <si>
    <t xml:space="preserve">Stephanie Cook</t>
  </si>
  <si>
    <t xml:space="preserve">C0309</t>
  </si>
  <si>
    <t xml:space="preserve">Stephanie Cox</t>
  </si>
  <si>
    <t xml:space="preserve">C0345</t>
  </si>
  <si>
    <t xml:space="preserve">Stephanie Hall</t>
  </si>
  <si>
    <t xml:space="preserve">C1367</t>
  </si>
  <si>
    <t xml:space="preserve">Stephanie Jordan</t>
  </si>
  <si>
    <t xml:space="preserve">C0662</t>
  </si>
  <si>
    <t xml:space="preserve">Stephanie Kim</t>
  </si>
  <si>
    <t xml:space="preserve">C0249</t>
  </si>
  <si>
    <t xml:space="preserve">Stephanie Montgomery</t>
  </si>
  <si>
    <t xml:space="preserve">C1013</t>
  </si>
  <si>
    <t xml:space="preserve">Stephanie Patterson</t>
  </si>
  <si>
    <t xml:space="preserve">C0648</t>
  </si>
  <si>
    <t xml:space="preserve">Stephanie Reed</t>
  </si>
  <si>
    <t xml:space="preserve">C1629</t>
  </si>
  <si>
    <t xml:space="preserve">Stephanie Roberts</t>
  </si>
  <si>
    <t xml:space="preserve">C1061</t>
  </si>
  <si>
    <t xml:space="preserve">Stephanie Smith</t>
  </si>
  <si>
    <t xml:space="preserve">C1599</t>
  </si>
  <si>
    <t xml:space="preserve">Stephanie Thompson</t>
  </si>
  <si>
    <t xml:space="preserve">C0796</t>
  </si>
  <si>
    <t xml:space="preserve">Stephanie Ward</t>
  </si>
  <si>
    <t xml:space="preserve">C1006</t>
  </si>
  <si>
    <t xml:space="preserve">Stephanie Weaver</t>
  </si>
  <si>
    <t xml:space="preserve">C1811</t>
  </si>
  <si>
    <t xml:space="preserve">Stephanie Williams</t>
  </si>
  <si>
    <t xml:space="preserve">C0699</t>
  </si>
  <si>
    <t xml:space="preserve">Stephen Bennett</t>
  </si>
  <si>
    <t xml:space="preserve">C1286</t>
  </si>
  <si>
    <t xml:space="preserve">Stephen Evans</t>
  </si>
  <si>
    <t xml:space="preserve">C1787</t>
  </si>
  <si>
    <t xml:space="preserve">Stephen Flores</t>
  </si>
  <si>
    <t xml:space="preserve">C0242</t>
  </si>
  <si>
    <t xml:space="preserve">Stephen Peterson</t>
  </si>
  <si>
    <t xml:space="preserve">C0246</t>
  </si>
  <si>
    <t xml:space="preserve">Stephen Pierce</t>
  </si>
  <si>
    <t xml:space="preserve">C0630</t>
  </si>
  <si>
    <t xml:space="preserve">Stephen Roberts</t>
  </si>
  <si>
    <t xml:space="preserve">C1161</t>
  </si>
  <si>
    <t xml:space="preserve">Stephen White</t>
  </si>
  <si>
    <t xml:space="preserve">C1669</t>
  </si>
  <si>
    <t xml:space="preserve">Steven Collins</t>
  </si>
  <si>
    <t xml:space="preserve">C1285</t>
  </si>
  <si>
    <t xml:space="preserve">Steven Cox</t>
  </si>
  <si>
    <t xml:space="preserve">C1396</t>
  </si>
  <si>
    <t xml:space="preserve">Steven Foster</t>
  </si>
  <si>
    <t xml:space="preserve">C0390</t>
  </si>
  <si>
    <t xml:space="preserve">Steven Griffin</t>
  </si>
  <si>
    <t xml:space="preserve">C1079</t>
  </si>
  <si>
    <t xml:space="preserve">Steven Hayes</t>
  </si>
  <si>
    <t xml:space="preserve">C0476</t>
  </si>
  <si>
    <t xml:space="preserve">Steven Johnson</t>
  </si>
  <si>
    <t xml:space="preserve">C0459</t>
  </si>
  <si>
    <t xml:space="preserve">C1739</t>
  </si>
  <si>
    <t xml:space="preserve">Steven Smith</t>
  </si>
  <si>
    <t xml:space="preserve">C1563</t>
  </si>
  <si>
    <t xml:space="preserve">Susan Baker</t>
  </si>
  <si>
    <t xml:space="preserve">C1803</t>
  </si>
  <si>
    <t xml:space="preserve">Susan Bennett</t>
  </si>
  <si>
    <t xml:space="preserve">C0918</t>
  </si>
  <si>
    <t xml:space="preserve">Susan Cook</t>
  </si>
  <si>
    <t xml:space="preserve">C0283</t>
  </si>
  <si>
    <t xml:space="preserve">Susan Edwards</t>
  </si>
  <si>
    <t xml:space="preserve">C1704</t>
  </si>
  <si>
    <t xml:space="preserve">Susan Flores</t>
  </si>
  <si>
    <t xml:space="preserve">C1958</t>
  </si>
  <si>
    <t xml:space="preserve">Susan Foster</t>
  </si>
  <si>
    <t xml:space="preserve">C0687</t>
  </si>
  <si>
    <t xml:space="preserve">Susan Long</t>
  </si>
  <si>
    <t xml:space="preserve">C1991</t>
  </si>
  <si>
    <t xml:space="preserve">Susan Reed</t>
  </si>
  <si>
    <t xml:space="preserve">C0733</t>
  </si>
  <si>
    <t xml:space="preserve">Susan White</t>
  </si>
  <si>
    <t xml:space="preserve">C0754</t>
  </si>
  <si>
    <t xml:space="preserve">Teresa Johnson</t>
  </si>
  <si>
    <t xml:space="preserve">C0644</t>
  </si>
  <si>
    <t xml:space="preserve">C1290</t>
  </si>
  <si>
    <t xml:space="preserve">Teresa Long</t>
  </si>
  <si>
    <t xml:space="preserve">C0372</t>
  </si>
  <si>
    <t xml:space="preserve">Teresa Nelson</t>
  </si>
  <si>
    <t xml:space="preserve">C0582</t>
  </si>
  <si>
    <t xml:space="preserve">Teresa Pierce</t>
  </si>
  <si>
    <t xml:space="preserve">C1097</t>
  </si>
  <si>
    <t xml:space="preserve">C1518</t>
  </si>
  <si>
    <t xml:space="preserve">Teresa Rogers</t>
  </si>
  <si>
    <t xml:space="preserve">C1218</t>
  </si>
  <si>
    <t xml:space="preserve">Teresa Smith</t>
  </si>
  <si>
    <t xml:space="preserve">C1092</t>
  </si>
  <si>
    <t xml:space="preserve">Terry Adams</t>
  </si>
  <si>
    <t xml:space="preserve">C1884</t>
  </si>
  <si>
    <t xml:space="preserve">Terry Bell</t>
  </si>
  <si>
    <t xml:space="preserve">C1539</t>
  </si>
  <si>
    <t xml:space="preserve">Terry Brown</t>
  </si>
  <si>
    <t xml:space="preserve">C0997</t>
  </si>
  <si>
    <t xml:space="preserve">Terry Collins</t>
  </si>
  <si>
    <t xml:space="preserve">C0090</t>
  </si>
  <si>
    <t xml:space="preserve">Terry Forbes</t>
  </si>
  <si>
    <t xml:space="preserve">C1459</t>
  </si>
  <si>
    <t xml:space="preserve">Terry Hall</t>
  </si>
  <si>
    <t xml:space="preserve">C0996</t>
  </si>
  <si>
    <t xml:space="preserve">Terry Howard</t>
  </si>
  <si>
    <t xml:space="preserve">C1690</t>
  </si>
  <si>
    <t xml:space="preserve">Terry Martin</t>
  </si>
  <si>
    <t xml:space="preserve">C1792</t>
  </si>
  <si>
    <t xml:space="preserve">Terry Pierce</t>
  </si>
  <si>
    <t xml:space="preserve">C0576</t>
  </si>
  <si>
    <t xml:space="preserve">Terry Reyes</t>
  </si>
  <si>
    <t xml:space="preserve">C1132</t>
  </si>
  <si>
    <t xml:space="preserve">Terry Roberts</t>
  </si>
  <si>
    <t xml:space="preserve">C0169</t>
  </si>
  <si>
    <t xml:space="preserve">Terry Turner</t>
  </si>
  <si>
    <t xml:space="preserve">C1464</t>
  </si>
  <si>
    <t xml:space="preserve">Terry Weaver</t>
  </si>
  <si>
    <t xml:space="preserve">C1493</t>
  </si>
  <si>
    <t xml:space="preserve">Thomas Bennett</t>
  </si>
  <si>
    <t xml:space="preserve">C1986</t>
  </si>
  <si>
    <t xml:space="preserve">Thomas Griffin</t>
  </si>
  <si>
    <t xml:space="preserve">C0600</t>
  </si>
  <si>
    <t xml:space="preserve">Thomas King</t>
  </si>
  <si>
    <t xml:space="preserve">C0632</t>
  </si>
  <si>
    <t xml:space="preserve">Thomas Nelson</t>
  </si>
  <si>
    <t xml:space="preserve">C0458</t>
  </si>
  <si>
    <t xml:space="preserve">Thomas Turner</t>
  </si>
  <si>
    <t xml:space="preserve">C1150</t>
  </si>
  <si>
    <t xml:space="preserve">Tiffany Cook</t>
  </si>
  <si>
    <t xml:space="preserve">C1139</t>
  </si>
  <si>
    <t xml:space="preserve">Tiffany Green</t>
  </si>
  <si>
    <t xml:space="preserve">C1209</t>
  </si>
  <si>
    <t xml:space="preserve">Tiffany Kim</t>
  </si>
  <si>
    <t xml:space="preserve">C1130</t>
  </si>
  <si>
    <t xml:space="preserve">Tiffany Parker</t>
  </si>
  <si>
    <t xml:space="preserve">C1601</t>
  </si>
  <si>
    <t xml:space="preserve">C1695</t>
  </si>
  <si>
    <t xml:space="preserve">Tiffany Peterson</t>
  </si>
  <si>
    <t xml:space="preserve">C1049</t>
  </si>
  <si>
    <t xml:space="preserve">Tiffany Sanders</t>
  </si>
  <si>
    <t xml:space="preserve">C1365</t>
  </si>
  <si>
    <t xml:space="preserve">C1018</t>
  </si>
  <si>
    <t xml:space="preserve">Tiffany Turner</t>
  </si>
  <si>
    <t xml:space="preserve">C1525</t>
  </si>
  <si>
    <t xml:space="preserve">Timothy Brown</t>
  </si>
  <si>
    <t xml:space="preserve">C0841</t>
  </si>
  <si>
    <t xml:space="preserve">Timothy Cooper</t>
  </si>
  <si>
    <t xml:space="preserve">C1442</t>
  </si>
  <si>
    <t xml:space="preserve">Timothy Foster</t>
  </si>
  <si>
    <t xml:space="preserve">C0896</t>
  </si>
  <si>
    <t xml:space="preserve">Timothy Jones</t>
  </si>
  <si>
    <t xml:space="preserve">C1086</t>
  </si>
  <si>
    <t xml:space="preserve">Timothy Montgomery</t>
  </si>
  <si>
    <t xml:space="preserve">C0705</t>
  </si>
  <si>
    <t xml:space="preserve">Timothy Murray</t>
  </si>
  <si>
    <t xml:space="preserve">C0409</t>
  </si>
  <si>
    <t xml:space="preserve">Timothy Reyes</t>
  </si>
  <si>
    <t xml:space="preserve">C0695</t>
  </si>
  <si>
    <t xml:space="preserve">Timothy Rogers</t>
  </si>
  <si>
    <t xml:space="preserve">C1308</t>
  </si>
  <si>
    <t xml:space="preserve">Timothy Sanders</t>
  </si>
  <si>
    <t xml:space="preserve">C1201</t>
  </si>
  <si>
    <t xml:space="preserve">Timothy Stewart</t>
  </si>
  <si>
    <t xml:space="preserve">C1312</t>
  </si>
  <si>
    <t xml:space="preserve">Timothy Stone</t>
  </si>
  <si>
    <t xml:space="preserve">C1371</t>
  </si>
  <si>
    <t xml:space="preserve">Timothy Thomas</t>
  </si>
  <si>
    <t xml:space="preserve">C0568</t>
  </si>
  <si>
    <t xml:space="preserve">Timothy Wright</t>
  </si>
  <si>
    <t xml:space="preserve">C0108</t>
  </si>
  <si>
    <t xml:space="preserve">Trey Strong</t>
  </si>
  <si>
    <t xml:space="preserve">C0076</t>
  </si>
  <si>
    <t xml:space="preserve">Tristian Fuller</t>
  </si>
  <si>
    <t xml:space="preserve">C0002</t>
  </si>
  <si>
    <t xml:space="preserve">Trystan Oconnor</t>
  </si>
  <si>
    <t xml:space="preserve">C1151</t>
  </si>
  <si>
    <t xml:space="preserve">Tyler Anderson</t>
  </si>
  <si>
    <t xml:space="preserve">C0062</t>
  </si>
  <si>
    <t xml:space="preserve">Tyler Carr</t>
  </si>
  <si>
    <t xml:space="preserve">C0804</t>
  </si>
  <si>
    <t xml:space="preserve">Tyler Cook</t>
  </si>
  <si>
    <t xml:space="preserve">C0320</t>
  </si>
  <si>
    <t xml:space="preserve">Tyler Cox</t>
  </si>
  <si>
    <t xml:space="preserve">C0493</t>
  </si>
  <si>
    <t xml:space="preserve">Tyler Hughes</t>
  </si>
  <si>
    <t xml:space="preserve">C1415</t>
  </si>
  <si>
    <t xml:space="preserve">Tyler Murray</t>
  </si>
  <si>
    <t xml:space="preserve">C1558</t>
  </si>
  <si>
    <t xml:space="preserve">Tyler Phillips</t>
  </si>
  <si>
    <t xml:space="preserve">C0408</t>
  </si>
  <si>
    <t xml:space="preserve">Tyler Rogers</t>
  </si>
  <si>
    <t xml:space="preserve">C1050</t>
  </si>
  <si>
    <t xml:space="preserve">Tyler Watson</t>
  </si>
  <si>
    <t xml:space="preserve">C0154</t>
  </si>
  <si>
    <t xml:space="preserve">Valentina Simpson</t>
  </si>
  <si>
    <t xml:space="preserve">C0157</t>
  </si>
  <si>
    <t xml:space="preserve">Van Charles</t>
  </si>
  <si>
    <t xml:space="preserve">C0036</t>
  </si>
  <si>
    <t xml:space="preserve">Victor Jensen</t>
  </si>
  <si>
    <t xml:space="preserve">C1165</t>
  </si>
  <si>
    <t xml:space="preserve">Victoria Alexander</t>
  </si>
  <si>
    <t xml:space="preserve">C1186</t>
  </si>
  <si>
    <t xml:space="preserve">Victoria Bennett</t>
  </si>
  <si>
    <t xml:space="preserve">C1172</t>
  </si>
  <si>
    <t xml:space="preserve">Victoria Freeman</t>
  </si>
  <si>
    <t xml:space="preserve">C0647</t>
  </si>
  <si>
    <t xml:space="preserve">Victoria Green</t>
  </si>
  <si>
    <t xml:space="preserve">C1526</t>
  </si>
  <si>
    <t xml:space="preserve">Victoria Howard</t>
  </si>
  <si>
    <t xml:space="preserve">C0711</t>
  </si>
  <si>
    <t xml:space="preserve">Victoria Hughes</t>
  </si>
  <si>
    <t xml:space="preserve">C0910</t>
  </si>
  <si>
    <t xml:space="preserve">Victoria Jackson</t>
  </si>
  <si>
    <t xml:space="preserve">C1927</t>
  </si>
  <si>
    <t xml:space="preserve">Victoria Long</t>
  </si>
  <si>
    <t xml:space="preserve">C1334</t>
  </si>
  <si>
    <t xml:space="preserve">Victoria Nelson</t>
  </si>
  <si>
    <t xml:space="preserve">C0868</t>
  </si>
  <si>
    <t xml:space="preserve">Victoria Rogers</t>
  </si>
  <si>
    <t xml:space="preserve">C1808</t>
  </si>
  <si>
    <t xml:space="preserve">Victoria Stewart</t>
  </si>
  <si>
    <t xml:space="preserve">C1632</t>
  </si>
  <si>
    <t xml:space="preserve">Victoria Wright</t>
  </si>
  <si>
    <t xml:space="preserve">C0074</t>
  </si>
  <si>
    <t xml:space="preserve">Violet Nixon</t>
  </si>
  <si>
    <t xml:space="preserve">C1462</t>
  </si>
  <si>
    <t xml:space="preserve">Virginia Allen</t>
  </si>
  <si>
    <t xml:space="preserve">C0182</t>
  </si>
  <si>
    <t xml:space="preserve">Virginia Bennett</t>
  </si>
  <si>
    <t xml:space="preserve">C0456</t>
  </si>
  <si>
    <t xml:space="preserve">Virginia Brooks</t>
  </si>
  <si>
    <t xml:space="preserve">C1011</t>
  </si>
  <si>
    <t xml:space="preserve">C1401</t>
  </si>
  <si>
    <t xml:space="preserve">C0944</t>
  </si>
  <si>
    <t xml:space="preserve">Virginia Hughes</t>
  </si>
  <si>
    <t xml:space="preserve">C1689</t>
  </si>
  <si>
    <t xml:space="preserve">Virginia King</t>
  </si>
  <si>
    <t xml:space="preserve">C1393</t>
  </si>
  <si>
    <t xml:space="preserve">Virginia Miller</t>
  </si>
  <si>
    <t xml:space="preserve">C0860</t>
  </si>
  <si>
    <t xml:space="preserve">Virginia Morales</t>
  </si>
  <si>
    <t xml:space="preserve">C1830</t>
  </si>
  <si>
    <t xml:space="preserve">Virginia Owens</t>
  </si>
  <si>
    <t xml:space="preserve">C1543</t>
  </si>
  <si>
    <t xml:space="preserve">Virginia Peterson</t>
  </si>
  <si>
    <t xml:space="preserve">C1070</t>
  </si>
  <si>
    <t xml:space="preserve">Virginia Rogers</t>
  </si>
  <si>
    <t xml:space="preserve">C0717</t>
  </si>
  <si>
    <t xml:space="preserve">Virginia Weaver</t>
  </si>
  <si>
    <t xml:space="preserve">C0479</t>
  </si>
  <si>
    <t xml:space="preserve">Virginia Wright</t>
  </si>
  <si>
    <t xml:space="preserve">C0791</t>
  </si>
  <si>
    <t xml:space="preserve">Walter Adams</t>
  </si>
  <si>
    <t xml:space="preserve">C1877</t>
  </si>
  <si>
    <t xml:space="preserve">Walter Bryant</t>
  </si>
  <si>
    <t xml:space="preserve">C1160</t>
  </si>
  <si>
    <t xml:space="preserve">Walter Griffin</t>
  </si>
  <si>
    <t xml:space="preserve">C1857</t>
  </si>
  <si>
    <t xml:space="preserve">Walter Johnson</t>
  </si>
  <si>
    <t xml:space="preserve">C1813</t>
  </si>
  <si>
    <t xml:space="preserve">Walter Jordan</t>
  </si>
  <si>
    <t xml:space="preserve">C1947</t>
  </si>
  <si>
    <t xml:space="preserve">Walter Mitchell</t>
  </si>
  <si>
    <t xml:space="preserve">C0220</t>
  </si>
  <si>
    <t xml:space="preserve">Walter Phillips</t>
  </si>
  <si>
    <t xml:space="preserve">C0129</t>
  </si>
  <si>
    <t xml:space="preserve">Warren Pugh</t>
  </si>
  <si>
    <t xml:space="preserve">C0475</t>
  </si>
  <si>
    <t xml:space="preserve">William Brooks</t>
  </si>
  <si>
    <t xml:space="preserve">C1819</t>
  </si>
  <si>
    <t xml:space="preserve">William Brown</t>
  </si>
  <si>
    <t xml:space="preserve">C1795</t>
  </si>
  <si>
    <t xml:space="preserve">C1961</t>
  </si>
  <si>
    <t xml:space="preserve">William Campbell</t>
  </si>
  <si>
    <t xml:space="preserve">C1217</t>
  </si>
  <si>
    <t xml:space="preserve">William Carter</t>
  </si>
  <si>
    <t xml:space="preserve">C0938</t>
  </si>
  <si>
    <t xml:space="preserve">William Chavez</t>
  </si>
  <si>
    <t xml:space="preserve">C1505</t>
  </si>
  <si>
    <t xml:space="preserve">William Cook</t>
  </si>
  <si>
    <t xml:space="preserve">C1259</t>
  </si>
  <si>
    <t xml:space="preserve">William Edwards</t>
  </si>
  <si>
    <t xml:space="preserve">C1196</t>
  </si>
  <si>
    <t xml:space="preserve">William Freeman</t>
  </si>
  <si>
    <t xml:space="preserve">C0563</t>
  </si>
  <si>
    <t xml:space="preserve">William Howard</t>
  </si>
  <si>
    <t xml:space="preserve">C0830</t>
  </si>
  <si>
    <t xml:space="preserve">William Martin</t>
  </si>
  <si>
    <t xml:space="preserve">C1318</t>
  </si>
  <si>
    <t xml:space="preserve">William Montgomery</t>
  </si>
  <si>
    <t xml:space="preserve">C1989</t>
  </si>
  <si>
    <t xml:space="preserve">C1204</t>
  </si>
  <si>
    <t xml:space="preserve">William Reed</t>
  </si>
  <si>
    <t xml:space="preserve">C0275</t>
  </si>
  <si>
    <t xml:space="preserve">William Thompson</t>
  </si>
  <si>
    <t xml:space="preserve">C0219</t>
  </si>
  <si>
    <t xml:space="preserve">William Turner</t>
  </si>
  <si>
    <t xml:space="preserve">C1828</t>
  </si>
  <si>
    <t xml:space="preserve">William Wood</t>
  </si>
  <si>
    <t xml:space="preserve">C1155</t>
  </si>
  <si>
    <t xml:space="preserve">William Young</t>
  </si>
  <si>
    <t xml:space="preserve">C0328</t>
  </si>
  <si>
    <t xml:space="preserve">C0007</t>
  </si>
  <si>
    <t xml:space="preserve">Xavier Faulkner</t>
  </si>
  <si>
    <t xml:space="preserve">C0063</t>
  </si>
  <si>
    <t xml:space="preserve">Yesenia Marquez</t>
  </si>
  <si>
    <t xml:space="preserve">C0006</t>
  </si>
  <si>
    <t xml:space="preserve">Yurem Wright</t>
  </si>
  <si>
    <t xml:space="preserve">C0312</t>
  </si>
  <si>
    <t xml:space="preserve">Zachary Cooper</t>
  </si>
  <si>
    <t xml:space="preserve">C0421</t>
  </si>
  <si>
    <t xml:space="preserve">Zachary Cox</t>
  </si>
  <si>
    <t xml:space="preserve">C0388</t>
  </si>
  <si>
    <t xml:space="preserve">C1606</t>
  </si>
  <si>
    <t xml:space="preserve">Zachary Howard</t>
  </si>
  <si>
    <t xml:space="preserve">C1788</t>
  </si>
  <si>
    <t xml:space="preserve">Zachary James</t>
  </si>
  <si>
    <t xml:space="preserve">C1435</t>
  </si>
  <si>
    <t xml:space="preserve">Zachary Morales</t>
  </si>
  <si>
    <t xml:space="preserve">C0300</t>
  </si>
  <si>
    <t xml:space="preserve">Zachary Peterson</t>
  </si>
  <si>
    <t xml:space="preserve">C1834</t>
  </si>
  <si>
    <t xml:space="preserve">Zachary Phillips</t>
  </si>
  <si>
    <t xml:space="preserve">C0707</t>
  </si>
  <si>
    <t xml:space="preserve">Zachary Richardson</t>
  </si>
  <si>
    <t xml:space="preserve">C1734</t>
  </si>
  <si>
    <t xml:space="preserve">Zachary Roberts</t>
  </si>
  <si>
    <t xml:space="preserve">C0556</t>
  </si>
  <si>
    <t xml:space="preserve">Zachary Sanders</t>
  </si>
  <si>
    <t xml:space="preserve">C1698</t>
  </si>
  <si>
    <t xml:space="preserve">Zachary Stone</t>
  </si>
  <si>
    <t xml:space="preserve">C1859</t>
  </si>
  <si>
    <t xml:space="preserve">Zachary Taylor</t>
  </si>
  <si>
    <t xml:space="preserve">C1916</t>
  </si>
  <si>
    <t xml:space="preserve">Zachary Weaver</t>
  </si>
  <si>
    <t xml:space="preserve">C0084</t>
  </si>
  <si>
    <t xml:space="preserve">Zaiden Merritt</t>
  </si>
  <si>
    <t xml:space="preserve">Wyoming</t>
  </si>
  <si>
    <t xml:space="preserve">C0041</t>
  </si>
  <si>
    <t xml:space="preserve">Zain Horne</t>
  </si>
  <si>
    <t xml:space="preserve">How This Workbook Was Built</t>
  </si>
  <si>
    <t xml:space="preserve">1. Data pipeline order</t>
  </si>
  <si>
    <t xml:space="preserve">    SQL (clean + join clients &amp; properties into client_features.csv) -&gt; this Excel workbook</t>
  </si>
  <si>
    <t xml:space="preserve">    (encoding + scaling) -&gt; Tableau (clustering) -&gt; Power BI (final live dashboard).</t>
  </si>
  <si>
    <t xml:space="preserve">2. 'Client Features' sheet — Step 2: One-Hot Encoding</t>
  </si>
  <si>
    <t xml:space="preserve">    Columns type_Individual, type_Company, purpose_Home, purpose_Investment, and the three</t>
  </si>
  <si>
    <t xml:space="preserve">    referral_ columns are all formulas like =IF(ClientType="Individual",1,0) — this converts</t>
  </si>
  <si>
    <t xml:space="preserve">    text categories into 0/1 numeric flags, which clustering algorithms need.</t>
  </si>
  <si>
    <t xml:space="preserve">3. 'Client Features' sheet — Step 3: Feature Scaling</t>
  </si>
  <si>
    <t xml:space="preserve">    The _z columns (age_z, satisfaction_z, etc.) are Z-scores:</t>
  </si>
  <si>
    <t xml:space="preserve">        =(value - AVERAGE(column)) / STDEV(column)</t>
  </si>
  <si>
    <t xml:space="preserve">    This puts every numeric feature on the same scale (mean 0, std dev 1) so that a feature</t>
  </si>
  <si>
    <t xml:space="preserve">    like total_investment_value (in hundreds of thousands) doesn't dominate a feature like</t>
  </si>
  <si>
    <t xml:space="preserve">    satisfaction_score (1-5) just because its raw numbers are bigger.</t>
  </si>
  <si>
    <t xml:space="preserve">4. 'EDA Dashboard' sheet</t>
  </si>
  <si>
    <t xml:space="preserve">    Same COUNTIFS/AVERAGEIFS + dropdown-filter technique as the retention project — change</t>
  </si>
  <si>
    <t xml:space="preserve">    Country / Client Type / Acquisition Purpose and every table and chart updates live.</t>
  </si>
  <si>
    <t xml:space="preserve">Next steps (done in Tableau &amp; Power BI, outside this file)</t>
  </si>
  <si>
    <t xml:space="preserve">    1. Open Tableau -&gt; Connect to this workbook's 'Client Features' sheet.</t>
  </si>
  <si>
    <t xml:space="preserve">    2. Drag the six _z columns onto the view as measures.</t>
  </si>
  <si>
    <t xml:space="preserve">    3. Analytics pane -&gt; drag 'Cluster' onto the view -&gt; set number of clusters to 4</t>
  </si>
  <si>
    <t xml:space="preserve">       (matching the PRD's C1-C4 buyer segments) -&gt; Tableau runs K-Means automatically.</t>
  </si>
  <si>
    <t xml:space="preserve">    4. Try 3, 4, and 5 clusters and compare — this is the Excel/Tableau equivalent of the</t>
  </si>
  <si>
    <t xml:space="preserve">       Elbow Method / Silhouette Score from the PRD.</t>
  </si>
  <si>
    <t xml:space="preserve">    5. Right-click the Clusters legend -&gt; 'Create Group' to save the segment labels, then</t>
  </si>
  <si>
    <t xml:space="preserve">       export the cluster assignment back to a CSV for Power BI.</t>
  </si>
  <si>
    <t xml:space="preserve">    6. In Power BI, import client_features + the exported cluster labels, and build the</t>
  </si>
  <si>
    <t xml:space="preserve">       4 dashboard panels the PRD asks for (Segmentation Overview, Investor Behavior,</t>
  </si>
  <si>
    <t xml:space="preserve">       Geographic Map, Segment Insights), with filters for country/region/purpose/type.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</si>
</sst>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General"/>
    <numFmt numFmtId="167" formatCode="0.00"/>
    <numFmt numFmtId="168" formatCode="\$#,##0"/>
    <numFmt numFmtId="169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888888"/>
      <name val="Arial"/>
      <family val="0"/>
      <charset val="1"/>
    </font>
    <font>
      <b val="true"/>
      <sz val="16"/>
      <color rgb="FF1F3B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B8863B"/>
      <name val="Arial"/>
      <family val="0"/>
      <charset val="1"/>
    </font>
    <font>
      <b val="true"/>
      <sz val="11"/>
      <color rgb="FF1F3B5C"/>
      <name val="Arial"/>
      <family val="0"/>
      <charset val="1"/>
    </font>
    <font>
      <i val="true"/>
      <sz val="8"/>
      <color rgb="FF999999"/>
      <name val="Cambria"/>
      <family val="0"/>
      <charset val="1"/>
    </font>
    <font>
      <b val="true"/>
      <sz val="12"/>
      <color rgb="FF2E86AB"/>
      <name val="Arial"/>
      <family val="0"/>
      <charset val="1"/>
    </font>
    <font>
      <b val="true"/>
      <sz val="15"/>
      <color rgb="FF1F3B5C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B8863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B4C8C"/>
        <bgColor rgb="FF555555"/>
      </patternFill>
    </fill>
    <fill>
      <patternFill patternType="solid">
        <fgColor rgb="FF1F3B5C"/>
        <bgColor rgb="FF333300"/>
      </patternFill>
    </fill>
    <fill>
      <patternFill patternType="solid">
        <fgColor rgb="FFEAF1F5"/>
        <bgColor rgb="FFFFFFFF"/>
      </patternFill>
    </fill>
    <fill>
      <patternFill patternType="solid">
        <fgColor rgb="FF2E86AB"/>
        <bgColor rgb="FF4F81BD"/>
      </patternFill>
    </fill>
    <fill>
      <patternFill patternType="solid">
        <fgColor rgb="FFB8863B"/>
        <bgColor rgb="FF88888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4C8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3B"/>
      <rgbColor rgb="FF800080"/>
      <rgbColor rgb="FF008080"/>
      <rgbColor rgb="FFCCCCCC"/>
      <rgbColor rgb="FF888888"/>
      <rgbColor rgb="FF9999FF"/>
      <rgbColor rgb="FFC0504D"/>
      <rgbColor rgb="FFFFFFCC"/>
      <rgbColor rgb="FFEAF1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99999"/>
      <rgbColor rgb="FF1F3B5C"/>
      <rgbColor rgb="FF2E86AB"/>
      <rgbColor rgb="FF003300"/>
      <rgbColor rgb="FF333300"/>
      <rgbColor rgb="FF993300"/>
      <rgbColor rgb="FF6B4C8C"/>
      <rgbColor rgb="FF666666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Buyer Segment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'Segmentation Summary'!B7</c:f>
              <c:strCache>
                <c:ptCount val="1"/>
                <c:pt idx="0">
                  <c:v>Clients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'Segmentation Summary'!$A$8:$A$12</c:f>
              <c:strCache>
                <c:ptCount val="5"/>
                <c:pt idx="0">
                  <c:v>C1 - Global Investors</c:v>
                </c:pt>
                <c:pt idx="1">
                  <c:v>C2 - First-Time Buyers</c:v>
                </c:pt>
                <c:pt idx="2">
                  <c:v>C3 - Corporate Buyers</c:v>
                </c:pt>
                <c:pt idx="3">
                  <c:v>C4 - Luxury Investors</c:v>
                </c:pt>
                <c:pt idx="4">
                  <c:v>C5 - Other Individual Buyers</c:v>
                </c:pt>
              </c:strCache>
            </c:strRef>
          </c:cat>
          <c:val>
            <c:numRef>
              <c:f>'Segmentation Summary'!$B$8:$B$12</c:f>
              <c:numCache>
                <c:formatCode>General</c:formatCode>
                <c:ptCount val="5"/>
                <c:pt idx="0">
                  <c:v>271</c:v>
                </c:pt>
                <c:pt idx="1">
                  <c:v>255</c:v>
                </c:pt>
                <c:pt idx="2">
                  <c:v>103</c:v>
                </c:pt>
                <c:pt idx="3">
                  <c:v>269</c:v>
                </c:pt>
                <c:pt idx="4">
                  <c:v>1102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Investment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'Segmentation Summary'!C7</c:f>
              <c:strCache>
                <c:ptCount val="1"/>
                <c:pt idx="0">
                  <c:v>Avg Investment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'Segmentation Summary'!$A$8:$A$12</c:f>
              <c:strCache>
                <c:ptCount val="5"/>
                <c:pt idx="0">
                  <c:v>C1 - Global Investors</c:v>
                </c:pt>
                <c:pt idx="1">
                  <c:v>C2 - First-Time Buyers</c:v>
                </c:pt>
                <c:pt idx="2">
                  <c:v>C3 - Corporate Buyers</c:v>
                </c:pt>
                <c:pt idx="3">
                  <c:v>C4 - Luxury Investors</c:v>
                </c:pt>
                <c:pt idx="4">
                  <c:v>C5 - Other Individual Buyers</c:v>
                </c:pt>
              </c:strCache>
            </c:strRef>
          </c:cat>
          <c:val>
            <c:numRef>
              <c:f>'Segmentation Summary'!$C$8:$C$12</c:f>
              <c:numCache>
                <c:formatCode>\$#,##0</c:formatCode>
                <c:ptCount val="5"/>
                <c:pt idx="0">
                  <c:v>1525767.29066421</c:v>
                </c:pt>
                <c:pt idx="1">
                  <c:v>1135941.80309804</c:v>
                </c:pt>
                <c:pt idx="2">
                  <c:v>1263753.49368932</c:v>
                </c:pt>
                <c:pt idx="3">
                  <c:v>1519650.81085502</c:v>
                </c:pt>
                <c:pt idx="4">
                  <c:v>1160299.62550817</c:v>
                </c:pt>
              </c:numCache>
            </c:numRef>
          </c:val>
        </c:ser>
        <c:gapWidth val="150"/>
        <c:overlap val="0"/>
        <c:axId val="75092093"/>
        <c:axId val="29895250"/>
      </c:barChart>
      <c:catAx>
        <c:axId val="75092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95250"/>
        <c:crosses val="autoZero"/>
        <c:auto val="1"/>
        <c:lblAlgn val="ctr"/>
        <c:lblOffset val="100"/>
        <c:noMultiLvlLbl val="0"/>
      </c:catAx>
      <c:valAx>
        <c:axId val="298952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920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Clients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'EDA Dashboard'!B16</c:f>
              <c:strCache>
                <c:ptCount val="1"/>
                <c:pt idx="0">
                  <c:v>Clients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'EDA Dashboard'!$A$17:$A$26</c:f>
              <c:strCache>
                <c:ptCount val="10"/>
                <c:pt idx="0">
                  <c:v>USA</c:v>
                </c:pt>
                <c:pt idx="1">
                  <c:v>UK</c:v>
                </c:pt>
                <c:pt idx="2">
                  <c:v>Canada</c:v>
                </c:pt>
                <c:pt idx="3">
                  <c:v>Germany</c:v>
                </c:pt>
                <c:pt idx="4">
                  <c:v>France</c:v>
                </c:pt>
                <c:pt idx="5">
                  <c:v>Belgium</c:v>
                </c:pt>
                <c:pt idx="6">
                  <c:v>Mexico</c:v>
                </c:pt>
                <c:pt idx="7">
                  <c:v>Australia</c:v>
                </c:pt>
                <c:pt idx="8">
                  <c:v>Russia</c:v>
                </c:pt>
                <c:pt idx="9">
                  <c:v>Denmark</c:v>
                </c:pt>
              </c:strCache>
            </c:strRef>
          </c:cat>
          <c:val>
            <c:numRef>
              <c:f>'EDA Dashboard'!$B$17:$B$26</c:f>
              <c:numCache>
                <c:formatCode>General</c:formatCode>
                <c:ptCount val="10"/>
                <c:pt idx="0">
                  <c:v>1538</c:v>
                </c:pt>
                <c:pt idx="1">
                  <c:v>95</c:v>
                </c:pt>
                <c:pt idx="2">
                  <c:v>85</c:v>
                </c:pt>
                <c:pt idx="3">
                  <c:v>56</c:v>
                </c:pt>
                <c:pt idx="4">
                  <c:v>53</c:v>
                </c:pt>
                <c:pt idx="5">
                  <c:v>43</c:v>
                </c:pt>
                <c:pt idx="6">
                  <c:v>40</c:v>
                </c:pt>
                <c:pt idx="7">
                  <c:v>39</c:v>
                </c:pt>
                <c:pt idx="8">
                  <c:v>36</c:v>
                </c:pt>
                <c:pt idx="9">
                  <c:v>15</c:v>
                </c:pt>
              </c:numCache>
            </c:numRef>
          </c:val>
        </c:ser>
        <c:gapWidth val="150"/>
        <c:overlap val="0"/>
        <c:axId val="88206661"/>
        <c:axId val="8576397"/>
      </c:barChart>
      <c:catAx>
        <c:axId val="882066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6397"/>
        <c:crosses val="autoZero"/>
        <c:auto val="1"/>
        <c:lblAlgn val="ctr"/>
        <c:lblOffset val="100"/>
        <c:noMultiLvlLbl val="0"/>
      </c:catAx>
      <c:valAx>
        <c:axId val="85763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066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Investment: Individual vs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'EDA Dashboard'!G16</c:f>
              <c:strCache>
                <c:ptCount val="1"/>
                <c:pt idx="0">
                  <c:v>Avg Investment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'EDA Dashboard'!$E$17:$E$18</c:f>
              <c:strCache>
                <c:ptCount val="2"/>
                <c:pt idx="0">
                  <c:v>Individual</c:v>
                </c:pt>
                <c:pt idx="1">
                  <c:v>Company</c:v>
                </c:pt>
              </c:strCache>
            </c:strRef>
          </c:cat>
          <c:val>
            <c:numRef>
              <c:f>'EDA Dashboard'!$G$17:$G$18</c:f>
              <c:numCache>
                <c:formatCode>\$#,##0</c:formatCode>
                <c:ptCount val="2"/>
                <c:pt idx="0">
                  <c:v>1260192.06694254</c:v>
                </c:pt>
                <c:pt idx="1">
                  <c:v>1263753.49368932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Investment: Home vs Investment Purpose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'EDA Dashboard'!G20</c:f>
              <c:strCache>
                <c:ptCount val="1"/>
                <c:pt idx="0">
                  <c:v>Avg Investment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'EDA Dashboard'!$E$21:$E$22</c:f>
              <c:strCache>
                <c:ptCount val="2"/>
                <c:pt idx="0">
                  <c:v>Home</c:v>
                </c:pt>
                <c:pt idx="1">
                  <c:v>Investment</c:v>
                </c:pt>
              </c:strCache>
            </c:strRef>
          </c:cat>
          <c:val>
            <c:numRef>
              <c:f>'EDA Dashboard'!$G$21:$G$22</c:f>
              <c:numCache>
                <c:formatCode>\$#,##0</c:formatCode>
                <c:ptCount val="2"/>
                <c:pt idx="0">
                  <c:v>1263587.55308303</c:v>
                </c:pt>
                <c:pt idx="1">
                  <c:v>1253141.7883252</c:v>
                </c:pt>
              </c:numCache>
            </c:numRef>
          </c:val>
        </c:ser>
        <c:gapWidth val="150"/>
        <c:overlap val="0"/>
        <c:axId val="55372819"/>
        <c:axId val="8449237"/>
      </c:barChart>
      <c:catAx>
        <c:axId val="553728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9237"/>
        <c:crosses val="autoZero"/>
        <c:auto val="1"/>
        <c:lblAlgn val="ctr"/>
        <c:lblOffset val="100"/>
        <c:noMultiLvlLbl val="0"/>
      </c:catAx>
      <c:valAx>
        <c:axId val="84492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72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131040</xdr:rowOff>
    </xdr:from>
    <xdr:to>
      <xdr:col>3</xdr:col>
      <xdr:colOff>951480</xdr:colOff>
      <xdr:row>31</xdr:row>
      <xdr:rowOff>132120</xdr:rowOff>
    </xdr:to>
    <xdr:graphicFrame>
      <xdr:nvGraphicFramePr>
        <xdr:cNvPr id="0" name="Chart 1"/>
        <xdr:cNvGraphicFramePr/>
      </xdr:nvGraphicFramePr>
      <xdr:xfrm>
        <a:off x="0" y="2857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14</xdr:row>
      <xdr:rowOff>131040</xdr:rowOff>
    </xdr:from>
    <xdr:to>
      <xdr:col>14</xdr:col>
      <xdr:colOff>507600</xdr:colOff>
      <xdr:row>31</xdr:row>
      <xdr:rowOff>132120</xdr:rowOff>
    </xdr:to>
    <xdr:graphicFrame>
      <xdr:nvGraphicFramePr>
        <xdr:cNvPr id="1" name="Chart 2"/>
        <xdr:cNvGraphicFramePr/>
      </xdr:nvGraphicFramePr>
      <xdr:xfrm>
        <a:off x="6955200" y="2857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131040</xdr:rowOff>
    </xdr:from>
    <xdr:to>
      <xdr:col>4</xdr:col>
      <xdr:colOff>606240</xdr:colOff>
      <xdr:row>41</xdr:row>
      <xdr:rowOff>152640</xdr:rowOff>
    </xdr:to>
    <xdr:graphicFrame>
      <xdr:nvGraphicFramePr>
        <xdr:cNvPr id="2" name="Chart 1"/>
        <xdr:cNvGraphicFramePr/>
      </xdr:nvGraphicFramePr>
      <xdr:xfrm>
        <a:off x="0" y="514116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26</xdr:row>
      <xdr:rowOff>131040</xdr:rowOff>
    </xdr:from>
    <xdr:to>
      <xdr:col>9</xdr:col>
      <xdr:colOff>324720</xdr:colOff>
      <xdr:row>41</xdr:row>
      <xdr:rowOff>152640</xdr:rowOff>
    </xdr:to>
    <xdr:graphicFrame>
      <xdr:nvGraphicFramePr>
        <xdr:cNvPr id="3" name="Chart 2"/>
        <xdr:cNvGraphicFramePr/>
      </xdr:nvGraphicFramePr>
      <xdr:xfrm>
        <a:off x="5920920" y="514116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44</xdr:row>
      <xdr:rowOff>131040</xdr:rowOff>
    </xdr:from>
    <xdr:to>
      <xdr:col>9</xdr:col>
      <xdr:colOff>324720</xdr:colOff>
      <xdr:row>59</xdr:row>
      <xdr:rowOff>152640</xdr:rowOff>
    </xdr:to>
    <xdr:graphicFrame>
      <xdr:nvGraphicFramePr>
        <xdr:cNvPr id="4" name="Chart 3"/>
        <xdr:cNvGraphicFramePr/>
      </xdr:nvGraphicFramePr>
      <xdr:xfrm>
        <a:off x="5920920" y="857016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ientFeatures" displayName="ClientFeatures" ref="A1:AH2001" headerRowCount="1" totalsRowCount="0" totalsRowShown="0">
  <autoFilter ref="A1:AH2001"/>
  <tableColumns count="34">
    <tableColumn id="1" name="client_id"/>
    <tableColumn id="2" name="client_type"/>
    <tableColumn id="3" name="full_name"/>
    <tableColumn id="4" name="age"/>
    <tableColumn id="5" name="gender"/>
    <tableColumn id="6" name="country"/>
    <tableColumn id="7" name="region"/>
    <tableColumn id="8" name="acquisition_purpose"/>
    <tableColumn id="9" name="satisfaction_score"/>
    <tableColumn id="10" name="loan_applied_flag"/>
    <tableColumn id="11" name="referral_channel"/>
    <tableColumn id="12" name="num_properties_purchased"/>
    <tableColumn id="13" name="total_investment_value"/>
    <tableColumn id="14" name="avg_purchase_price"/>
    <tableColumn id="15" name="avg_floor_area_sqft"/>
    <tableColumn id="16" name="num_office_units"/>
    <tableColumn id="17" name="num_apartment_units"/>
    <tableColumn id="18" name="first_purchase_date"/>
    <tableColumn id="19" name="last_purchase_date"/>
    <tableColumn id="20" name="is_repeat_buyer"/>
    <tableColumn id="21" name="type_Individual"/>
    <tableColumn id="22" name="type_Company"/>
    <tableColumn id="23" name="purpose_Home"/>
    <tableColumn id="24" name="purpose_Investment"/>
    <tableColumn id="25" name="referral_Website"/>
    <tableColumn id="26" name="referral_Agency"/>
    <tableColumn id="27" name="referral_Client"/>
    <tableColumn id="28" name="age_z"/>
    <tableColumn id="29" name="satisfaction_z"/>
    <tableColumn id="30" name="num_purchased_z"/>
    <tableColumn id="31" name="total_investment_z"/>
    <tableColumn id="32" name="avg_price_z"/>
    <tableColumn id="33" name="avg_area_z"/>
    <tableColumn id="34" name="Seg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15" hidden="false" customHeight="false" outlineLevel="0" collapsed="false">
      <c r="B1" s="1" t="s">
        <v>0</v>
      </c>
      <c r="C1" s="2" t="n">
        <f aca="false">MEDIAN('Client Features'!$M$2:$M$2001)</f>
        <v>1220893.165</v>
      </c>
    </row>
    <row r="2" customFormat="false" ht="15" hidden="false" customHeight="false" outlineLevel="0" collapsed="false">
      <c r="B2" s="1" t="s">
        <v>1</v>
      </c>
      <c r="C2" s="1" t="n">
        <f aca="false">MEDIAN('Client Features'!$D$2:$D$2001)</f>
        <v>55</v>
      </c>
    </row>
    <row r="4" customFormat="false" ht="19.7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</row>
    <row r="8" customFormat="false" ht="15" hidden="false" customHeight="false" outlineLevel="0" collapsed="false">
      <c r="A8" s="6" t="s">
        <v>9</v>
      </c>
      <c r="B8" s="7" t="n">
        <f aca="false">COUNTIF('Client Features'!$AH$2:$AH$2001,"C1 - Global Investors")</f>
        <v>271</v>
      </c>
      <c r="C8" s="8" t="n">
        <f aca="false">IFERROR(AVERAGEIF('Client Features'!$AH$2:$AH$2001,"C1 - Global Investors",'Client Features'!$M$2:$M$2001),0)</f>
        <v>1525767.29066421</v>
      </c>
      <c r="D8" s="9" t="n">
        <f aca="false">IFERROR(AVERAGEIF('Client Features'!$AH$2:$AH$2001,"C1 - Global Investors",'Client Features'!$I$2:$I$2001),0)</f>
        <v>3.12546125461255</v>
      </c>
      <c r="E8" s="9" t="n">
        <f aca="false">IFERROR(AVERAGEIF('Client Features'!$AH$2:$AH$2001,"C1 - Global Investors",'Client Features'!$L$2:$L$2001),0)</f>
        <v>4.01107011070111</v>
      </c>
    </row>
    <row r="9" customFormat="false" ht="15" hidden="false" customHeight="false" outlineLevel="0" collapsed="false">
      <c r="A9" s="6" t="s">
        <v>10</v>
      </c>
      <c r="B9" s="7" t="n">
        <f aca="false">COUNTIF('Client Features'!$AH$2:$AH$2001,"C2 - First-Time Buyers")</f>
        <v>255</v>
      </c>
      <c r="C9" s="8" t="n">
        <f aca="false">IFERROR(AVERAGEIF('Client Features'!$AH$2:$AH$2001,"C2 - First-Time Buyers",'Client Features'!$M$2:$M$2001),0)</f>
        <v>1135941.80309804</v>
      </c>
      <c r="D9" s="9" t="n">
        <f aca="false">IFERROR(AVERAGEIF('Client Features'!$AH$2:$AH$2001,"C2 - First-Time Buyers",'Client Features'!$I$2:$I$2001),0)</f>
        <v>2.78039215686275</v>
      </c>
      <c r="E9" s="9" t="n">
        <f aca="false">IFERROR(AVERAGEIF('Client Features'!$AH$2:$AH$2001,"C2 - First-Time Buyers",'Client Features'!$L$2:$L$2001),0)</f>
        <v>3.49019607843137</v>
      </c>
    </row>
    <row r="10" customFormat="false" ht="15" hidden="false" customHeight="false" outlineLevel="0" collapsed="false">
      <c r="A10" s="6" t="s">
        <v>11</v>
      </c>
      <c r="B10" s="7" t="n">
        <f aca="false">COUNTIF('Client Features'!$AH$2:$AH$2001,"C3 - Corporate Buyers")</f>
        <v>103</v>
      </c>
      <c r="C10" s="8" t="n">
        <f aca="false">IFERROR(AVERAGEIF('Client Features'!$AH$2:$AH$2001,"C3 - Corporate Buyers",'Client Features'!$M$2:$M$2001),0)</f>
        <v>1263753.49368932</v>
      </c>
      <c r="D10" s="9" t="n">
        <f aca="false">IFERROR(AVERAGEIF('Client Features'!$AH$2:$AH$2001,"C3 - Corporate Buyers",'Client Features'!$I$2:$I$2001),0)</f>
        <v>3.06796116504854</v>
      </c>
      <c r="E10" s="9" t="n">
        <f aca="false">IFERROR(AVERAGEIF('Client Features'!$AH$2:$AH$2001,"C3 - Corporate Buyers",'Client Features'!$L$2:$L$2001),0)</f>
        <v>3.69902912621359</v>
      </c>
    </row>
    <row r="11" customFormat="false" ht="15" hidden="false" customHeight="false" outlineLevel="0" collapsed="false">
      <c r="A11" s="6" t="s">
        <v>12</v>
      </c>
      <c r="B11" s="7" t="n">
        <f aca="false">COUNTIF('Client Features'!$AH$2:$AH$2001,"C4 - Luxury Investors")</f>
        <v>269</v>
      </c>
      <c r="C11" s="8" t="n">
        <f aca="false">IFERROR(AVERAGEIF('Client Features'!$AH$2:$AH$2001,"C4 - Luxury Investors",'Client Features'!$M$2:$M$2001),0)</f>
        <v>1519650.81085502</v>
      </c>
      <c r="D11" s="9" t="n">
        <f aca="false">IFERROR(AVERAGEIF('Client Features'!$AH$2:$AH$2001,"C4 - Luxury Investors",'Client Features'!$I$2:$I$2001),0)</f>
        <v>4.49442379182156</v>
      </c>
      <c r="E11" s="9" t="n">
        <f aca="false">IFERROR(AVERAGEIF('Client Features'!$AH$2:$AH$2001,"C4 - Luxury Investors",'Client Features'!$L$2:$L$2001),0)</f>
        <v>4.05204460966543</v>
      </c>
    </row>
    <row r="12" customFormat="false" ht="15" hidden="false" customHeight="false" outlineLevel="0" collapsed="false">
      <c r="A12" s="6" t="s">
        <v>13</v>
      </c>
      <c r="B12" s="7" t="n">
        <f aca="false">COUNTIF('Client Features'!$AH$2:$AH$2001,"C5 - Other Individual Buyers")</f>
        <v>1102</v>
      </c>
      <c r="C12" s="8" t="n">
        <f aca="false">IFERROR(AVERAGEIF('Client Features'!$AH$2:$AH$2001,"C5 - Other Individual Buyers",'Client Features'!$M$2:$M$2001),0)</f>
        <v>1160299.62550817</v>
      </c>
      <c r="D12" s="9" t="n">
        <f aca="false">IFERROR(AVERAGEIF('Client Features'!$AH$2:$AH$2001,"C5 - Other Individual Buyers",'Client Features'!$I$2:$I$2001),0)</f>
        <v>2.70145190562613</v>
      </c>
      <c r="E12" s="9" t="n">
        <f aca="false">IFERROR(AVERAGEIF('Client Features'!$AH$2:$AH$2001,"C5 - Other Individual Buyers",'Client Features'!$L$2:$L$2001),0)</f>
        <v>3.5</v>
      </c>
    </row>
    <row r="36" customFormat="false" ht="15" hidden="false" customHeight="true" outlineLevel="0" collapsed="false">
      <c r="A36" s="10" t="s">
        <v>14</v>
      </c>
      <c r="B36" s="10"/>
      <c r="C36" s="10"/>
      <c r="D36" s="10"/>
      <c r="E36" s="10"/>
    </row>
    <row r="37" customFormat="false" ht="15" hidden="false" customHeight="false" outlineLevel="0" collapsed="false">
      <c r="A37" s="11" t="s">
        <v>9</v>
      </c>
      <c r="B37" s="12" t="s">
        <v>15</v>
      </c>
      <c r="C37" s="12"/>
      <c r="D37" s="12"/>
      <c r="E37" s="12"/>
    </row>
    <row r="38" customFormat="false" ht="15" hidden="false" customHeight="false" outlineLevel="0" collapsed="false">
      <c r="A38" s="11" t="s">
        <v>10</v>
      </c>
      <c r="B38" s="12" t="s">
        <v>16</v>
      </c>
      <c r="C38" s="12"/>
      <c r="D38" s="12"/>
      <c r="E38" s="12"/>
    </row>
    <row r="39" customFormat="false" ht="15" hidden="false" customHeight="false" outlineLevel="0" collapsed="false">
      <c r="A39" s="11" t="s">
        <v>11</v>
      </c>
      <c r="B39" s="12" t="s">
        <v>17</v>
      </c>
      <c r="C39" s="12"/>
      <c r="D39" s="12"/>
      <c r="E39" s="12"/>
    </row>
    <row r="40" customFormat="false" ht="15" hidden="false" customHeight="false" outlineLevel="0" collapsed="false">
      <c r="A40" s="11" t="s">
        <v>12</v>
      </c>
      <c r="B40" s="12" t="s">
        <v>18</v>
      </c>
      <c r="C40" s="12"/>
      <c r="D40" s="12"/>
      <c r="E40" s="12"/>
    </row>
    <row r="41" customFormat="false" ht="15" hidden="false" customHeight="false" outlineLevel="0" collapsed="false">
      <c r="A41" s="11" t="s">
        <v>13</v>
      </c>
      <c r="B41" s="12" t="s">
        <v>19</v>
      </c>
      <c r="C41" s="12"/>
      <c r="D41" s="12"/>
      <c r="E41" s="12"/>
    </row>
  </sheetData>
  <mergeCells count="6">
    <mergeCell ref="A36:E36"/>
    <mergeCell ref="B37:E37"/>
    <mergeCell ref="B38:E38"/>
    <mergeCell ref="B39:E39"/>
    <mergeCell ref="B40:E40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24"/>
    <col collapsed="false" customWidth="true" hidden="false" outlineLevel="0" max="3" min="2" style="13" width="14"/>
    <col collapsed="false" customWidth="true" hidden="false" outlineLevel="0" max="8" min="4" style="13" width="16"/>
  </cols>
  <sheetData>
    <row r="1" customFormat="false" ht="19.5" hidden="false" customHeight="true" outlineLevel="0" collapsed="false">
      <c r="A1" s="14" t="s">
        <v>20</v>
      </c>
    </row>
    <row r="2" customFormat="false" ht="15" hidden="false" customHeight="true" outlineLevel="0" collapsed="false">
      <c r="A2" s="15" t="s">
        <v>21</v>
      </c>
    </row>
    <row r="4" customFormat="false" ht="15" hidden="false" customHeight="true" outlineLevel="0" collapsed="false">
      <c r="A4" s="16" t="s">
        <v>22</v>
      </c>
    </row>
    <row r="5" customFormat="false" ht="15" hidden="false" customHeight="true" outlineLevel="0" collapsed="false">
      <c r="A5" s="17" t="s">
        <v>23</v>
      </c>
      <c r="B5" s="18" t="s">
        <v>24</v>
      </c>
      <c r="D5" s="19" t="str">
        <f aca="false">IF(B5="All","*",B5)</f>
        <v>*</v>
      </c>
    </row>
    <row r="6" customFormat="false" ht="15" hidden="false" customHeight="true" outlineLevel="0" collapsed="false">
      <c r="A6" s="17" t="s">
        <v>25</v>
      </c>
      <c r="B6" s="18" t="s">
        <v>24</v>
      </c>
      <c r="D6" s="19" t="str">
        <f aca="false">IF(B6="All","*",B6)</f>
        <v>*</v>
      </c>
    </row>
    <row r="7" customFormat="false" ht="15" hidden="false" customHeight="true" outlineLevel="0" collapsed="false">
      <c r="A7" s="17" t="s">
        <v>26</v>
      </c>
      <c r="B7" s="18" t="s">
        <v>24</v>
      </c>
      <c r="D7" s="19" t="str">
        <f aca="false">IF(B7="All","*",B7)</f>
        <v>*</v>
      </c>
    </row>
    <row r="9" customFormat="false" ht="15" hidden="false" customHeight="true" outlineLevel="0" collapsed="false">
      <c r="A9" s="10" t="s">
        <v>27</v>
      </c>
      <c r="B9" s="10"/>
      <c r="C9" s="10"/>
    </row>
    <row r="10" customFormat="false" ht="15" hidden="false" customHeight="true" outlineLevel="0" collapsed="false">
      <c r="A10" s="20" t="s">
        <v>28</v>
      </c>
      <c r="B10" s="21" t="n">
        <f aca="false">COUNTIFS('Client Features'!$F$2:$F$2001,$D$5,'Client Features'!$B$2:$B$2001,$D$6,'Client Features'!$H$2:$H$2001,$D$7)</f>
        <v>2000</v>
      </c>
    </row>
    <row r="11" customFormat="false" ht="15" hidden="false" customHeight="true" outlineLevel="0" collapsed="false">
      <c r="A11" s="20" t="s">
        <v>29</v>
      </c>
      <c r="B11" s="22" t="n">
        <f aca="false">AVERAGEIFS('Client Features'!$M$2:$M$2001,'Client Features'!$F$2:$F$2001,$D$5,'Client Features'!$B$2:$B$2001,$D$6,'Client Features'!$H$2:$H$2001,$D$7)</f>
        <v>1260375.48042</v>
      </c>
    </row>
    <row r="12" customFormat="false" ht="15" hidden="false" customHeight="true" outlineLevel="0" collapsed="false">
      <c r="A12" s="20" t="s">
        <v>30</v>
      </c>
      <c r="B12" s="23" t="n">
        <f aca="false">AVERAGEIFS('Client Features'!$I$2:$I$2001,'Client Features'!$F$2:$F$2001,$D$5,'Client Features'!$B$2:$B$2001,$D$6,'Client Features'!$H$2:$H$2001,$D$7)</f>
        <v>3.029</v>
      </c>
    </row>
    <row r="13" customFormat="false" ht="15" hidden="false" customHeight="true" outlineLevel="0" collapsed="false">
      <c r="A13" s="20" t="s">
        <v>31</v>
      </c>
      <c r="B13" s="23" t="n">
        <f aca="false">AVERAGEIFS('Client Features'!$L$2:$L$2001,'Client Features'!$F$2:$F$2001,$D$5,'Client Features'!$B$2:$B$2001,$D$6,'Client Features'!$H$2:$H$2001,$D$7)</f>
        <v>3.6525</v>
      </c>
    </row>
    <row r="14" customFormat="false" ht="15" hidden="false" customHeight="true" outlineLevel="0" collapsed="false">
      <c r="A14" s="20" t="s">
        <v>32</v>
      </c>
      <c r="B14" s="24" t="n">
        <f aca="false">AVERAGEIFS('Client Features'!$J$2:$J$2001,'Client Features'!$F$2:$F$2001,$D$5,'Client Features'!$B$2:$B$2001,$D$6,'Client Features'!$H$2:$H$2001,$D$7)</f>
        <v>0.368</v>
      </c>
    </row>
    <row r="16" customFormat="false" ht="15" hidden="false" customHeight="true" outlineLevel="0" collapsed="false">
      <c r="A16" s="25" t="s">
        <v>23</v>
      </c>
      <c r="B16" s="25" t="s">
        <v>5</v>
      </c>
      <c r="C16" s="25" t="s">
        <v>6</v>
      </c>
      <c r="E16" s="26" t="s">
        <v>25</v>
      </c>
      <c r="F16" s="26" t="s">
        <v>5</v>
      </c>
      <c r="G16" s="26" t="s">
        <v>6</v>
      </c>
    </row>
    <row r="17" customFormat="false" ht="15" hidden="false" customHeight="true" outlineLevel="0" collapsed="false">
      <c r="A17" s="27" t="s">
        <v>33</v>
      </c>
      <c r="B17" s="28" t="n">
        <f aca="false">COUNTIFS('Client Features'!$F$2:$F$2001,"USA",'Client Features'!$B$2:$B$2001,$D$6,'Client Features'!$H$2:$H$2001,$D$7)</f>
        <v>1538</v>
      </c>
      <c r="C17" s="29" t="n">
        <f aca="false">IFERROR(AVERAGEIFS('Client Features'!$M$2:$M$2001,'Client Features'!$F$2:$F$2001,"USA",'Client Features'!$B$2:$B$2001,$D$6,'Client Features'!$H$2:$H$2001,$D$7),0)</f>
        <v>1269852.04864759</v>
      </c>
      <c r="E17" s="27" t="s">
        <v>34</v>
      </c>
      <c r="F17" s="28" t="n">
        <f aca="false">COUNTIFS('Client Features'!$B$2:$B$2001,"Individual",'Client Features'!$F$2:$F$2001,$D$5,'Client Features'!$H$2:$H$2001,$D$7)</f>
        <v>1897</v>
      </c>
      <c r="G17" s="29" t="n">
        <f aca="false">IFERROR(AVERAGEIFS('Client Features'!$M$2:$M$2001,'Client Features'!$B$2:$B$2001,"Individual",'Client Features'!$F$2:$F$2001,$D$5,'Client Features'!$H$2:$H$2001,$D$7),0)</f>
        <v>1260192.06694254</v>
      </c>
    </row>
    <row r="18" customFormat="false" ht="15" hidden="false" customHeight="true" outlineLevel="0" collapsed="false">
      <c r="A18" s="27" t="s">
        <v>35</v>
      </c>
      <c r="B18" s="28" t="n">
        <f aca="false">COUNTIFS('Client Features'!$F$2:$F$2001,"UK",'Client Features'!$B$2:$B$2001,$D$6,'Client Features'!$H$2:$H$2001,$D$7)</f>
        <v>95</v>
      </c>
      <c r="C18" s="29" t="n">
        <f aca="false">IFERROR(AVERAGEIFS('Client Features'!$M$2:$M$2001,'Client Features'!$F$2:$F$2001,"UK",'Client Features'!$B$2:$B$2001,$D$6,'Client Features'!$H$2:$H$2001,$D$7),0)</f>
        <v>1284490.26136842</v>
      </c>
      <c r="E18" s="27" t="s">
        <v>36</v>
      </c>
      <c r="F18" s="28" t="n">
        <f aca="false">COUNTIFS('Client Features'!$B$2:$B$2001,"Company",'Client Features'!$F$2:$F$2001,$D$5,'Client Features'!$H$2:$H$2001,$D$7)</f>
        <v>103</v>
      </c>
      <c r="G18" s="29" t="n">
        <f aca="false">IFERROR(AVERAGEIFS('Client Features'!$M$2:$M$2001,'Client Features'!$B$2:$B$2001,"Company",'Client Features'!$F$2:$F$2001,$D$5,'Client Features'!$H$2:$H$2001,$D$7),0)</f>
        <v>1263753.49368932</v>
      </c>
    </row>
    <row r="19" customFormat="false" ht="15" hidden="false" customHeight="true" outlineLevel="0" collapsed="false">
      <c r="A19" s="27" t="s">
        <v>37</v>
      </c>
      <c r="B19" s="28" t="n">
        <f aca="false">COUNTIFS('Client Features'!$F$2:$F$2001,"Canada",'Client Features'!$B$2:$B$2001,$D$6,'Client Features'!$H$2:$H$2001,$D$7)</f>
        <v>85</v>
      </c>
      <c r="C19" s="29" t="n">
        <f aca="false">IFERROR(AVERAGEIFS('Client Features'!$M$2:$M$2001,'Client Features'!$F$2:$F$2001,"Canada",'Client Features'!$B$2:$B$2001,$D$6,'Client Features'!$H$2:$H$2001,$D$7),0)</f>
        <v>1207422.88835294</v>
      </c>
    </row>
    <row r="20" customFormat="false" ht="15" hidden="false" customHeight="true" outlineLevel="0" collapsed="false">
      <c r="A20" s="27" t="s">
        <v>38</v>
      </c>
      <c r="B20" s="28" t="n">
        <f aca="false">COUNTIFS('Client Features'!$F$2:$F$2001,"Germany",'Client Features'!$B$2:$B$2001,$D$6,'Client Features'!$H$2:$H$2001,$D$7)</f>
        <v>56</v>
      </c>
      <c r="C20" s="29" t="n">
        <f aca="false">IFERROR(AVERAGEIFS('Client Features'!$M$2:$M$2001,'Client Features'!$F$2:$F$2001,"Germany",'Client Features'!$B$2:$B$2001,$D$6,'Client Features'!$H$2:$H$2001,$D$7),0)</f>
        <v>1194135.18964286</v>
      </c>
      <c r="E20" s="10" t="s">
        <v>39</v>
      </c>
      <c r="F20" s="10" t="s">
        <v>5</v>
      </c>
      <c r="G20" s="10" t="s">
        <v>6</v>
      </c>
    </row>
    <row r="21" customFormat="false" ht="15" hidden="false" customHeight="true" outlineLevel="0" collapsed="false">
      <c r="A21" s="27" t="s">
        <v>40</v>
      </c>
      <c r="B21" s="28" t="n">
        <f aca="false">COUNTIFS('Client Features'!$F$2:$F$2001,"France",'Client Features'!$B$2:$B$2001,$D$6,'Client Features'!$H$2:$H$2001,$D$7)</f>
        <v>53</v>
      </c>
      <c r="C21" s="29" t="n">
        <f aca="false">IFERROR(AVERAGEIFS('Client Features'!$M$2:$M$2001,'Client Features'!$F$2:$F$2001,"France",'Client Features'!$B$2:$B$2001,$D$6,'Client Features'!$H$2:$H$2001,$D$7),0)</f>
        <v>1224509.51679245</v>
      </c>
      <c r="E21" s="27" t="s">
        <v>41</v>
      </c>
      <c r="F21" s="28" t="n">
        <f aca="false">COUNTIFS('Client Features'!$H$2:$H$2001,"Home",'Client Features'!$F$2:$F$2001,$D$5,'Client Features'!$B$2:$B$2001,$D$6)</f>
        <v>1385</v>
      </c>
      <c r="G21" s="29" t="n">
        <f aca="false">IFERROR(AVERAGEIFS('Client Features'!$M$2:$M$2001,'Client Features'!$H$2:$H$2001,"Home",'Client Features'!$F$2:$F$2001,$D$5,'Client Features'!$B$2:$B$2001,$D$6),0)</f>
        <v>1263587.55308303</v>
      </c>
    </row>
    <row r="22" customFormat="false" ht="15" hidden="false" customHeight="true" outlineLevel="0" collapsed="false">
      <c r="A22" s="27" t="s">
        <v>42</v>
      </c>
      <c r="B22" s="28" t="n">
        <f aca="false">COUNTIFS('Client Features'!$F$2:$F$2001,"Belgium",'Client Features'!$B$2:$B$2001,$D$6,'Client Features'!$H$2:$H$2001,$D$7)</f>
        <v>43</v>
      </c>
      <c r="C22" s="29" t="n">
        <f aca="false">IFERROR(AVERAGEIFS('Client Features'!$M$2:$M$2001,'Client Features'!$F$2:$F$2001,"Belgium",'Client Features'!$B$2:$B$2001,$D$6,'Client Features'!$H$2:$H$2001,$D$7),0)</f>
        <v>1261068.17976744</v>
      </c>
      <c r="E22" s="27" t="s">
        <v>43</v>
      </c>
      <c r="F22" s="28" t="n">
        <f aca="false">COUNTIFS('Client Features'!$H$2:$H$2001,"Investment",'Client Features'!$F$2:$F$2001,$D$5,'Client Features'!$B$2:$B$2001,$D$6)</f>
        <v>615</v>
      </c>
      <c r="G22" s="29" t="n">
        <f aca="false">IFERROR(AVERAGEIFS('Client Features'!$M$2:$M$2001,'Client Features'!$H$2:$H$2001,"Investment",'Client Features'!$F$2:$F$2001,$D$5,'Client Features'!$B$2:$B$2001,$D$6),0)</f>
        <v>1253141.7883252</v>
      </c>
    </row>
    <row r="23" customFormat="false" ht="15" hidden="false" customHeight="true" outlineLevel="0" collapsed="false">
      <c r="A23" s="27" t="s">
        <v>44</v>
      </c>
      <c r="B23" s="28" t="n">
        <f aca="false">COUNTIFS('Client Features'!$F$2:$F$2001,"Mexico",'Client Features'!$B$2:$B$2001,$D$6,'Client Features'!$H$2:$H$2001,$D$7)</f>
        <v>40</v>
      </c>
      <c r="C23" s="29" t="n">
        <f aca="false">IFERROR(AVERAGEIFS('Client Features'!$M$2:$M$2001,'Client Features'!$F$2:$F$2001,"Mexico",'Client Features'!$B$2:$B$2001,$D$6,'Client Features'!$H$2:$H$2001,$D$7),0)</f>
        <v>1210743.66725</v>
      </c>
    </row>
    <row r="24" customFormat="false" ht="15" hidden="false" customHeight="true" outlineLevel="0" collapsed="false">
      <c r="A24" s="27" t="s">
        <v>45</v>
      </c>
      <c r="B24" s="28" t="n">
        <f aca="false">COUNTIFS('Client Features'!$F$2:$F$2001,"Australia",'Client Features'!$B$2:$B$2001,$D$6,'Client Features'!$H$2:$H$2001,$D$7)</f>
        <v>39</v>
      </c>
      <c r="C24" s="29" t="n">
        <f aca="false">IFERROR(AVERAGEIFS('Client Features'!$M$2:$M$2001,'Client Features'!$F$2:$F$2001,"Australia",'Client Features'!$B$2:$B$2001,$D$6,'Client Features'!$H$2:$H$2001,$D$7),0)</f>
        <v>1124868.06025641</v>
      </c>
    </row>
    <row r="25" customFormat="false" ht="15" hidden="false" customHeight="true" outlineLevel="0" collapsed="false">
      <c r="A25" s="27" t="s">
        <v>46</v>
      </c>
      <c r="B25" s="28" t="n">
        <f aca="false">COUNTIFS('Client Features'!$F$2:$F$2001,"Russia",'Client Features'!$B$2:$B$2001,$D$6,'Client Features'!$H$2:$H$2001,$D$7)</f>
        <v>36</v>
      </c>
      <c r="C25" s="29" t="n">
        <f aca="false">IFERROR(AVERAGEIFS('Client Features'!$M$2:$M$2001,'Client Features'!$F$2:$F$2001,"Russia",'Client Features'!$B$2:$B$2001,$D$6,'Client Features'!$H$2:$H$2001,$D$7),0)</f>
        <v>1240606.34416667</v>
      </c>
    </row>
    <row r="26" customFormat="false" ht="15" hidden="false" customHeight="true" outlineLevel="0" collapsed="false">
      <c r="A26" s="27" t="s">
        <v>47</v>
      </c>
      <c r="B26" s="28" t="n">
        <f aca="false">COUNTIFS('Client Features'!$F$2:$F$2001,"Denmark",'Client Features'!$B$2:$B$2001,$D$6,'Client Features'!$H$2:$H$2001,$D$7)</f>
        <v>15</v>
      </c>
      <c r="C26" s="29" t="n">
        <f aca="false">IFERROR(AVERAGEIFS('Client Features'!$M$2:$M$2001,'Client Features'!$F$2:$F$2001,"Denmark",'Client Features'!$B$2:$B$2001,$D$6,'Client Features'!$H$2:$H$2001,$D$7),0)</f>
        <v>1340203.56733333</v>
      </c>
    </row>
  </sheetData>
  <mergeCells count="1">
    <mergeCell ref="A9:C9"/>
  </mergeCells>
  <dataValidations count="3">
    <dataValidation allowBlank="false" errorStyle="stop" operator="between" showDropDown="false" showErrorMessage="false" showInputMessage="false" sqref="B5" type="list">
      <formula1>"All,USA,UK,Canada,Germany,France,Belgium,Mexico,Australia,Russia,Denmark"</formula1>
      <formula2>0</formula2>
    </dataValidation>
    <dataValidation allowBlank="false" errorStyle="stop" operator="between" showDropDown="false" showErrorMessage="false" showInputMessage="false" sqref="B6" type="list">
      <formula1>"All,Individual,Company"</formula1>
      <formula2>0</formula2>
    </dataValidation>
    <dataValidation allowBlank="false" errorStyle="stop" operator="between" showDropDown="false" showErrorMessage="false" showInputMessage="false" sqref="B7" type="list">
      <formula1>"All,Home,Investment"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3" min="1" style="13" width="15"/>
    <col collapsed="false" customWidth="true" hidden="false" outlineLevel="0" max="34" min="34" style="0" width="24"/>
  </cols>
  <sheetData>
    <row r="1" customFormat="false" ht="34.5" hidden="false" customHeight="true" outlineLevel="0" collapsed="false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  <c r="R1" s="10" t="s">
        <v>65</v>
      </c>
      <c r="S1" s="10" t="s">
        <v>66</v>
      </c>
      <c r="T1" s="10" t="s">
        <v>67</v>
      </c>
      <c r="U1" s="10" t="s">
        <v>68</v>
      </c>
      <c r="V1" s="10" t="s">
        <v>69</v>
      </c>
      <c r="W1" s="10" t="s">
        <v>70</v>
      </c>
      <c r="X1" s="10" t="s">
        <v>71</v>
      </c>
      <c r="Y1" s="10" t="s">
        <v>72</v>
      </c>
      <c r="Z1" s="10" t="s">
        <v>73</v>
      </c>
      <c r="AA1" s="10" t="s">
        <v>74</v>
      </c>
      <c r="AB1" s="10" t="s">
        <v>75</v>
      </c>
      <c r="AC1" s="10" t="s">
        <v>76</v>
      </c>
      <c r="AD1" s="10" t="s">
        <v>77</v>
      </c>
      <c r="AE1" s="10" t="s">
        <v>78</v>
      </c>
      <c r="AF1" s="10" t="s">
        <v>79</v>
      </c>
      <c r="AG1" s="10" t="s">
        <v>80</v>
      </c>
      <c r="AH1" s="5" t="s">
        <v>4</v>
      </c>
    </row>
    <row r="2" customFormat="false" ht="15" hidden="false" customHeight="true" outlineLevel="0" collapsed="false">
      <c r="A2" s="13" t="s">
        <v>81</v>
      </c>
      <c r="B2" s="13" t="s">
        <v>36</v>
      </c>
      <c r="C2" s="13" t="s">
        <v>82</v>
      </c>
      <c r="D2" s="13" t="n">
        <v>61</v>
      </c>
      <c r="E2" s="13" t="s">
        <v>83</v>
      </c>
      <c r="F2" s="13" t="s">
        <v>33</v>
      </c>
      <c r="G2" s="13" t="s">
        <v>84</v>
      </c>
      <c r="H2" s="13" t="s">
        <v>43</v>
      </c>
      <c r="I2" s="13" t="n">
        <v>5</v>
      </c>
      <c r="J2" s="13" t="n">
        <v>1</v>
      </c>
      <c r="K2" s="13" t="s">
        <v>85</v>
      </c>
      <c r="L2" s="13" t="n">
        <v>5</v>
      </c>
      <c r="M2" s="13" t="n">
        <v>1639392.95</v>
      </c>
      <c r="N2" s="13" t="n">
        <v>327878.59</v>
      </c>
      <c r="O2" s="13" t="n">
        <v>1054.034</v>
      </c>
      <c r="P2" s="13" t="n">
        <v>1</v>
      </c>
      <c r="Q2" s="13" t="n">
        <v>4</v>
      </c>
      <c r="R2" s="13" t="s">
        <v>86</v>
      </c>
      <c r="S2" s="13" t="s">
        <v>87</v>
      </c>
      <c r="T2" s="13" t="n">
        <v>1</v>
      </c>
      <c r="U2" s="13" t="n">
        <f aca="false">IF(B2="Individual",1,0)</f>
        <v>0</v>
      </c>
      <c r="V2" s="13" t="n">
        <f aca="false">IF(B2="Company",1,0)</f>
        <v>1</v>
      </c>
      <c r="W2" s="13" t="n">
        <f aca="false">IF(H2="Home",1,0)</f>
        <v>0</v>
      </c>
      <c r="X2" s="13" t="n">
        <f aca="false">IF(H2="Investment",1,0)</f>
        <v>1</v>
      </c>
      <c r="Y2" s="13" t="n">
        <f aca="false">IF(K2="Website",1,0)</f>
        <v>1</v>
      </c>
      <c r="Z2" s="13" t="n">
        <f aca="false">IF(K2="Agency",1,0)</f>
        <v>0</v>
      </c>
      <c r="AA2" s="13" t="n">
        <f aca="false">IF(K2="Client",1,0)</f>
        <v>0</v>
      </c>
      <c r="AB2" s="13" t="n">
        <f aca="false">(D2-AVERAGE(D$2:D$2001))/STDEV(D$2:D$2001)</f>
        <v>0.395737432015182</v>
      </c>
      <c r="AC2" s="13" t="n">
        <f aca="false">(I2-AVERAGE(I$2:I$2001))/STDEV(I$2:I$2001)</f>
        <v>1.39434968409451</v>
      </c>
      <c r="AD2" s="13" t="n">
        <f aca="false">(L2-AVERAGE(L$2:L$2001))/STDEV(L$2:L$2001)</f>
        <v>1.60473955115463</v>
      </c>
      <c r="AE2" s="13" t="n">
        <f aca="false">(M2-AVERAGE(M$2:M$2001))/STDEV(M$2:M$2001)</f>
        <v>1.08966088360267</v>
      </c>
      <c r="AF2" s="13" t="n">
        <f aca="false">(N2-AVERAGE(N$2:N$2001))/STDEV(N$2:N$2001)</f>
        <v>-0.27554308492374</v>
      </c>
      <c r="AG2" s="13" t="n">
        <f aca="false">(O2-AVERAGE(O$2:O$2001))/STDEV(O$2:O$2001)</f>
        <v>-0.424902549965549</v>
      </c>
      <c r="AH2" s="0" t="str">
        <f aca="false">IF(B2="Company","C3 - Corporate Buyers",IF(AND(H2="Investment",M2&gt;'Segmentation Summary'!$C$1),"C1 - Global Investors",IF(AND(I2&gt;=4,M2&gt;'Segmentation Summary'!$C$1),"C4 - Luxury Investors",IF(AND(D2&lt;'Segmentation Summary'!$C$2,J2=1),"C2 - First-Time Buyers","C5 - Other Individual Buyers"))))</f>
        <v>C3 - Corporate Buyers</v>
      </c>
    </row>
    <row r="3" customFormat="false" ht="15" hidden="false" customHeight="true" outlineLevel="0" collapsed="false">
      <c r="A3" s="13" t="s">
        <v>88</v>
      </c>
      <c r="B3" s="13" t="s">
        <v>36</v>
      </c>
      <c r="C3" s="13" t="s">
        <v>89</v>
      </c>
      <c r="D3" s="13" t="n">
        <v>64</v>
      </c>
      <c r="E3" s="13" t="s">
        <v>90</v>
      </c>
      <c r="F3" s="13" t="s">
        <v>33</v>
      </c>
      <c r="G3" s="13" t="s">
        <v>84</v>
      </c>
      <c r="H3" s="13" t="s">
        <v>43</v>
      </c>
      <c r="I3" s="13" t="n">
        <v>4</v>
      </c>
      <c r="J3" s="13" t="n">
        <v>0</v>
      </c>
      <c r="K3" s="13" t="s">
        <v>91</v>
      </c>
      <c r="L3" s="13" t="n">
        <v>3</v>
      </c>
      <c r="M3" s="13" t="n">
        <v>980683.73</v>
      </c>
      <c r="N3" s="13" t="n">
        <v>326894.576666667</v>
      </c>
      <c r="O3" s="13" t="n">
        <v>1072.48333333333</v>
      </c>
      <c r="P3" s="13" t="n">
        <v>0</v>
      </c>
      <c r="Q3" s="13" t="n">
        <v>3</v>
      </c>
      <c r="R3" s="13" t="s">
        <v>92</v>
      </c>
      <c r="S3" s="13" t="s">
        <v>93</v>
      </c>
      <c r="T3" s="13" t="n">
        <v>1</v>
      </c>
      <c r="U3" s="13" t="n">
        <f aca="false">IF(B3="Individual",1,0)</f>
        <v>0</v>
      </c>
      <c r="V3" s="13" t="n">
        <f aca="false">IF(B3="Company",1,0)</f>
        <v>1</v>
      </c>
      <c r="W3" s="13" t="n">
        <f aca="false">IF(H3="Home",1,0)</f>
        <v>0</v>
      </c>
      <c r="X3" s="13" t="n">
        <f aca="false">IF(H3="Investment",1,0)</f>
        <v>1</v>
      </c>
      <c r="Y3" s="13" t="n">
        <f aca="false">IF(K3="Website",1,0)</f>
        <v>0</v>
      </c>
      <c r="Z3" s="13" t="n">
        <f aca="false">IF(K3="Agency",1,0)</f>
        <v>1</v>
      </c>
      <c r="AA3" s="13" t="n">
        <f aca="false">IF(K3="Client",1,0)</f>
        <v>0</v>
      </c>
      <c r="AB3" s="13" t="n">
        <f aca="false">(D3-AVERAGE(D$2:D$2001))/STDEV(D$2:D$2001)</f>
        <v>0.568724798479635</v>
      </c>
      <c r="AC3" s="13" t="n">
        <f aca="false">(I3-AVERAGE(I$2:I$2001))/STDEV(I$2:I$2001)</f>
        <v>0.686917069130275</v>
      </c>
      <c r="AD3" s="13" t="n">
        <f aca="false">(L3-AVERAGE(L$2:L$2001))/STDEV(L$2:L$2001)</f>
        <v>-0.777063122173208</v>
      </c>
      <c r="AE3" s="13" t="n">
        <f aca="false">(M3-AVERAGE(M$2:M$2001))/STDEV(M$2:M$2001)</f>
        <v>-0.804103199350565</v>
      </c>
      <c r="AF3" s="13" t="n">
        <f aca="false">(N3-AVERAGE(N$2:N$2001))/STDEV(N$2:N$2001)</f>
        <v>-0.28965650462121</v>
      </c>
      <c r="AG3" s="13" t="n">
        <f aca="false">(O3-AVERAGE(O$2:O$2001))/STDEV(O$2:O$2001)</f>
        <v>-0.341012424861263</v>
      </c>
      <c r="AH3" s="0" t="str">
        <f aca="false">IF(B3="Company","C3 - Corporate Buyers",IF(AND(H3="Investment",M3&gt;'Segmentation Summary'!$C$1),"C1 - Global Investors",IF(AND(I3&gt;=4,M3&gt;'Segmentation Summary'!$C$1),"C4 - Luxury Investors",IF(AND(D3&lt;'Segmentation Summary'!$C$2,J3=1),"C2 - First-Time Buyers","C5 - Other Individual Buyers"))))</f>
        <v>C3 - Corporate Buyers</v>
      </c>
    </row>
    <row r="4" customFormat="false" ht="15" hidden="false" customHeight="true" outlineLevel="0" collapsed="false">
      <c r="A4" s="13" t="s">
        <v>94</v>
      </c>
      <c r="B4" s="13" t="s">
        <v>36</v>
      </c>
      <c r="C4" s="13" t="s">
        <v>89</v>
      </c>
      <c r="D4" s="13" t="n">
        <v>63</v>
      </c>
      <c r="E4" s="13" t="s">
        <v>83</v>
      </c>
      <c r="F4" s="13" t="s">
        <v>33</v>
      </c>
      <c r="G4" s="13" t="s">
        <v>95</v>
      </c>
      <c r="H4" s="13" t="s">
        <v>41</v>
      </c>
      <c r="I4" s="13" t="n">
        <v>5</v>
      </c>
      <c r="J4" s="13" t="n">
        <v>0</v>
      </c>
      <c r="K4" s="13" t="s">
        <v>91</v>
      </c>
      <c r="L4" s="13" t="n">
        <v>3</v>
      </c>
      <c r="M4" s="13" t="n">
        <v>804243.22</v>
      </c>
      <c r="N4" s="13" t="n">
        <v>268081.073333333</v>
      </c>
      <c r="O4" s="13" t="n">
        <v>842.68</v>
      </c>
      <c r="P4" s="13" t="n">
        <v>0</v>
      </c>
      <c r="Q4" s="13" t="n">
        <v>3</v>
      </c>
      <c r="R4" s="13" t="s">
        <v>86</v>
      </c>
      <c r="S4" s="13" t="s">
        <v>87</v>
      </c>
      <c r="T4" s="13" t="n">
        <v>1</v>
      </c>
      <c r="U4" s="13" t="n">
        <f aca="false">IF(B4="Individual",1,0)</f>
        <v>0</v>
      </c>
      <c r="V4" s="13" t="n">
        <f aca="false">IF(B4="Company",1,0)</f>
        <v>1</v>
      </c>
      <c r="W4" s="13" t="n">
        <f aca="false">IF(H4="Home",1,0)</f>
        <v>1</v>
      </c>
      <c r="X4" s="13" t="n">
        <f aca="false">IF(H4="Investment",1,0)</f>
        <v>0</v>
      </c>
      <c r="Y4" s="13" t="n">
        <f aca="false">IF(K4="Website",1,0)</f>
        <v>0</v>
      </c>
      <c r="Z4" s="13" t="n">
        <f aca="false">IF(K4="Agency",1,0)</f>
        <v>1</v>
      </c>
      <c r="AA4" s="13" t="n">
        <f aca="false">IF(K4="Client",1,0)</f>
        <v>0</v>
      </c>
      <c r="AB4" s="13" t="n">
        <f aca="false">(D4-AVERAGE(D$2:D$2001))/STDEV(D$2:D$2001)</f>
        <v>0.511062342991484</v>
      </c>
      <c r="AC4" s="13" t="n">
        <f aca="false">(I4-AVERAGE(I$2:I$2001))/STDEV(I$2:I$2001)</f>
        <v>1.39434968409451</v>
      </c>
      <c r="AD4" s="13" t="n">
        <f aca="false">(L4-AVERAGE(L$2:L$2001))/STDEV(L$2:L$2001)</f>
        <v>-0.777063122173208</v>
      </c>
      <c r="AE4" s="13" t="n">
        <f aca="false">(M4-AVERAGE(M$2:M$2001))/STDEV(M$2:M$2001)</f>
        <v>-1.31136298936223</v>
      </c>
      <c r="AF4" s="13" t="n">
        <f aca="false">(N4-AVERAGE(N$2:N$2001))/STDEV(N$2:N$2001)</f>
        <v>-1.13320163587499</v>
      </c>
      <c r="AG4" s="13" t="n">
        <f aca="false">(O4-AVERAGE(O$2:O$2001))/STDEV(O$2:O$2001)</f>
        <v>-1.38594071762984</v>
      </c>
      <c r="AH4" s="0" t="str">
        <f aca="false">IF(B4="Company","C3 - Corporate Buyers",IF(AND(H4="Investment",M4&gt;'Segmentation Summary'!$C$1),"C1 - Global Investors",IF(AND(I4&gt;=4,M4&gt;'Segmentation Summary'!$C$1),"C4 - Luxury Investors",IF(AND(D4&lt;'Segmentation Summary'!$C$2,J4=1),"C2 - First-Time Buyers","C5 - Other Individual Buyers"))))</f>
        <v>C3 - Corporate Buyers</v>
      </c>
    </row>
    <row r="5" customFormat="false" ht="15" hidden="false" customHeight="true" outlineLevel="0" collapsed="false">
      <c r="A5" s="13" t="s">
        <v>96</v>
      </c>
      <c r="B5" s="13" t="s">
        <v>36</v>
      </c>
      <c r="C5" s="13" t="s">
        <v>89</v>
      </c>
      <c r="D5" s="13" t="n">
        <v>47</v>
      </c>
      <c r="E5" s="13" t="s">
        <v>83</v>
      </c>
      <c r="F5" s="13" t="s">
        <v>33</v>
      </c>
      <c r="G5" s="13" t="s">
        <v>97</v>
      </c>
      <c r="H5" s="13" t="s">
        <v>41</v>
      </c>
      <c r="I5" s="13" t="n">
        <v>4</v>
      </c>
      <c r="J5" s="13" t="n">
        <v>1</v>
      </c>
      <c r="K5" s="13" t="s">
        <v>91</v>
      </c>
      <c r="L5" s="13" t="n">
        <v>3</v>
      </c>
      <c r="M5" s="13" t="n">
        <v>785842.76</v>
      </c>
      <c r="N5" s="13" t="n">
        <v>261947.586666667</v>
      </c>
      <c r="O5" s="13" t="n">
        <v>849.746666666667</v>
      </c>
      <c r="P5" s="13" t="n">
        <v>0</v>
      </c>
      <c r="Q5" s="13" t="n">
        <v>3</v>
      </c>
      <c r="R5" s="13" t="s">
        <v>98</v>
      </c>
      <c r="S5" s="13" t="s">
        <v>93</v>
      </c>
      <c r="T5" s="13" t="n">
        <v>1</v>
      </c>
      <c r="U5" s="13" t="n">
        <f aca="false">IF(B5="Individual",1,0)</f>
        <v>0</v>
      </c>
      <c r="V5" s="13" t="n">
        <f aca="false">IF(B5="Company",1,0)</f>
        <v>1</v>
      </c>
      <c r="W5" s="13" t="n">
        <f aca="false">IF(H5="Home",1,0)</f>
        <v>1</v>
      </c>
      <c r="X5" s="13" t="n">
        <f aca="false">IF(H5="Investment",1,0)</f>
        <v>0</v>
      </c>
      <c r="Y5" s="13" t="n">
        <f aca="false">IF(K5="Website",1,0)</f>
        <v>0</v>
      </c>
      <c r="Z5" s="13" t="n">
        <f aca="false">IF(K5="Agency",1,0)</f>
        <v>1</v>
      </c>
      <c r="AA5" s="13" t="n">
        <f aca="false">IF(K5="Client",1,0)</f>
        <v>0</v>
      </c>
      <c r="AB5" s="13" t="n">
        <f aca="false">(D5-AVERAGE(D$2:D$2001))/STDEV(D$2:D$2001)</f>
        <v>-0.411536944818935</v>
      </c>
      <c r="AC5" s="13" t="n">
        <f aca="false">(I5-AVERAGE(I$2:I$2001))/STDEV(I$2:I$2001)</f>
        <v>0.686917069130275</v>
      </c>
      <c r="AD5" s="13" t="n">
        <f aca="false">(L5-AVERAGE(L$2:L$2001))/STDEV(L$2:L$2001)</f>
        <v>-0.777063122173208</v>
      </c>
      <c r="AE5" s="13" t="n">
        <f aca="false">(M5-AVERAGE(M$2:M$2001))/STDEV(M$2:M$2001)</f>
        <v>-1.36426361561704</v>
      </c>
      <c r="AF5" s="13" t="n">
        <f aca="false">(N5-AVERAGE(N$2:N$2001))/STDEV(N$2:N$2001)</f>
        <v>-1.22117246777651</v>
      </c>
      <c r="AG5" s="13" t="n">
        <f aca="false">(O5-AVERAGE(O$2:O$2001))/STDEV(O$2:O$2001)</f>
        <v>-1.35380819879969</v>
      </c>
      <c r="AH5" s="0" t="str">
        <f aca="false">IF(B5="Company","C3 - Corporate Buyers",IF(AND(H5="Investment",M5&gt;'Segmentation Summary'!$C$1),"C1 - Global Investors",IF(AND(I5&gt;=4,M5&gt;'Segmentation Summary'!$C$1),"C4 - Luxury Investors",IF(AND(D5&lt;'Segmentation Summary'!$C$2,J5=1),"C2 - First-Time Buyers","C5 - Other Individual Buyers"))))</f>
        <v>C3 - Corporate Buyers</v>
      </c>
    </row>
    <row r="6" customFormat="false" ht="15" hidden="false" customHeight="true" outlineLevel="0" collapsed="false">
      <c r="A6" s="13" t="s">
        <v>99</v>
      </c>
      <c r="B6" s="13" t="s">
        <v>36</v>
      </c>
      <c r="C6" s="13" t="s">
        <v>89</v>
      </c>
      <c r="D6" s="13" t="n">
        <v>30</v>
      </c>
      <c r="E6" s="13" t="s">
        <v>83</v>
      </c>
      <c r="F6" s="13" t="s">
        <v>33</v>
      </c>
      <c r="G6" s="13" t="s">
        <v>100</v>
      </c>
      <c r="H6" s="13" t="s">
        <v>41</v>
      </c>
      <c r="I6" s="13" t="n">
        <v>2</v>
      </c>
      <c r="J6" s="13" t="n">
        <v>0</v>
      </c>
      <c r="K6" s="13" t="s">
        <v>85</v>
      </c>
      <c r="L6" s="13" t="n">
        <v>3</v>
      </c>
      <c r="M6" s="13" t="n">
        <v>1216231.43</v>
      </c>
      <c r="N6" s="13" t="n">
        <v>405410.476666667</v>
      </c>
      <c r="O6" s="13" t="n">
        <v>1334.1</v>
      </c>
      <c r="P6" s="13" t="n">
        <v>0</v>
      </c>
      <c r="Q6" s="13" t="n">
        <v>3</v>
      </c>
      <c r="R6" s="13" t="s">
        <v>101</v>
      </c>
      <c r="S6" s="13" t="s">
        <v>93</v>
      </c>
      <c r="T6" s="13" t="n">
        <v>1</v>
      </c>
      <c r="U6" s="13" t="n">
        <f aca="false">IF(B6="Individual",1,0)</f>
        <v>0</v>
      </c>
      <c r="V6" s="13" t="n">
        <f aca="false">IF(B6="Company",1,0)</f>
        <v>1</v>
      </c>
      <c r="W6" s="13" t="n">
        <f aca="false">IF(H6="Home",1,0)</f>
        <v>1</v>
      </c>
      <c r="X6" s="13" t="n">
        <f aca="false">IF(H6="Investment",1,0)</f>
        <v>0</v>
      </c>
      <c r="Y6" s="13" t="n">
        <f aca="false">IF(K6="Website",1,0)</f>
        <v>1</v>
      </c>
      <c r="Z6" s="13" t="n">
        <f aca="false">IF(K6="Agency",1,0)</f>
        <v>0</v>
      </c>
      <c r="AA6" s="13" t="n">
        <f aca="false">IF(K6="Client",1,0)</f>
        <v>0</v>
      </c>
      <c r="AB6" s="13" t="n">
        <f aca="false">(D6-AVERAGE(D$2:D$2001))/STDEV(D$2:D$2001)</f>
        <v>-1.39179868811751</v>
      </c>
      <c r="AC6" s="13" t="n">
        <f aca="false">(I6-AVERAGE(I$2:I$2001))/STDEV(I$2:I$2001)</f>
        <v>-0.727948160798201</v>
      </c>
      <c r="AD6" s="13" t="n">
        <f aca="false">(L6-AVERAGE(L$2:L$2001))/STDEV(L$2:L$2001)</f>
        <v>-0.777063122173208</v>
      </c>
      <c r="AE6" s="13" t="n">
        <f aca="false">(M6-AVERAGE(M$2:M$2001))/STDEV(M$2:M$2001)</f>
        <v>-0.126912474614327</v>
      </c>
      <c r="AF6" s="13" t="n">
        <f aca="false">(N6-AVERAGE(N$2:N$2001))/STDEV(N$2:N$2001)</f>
        <v>0.836474424795305</v>
      </c>
      <c r="AG6" s="13" t="n">
        <f aca="false">(O6-AVERAGE(O$2:O$2001))/STDEV(O$2:O$2001)</f>
        <v>0.848572830037044</v>
      </c>
      <c r="AH6" s="0" t="str">
        <f aca="false">IF(B6="Company","C3 - Corporate Buyers",IF(AND(H6="Investment",M6&gt;'Segmentation Summary'!$C$1),"C1 - Global Investors",IF(AND(I6&gt;=4,M6&gt;'Segmentation Summary'!$C$1),"C4 - Luxury Investors",IF(AND(D6&lt;'Segmentation Summary'!$C$2,J6=1),"C2 - First-Time Buyers","C5 - Other Individual Buyers"))))</f>
        <v>C3 - Corporate Buyers</v>
      </c>
    </row>
    <row r="7" customFormat="false" ht="15" hidden="false" customHeight="true" outlineLevel="0" collapsed="false">
      <c r="A7" s="13" t="s">
        <v>102</v>
      </c>
      <c r="B7" s="13" t="s">
        <v>36</v>
      </c>
      <c r="C7" s="13" t="s">
        <v>89</v>
      </c>
      <c r="D7" s="13" t="n">
        <v>48</v>
      </c>
      <c r="E7" s="13" t="s">
        <v>83</v>
      </c>
      <c r="F7" s="13" t="s">
        <v>33</v>
      </c>
      <c r="G7" s="13" t="s">
        <v>84</v>
      </c>
      <c r="H7" s="13" t="s">
        <v>43</v>
      </c>
      <c r="I7" s="13" t="n">
        <v>4</v>
      </c>
      <c r="J7" s="13" t="n">
        <v>0</v>
      </c>
      <c r="K7" s="13" t="s">
        <v>85</v>
      </c>
      <c r="L7" s="13" t="n">
        <v>3</v>
      </c>
      <c r="M7" s="13" t="n">
        <v>1631973.55</v>
      </c>
      <c r="N7" s="13" t="n">
        <v>543991.183333333</v>
      </c>
      <c r="O7" s="13" t="n">
        <v>1800.45</v>
      </c>
      <c r="P7" s="13" t="n">
        <v>0</v>
      </c>
      <c r="Q7" s="13" t="n">
        <v>3</v>
      </c>
      <c r="R7" s="13" t="s">
        <v>101</v>
      </c>
      <c r="S7" s="13" t="s">
        <v>103</v>
      </c>
      <c r="T7" s="13" t="n">
        <v>1</v>
      </c>
      <c r="U7" s="13" t="n">
        <f aca="false">IF(B7="Individual",1,0)</f>
        <v>0</v>
      </c>
      <c r="V7" s="13" t="n">
        <f aca="false">IF(B7="Company",1,0)</f>
        <v>1</v>
      </c>
      <c r="W7" s="13" t="n">
        <f aca="false">IF(H7="Home",1,0)</f>
        <v>0</v>
      </c>
      <c r="X7" s="13" t="n">
        <f aca="false">IF(H7="Investment",1,0)</f>
        <v>1</v>
      </c>
      <c r="Y7" s="13" t="n">
        <f aca="false">IF(K7="Website",1,0)</f>
        <v>1</v>
      </c>
      <c r="Z7" s="13" t="n">
        <f aca="false">IF(K7="Agency",1,0)</f>
        <v>0</v>
      </c>
      <c r="AA7" s="13" t="n">
        <f aca="false">IF(K7="Client",1,0)</f>
        <v>0</v>
      </c>
      <c r="AB7" s="13" t="n">
        <f aca="false">(D7-AVERAGE(D$2:D$2001))/STDEV(D$2:D$2001)</f>
        <v>-0.353874489330784</v>
      </c>
      <c r="AC7" s="13" t="n">
        <f aca="false">(I7-AVERAGE(I$2:I$2001))/STDEV(I$2:I$2001)</f>
        <v>0.686917069130275</v>
      </c>
      <c r="AD7" s="13" t="n">
        <f aca="false">(L7-AVERAGE(L$2:L$2001))/STDEV(L$2:L$2001)</f>
        <v>-0.777063122173208</v>
      </c>
      <c r="AE7" s="13" t="n">
        <f aca="false">(M7-AVERAGE(M$2:M$2001))/STDEV(M$2:M$2001)</f>
        <v>1.06833038934138</v>
      </c>
      <c r="AF7" s="13" t="n">
        <f aca="false">(N7-AVERAGE(N$2:N$2001))/STDEV(N$2:N$2001)</f>
        <v>2.82409756861369</v>
      </c>
      <c r="AG7" s="13" t="n">
        <f aca="false">(O7-AVERAGE(O$2:O$2001))/STDEV(O$2:O$2001)</f>
        <v>2.96909172009942</v>
      </c>
      <c r="AH7" s="0" t="str">
        <f aca="false">IF(B7="Company","C3 - Corporate Buyers",IF(AND(H7="Investment",M7&gt;'Segmentation Summary'!$C$1),"C1 - Global Investors",IF(AND(I7&gt;=4,M7&gt;'Segmentation Summary'!$C$1),"C4 - Luxury Investors",IF(AND(D7&lt;'Segmentation Summary'!$C$2,J7=1),"C2 - First-Time Buyers","C5 - Other Individual Buyers"))))</f>
        <v>C3 - Corporate Buyers</v>
      </c>
    </row>
    <row r="8" customFormat="false" ht="15" hidden="false" customHeight="true" outlineLevel="0" collapsed="false">
      <c r="A8" s="13" t="s">
        <v>104</v>
      </c>
      <c r="B8" s="13" t="s">
        <v>36</v>
      </c>
      <c r="C8" s="13" t="s">
        <v>105</v>
      </c>
      <c r="D8" s="13" t="n">
        <v>36</v>
      </c>
      <c r="E8" s="13" t="s">
        <v>90</v>
      </c>
      <c r="F8" s="13" t="s">
        <v>33</v>
      </c>
      <c r="G8" s="13" t="s">
        <v>106</v>
      </c>
      <c r="H8" s="13" t="s">
        <v>43</v>
      </c>
      <c r="I8" s="13" t="n">
        <v>2</v>
      </c>
      <c r="J8" s="13" t="n">
        <v>0</v>
      </c>
      <c r="K8" s="13" t="s">
        <v>85</v>
      </c>
      <c r="L8" s="13" t="n">
        <v>3</v>
      </c>
      <c r="M8" s="13" t="n">
        <v>1050407.63</v>
      </c>
      <c r="N8" s="13" t="n">
        <v>350135.876666667</v>
      </c>
      <c r="O8" s="13" t="n">
        <v>1076.69</v>
      </c>
      <c r="P8" s="13" t="n">
        <v>0</v>
      </c>
      <c r="Q8" s="13" t="n">
        <v>3</v>
      </c>
      <c r="R8" s="13" t="s">
        <v>93</v>
      </c>
      <c r="S8" s="13" t="s">
        <v>107</v>
      </c>
      <c r="T8" s="13" t="n">
        <v>1</v>
      </c>
      <c r="U8" s="13" t="n">
        <f aca="false">IF(B8="Individual",1,0)</f>
        <v>0</v>
      </c>
      <c r="V8" s="13" t="n">
        <f aca="false">IF(B8="Company",1,0)</f>
        <v>1</v>
      </c>
      <c r="W8" s="13" t="n">
        <f aca="false">IF(H8="Home",1,0)</f>
        <v>0</v>
      </c>
      <c r="X8" s="13" t="n">
        <f aca="false">IF(H8="Investment",1,0)</f>
        <v>1</v>
      </c>
      <c r="Y8" s="13" t="n">
        <f aca="false">IF(K8="Website",1,0)</f>
        <v>1</v>
      </c>
      <c r="Z8" s="13" t="n">
        <f aca="false">IF(K8="Agency",1,0)</f>
        <v>0</v>
      </c>
      <c r="AA8" s="13" t="n">
        <f aca="false">IF(K8="Client",1,0)</f>
        <v>0</v>
      </c>
      <c r="AB8" s="13" t="n">
        <f aca="false">(D8-AVERAGE(D$2:D$2001))/STDEV(D$2:D$2001)</f>
        <v>-1.0458239551886</v>
      </c>
      <c r="AC8" s="13" t="n">
        <f aca="false">(I8-AVERAGE(I$2:I$2001))/STDEV(I$2:I$2001)</f>
        <v>-0.727948160798201</v>
      </c>
      <c r="AD8" s="13" t="n">
        <f aca="false">(L8-AVERAGE(L$2:L$2001))/STDEV(L$2:L$2001)</f>
        <v>-0.777063122173208</v>
      </c>
      <c r="AE8" s="13" t="n">
        <f aca="false">(M8-AVERAGE(M$2:M$2001))/STDEV(M$2:M$2001)</f>
        <v>-0.603649625096022</v>
      </c>
      <c r="AF8" s="13" t="n">
        <f aca="false">(N8-AVERAGE(N$2:N$2001))/STDEV(N$2:N$2001)</f>
        <v>0.0436867643198332</v>
      </c>
      <c r="AG8" s="13" t="n">
        <f aca="false">(O8-AVERAGE(O$2:O$2001))/STDEV(O$2:O$2001)</f>
        <v>-0.321884482048205</v>
      </c>
      <c r="AH8" s="0" t="str">
        <f aca="false">IF(B8="Company","C3 - Corporate Buyers",IF(AND(H8="Investment",M8&gt;'Segmentation Summary'!$C$1),"C1 - Global Investors",IF(AND(I8&gt;=4,M8&gt;'Segmentation Summary'!$C$1),"C4 - Luxury Investors",IF(AND(D8&lt;'Segmentation Summary'!$C$2,J8=1),"C2 - First-Time Buyers","C5 - Other Individual Buyers"))))</f>
        <v>C3 - Corporate Buyers</v>
      </c>
    </row>
    <row r="9" customFormat="false" ht="15" hidden="false" customHeight="true" outlineLevel="0" collapsed="false">
      <c r="A9" s="13" t="s">
        <v>108</v>
      </c>
      <c r="B9" s="13" t="s">
        <v>36</v>
      </c>
      <c r="C9" s="13" t="s">
        <v>109</v>
      </c>
      <c r="D9" s="13" t="n">
        <v>51</v>
      </c>
      <c r="E9" s="13" t="s">
        <v>83</v>
      </c>
      <c r="F9" s="13" t="s">
        <v>33</v>
      </c>
      <c r="G9" s="13" t="s">
        <v>110</v>
      </c>
      <c r="H9" s="13" t="s">
        <v>41</v>
      </c>
      <c r="I9" s="13" t="n">
        <v>2</v>
      </c>
      <c r="J9" s="13" t="n">
        <v>1</v>
      </c>
      <c r="K9" s="13" t="s">
        <v>85</v>
      </c>
      <c r="L9" s="13" t="n">
        <v>3</v>
      </c>
      <c r="M9" s="13" t="n">
        <v>1315200.12</v>
      </c>
      <c r="N9" s="13" t="n">
        <v>438400.04</v>
      </c>
      <c r="O9" s="13" t="n">
        <v>1460.49333333333</v>
      </c>
      <c r="P9" s="13" t="n">
        <v>0</v>
      </c>
      <c r="Q9" s="13" t="n">
        <v>3</v>
      </c>
      <c r="R9" s="13" t="s">
        <v>111</v>
      </c>
      <c r="S9" s="13" t="s">
        <v>112</v>
      </c>
      <c r="T9" s="13" t="n">
        <v>1</v>
      </c>
      <c r="U9" s="13" t="n">
        <f aca="false">IF(B9="Individual",1,0)</f>
        <v>0</v>
      </c>
      <c r="V9" s="13" t="n">
        <f aca="false">IF(B9="Company",1,0)</f>
        <v>1</v>
      </c>
      <c r="W9" s="13" t="n">
        <f aca="false">IF(H9="Home",1,0)</f>
        <v>1</v>
      </c>
      <c r="X9" s="13" t="n">
        <f aca="false">IF(H9="Investment",1,0)</f>
        <v>0</v>
      </c>
      <c r="Y9" s="13" t="n">
        <f aca="false">IF(K9="Website",1,0)</f>
        <v>1</v>
      </c>
      <c r="Z9" s="13" t="n">
        <f aca="false">IF(K9="Agency",1,0)</f>
        <v>0</v>
      </c>
      <c r="AA9" s="13" t="n">
        <f aca="false">IF(K9="Client",1,0)</f>
        <v>0</v>
      </c>
      <c r="AB9" s="13" t="n">
        <f aca="false">(D9-AVERAGE(D$2:D$2001))/STDEV(D$2:D$2001)</f>
        <v>-0.18088712286633</v>
      </c>
      <c r="AC9" s="13" t="n">
        <f aca="false">(I9-AVERAGE(I$2:I$2001))/STDEV(I$2:I$2001)</f>
        <v>-0.727948160798201</v>
      </c>
      <c r="AD9" s="13" t="n">
        <f aca="false">(L9-AVERAGE(L$2:L$2001))/STDEV(L$2:L$2001)</f>
        <v>-0.777063122173208</v>
      </c>
      <c r="AE9" s="13" t="n">
        <f aca="false">(M9-AVERAGE(M$2:M$2001))/STDEV(M$2:M$2001)</f>
        <v>0.157618764312211</v>
      </c>
      <c r="AF9" s="13" t="n">
        <f aca="false">(N9-AVERAGE(N$2:N$2001))/STDEV(N$2:N$2001)</f>
        <v>1.30963422577334</v>
      </c>
      <c r="AG9" s="13" t="n">
        <f aca="false">(O9-AVERAGE(O$2:O$2001))/STDEV(O$2:O$2001)</f>
        <v>1.42329021164158</v>
      </c>
      <c r="AH9" s="0" t="str">
        <f aca="false">IF(B9="Company","C3 - Corporate Buyers",IF(AND(H9="Investment",M9&gt;'Segmentation Summary'!$C$1),"C1 - Global Investors",IF(AND(I9&gt;=4,M9&gt;'Segmentation Summary'!$C$1),"C4 - Luxury Investors",IF(AND(D9&lt;'Segmentation Summary'!$C$2,J9=1),"C2 - First-Time Buyers","C5 - Other Individual Buyers"))))</f>
        <v>C3 - Corporate Buyers</v>
      </c>
    </row>
    <row r="10" customFormat="false" ht="15" hidden="false" customHeight="true" outlineLevel="0" collapsed="false">
      <c r="A10" s="13" t="s">
        <v>113</v>
      </c>
      <c r="B10" s="13" t="s">
        <v>36</v>
      </c>
      <c r="C10" s="13" t="s">
        <v>109</v>
      </c>
      <c r="D10" s="13" t="n">
        <v>37</v>
      </c>
      <c r="E10" s="13" t="s">
        <v>90</v>
      </c>
      <c r="F10" s="13" t="s">
        <v>33</v>
      </c>
      <c r="G10" s="13" t="s">
        <v>95</v>
      </c>
      <c r="H10" s="13" t="s">
        <v>41</v>
      </c>
      <c r="I10" s="13" t="n">
        <v>5</v>
      </c>
      <c r="J10" s="13" t="n">
        <v>0</v>
      </c>
      <c r="K10" s="13" t="s">
        <v>85</v>
      </c>
      <c r="L10" s="13" t="n">
        <v>4</v>
      </c>
      <c r="M10" s="13" t="n">
        <v>1377133.6</v>
      </c>
      <c r="N10" s="13" t="n">
        <v>344283.4</v>
      </c>
      <c r="O10" s="13" t="n">
        <v>1186.5225</v>
      </c>
      <c r="P10" s="13" t="n">
        <v>0</v>
      </c>
      <c r="Q10" s="13" t="n">
        <v>4</v>
      </c>
      <c r="R10" s="13" t="s">
        <v>93</v>
      </c>
      <c r="S10" s="13" t="s">
        <v>114</v>
      </c>
      <c r="T10" s="13" t="n">
        <v>1</v>
      </c>
      <c r="U10" s="13" t="n">
        <f aca="false">IF(B10="Individual",1,0)</f>
        <v>0</v>
      </c>
      <c r="V10" s="13" t="n">
        <f aca="false">IF(B10="Company",1,0)</f>
        <v>1</v>
      </c>
      <c r="W10" s="13" t="n">
        <f aca="false">IF(H10="Home",1,0)</f>
        <v>1</v>
      </c>
      <c r="X10" s="13" t="n">
        <f aca="false">IF(H10="Investment",1,0)</f>
        <v>0</v>
      </c>
      <c r="Y10" s="13" t="n">
        <f aca="false">IF(K10="Website",1,0)</f>
        <v>1</v>
      </c>
      <c r="Z10" s="13" t="n">
        <f aca="false">IF(K10="Agency",1,0)</f>
        <v>0</v>
      </c>
      <c r="AA10" s="13" t="n">
        <f aca="false">IF(K10="Client",1,0)</f>
        <v>0</v>
      </c>
      <c r="AB10" s="13" t="n">
        <f aca="false">(D10-AVERAGE(D$2:D$2001))/STDEV(D$2:D$2001)</f>
        <v>-0.988161499700447</v>
      </c>
      <c r="AC10" s="13" t="n">
        <f aca="false">(I10-AVERAGE(I$2:I$2001))/STDEV(I$2:I$2001)</f>
        <v>1.39434968409451</v>
      </c>
      <c r="AD10" s="13" t="n">
        <f aca="false">(L10-AVERAGE(L$2:L$2001))/STDEV(L$2:L$2001)</f>
        <v>0.413838214490712</v>
      </c>
      <c r="AE10" s="13" t="n">
        <f aca="false">(M10-AVERAGE(M$2:M$2001))/STDEV(M$2:M$2001)</f>
        <v>0.335675175844301</v>
      </c>
      <c r="AF10" s="13" t="n">
        <f aca="false">(N10-AVERAGE(N$2:N$2001))/STDEV(N$2:N$2001)</f>
        <v>-0.0402536221244685</v>
      </c>
      <c r="AG10" s="13" t="n">
        <f aca="false">(O10-AVERAGE(O$2:O$2001))/STDEV(O$2:O$2001)</f>
        <v>0.177529886972436</v>
      </c>
      <c r="AH10" s="0" t="str">
        <f aca="false">IF(B10="Company","C3 - Corporate Buyers",IF(AND(H10="Investment",M10&gt;'Segmentation Summary'!$C$1),"C1 - Global Investors",IF(AND(I10&gt;=4,M10&gt;'Segmentation Summary'!$C$1),"C4 - Luxury Investors",IF(AND(D10&lt;'Segmentation Summary'!$C$2,J10=1),"C2 - First-Time Buyers","C5 - Other Individual Buyers"))))</f>
        <v>C3 - Corporate Buyers</v>
      </c>
    </row>
    <row r="11" customFormat="false" ht="15" hidden="false" customHeight="true" outlineLevel="0" collapsed="false">
      <c r="A11" s="13" t="s">
        <v>115</v>
      </c>
      <c r="B11" s="13" t="s">
        <v>36</v>
      </c>
      <c r="C11" s="13" t="s">
        <v>109</v>
      </c>
      <c r="D11" s="13" t="n">
        <v>49</v>
      </c>
      <c r="E11" s="13" t="s">
        <v>83</v>
      </c>
      <c r="F11" s="13" t="s">
        <v>33</v>
      </c>
      <c r="G11" s="13" t="s">
        <v>97</v>
      </c>
      <c r="H11" s="13" t="s">
        <v>41</v>
      </c>
      <c r="I11" s="13" t="n">
        <v>3</v>
      </c>
      <c r="J11" s="13" t="n">
        <v>1</v>
      </c>
      <c r="K11" s="13" t="s">
        <v>116</v>
      </c>
      <c r="L11" s="13" t="n">
        <v>3</v>
      </c>
      <c r="M11" s="13" t="n">
        <v>1280895.97</v>
      </c>
      <c r="N11" s="13" t="n">
        <v>426965.323333333</v>
      </c>
      <c r="O11" s="13" t="n">
        <v>1435.66333333333</v>
      </c>
      <c r="P11" s="13" t="n">
        <v>0</v>
      </c>
      <c r="Q11" s="13" t="n">
        <v>3</v>
      </c>
      <c r="R11" s="13" t="s">
        <v>117</v>
      </c>
      <c r="S11" s="13" t="s">
        <v>93</v>
      </c>
      <c r="T11" s="13" t="n">
        <v>1</v>
      </c>
      <c r="U11" s="13" t="n">
        <f aca="false">IF(B11="Individual",1,0)</f>
        <v>0</v>
      </c>
      <c r="V11" s="13" t="n">
        <f aca="false">IF(B11="Company",1,0)</f>
        <v>1</v>
      </c>
      <c r="W11" s="13" t="n">
        <f aca="false">IF(H11="Home",1,0)</f>
        <v>1</v>
      </c>
      <c r="X11" s="13" t="n">
        <f aca="false">IF(H11="Investment",1,0)</f>
        <v>0</v>
      </c>
      <c r="Y11" s="13" t="n">
        <f aca="false">IF(K11="Website",1,0)</f>
        <v>0</v>
      </c>
      <c r="Z11" s="13" t="n">
        <f aca="false">IF(K11="Agency",1,0)</f>
        <v>0</v>
      </c>
      <c r="AA11" s="13" t="n">
        <f aca="false">IF(K11="Client",1,0)</f>
        <v>1</v>
      </c>
      <c r="AB11" s="13" t="n">
        <f aca="false">(D11-AVERAGE(D$2:D$2001))/STDEV(D$2:D$2001)</f>
        <v>-0.296212033842633</v>
      </c>
      <c r="AC11" s="13" t="n">
        <f aca="false">(I11-AVERAGE(I$2:I$2001))/STDEV(I$2:I$2001)</f>
        <v>-0.0205155458339628</v>
      </c>
      <c r="AD11" s="13" t="n">
        <f aca="false">(L11-AVERAGE(L$2:L$2001))/STDEV(L$2:L$2001)</f>
        <v>-0.777063122173208</v>
      </c>
      <c r="AE11" s="13" t="n">
        <f aca="false">(M11-AVERAGE(M$2:M$2001))/STDEV(M$2:M$2001)</f>
        <v>0.0589956310786415</v>
      </c>
      <c r="AF11" s="13" t="n">
        <f aca="false">(N11-AVERAGE(N$2:N$2001))/STDEV(N$2:N$2001)</f>
        <v>1.1456293795263</v>
      </c>
      <c r="AG11" s="13" t="n">
        <f aca="false">(O11-AVERAGE(O$2:O$2001))/STDEV(O$2:O$2001)</f>
        <v>1.31038684712942</v>
      </c>
      <c r="AH11" s="0" t="str">
        <f aca="false">IF(B11="Company","C3 - Corporate Buyers",IF(AND(H11="Investment",M11&gt;'Segmentation Summary'!$C$1),"C1 - Global Investors",IF(AND(I11&gt;=4,M11&gt;'Segmentation Summary'!$C$1),"C4 - Luxury Investors",IF(AND(D11&lt;'Segmentation Summary'!$C$2,J11=1),"C2 - First-Time Buyers","C5 - Other Individual Buyers"))))</f>
        <v>C3 - Corporate Buyers</v>
      </c>
    </row>
    <row r="12" customFormat="false" ht="15" hidden="false" customHeight="true" outlineLevel="0" collapsed="false">
      <c r="A12" s="13" t="s">
        <v>118</v>
      </c>
      <c r="B12" s="13" t="s">
        <v>36</v>
      </c>
      <c r="C12" s="13" t="s">
        <v>119</v>
      </c>
      <c r="D12" s="13" t="n">
        <v>62</v>
      </c>
      <c r="E12" s="13" t="s">
        <v>90</v>
      </c>
      <c r="F12" s="13" t="s">
        <v>33</v>
      </c>
      <c r="G12" s="13" t="s">
        <v>120</v>
      </c>
      <c r="H12" s="13" t="s">
        <v>43</v>
      </c>
      <c r="I12" s="13" t="n">
        <v>3</v>
      </c>
      <c r="J12" s="13" t="n">
        <v>0</v>
      </c>
      <c r="K12" s="13" t="s">
        <v>85</v>
      </c>
      <c r="L12" s="13" t="n">
        <v>4</v>
      </c>
      <c r="M12" s="13" t="n">
        <v>1589252.43</v>
      </c>
      <c r="N12" s="13" t="n">
        <v>397313.1075</v>
      </c>
      <c r="O12" s="13" t="n">
        <v>1298.145</v>
      </c>
      <c r="P12" s="13" t="n">
        <v>0</v>
      </c>
      <c r="Q12" s="13" t="n">
        <v>4</v>
      </c>
      <c r="R12" s="13" t="s">
        <v>121</v>
      </c>
      <c r="S12" s="13" t="s">
        <v>103</v>
      </c>
      <c r="T12" s="13" t="n">
        <v>1</v>
      </c>
      <c r="U12" s="13" t="n">
        <f aca="false">IF(B12="Individual",1,0)</f>
        <v>0</v>
      </c>
      <c r="V12" s="13" t="n">
        <f aca="false">IF(B12="Company",1,0)</f>
        <v>1</v>
      </c>
      <c r="W12" s="13" t="n">
        <f aca="false">IF(H12="Home",1,0)</f>
        <v>0</v>
      </c>
      <c r="X12" s="13" t="n">
        <f aca="false">IF(H12="Investment",1,0)</f>
        <v>1</v>
      </c>
      <c r="Y12" s="13" t="n">
        <f aca="false">IF(K12="Website",1,0)</f>
        <v>1</v>
      </c>
      <c r="Z12" s="13" t="n">
        <f aca="false">IF(K12="Agency",1,0)</f>
        <v>0</v>
      </c>
      <c r="AA12" s="13" t="n">
        <f aca="false">IF(K12="Client",1,0)</f>
        <v>0</v>
      </c>
      <c r="AB12" s="13" t="n">
        <f aca="false">(D12-AVERAGE(D$2:D$2001))/STDEV(D$2:D$2001)</f>
        <v>0.453399887503333</v>
      </c>
      <c r="AC12" s="13" t="n">
        <f aca="false">(I12-AVERAGE(I$2:I$2001))/STDEV(I$2:I$2001)</f>
        <v>-0.0205155458339628</v>
      </c>
      <c r="AD12" s="13" t="n">
        <f aca="false">(L12-AVERAGE(L$2:L$2001))/STDEV(L$2:L$2001)</f>
        <v>0.413838214490712</v>
      </c>
      <c r="AE12" s="13" t="n">
        <f aca="false">(M12-AVERAGE(M$2:M$2001))/STDEV(M$2:M$2001)</f>
        <v>0.945508785843052</v>
      </c>
      <c r="AF12" s="13" t="n">
        <f aca="false">(N12-AVERAGE(N$2:N$2001))/STDEV(N$2:N$2001)</f>
        <v>0.720336192087187</v>
      </c>
      <c r="AG12" s="13" t="n">
        <f aca="false">(O12-AVERAGE(O$2:O$2001))/STDEV(O$2:O$2001)</f>
        <v>0.685083483640148</v>
      </c>
      <c r="AH12" s="0" t="str">
        <f aca="false">IF(B12="Company","C3 - Corporate Buyers",IF(AND(H12="Investment",M12&gt;'Segmentation Summary'!$C$1),"C1 - Global Investors",IF(AND(I12&gt;=4,M12&gt;'Segmentation Summary'!$C$1),"C4 - Luxury Investors",IF(AND(D12&lt;'Segmentation Summary'!$C$2,J12=1),"C2 - First-Time Buyers","C5 - Other Individual Buyers"))))</f>
        <v>C3 - Corporate Buyers</v>
      </c>
    </row>
    <row r="13" customFormat="false" ht="15" hidden="false" customHeight="true" outlineLevel="0" collapsed="false">
      <c r="A13" s="13" t="s">
        <v>122</v>
      </c>
      <c r="B13" s="13" t="s">
        <v>36</v>
      </c>
      <c r="C13" s="13" t="s">
        <v>119</v>
      </c>
      <c r="D13" s="13" t="n">
        <v>43</v>
      </c>
      <c r="E13" s="13" t="s">
        <v>83</v>
      </c>
      <c r="F13" s="13" t="s">
        <v>33</v>
      </c>
      <c r="G13" s="13" t="s">
        <v>123</v>
      </c>
      <c r="H13" s="13" t="s">
        <v>43</v>
      </c>
      <c r="I13" s="13" t="n">
        <v>4</v>
      </c>
      <c r="J13" s="13" t="n">
        <v>1</v>
      </c>
      <c r="K13" s="13" t="s">
        <v>85</v>
      </c>
      <c r="L13" s="13" t="n">
        <v>3</v>
      </c>
      <c r="M13" s="13" t="n">
        <v>1543986.34</v>
      </c>
      <c r="N13" s="13" t="n">
        <v>514662.113333333</v>
      </c>
      <c r="O13" s="13" t="n">
        <v>1523.69333333333</v>
      </c>
      <c r="P13" s="13" t="n">
        <v>0</v>
      </c>
      <c r="Q13" s="13" t="n">
        <v>3</v>
      </c>
      <c r="R13" s="13" t="s">
        <v>124</v>
      </c>
      <c r="S13" s="13" t="s">
        <v>125</v>
      </c>
      <c r="T13" s="13" t="n">
        <v>1</v>
      </c>
      <c r="U13" s="13" t="n">
        <f aca="false">IF(B13="Individual",1,0)</f>
        <v>0</v>
      </c>
      <c r="V13" s="13" t="n">
        <f aca="false">IF(B13="Company",1,0)</f>
        <v>1</v>
      </c>
      <c r="W13" s="13" t="n">
        <f aca="false">IF(H13="Home",1,0)</f>
        <v>0</v>
      </c>
      <c r="X13" s="13" t="n">
        <f aca="false">IF(H13="Investment",1,0)</f>
        <v>1</v>
      </c>
      <c r="Y13" s="13" t="n">
        <f aca="false">IF(K13="Website",1,0)</f>
        <v>1</v>
      </c>
      <c r="Z13" s="13" t="n">
        <f aca="false">IF(K13="Agency",1,0)</f>
        <v>0</v>
      </c>
      <c r="AA13" s="13" t="n">
        <f aca="false">IF(K13="Client",1,0)</f>
        <v>0</v>
      </c>
      <c r="AB13" s="13" t="n">
        <f aca="false">(D13-AVERAGE(D$2:D$2001))/STDEV(D$2:D$2001)</f>
        <v>-0.64218676677154</v>
      </c>
      <c r="AC13" s="13" t="n">
        <f aca="false">(I13-AVERAGE(I$2:I$2001))/STDEV(I$2:I$2001)</f>
        <v>0.686917069130275</v>
      </c>
      <c r="AD13" s="13" t="n">
        <f aca="false">(L13-AVERAGE(L$2:L$2001))/STDEV(L$2:L$2001)</f>
        <v>-0.777063122173208</v>
      </c>
      <c r="AE13" s="13" t="n">
        <f aca="false">(M13-AVERAGE(M$2:M$2001))/STDEV(M$2:M$2001)</f>
        <v>0.815370489892484</v>
      </c>
      <c r="AF13" s="13" t="n">
        <f aca="false">(N13-AVERAGE(N$2:N$2001))/STDEV(N$2:N$2001)</f>
        <v>2.40343916874791</v>
      </c>
      <c r="AG13" s="13" t="n">
        <f aca="false">(O13-AVERAGE(O$2:O$2001))/STDEV(O$2:O$2001)</f>
        <v>1.71066405929237</v>
      </c>
      <c r="AH13" s="0" t="str">
        <f aca="false">IF(B13="Company","C3 - Corporate Buyers",IF(AND(H13="Investment",M13&gt;'Segmentation Summary'!$C$1),"C1 - Global Investors",IF(AND(I13&gt;=4,M13&gt;'Segmentation Summary'!$C$1),"C4 - Luxury Investors",IF(AND(D13&lt;'Segmentation Summary'!$C$2,J13=1),"C2 - First-Time Buyers","C5 - Other Individual Buyers"))))</f>
        <v>C3 - Corporate Buyers</v>
      </c>
    </row>
    <row r="14" customFormat="false" ht="15" hidden="false" customHeight="true" outlineLevel="0" collapsed="false">
      <c r="A14" s="13" t="s">
        <v>126</v>
      </c>
      <c r="B14" s="13" t="s">
        <v>36</v>
      </c>
      <c r="C14" s="13" t="s">
        <v>119</v>
      </c>
      <c r="D14" s="13" t="n">
        <v>43</v>
      </c>
      <c r="E14" s="13" t="s">
        <v>83</v>
      </c>
      <c r="F14" s="13" t="s">
        <v>38</v>
      </c>
      <c r="G14" s="13" t="s">
        <v>127</v>
      </c>
      <c r="H14" s="13" t="s">
        <v>43</v>
      </c>
      <c r="I14" s="13" t="n">
        <v>5</v>
      </c>
      <c r="J14" s="13" t="n">
        <v>1</v>
      </c>
      <c r="K14" s="13" t="s">
        <v>116</v>
      </c>
      <c r="L14" s="13" t="n">
        <v>3</v>
      </c>
      <c r="M14" s="13" t="n">
        <v>1059532.51</v>
      </c>
      <c r="N14" s="13" t="n">
        <v>353177.503333333</v>
      </c>
      <c r="O14" s="13" t="n">
        <v>1260.83666666667</v>
      </c>
      <c r="P14" s="13" t="n">
        <v>0</v>
      </c>
      <c r="Q14" s="13" t="n">
        <v>3</v>
      </c>
      <c r="R14" s="13" t="s">
        <v>128</v>
      </c>
      <c r="S14" s="13" t="s">
        <v>125</v>
      </c>
      <c r="T14" s="13" t="n">
        <v>1</v>
      </c>
      <c r="U14" s="13" t="n">
        <f aca="false">IF(B14="Individual",1,0)</f>
        <v>0</v>
      </c>
      <c r="V14" s="13" t="n">
        <f aca="false">IF(B14="Company",1,0)</f>
        <v>1</v>
      </c>
      <c r="W14" s="13" t="n">
        <f aca="false">IF(H14="Home",1,0)</f>
        <v>0</v>
      </c>
      <c r="X14" s="13" t="n">
        <f aca="false">IF(H14="Investment",1,0)</f>
        <v>1</v>
      </c>
      <c r="Y14" s="13" t="n">
        <f aca="false">IF(K14="Website",1,0)</f>
        <v>0</v>
      </c>
      <c r="Z14" s="13" t="n">
        <f aca="false">IF(K14="Agency",1,0)</f>
        <v>0</v>
      </c>
      <c r="AA14" s="13" t="n">
        <f aca="false">IF(K14="Client",1,0)</f>
        <v>1</v>
      </c>
      <c r="AB14" s="13" t="n">
        <f aca="false">(D14-AVERAGE(D$2:D$2001))/STDEV(D$2:D$2001)</f>
        <v>-0.64218676677154</v>
      </c>
      <c r="AC14" s="13" t="n">
        <f aca="false">(I14-AVERAGE(I$2:I$2001))/STDEV(I$2:I$2001)</f>
        <v>1.39434968409451</v>
      </c>
      <c r="AD14" s="13" t="n">
        <f aca="false">(L14-AVERAGE(L$2:L$2001))/STDEV(L$2:L$2001)</f>
        <v>-0.777063122173208</v>
      </c>
      <c r="AE14" s="13" t="n">
        <f aca="false">(M14-AVERAGE(M$2:M$2001))/STDEV(M$2:M$2001)</f>
        <v>-0.577415940367488</v>
      </c>
      <c r="AF14" s="13" t="n">
        <f aca="false">(N14-AVERAGE(N$2:N$2001))/STDEV(N$2:N$2001)</f>
        <v>0.0873119391579316</v>
      </c>
      <c r="AG14" s="13" t="n">
        <f aca="false">(O14-AVERAGE(O$2:O$2001))/STDEV(O$2:O$2001)</f>
        <v>0.515440456750322</v>
      </c>
      <c r="AH14" s="0" t="str">
        <f aca="false">IF(B14="Company","C3 - Corporate Buyers",IF(AND(H14="Investment",M14&gt;'Segmentation Summary'!$C$1),"C1 - Global Investors",IF(AND(I14&gt;=4,M14&gt;'Segmentation Summary'!$C$1),"C4 - Luxury Investors",IF(AND(D14&lt;'Segmentation Summary'!$C$2,J14=1),"C2 - First-Time Buyers","C5 - Other Individual Buyers"))))</f>
        <v>C3 - Corporate Buyers</v>
      </c>
    </row>
    <row r="15" customFormat="false" ht="15" hidden="false" customHeight="true" outlineLevel="0" collapsed="false">
      <c r="A15" s="13" t="s">
        <v>129</v>
      </c>
      <c r="B15" s="13" t="s">
        <v>36</v>
      </c>
      <c r="C15" s="13" t="s">
        <v>130</v>
      </c>
      <c r="D15" s="13" t="n">
        <v>57</v>
      </c>
      <c r="E15" s="13" t="s">
        <v>83</v>
      </c>
      <c r="F15" s="13" t="s">
        <v>33</v>
      </c>
      <c r="G15" s="13" t="s">
        <v>84</v>
      </c>
      <c r="H15" s="13" t="s">
        <v>43</v>
      </c>
      <c r="I15" s="13" t="n">
        <v>5</v>
      </c>
      <c r="J15" s="13" t="n">
        <v>0</v>
      </c>
      <c r="K15" s="13" t="s">
        <v>85</v>
      </c>
      <c r="L15" s="13" t="n">
        <v>6</v>
      </c>
      <c r="M15" s="13" t="n">
        <v>2109277.6</v>
      </c>
      <c r="N15" s="13" t="n">
        <v>351546.266666667</v>
      </c>
      <c r="O15" s="13" t="n">
        <v>1115.63333333333</v>
      </c>
      <c r="P15" s="13" t="n">
        <v>4</v>
      </c>
      <c r="Q15" s="13" t="n">
        <v>2</v>
      </c>
      <c r="R15" s="13" t="s">
        <v>92</v>
      </c>
      <c r="S15" s="13" t="s">
        <v>114</v>
      </c>
      <c r="T15" s="13" t="n">
        <v>1</v>
      </c>
      <c r="U15" s="13" t="n">
        <f aca="false">IF(B15="Individual",1,0)</f>
        <v>0</v>
      </c>
      <c r="V15" s="13" t="n">
        <f aca="false">IF(B15="Company",1,0)</f>
        <v>1</v>
      </c>
      <c r="W15" s="13" t="n">
        <f aca="false">IF(H15="Home",1,0)</f>
        <v>0</v>
      </c>
      <c r="X15" s="13" t="n">
        <f aca="false">IF(H15="Investment",1,0)</f>
        <v>1</v>
      </c>
      <c r="Y15" s="13" t="n">
        <f aca="false">IF(K15="Website",1,0)</f>
        <v>1</v>
      </c>
      <c r="Z15" s="13" t="n">
        <f aca="false">IF(K15="Agency",1,0)</f>
        <v>0</v>
      </c>
      <c r="AA15" s="13" t="n">
        <f aca="false">IF(K15="Client",1,0)</f>
        <v>0</v>
      </c>
      <c r="AB15" s="13" t="n">
        <f aca="false">(D15-AVERAGE(D$2:D$2001))/STDEV(D$2:D$2001)</f>
        <v>0.165087610062577</v>
      </c>
      <c r="AC15" s="13" t="n">
        <f aca="false">(I15-AVERAGE(I$2:I$2001))/STDEV(I$2:I$2001)</f>
        <v>1.39434968409451</v>
      </c>
      <c r="AD15" s="13" t="n">
        <f aca="false">(L15-AVERAGE(L$2:L$2001))/STDEV(L$2:L$2001)</f>
        <v>2.79564088781855</v>
      </c>
      <c r="AE15" s="13" t="n">
        <f aca="false">(M15-AVERAGE(M$2:M$2001))/STDEV(M$2:M$2001)</f>
        <v>2.44056147263807</v>
      </c>
      <c r="AF15" s="13" t="n">
        <f aca="false">(N15-AVERAGE(N$2:N$2001))/STDEV(N$2:N$2001)</f>
        <v>0.063915581687268</v>
      </c>
      <c r="AG15" s="13" t="n">
        <f aca="false">(O15-AVERAGE(O$2:O$2001))/STDEV(O$2:O$2001)</f>
        <v>-0.144807020966781</v>
      </c>
      <c r="AH15" s="0" t="str">
        <f aca="false">IF(B15="Company","C3 - Corporate Buyers",IF(AND(H15="Investment",M15&gt;'Segmentation Summary'!$C$1),"C1 - Global Investors",IF(AND(I15&gt;=4,M15&gt;'Segmentation Summary'!$C$1),"C4 - Luxury Investors",IF(AND(D15&lt;'Segmentation Summary'!$C$2,J15=1),"C2 - First-Time Buyers","C5 - Other Individual Buyers"))))</f>
        <v>C3 - Corporate Buyers</v>
      </c>
    </row>
    <row r="16" customFormat="false" ht="15" hidden="false" customHeight="true" outlineLevel="0" collapsed="false">
      <c r="A16" s="13" t="s">
        <v>131</v>
      </c>
      <c r="B16" s="13" t="s">
        <v>36</v>
      </c>
      <c r="C16" s="13" t="s">
        <v>132</v>
      </c>
      <c r="D16" s="13" t="n">
        <v>55</v>
      </c>
      <c r="E16" s="13" t="s">
        <v>83</v>
      </c>
      <c r="F16" s="13" t="s">
        <v>33</v>
      </c>
      <c r="G16" s="13" t="s">
        <v>84</v>
      </c>
      <c r="H16" s="13" t="s">
        <v>43</v>
      </c>
      <c r="I16" s="13" t="n">
        <v>4</v>
      </c>
      <c r="J16" s="13" t="n">
        <v>0</v>
      </c>
      <c r="K16" s="13" t="s">
        <v>91</v>
      </c>
      <c r="L16" s="13" t="n">
        <v>3</v>
      </c>
      <c r="M16" s="13" t="n">
        <v>1170571.86</v>
      </c>
      <c r="N16" s="13" t="n">
        <v>390190.62</v>
      </c>
      <c r="O16" s="13" t="n">
        <v>1308.51333333333</v>
      </c>
      <c r="P16" s="13" t="n">
        <v>1</v>
      </c>
      <c r="Q16" s="13" t="n">
        <v>2</v>
      </c>
      <c r="R16" s="13" t="s">
        <v>98</v>
      </c>
      <c r="S16" s="13" t="s">
        <v>133</v>
      </c>
      <c r="T16" s="13" t="n">
        <v>1</v>
      </c>
      <c r="U16" s="13" t="n">
        <f aca="false">IF(B16="Individual",1,0)</f>
        <v>0</v>
      </c>
      <c r="V16" s="13" t="n">
        <f aca="false">IF(B16="Company",1,0)</f>
        <v>1</v>
      </c>
      <c r="W16" s="13" t="n">
        <f aca="false">IF(H16="Home",1,0)</f>
        <v>0</v>
      </c>
      <c r="X16" s="13" t="n">
        <f aca="false">IF(H16="Investment",1,0)</f>
        <v>1</v>
      </c>
      <c r="Y16" s="13" t="n">
        <f aca="false">IF(K16="Website",1,0)</f>
        <v>0</v>
      </c>
      <c r="Z16" s="13" t="n">
        <f aca="false">IF(K16="Agency",1,0)</f>
        <v>1</v>
      </c>
      <c r="AA16" s="13" t="n">
        <f aca="false">IF(K16="Client",1,0)</f>
        <v>0</v>
      </c>
      <c r="AB16" s="13" t="n">
        <f aca="false">(D16-AVERAGE(D$2:D$2001))/STDEV(D$2:D$2001)</f>
        <v>0.0497626990862745</v>
      </c>
      <c r="AC16" s="13" t="n">
        <f aca="false">(I16-AVERAGE(I$2:I$2001))/STDEV(I$2:I$2001)</f>
        <v>0.686917069130275</v>
      </c>
      <c r="AD16" s="13" t="n">
        <f aca="false">(L16-AVERAGE(L$2:L$2001))/STDEV(L$2:L$2001)</f>
        <v>-0.777063122173208</v>
      </c>
      <c r="AE16" s="13" t="n">
        <f aca="false">(M16-AVERAGE(M$2:M$2001))/STDEV(M$2:M$2001)</f>
        <v>-0.258182010676215</v>
      </c>
      <c r="AF16" s="13" t="n">
        <f aca="false">(N16-AVERAGE(N$2:N$2001))/STDEV(N$2:N$2001)</f>
        <v>0.618180406212829</v>
      </c>
      <c r="AG16" s="13" t="n">
        <f aca="false">(O16-AVERAGE(O$2:O$2001))/STDEV(O$2:O$2001)</f>
        <v>0.732228860914276</v>
      </c>
      <c r="AH16" s="0" t="str">
        <f aca="false">IF(B16="Company","C3 - Corporate Buyers",IF(AND(H16="Investment",M16&gt;'Segmentation Summary'!$C$1),"C1 - Global Investors",IF(AND(I16&gt;=4,M16&gt;'Segmentation Summary'!$C$1),"C4 - Luxury Investors",IF(AND(D16&lt;'Segmentation Summary'!$C$2,J16=1),"C2 - First-Time Buyers","C5 - Other Individual Buyers"))))</f>
        <v>C3 - Corporate Buyers</v>
      </c>
    </row>
    <row r="17" customFormat="false" ht="15" hidden="false" customHeight="true" outlineLevel="0" collapsed="false">
      <c r="A17" s="13" t="s">
        <v>134</v>
      </c>
      <c r="B17" s="13" t="s">
        <v>36</v>
      </c>
      <c r="C17" s="13" t="s">
        <v>132</v>
      </c>
      <c r="D17" s="13" t="n">
        <v>40</v>
      </c>
      <c r="E17" s="13" t="s">
        <v>90</v>
      </c>
      <c r="F17" s="13" t="s">
        <v>33</v>
      </c>
      <c r="G17" s="13" t="s">
        <v>120</v>
      </c>
      <c r="H17" s="13" t="s">
        <v>43</v>
      </c>
      <c r="I17" s="13" t="n">
        <v>3</v>
      </c>
      <c r="J17" s="13" t="n">
        <v>0</v>
      </c>
      <c r="K17" s="13" t="s">
        <v>85</v>
      </c>
      <c r="L17" s="13" t="n">
        <v>4</v>
      </c>
      <c r="M17" s="13" t="n">
        <v>1059700.88</v>
      </c>
      <c r="N17" s="13" t="n">
        <v>264925.22</v>
      </c>
      <c r="O17" s="13" t="n">
        <v>901.245</v>
      </c>
      <c r="P17" s="13" t="n">
        <v>3</v>
      </c>
      <c r="Q17" s="13" t="n">
        <v>1</v>
      </c>
      <c r="R17" s="13" t="s">
        <v>101</v>
      </c>
      <c r="S17" s="13" t="s">
        <v>135</v>
      </c>
      <c r="T17" s="13" t="n">
        <v>1</v>
      </c>
      <c r="U17" s="13" t="n">
        <f aca="false">IF(B17="Individual",1,0)</f>
        <v>0</v>
      </c>
      <c r="V17" s="13" t="n">
        <f aca="false">IF(B17="Company",1,0)</f>
        <v>1</v>
      </c>
      <c r="W17" s="13" t="n">
        <f aca="false">IF(H17="Home",1,0)</f>
        <v>0</v>
      </c>
      <c r="X17" s="13" t="n">
        <f aca="false">IF(H17="Investment",1,0)</f>
        <v>1</v>
      </c>
      <c r="Y17" s="13" t="n">
        <f aca="false">IF(K17="Website",1,0)</f>
        <v>1</v>
      </c>
      <c r="Z17" s="13" t="n">
        <f aca="false">IF(K17="Agency",1,0)</f>
        <v>0</v>
      </c>
      <c r="AA17" s="13" t="n">
        <f aca="false">IF(K17="Client",1,0)</f>
        <v>0</v>
      </c>
      <c r="AB17" s="13" t="n">
        <f aca="false">(D17-AVERAGE(D$2:D$2001))/STDEV(D$2:D$2001)</f>
        <v>-0.815174133235994</v>
      </c>
      <c r="AC17" s="13" t="n">
        <f aca="false">(I17-AVERAGE(I$2:I$2001))/STDEV(I$2:I$2001)</f>
        <v>-0.0205155458339628</v>
      </c>
      <c r="AD17" s="13" t="n">
        <f aca="false">(L17-AVERAGE(L$2:L$2001))/STDEV(L$2:L$2001)</f>
        <v>0.413838214490712</v>
      </c>
      <c r="AE17" s="13" t="n">
        <f aca="false">(M17-AVERAGE(M$2:M$2001))/STDEV(M$2:M$2001)</f>
        <v>-0.576931882988351</v>
      </c>
      <c r="AF17" s="13" t="n">
        <f aca="false">(N17-AVERAGE(N$2:N$2001))/STDEV(N$2:N$2001)</f>
        <v>-1.17846513087879</v>
      </c>
      <c r="AG17" s="13" t="n">
        <f aca="false">(O17-AVERAGE(O$2:O$2001))/STDEV(O$2:O$2001)</f>
        <v>-1.11964246782497</v>
      </c>
      <c r="AH17" s="0" t="str">
        <f aca="false">IF(B17="Company","C3 - Corporate Buyers",IF(AND(H17="Investment",M17&gt;'Segmentation Summary'!$C$1),"C1 - Global Investors",IF(AND(I17&gt;=4,M17&gt;'Segmentation Summary'!$C$1),"C4 - Luxury Investors",IF(AND(D17&lt;'Segmentation Summary'!$C$2,J17=1),"C2 - First-Time Buyers","C5 - Other Individual Buyers"))))</f>
        <v>C3 - Corporate Buyers</v>
      </c>
    </row>
    <row r="18" customFormat="false" ht="15" hidden="false" customHeight="true" outlineLevel="0" collapsed="false">
      <c r="A18" s="13" t="s">
        <v>136</v>
      </c>
      <c r="B18" s="13" t="s">
        <v>36</v>
      </c>
      <c r="C18" s="13" t="s">
        <v>132</v>
      </c>
      <c r="D18" s="13" t="n">
        <v>55</v>
      </c>
      <c r="E18" s="13" t="s">
        <v>83</v>
      </c>
      <c r="F18" s="13" t="s">
        <v>35</v>
      </c>
      <c r="G18" s="13" t="s">
        <v>137</v>
      </c>
      <c r="H18" s="13" t="s">
        <v>43</v>
      </c>
      <c r="I18" s="13" t="n">
        <v>2</v>
      </c>
      <c r="J18" s="13" t="n">
        <v>1</v>
      </c>
      <c r="K18" s="13" t="s">
        <v>85</v>
      </c>
      <c r="L18" s="13" t="n">
        <v>3</v>
      </c>
      <c r="M18" s="13" t="n">
        <v>859368.99</v>
      </c>
      <c r="N18" s="13" t="n">
        <v>286456.33</v>
      </c>
      <c r="O18" s="13" t="n">
        <v>983.316666666667</v>
      </c>
      <c r="P18" s="13" t="n">
        <v>0</v>
      </c>
      <c r="Q18" s="13" t="n">
        <v>3</v>
      </c>
      <c r="R18" s="13" t="s">
        <v>101</v>
      </c>
      <c r="S18" s="13" t="s">
        <v>128</v>
      </c>
      <c r="T18" s="13" t="n">
        <v>1</v>
      </c>
      <c r="U18" s="13" t="n">
        <f aca="false">IF(B18="Individual",1,0)</f>
        <v>0</v>
      </c>
      <c r="V18" s="13" t="n">
        <f aca="false">IF(B18="Company",1,0)</f>
        <v>1</v>
      </c>
      <c r="W18" s="13" t="n">
        <f aca="false">IF(H18="Home",1,0)</f>
        <v>0</v>
      </c>
      <c r="X18" s="13" t="n">
        <f aca="false">IF(H18="Investment",1,0)</f>
        <v>1</v>
      </c>
      <c r="Y18" s="13" t="n">
        <f aca="false">IF(K18="Website",1,0)</f>
        <v>1</v>
      </c>
      <c r="Z18" s="13" t="n">
        <f aca="false">IF(K18="Agency",1,0)</f>
        <v>0</v>
      </c>
      <c r="AA18" s="13" t="n">
        <f aca="false">IF(K18="Client",1,0)</f>
        <v>0</v>
      </c>
      <c r="AB18" s="13" t="n">
        <f aca="false">(D18-AVERAGE(D$2:D$2001))/STDEV(D$2:D$2001)</f>
        <v>0.0497626990862745</v>
      </c>
      <c r="AC18" s="13" t="n">
        <f aca="false">(I18-AVERAGE(I$2:I$2001))/STDEV(I$2:I$2001)</f>
        <v>-0.727948160798201</v>
      </c>
      <c r="AD18" s="13" t="n">
        <f aca="false">(L18-AVERAGE(L$2:L$2001))/STDEV(L$2:L$2001)</f>
        <v>-0.777063122173208</v>
      </c>
      <c r="AE18" s="13" t="n">
        <f aca="false">(M18-AVERAGE(M$2:M$2001))/STDEV(M$2:M$2001)</f>
        <v>-1.15287848648684</v>
      </c>
      <c r="AF18" s="13" t="n">
        <f aca="false">(N18-AVERAGE(N$2:N$2001))/STDEV(N$2:N$2001)</f>
        <v>-0.869650624318087</v>
      </c>
      <c r="AG18" s="13" t="n">
        <f aca="false">(O18-AVERAGE(O$2:O$2001))/STDEV(O$2:O$2001)</f>
        <v>-0.746458122364328</v>
      </c>
      <c r="AH18" s="0" t="str">
        <f aca="false">IF(B18="Company","C3 - Corporate Buyers",IF(AND(H18="Investment",M18&gt;'Segmentation Summary'!$C$1),"C1 - Global Investors",IF(AND(I18&gt;=4,M18&gt;'Segmentation Summary'!$C$1),"C4 - Luxury Investors",IF(AND(D18&lt;'Segmentation Summary'!$C$2,J18=1),"C2 - First-Time Buyers","C5 - Other Individual Buyers"))))</f>
        <v>C3 - Corporate Buyers</v>
      </c>
    </row>
    <row r="19" customFormat="false" ht="15" hidden="false" customHeight="true" outlineLevel="0" collapsed="false">
      <c r="A19" s="13" t="s">
        <v>138</v>
      </c>
      <c r="B19" s="13" t="s">
        <v>36</v>
      </c>
      <c r="C19" s="13" t="s">
        <v>132</v>
      </c>
      <c r="D19" s="13" t="n">
        <v>54</v>
      </c>
      <c r="E19" s="13" t="s">
        <v>90</v>
      </c>
      <c r="F19" s="13" t="s">
        <v>33</v>
      </c>
      <c r="G19" s="13" t="s">
        <v>95</v>
      </c>
      <c r="H19" s="13" t="s">
        <v>41</v>
      </c>
      <c r="I19" s="13" t="n">
        <v>4</v>
      </c>
      <c r="J19" s="13" t="n">
        <v>1</v>
      </c>
      <c r="K19" s="13" t="s">
        <v>91</v>
      </c>
      <c r="L19" s="13" t="n">
        <v>4</v>
      </c>
      <c r="M19" s="13" t="n">
        <v>1661197.49</v>
      </c>
      <c r="N19" s="13" t="n">
        <v>415299.3725</v>
      </c>
      <c r="O19" s="13" t="n">
        <v>1338.9</v>
      </c>
      <c r="P19" s="13" t="n">
        <v>0</v>
      </c>
      <c r="Q19" s="13" t="n">
        <v>4</v>
      </c>
      <c r="R19" s="13" t="s">
        <v>92</v>
      </c>
      <c r="S19" s="13" t="s">
        <v>124</v>
      </c>
      <c r="T19" s="13" t="n">
        <v>1</v>
      </c>
      <c r="U19" s="13" t="n">
        <f aca="false">IF(B19="Individual",1,0)</f>
        <v>0</v>
      </c>
      <c r="V19" s="13" t="n">
        <f aca="false">IF(B19="Company",1,0)</f>
        <v>1</v>
      </c>
      <c r="W19" s="13" t="n">
        <f aca="false">IF(H19="Home",1,0)</f>
        <v>1</v>
      </c>
      <c r="X19" s="13" t="n">
        <f aca="false">IF(H19="Investment",1,0)</f>
        <v>0</v>
      </c>
      <c r="Y19" s="13" t="n">
        <f aca="false">IF(K19="Website",1,0)</f>
        <v>0</v>
      </c>
      <c r="Z19" s="13" t="n">
        <f aca="false">IF(K19="Agency",1,0)</f>
        <v>1</v>
      </c>
      <c r="AA19" s="13" t="n">
        <f aca="false">IF(K19="Client",1,0)</f>
        <v>0</v>
      </c>
      <c r="AB19" s="13" t="n">
        <f aca="false">(D19-AVERAGE(D$2:D$2001))/STDEV(D$2:D$2001)</f>
        <v>-0.00789975640187674</v>
      </c>
      <c r="AC19" s="13" t="n">
        <f aca="false">(I19-AVERAGE(I$2:I$2001))/STDEV(I$2:I$2001)</f>
        <v>0.686917069130275</v>
      </c>
      <c r="AD19" s="13" t="n">
        <f aca="false">(L19-AVERAGE(L$2:L$2001))/STDEV(L$2:L$2001)</f>
        <v>0.413838214490712</v>
      </c>
      <c r="AE19" s="13" t="n">
        <f aca="false">(M19-AVERAGE(M$2:M$2001))/STDEV(M$2:M$2001)</f>
        <v>1.15234811105231</v>
      </c>
      <c r="AF19" s="13" t="n">
        <f aca="false">(N19-AVERAGE(N$2:N$2001))/STDEV(N$2:N$2001)</f>
        <v>0.978308008256673</v>
      </c>
      <c r="AG19" s="13" t="n">
        <f aca="false">(O19-AVERAGE(O$2:O$2001))/STDEV(O$2:O$2001)</f>
        <v>0.87039869188394</v>
      </c>
      <c r="AH19" s="0" t="str">
        <f aca="false">IF(B19="Company","C3 - Corporate Buyers",IF(AND(H19="Investment",M19&gt;'Segmentation Summary'!$C$1),"C1 - Global Investors",IF(AND(I19&gt;=4,M19&gt;'Segmentation Summary'!$C$1),"C4 - Luxury Investors",IF(AND(D19&lt;'Segmentation Summary'!$C$2,J19=1),"C2 - First-Time Buyers","C5 - Other Individual Buyers"))))</f>
        <v>C3 - Corporate Buyers</v>
      </c>
    </row>
    <row r="20" customFormat="false" ht="15" hidden="false" customHeight="true" outlineLevel="0" collapsed="false">
      <c r="A20" s="13" t="s">
        <v>139</v>
      </c>
      <c r="B20" s="13" t="s">
        <v>36</v>
      </c>
      <c r="C20" s="13" t="s">
        <v>140</v>
      </c>
      <c r="D20" s="13" t="n">
        <v>57</v>
      </c>
      <c r="E20" s="13" t="s">
        <v>90</v>
      </c>
      <c r="F20" s="13" t="s">
        <v>33</v>
      </c>
      <c r="G20" s="13" t="s">
        <v>95</v>
      </c>
      <c r="H20" s="13" t="s">
        <v>41</v>
      </c>
      <c r="I20" s="13" t="n">
        <v>5</v>
      </c>
      <c r="J20" s="13" t="n">
        <v>0</v>
      </c>
      <c r="K20" s="13" t="s">
        <v>85</v>
      </c>
      <c r="L20" s="13" t="n">
        <v>3</v>
      </c>
      <c r="M20" s="13" t="n">
        <v>1040997.25</v>
      </c>
      <c r="N20" s="13" t="n">
        <v>346999.083333333</v>
      </c>
      <c r="O20" s="13" t="n">
        <v>1286.48333333333</v>
      </c>
      <c r="P20" s="13" t="n">
        <v>1</v>
      </c>
      <c r="Q20" s="13" t="n">
        <v>2</v>
      </c>
      <c r="R20" s="13" t="s">
        <v>141</v>
      </c>
      <c r="S20" s="13" t="s">
        <v>133</v>
      </c>
      <c r="T20" s="13" t="n">
        <v>1</v>
      </c>
      <c r="U20" s="13" t="n">
        <f aca="false">IF(B20="Individual",1,0)</f>
        <v>0</v>
      </c>
      <c r="V20" s="13" t="n">
        <f aca="false">IF(B20="Company",1,0)</f>
        <v>1</v>
      </c>
      <c r="W20" s="13" t="n">
        <f aca="false">IF(H20="Home",1,0)</f>
        <v>1</v>
      </c>
      <c r="X20" s="13" t="n">
        <f aca="false">IF(H20="Investment",1,0)</f>
        <v>0</v>
      </c>
      <c r="Y20" s="13" t="n">
        <f aca="false">IF(K20="Website",1,0)</f>
        <v>1</v>
      </c>
      <c r="Z20" s="13" t="n">
        <f aca="false">IF(K20="Agency",1,0)</f>
        <v>0</v>
      </c>
      <c r="AA20" s="13" t="n">
        <f aca="false">IF(K20="Client",1,0)</f>
        <v>0</v>
      </c>
      <c r="AB20" s="13" t="n">
        <f aca="false">(D20-AVERAGE(D$2:D$2001))/STDEV(D$2:D$2001)</f>
        <v>0.165087610062577</v>
      </c>
      <c r="AC20" s="13" t="n">
        <f aca="false">(I20-AVERAGE(I$2:I$2001))/STDEV(I$2:I$2001)</f>
        <v>1.39434968409451</v>
      </c>
      <c r="AD20" s="13" t="n">
        <f aca="false">(L20-AVERAGE(L$2:L$2001))/STDEV(L$2:L$2001)</f>
        <v>-0.777063122173208</v>
      </c>
      <c r="AE20" s="13" t="n">
        <f aca="false">(M20-AVERAGE(M$2:M$2001))/STDEV(M$2:M$2001)</f>
        <v>-0.630704111521673</v>
      </c>
      <c r="AF20" s="13" t="n">
        <f aca="false">(N20-AVERAGE(N$2:N$2001))/STDEV(N$2:N$2001)</f>
        <v>-0.00130335859609743</v>
      </c>
      <c r="AG20" s="13" t="n">
        <f aca="false">(O20-AVERAGE(O$2:O$2001))/STDEV(O$2:O$2001)</f>
        <v>0.632057249146131</v>
      </c>
      <c r="AH20" s="0" t="str">
        <f aca="false">IF(B20="Company","C3 - Corporate Buyers",IF(AND(H20="Investment",M20&gt;'Segmentation Summary'!$C$1),"C1 - Global Investors",IF(AND(I20&gt;=4,M20&gt;'Segmentation Summary'!$C$1),"C4 - Luxury Investors",IF(AND(D20&lt;'Segmentation Summary'!$C$2,J20=1),"C2 - First-Time Buyers","C5 - Other Individual Buyers"))))</f>
        <v>C3 - Corporate Buyers</v>
      </c>
    </row>
    <row r="21" customFormat="false" ht="15" hidden="false" customHeight="true" outlineLevel="0" collapsed="false">
      <c r="A21" s="13" t="s">
        <v>142</v>
      </c>
      <c r="B21" s="13" t="s">
        <v>36</v>
      </c>
      <c r="C21" s="13" t="s">
        <v>140</v>
      </c>
      <c r="D21" s="13" t="n">
        <v>57</v>
      </c>
      <c r="E21" s="13" t="s">
        <v>83</v>
      </c>
      <c r="F21" s="13" t="s">
        <v>42</v>
      </c>
      <c r="G21" s="13" t="s">
        <v>143</v>
      </c>
      <c r="H21" s="13" t="s">
        <v>41</v>
      </c>
      <c r="I21" s="13" t="n">
        <v>1</v>
      </c>
      <c r="J21" s="13" t="n">
        <v>0</v>
      </c>
      <c r="K21" s="13" t="s">
        <v>85</v>
      </c>
      <c r="L21" s="13" t="n">
        <v>4</v>
      </c>
      <c r="M21" s="13" t="n">
        <v>1708031.99</v>
      </c>
      <c r="N21" s="13" t="n">
        <v>427007.9975</v>
      </c>
      <c r="O21" s="13" t="n">
        <v>1293.0725</v>
      </c>
      <c r="P21" s="13" t="n">
        <v>1</v>
      </c>
      <c r="Q21" s="13" t="n">
        <v>3</v>
      </c>
      <c r="R21" s="13" t="s">
        <v>86</v>
      </c>
      <c r="S21" s="13" t="s">
        <v>125</v>
      </c>
      <c r="T21" s="13" t="n">
        <v>1</v>
      </c>
      <c r="U21" s="13" t="n">
        <f aca="false">IF(B21="Individual",1,0)</f>
        <v>0</v>
      </c>
      <c r="V21" s="13" t="n">
        <f aca="false">IF(B21="Company",1,0)</f>
        <v>1</v>
      </c>
      <c r="W21" s="13" t="n">
        <f aca="false">IF(H21="Home",1,0)</f>
        <v>1</v>
      </c>
      <c r="X21" s="13" t="n">
        <f aca="false">IF(H21="Investment",1,0)</f>
        <v>0</v>
      </c>
      <c r="Y21" s="13" t="n">
        <f aca="false">IF(K21="Website",1,0)</f>
        <v>1</v>
      </c>
      <c r="Z21" s="13" t="n">
        <f aca="false">IF(K21="Agency",1,0)</f>
        <v>0</v>
      </c>
      <c r="AA21" s="13" t="n">
        <f aca="false">IF(K21="Client",1,0)</f>
        <v>0</v>
      </c>
      <c r="AB21" s="13" t="n">
        <f aca="false">(D21-AVERAGE(D$2:D$2001))/STDEV(D$2:D$2001)</f>
        <v>0.165087610062577</v>
      </c>
      <c r="AC21" s="13" t="n">
        <f aca="false">(I21-AVERAGE(I$2:I$2001))/STDEV(I$2:I$2001)</f>
        <v>-1.43538077576244</v>
      </c>
      <c r="AD21" s="13" t="n">
        <f aca="false">(L21-AVERAGE(L$2:L$2001))/STDEV(L$2:L$2001)</f>
        <v>0.413838214490712</v>
      </c>
      <c r="AE21" s="13" t="n">
        <f aca="false">(M21-AVERAGE(M$2:M$2001))/STDEV(M$2:M$2001)</f>
        <v>1.28699552640665</v>
      </c>
      <c r="AF21" s="13" t="n">
        <f aca="false">(N21-AVERAGE(N$2:N$2001))/STDEV(N$2:N$2001)</f>
        <v>1.14624144280228</v>
      </c>
      <c r="AG21" s="13" t="n">
        <f aca="false">(O21-AVERAGE(O$2:O$2001))/STDEV(O$2:O$2001)</f>
        <v>0.662018549427986</v>
      </c>
      <c r="AH21" s="0" t="str">
        <f aca="false">IF(B21="Company","C3 - Corporate Buyers",IF(AND(H21="Investment",M21&gt;'Segmentation Summary'!$C$1),"C1 - Global Investors",IF(AND(I21&gt;=4,M21&gt;'Segmentation Summary'!$C$1),"C4 - Luxury Investors",IF(AND(D21&lt;'Segmentation Summary'!$C$2,J21=1),"C2 - First-Time Buyers","C5 - Other Individual Buyers"))))</f>
        <v>C3 - Corporate Buyers</v>
      </c>
    </row>
    <row r="22" customFormat="false" ht="15" hidden="false" customHeight="true" outlineLevel="0" collapsed="false">
      <c r="A22" s="13" t="s">
        <v>144</v>
      </c>
      <c r="B22" s="13" t="s">
        <v>36</v>
      </c>
      <c r="C22" s="13" t="s">
        <v>140</v>
      </c>
      <c r="D22" s="13" t="n">
        <v>39</v>
      </c>
      <c r="E22" s="13" t="s">
        <v>90</v>
      </c>
      <c r="F22" s="13" t="s">
        <v>33</v>
      </c>
      <c r="G22" s="13" t="s">
        <v>145</v>
      </c>
      <c r="H22" s="13" t="s">
        <v>43</v>
      </c>
      <c r="I22" s="13" t="n">
        <v>4</v>
      </c>
      <c r="J22" s="13" t="n">
        <v>1</v>
      </c>
      <c r="K22" s="13" t="s">
        <v>85</v>
      </c>
      <c r="L22" s="13" t="n">
        <v>4</v>
      </c>
      <c r="M22" s="13" t="n">
        <v>2094623.1</v>
      </c>
      <c r="N22" s="13" t="n">
        <v>523655.775</v>
      </c>
      <c r="O22" s="13" t="n">
        <v>1676.3825</v>
      </c>
      <c r="P22" s="13" t="n">
        <v>1</v>
      </c>
      <c r="Q22" s="13" t="n">
        <v>3</v>
      </c>
      <c r="R22" s="13" t="s">
        <v>111</v>
      </c>
      <c r="S22" s="13" t="s">
        <v>114</v>
      </c>
      <c r="T22" s="13" t="n">
        <v>1</v>
      </c>
      <c r="U22" s="13" t="n">
        <f aca="false">IF(B22="Individual",1,0)</f>
        <v>0</v>
      </c>
      <c r="V22" s="13" t="n">
        <f aca="false">IF(B22="Company",1,0)</f>
        <v>1</v>
      </c>
      <c r="W22" s="13" t="n">
        <f aca="false">IF(H22="Home",1,0)</f>
        <v>0</v>
      </c>
      <c r="X22" s="13" t="n">
        <f aca="false">IF(H22="Investment",1,0)</f>
        <v>1</v>
      </c>
      <c r="Y22" s="13" t="n">
        <f aca="false">IF(K22="Website",1,0)</f>
        <v>1</v>
      </c>
      <c r="Z22" s="13" t="n">
        <f aca="false">IF(K22="Agency",1,0)</f>
        <v>0</v>
      </c>
      <c r="AA22" s="13" t="n">
        <f aca="false">IF(K22="Client",1,0)</f>
        <v>0</v>
      </c>
      <c r="AB22" s="13" t="n">
        <f aca="false">(D22-AVERAGE(D$2:D$2001))/STDEV(D$2:D$2001)</f>
        <v>-0.872836588724145</v>
      </c>
      <c r="AC22" s="13" t="n">
        <f aca="false">(I22-AVERAGE(I$2:I$2001))/STDEV(I$2:I$2001)</f>
        <v>0.686917069130275</v>
      </c>
      <c r="AD22" s="13" t="n">
        <f aca="false">(L22-AVERAGE(L$2:L$2001))/STDEV(L$2:L$2001)</f>
        <v>0.413838214490712</v>
      </c>
      <c r="AE22" s="13" t="n">
        <f aca="false">(M22-AVERAGE(M$2:M$2001))/STDEV(M$2:M$2001)</f>
        <v>2.39843033964187</v>
      </c>
      <c r="AF22" s="13" t="n">
        <f aca="false">(N22-AVERAGE(N$2:N$2001))/STDEV(N$2:N$2001)</f>
        <v>2.53243266651768</v>
      </c>
      <c r="AG22" s="13" t="n">
        <f aca="false">(O22-AVERAGE(O$2:O$2001))/STDEV(O$2:O$2001)</f>
        <v>2.40495002953908</v>
      </c>
      <c r="AH22" s="0" t="str">
        <f aca="false">IF(B22="Company","C3 - Corporate Buyers",IF(AND(H22="Investment",M22&gt;'Segmentation Summary'!$C$1),"C1 - Global Investors",IF(AND(I22&gt;=4,M22&gt;'Segmentation Summary'!$C$1),"C4 - Luxury Investors",IF(AND(D22&lt;'Segmentation Summary'!$C$2,J22=1),"C2 - First-Time Buyers","C5 - Other Individual Buyers"))))</f>
        <v>C3 - Corporate Buyers</v>
      </c>
    </row>
    <row r="23" customFormat="false" ht="15" hidden="false" customHeight="true" outlineLevel="0" collapsed="false">
      <c r="A23" s="13" t="s">
        <v>146</v>
      </c>
      <c r="B23" s="13" t="s">
        <v>36</v>
      </c>
      <c r="C23" s="13" t="s">
        <v>147</v>
      </c>
      <c r="D23" s="13" t="n">
        <v>54</v>
      </c>
      <c r="E23" s="13" t="s">
        <v>83</v>
      </c>
      <c r="F23" s="13" t="s">
        <v>44</v>
      </c>
      <c r="G23" s="13" t="s">
        <v>148</v>
      </c>
      <c r="H23" s="13" t="s">
        <v>41</v>
      </c>
      <c r="I23" s="13" t="n">
        <v>2</v>
      </c>
      <c r="J23" s="13" t="n">
        <v>1</v>
      </c>
      <c r="K23" s="13" t="s">
        <v>85</v>
      </c>
      <c r="L23" s="13" t="n">
        <v>3</v>
      </c>
      <c r="M23" s="13" t="n">
        <v>1115637.13</v>
      </c>
      <c r="N23" s="13" t="n">
        <v>371879.043333333</v>
      </c>
      <c r="O23" s="13" t="n">
        <v>1190.31333333333</v>
      </c>
      <c r="P23" s="13" t="n">
        <v>1</v>
      </c>
      <c r="Q23" s="13" t="n">
        <v>2</v>
      </c>
      <c r="R23" s="13" t="s">
        <v>111</v>
      </c>
      <c r="S23" s="13" t="s">
        <v>93</v>
      </c>
      <c r="T23" s="13" t="n">
        <v>1</v>
      </c>
      <c r="U23" s="13" t="n">
        <f aca="false">IF(B23="Individual",1,0)</f>
        <v>0</v>
      </c>
      <c r="V23" s="13" t="n">
        <f aca="false">IF(B23="Company",1,0)</f>
        <v>1</v>
      </c>
      <c r="W23" s="13" t="n">
        <f aca="false">IF(H23="Home",1,0)</f>
        <v>1</v>
      </c>
      <c r="X23" s="13" t="n">
        <f aca="false">IF(H23="Investment",1,0)</f>
        <v>0</v>
      </c>
      <c r="Y23" s="13" t="n">
        <f aca="false">IF(K23="Website",1,0)</f>
        <v>1</v>
      </c>
      <c r="Z23" s="13" t="n">
        <f aca="false">IF(K23="Agency",1,0)</f>
        <v>0</v>
      </c>
      <c r="AA23" s="13" t="n">
        <f aca="false">IF(K23="Client",1,0)</f>
        <v>0</v>
      </c>
      <c r="AB23" s="13" t="n">
        <f aca="false">(D23-AVERAGE(D$2:D$2001))/STDEV(D$2:D$2001)</f>
        <v>-0.00789975640187674</v>
      </c>
      <c r="AC23" s="13" t="n">
        <f aca="false">(I23-AVERAGE(I$2:I$2001))/STDEV(I$2:I$2001)</f>
        <v>-0.727948160798201</v>
      </c>
      <c r="AD23" s="13" t="n">
        <f aca="false">(L23-AVERAGE(L$2:L$2001))/STDEV(L$2:L$2001)</f>
        <v>-0.777063122173208</v>
      </c>
      <c r="AE23" s="13" t="n">
        <f aca="false">(M23-AVERAGE(M$2:M$2001))/STDEV(M$2:M$2001)</f>
        <v>-0.416117280780274</v>
      </c>
      <c r="AF23" s="13" t="n">
        <f aca="false">(N23-AVERAGE(N$2:N$2001))/STDEV(N$2:N$2001)</f>
        <v>0.355542738546592</v>
      </c>
      <c r="AG23" s="13" t="n">
        <f aca="false">(O23-AVERAGE(O$2:O$2001))/STDEV(O$2:O$2001)</f>
        <v>0.194767012934491</v>
      </c>
      <c r="AH23" s="0" t="str">
        <f aca="false">IF(B23="Company","C3 - Corporate Buyers",IF(AND(H23="Investment",M23&gt;'Segmentation Summary'!$C$1),"C1 - Global Investors",IF(AND(I23&gt;=4,M23&gt;'Segmentation Summary'!$C$1),"C4 - Luxury Investors",IF(AND(D23&lt;'Segmentation Summary'!$C$2,J23=1),"C2 - First-Time Buyers","C5 - Other Individual Buyers"))))</f>
        <v>C3 - Corporate Buyers</v>
      </c>
    </row>
    <row r="24" customFormat="false" ht="15" hidden="false" customHeight="true" outlineLevel="0" collapsed="false">
      <c r="A24" s="13" t="s">
        <v>149</v>
      </c>
      <c r="B24" s="13" t="s">
        <v>36</v>
      </c>
      <c r="C24" s="13" t="s">
        <v>147</v>
      </c>
      <c r="D24" s="13" t="n">
        <v>57</v>
      </c>
      <c r="E24" s="13" t="s">
        <v>83</v>
      </c>
      <c r="F24" s="13" t="s">
        <v>33</v>
      </c>
      <c r="G24" s="13" t="s">
        <v>95</v>
      </c>
      <c r="H24" s="13" t="s">
        <v>41</v>
      </c>
      <c r="I24" s="13" t="n">
        <v>4</v>
      </c>
      <c r="J24" s="13" t="n">
        <v>1</v>
      </c>
      <c r="K24" s="13" t="s">
        <v>85</v>
      </c>
      <c r="L24" s="13" t="n">
        <v>3</v>
      </c>
      <c r="M24" s="13" t="n">
        <v>885146.14</v>
      </c>
      <c r="N24" s="13" t="n">
        <v>295048.713333333</v>
      </c>
      <c r="O24" s="13" t="n">
        <v>897.31</v>
      </c>
      <c r="P24" s="13" t="n">
        <v>0</v>
      </c>
      <c r="Q24" s="13" t="n">
        <v>3</v>
      </c>
      <c r="R24" s="13" t="s">
        <v>98</v>
      </c>
      <c r="S24" s="13" t="s">
        <v>150</v>
      </c>
      <c r="T24" s="13" t="n">
        <v>1</v>
      </c>
      <c r="U24" s="13" t="n">
        <f aca="false">IF(B24="Individual",1,0)</f>
        <v>0</v>
      </c>
      <c r="V24" s="13" t="n">
        <f aca="false">IF(B24="Company",1,0)</f>
        <v>1</v>
      </c>
      <c r="W24" s="13" t="n">
        <f aca="false">IF(H24="Home",1,0)</f>
        <v>1</v>
      </c>
      <c r="X24" s="13" t="n">
        <f aca="false">IF(H24="Investment",1,0)</f>
        <v>0</v>
      </c>
      <c r="Y24" s="13" t="n">
        <f aca="false">IF(K24="Website",1,0)</f>
        <v>1</v>
      </c>
      <c r="Z24" s="13" t="n">
        <f aca="false">IF(K24="Agency",1,0)</f>
        <v>0</v>
      </c>
      <c r="AA24" s="13" t="n">
        <f aca="false">IF(K24="Client",1,0)</f>
        <v>0</v>
      </c>
      <c r="AB24" s="13" t="n">
        <f aca="false">(D24-AVERAGE(D$2:D$2001))/STDEV(D$2:D$2001)</f>
        <v>0.165087610062577</v>
      </c>
      <c r="AC24" s="13" t="n">
        <f aca="false">(I24-AVERAGE(I$2:I$2001))/STDEV(I$2:I$2001)</f>
        <v>0.686917069130275</v>
      </c>
      <c r="AD24" s="13" t="n">
        <f aca="false">(L24-AVERAGE(L$2:L$2001))/STDEV(L$2:L$2001)</f>
        <v>-0.777063122173208</v>
      </c>
      <c r="AE24" s="13" t="n">
        <f aca="false">(M24-AVERAGE(M$2:M$2001))/STDEV(M$2:M$2001)</f>
        <v>-1.07877015560466</v>
      </c>
      <c r="AF24" s="13" t="n">
        <f aca="false">(N24-AVERAGE(N$2:N$2001))/STDEV(N$2:N$2001)</f>
        <v>-0.746412546055349</v>
      </c>
      <c r="AG24" s="13" t="n">
        <f aca="false">(O24-AVERAGE(O$2:O$2001))/STDEV(O$2:O$2001)</f>
        <v>-1.13753512748487</v>
      </c>
      <c r="AH24" s="0" t="str">
        <f aca="false">IF(B24="Company","C3 - Corporate Buyers",IF(AND(H24="Investment",M24&gt;'Segmentation Summary'!$C$1),"C1 - Global Investors",IF(AND(I24&gt;=4,M24&gt;'Segmentation Summary'!$C$1),"C4 - Luxury Investors",IF(AND(D24&lt;'Segmentation Summary'!$C$2,J24=1),"C2 - First-Time Buyers","C5 - Other Individual Buyers"))))</f>
        <v>C3 - Corporate Buyers</v>
      </c>
    </row>
    <row r="25" customFormat="false" ht="15" hidden="false" customHeight="true" outlineLevel="0" collapsed="false">
      <c r="A25" s="13" t="s">
        <v>151</v>
      </c>
      <c r="B25" s="13" t="s">
        <v>36</v>
      </c>
      <c r="C25" s="13" t="s">
        <v>147</v>
      </c>
      <c r="D25" s="13" t="n">
        <v>29</v>
      </c>
      <c r="E25" s="13" t="s">
        <v>83</v>
      </c>
      <c r="F25" s="13" t="s">
        <v>33</v>
      </c>
      <c r="G25" s="13" t="s">
        <v>95</v>
      </c>
      <c r="H25" s="13" t="s">
        <v>43</v>
      </c>
      <c r="I25" s="13" t="n">
        <v>3</v>
      </c>
      <c r="J25" s="13" t="n">
        <v>0</v>
      </c>
      <c r="K25" s="13" t="s">
        <v>85</v>
      </c>
      <c r="L25" s="13" t="n">
        <v>4</v>
      </c>
      <c r="M25" s="13" t="n">
        <v>1606785.05</v>
      </c>
      <c r="N25" s="13" t="n">
        <v>401696.2625</v>
      </c>
      <c r="O25" s="13" t="n">
        <v>1510.34</v>
      </c>
      <c r="P25" s="13" t="n">
        <v>1</v>
      </c>
      <c r="Q25" s="13" t="n">
        <v>3</v>
      </c>
      <c r="R25" s="13" t="s">
        <v>124</v>
      </c>
      <c r="S25" s="13" t="s">
        <v>152</v>
      </c>
      <c r="T25" s="13" t="n">
        <v>1</v>
      </c>
      <c r="U25" s="13" t="n">
        <f aca="false">IF(B25="Individual",1,0)</f>
        <v>0</v>
      </c>
      <c r="V25" s="13" t="n">
        <f aca="false">IF(B25="Company",1,0)</f>
        <v>1</v>
      </c>
      <c r="W25" s="13" t="n">
        <f aca="false">IF(H25="Home",1,0)</f>
        <v>0</v>
      </c>
      <c r="X25" s="13" t="n">
        <f aca="false">IF(H25="Investment",1,0)</f>
        <v>1</v>
      </c>
      <c r="Y25" s="13" t="n">
        <f aca="false">IF(K25="Website",1,0)</f>
        <v>1</v>
      </c>
      <c r="Z25" s="13" t="n">
        <f aca="false">IF(K25="Agency",1,0)</f>
        <v>0</v>
      </c>
      <c r="AA25" s="13" t="n">
        <f aca="false">IF(K25="Client",1,0)</f>
        <v>0</v>
      </c>
      <c r="AB25" s="13" t="n">
        <f aca="false">(D25-AVERAGE(D$2:D$2001))/STDEV(D$2:D$2001)</f>
        <v>-1.44946114360566</v>
      </c>
      <c r="AC25" s="13" t="n">
        <f aca="false">(I25-AVERAGE(I$2:I$2001))/STDEV(I$2:I$2001)</f>
        <v>-0.0205155458339628</v>
      </c>
      <c r="AD25" s="13" t="n">
        <f aca="false">(L25-AVERAGE(L$2:L$2001))/STDEV(L$2:L$2001)</f>
        <v>0.413838214490712</v>
      </c>
      <c r="AE25" s="13" t="n">
        <f aca="false">(M25-AVERAGE(M$2:M$2001))/STDEV(M$2:M$2001)</f>
        <v>0.995914404935598</v>
      </c>
      <c r="AF25" s="13" t="n">
        <f aca="false">(N25-AVERAGE(N$2:N$2001))/STDEV(N$2:N$2001)</f>
        <v>0.783202521250155</v>
      </c>
      <c r="AG25" s="13" t="n">
        <f aca="false">(O25-AVERAGE(O$2:O$2001))/STDEV(O$2:O$2001)</f>
        <v>1.6499457241822</v>
      </c>
      <c r="AH25" s="0" t="str">
        <f aca="false">IF(B25="Company","C3 - Corporate Buyers",IF(AND(H25="Investment",M25&gt;'Segmentation Summary'!$C$1),"C1 - Global Investors",IF(AND(I25&gt;=4,M25&gt;'Segmentation Summary'!$C$1),"C4 - Luxury Investors",IF(AND(D25&lt;'Segmentation Summary'!$C$2,J25=1),"C2 - First-Time Buyers","C5 - Other Individual Buyers"))))</f>
        <v>C3 - Corporate Buyers</v>
      </c>
    </row>
    <row r="26" customFormat="false" ht="15" hidden="false" customHeight="true" outlineLevel="0" collapsed="false">
      <c r="A26" s="13" t="s">
        <v>153</v>
      </c>
      <c r="B26" s="13" t="s">
        <v>36</v>
      </c>
      <c r="C26" s="13" t="s">
        <v>147</v>
      </c>
      <c r="D26" s="13" t="n">
        <v>55</v>
      </c>
      <c r="E26" s="13" t="s">
        <v>83</v>
      </c>
      <c r="F26" s="13" t="s">
        <v>33</v>
      </c>
      <c r="G26" s="13" t="s">
        <v>95</v>
      </c>
      <c r="H26" s="13" t="s">
        <v>41</v>
      </c>
      <c r="I26" s="13" t="n">
        <v>5</v>
      </c>
      <c r="J26" s="13" t="n">
        <v>0</v>
      </c>
      <c r="K26" s="13" t="s">
        <v>116</v>
      </c>
      <c r="L26" s="13" t="n">
        <v>4</v>
      </c>
      <c r="M26" s="13" t="n">
        <v>1004028.87</v>
      </c>
      <c r="N26" s="13" t="n">
        <v>251007.2175</v>
      </c>
      <c r="O26" s="13" t="n">
        <v>786.87</v>
      </c>
      <c r="P26" s="13" t="n">
        <v>1</v>
      </c>
      <c r="Q26" s="13" t="n">
        <v>3</v>
      </c>
      <c r="R26" s="13" t="s">
        <v>98</v>
      </c>
      <c r="S26" s="13" t="s">
        <v>154</v>
      </c>
      <c r="T26" s="13" t="n">
        <v>1</v>
      </c>
      <c r="U26" s="13" t="n">
        <f aca="false">IF(B26="Individual",1,0)</f>
        <v>0</v>
      </c>
      <c r="V26" s="13" t="n">
        <f aca="false">IF(B26="Company",1,0)</f>
        <v>1</v>
      </c>
      <c r="W26" s="13" t="n">
        <f aca="false">IF(H26="Home",1,0)</f>
        <v>1</v>
      </c>
      <c r="X26" s="13" t="n">
        <f aca="false">IF(H26="Investment",1,0)</f>
        <v>0</v>
      </c>
      <c r="Y26" s="13" t="n">
        <f aca="false">IF(K26="Website",1,0)</f>
        <v>0</v>
      </c>
      <c r="Z26" s="13" t="n">
        <f aca="false">IF(K26="Agency",1,0)</f>
        <v>0</v>
      </c>
      <c r="AA26" s="13" t="n">
        <f aca="false">IF(K26="Client",1,0)</f>
        <v>1</v>
      </c>
      <c r="AB26" s="13" t="n">
        <f aca="false">(D26-AVERAGE(D$2:D$2001))/STDEV(D$2:D$2001)</f>
        <v>0.0497626990862745</v>
      </c>
      <c r="AC26" s="13" t="n">
        <f aca="false">(I26-AVERAGE(I$2:I$2001))/STDEV(I$2:I$2001)</f>
        <v>1.39434968409451</v>
      </c>
      <c r="AD26" s="13" t="n">
        <f aca="false">(L26-AVERAGE(L$2:L$2001))/STDEV(L$2:L$2001)</f>
        <v>0.413838214490712</v>
      </c>
      <c r="AE26" s="13" t="n">
        <f aca="false">(M26-AVERAGE(M$2:M$2001))/STDEV(M$2:M$2001)</f>
        <v>-0.736986805194864</v>
      </c>
      <c r="AF26" s="13" t="n">
        <f aca="false">(N26-AVERAGE(N$2:N$2001))/STDEV(N$2:N$2001)</f>
        <v>-1.37808703027682</v>
      </c>
      <c r="AG26" s="13" t="n">
        <f aca="false">(O26-AVERAGE(O$2:O$2001))/STDEV(O$2:O$2001)</f>
        <v>-1.63971183214551</v>
      </c>
      <c r="AH26" s="0" t="str">
        <f aca="false">IF(B26="Company","C3 - Corporate Buyers",IF(AND(H26="Investment",M26&gt;'Segmentation Summary'!$C$1),"C1 - Global Investors",IF(AND(I26&gt;=4,M26&gt;'Segmentation Summary'!$C$1),"C4 - Luxury Investors",IF(AND(D26&lt;'Segmentation Summary'!$C$2,J26=1),"C2 - First-Time Buyers","C5 - Other Individual Buyers"))))</f>
        <v>C3 - Corporate Buyers</v>
      </c>
    </row>
    <row r="27" customFormat="false" ht="15" hidden="false" customHeight="true" outlineLevel="0" collapsed="false">
      <c r="A27" s="13" t="s">
        <v>155</v>
      </c>
      <c r="B27" s="13" t="s">
        <v>36</v>
      </c>
      <c r="C27" s="13" t="s">
        <v>156</v>
      </c>
      <c r="D27" s="13" t="n">
        <v>63</v>
      </c>
      <c r="E27" s="13" t="s">
        <v>83</v>
      </c>
      <c r="F27" s="13" t="s">
        <v>33</v>
      </c>
      <c r="G27" s="13" t="s">
        <v>157</v>
      </c>
      <c r="H27" s="13" t="s">
        <v>41</v>
      </c>
      <c r="I27" s="13" t="n">
        <v>2</v>
      </c>
      <c r="J27" s="13" t="n">
        <v>1</v>
      </c>
      <c r="K27" s="13" t="s">
        <v>116</v>
      </c>
      <c r="L27" s="13" t="n">
        <v>4</v>
      </c>
      <c r="M27" s="13" t="n">
        <v>1295242.02</v>
      </c>
      <c r="N27" s="13" t="n">
        <v>323810.505</v>
      </c>
      <c r="O27" s="13" t="n">
        <v>1072.5575</v>
      </c>
      <c r="P27" s="13" t="n">
        <v>0</v>
      </c>
      <c r="Q27" s="13" t="n">
        <v>4</v>
      </c>
      <c r="R27" s="13" t="s">
        <v>98</v>
      </c>
      <c r="S27" s="13" t="s">
        <v>107</v>
      </c>
      <c r="T27" s="13" t="n">
        <v>1</v>
      </c>
      <c r="U27" s="13" t="n">
        <f aca="false">IF(B27="Individual",1,0)</f>
        <v>0</v>
      </c>
      <c r="V27" s="13" t="n">
        <f aca="false">IF(B27="Company",1,0)</f>
        <v>1</v>
      </c>
      <c r="W27" s="13" t="n">
        <f aca="false">IF(H27="Home",1,0)</f>
        <v>1</v>
      </c>
      <c r="X27" s="13" t="n">
        <f aca="false">IF(H27="Investment",1,0)</f>
        <v>0</v>
      </c>
      <c r="Y27" s="13" t="n">
        <f aca="false">IF(K27="Website",1,0)</f>
        <v>0</v>
      </c>
      <c r="Z27" s="13" t="n">
        <f aca="false">IF(K27="Agency",1,0)</f>
        <v>0</v>
      </c>
      <c r="AA27" s="13" t="n">
        <f aca="false">IF(K27="Client",1,0)</f>
        <v>1</v>
      </c>
      <c r="AB27" s="13" t="n">
        <f aca="false">(D27-AVERAGE(D$2:D$2001))/STDEV(D$2:D$2001)</f>
        <v>0.511062342991484</v>
      </c>
      <c r="AC27" s="13" t="n">
        <f aca="false">(I27-AVERAGE(I$2:I$2001))/STDEV(I$2:I$2001)</f>
        <v>-0.727948160798201</v>
      </c>
      <c r="AD27" s="13" t="n">
        <f aca="false">(L27-AVERAGE(L$2:L$2001))/STDEV(L$2:L$2001)</f>
        <v>0.413838214490712</v>
      </c>
      <c r="AE27" s="13" t="n">
        <f aca="false">(M27-AVERAGE(M$2:M$2001))/STDEV(M$2:M$2001)</f>
        <v>0.100239981996109</v>
      </c>
      <c r="AF27" s="13" t="n">
        <f aca="false">(N27-AVERAGE(N$2:N$2001))/STDEV(N$2:N$2001)</f>
        <v>-0.333890455863835</v>
      </c>
      <c r="AG27" s="13" t="n">
        <f aca="false">(O27-AVERAGE(O$2:O$2001))/STDEV(O$2:O$2001)</f>
        <v>-0.340675184982017</v>
      </c>
      <c r="AH27" s="0" t="str">
        <f aca="false">IF(B27="Company","C3 - Corporate Buyers",IF(AND(H27="Investment",M27&gt;'Segmentation Summary'!$C$1),"C1 - Global Investors",IF(AND(I27&gt;=4,M27&gt;'Segmentation Summary'!$C$1),"C4 - Luxury Investors",IF(AND(D27&lt;'Segmentation Summary'!$C$2,J27=1),"C2 - First-Time Buyers","C5 - Other Individual Buyers"))))</f>
        <v>C3 - Corporate Buyers</v>
      </c>
    </row>
    <row r="28" customFormat="false" ht="15" hidden="false" customHeight="true" outlineLevel="0" collapsed="false">
      <c r="A28" s="13" t="s">
        <v>158</v>
      </c>
      <c r="B28" s="13" t="s">
        <v>36</v>
      </c>
      <c r="C28" s="13" t="s">
        <v>156</v>
      </c>
      <c r="D28" s="13" t="n">
        <v>36</v>
      </c>
      <c r="E28" s="13" t="s">
        <v>90</v>
      </c>
      <c r="F28" s="13" t="s">
        <v>33</v>
      </c>
      <c r="G28" s="13" t="s">
        <v>95</v>
      </c>
      <c r="H28" s="13" t="s">
        <v>41</v>
      </c>
      <c r="I28" s="13" t="n">
        <v>5</v>
      </c>
      <c r="J28" s="13" t="n">
        <v>0</v>
      </c>
      <c r="K28" s="13" t="s">
        <v>91</v>
      </c>
      <c r="L28" s="13" t="n">
        <v>3</v>
      </c>
      <c r="M28" s="13" t="n">
        <v>1177856.21</v>
      </c>
      <c r="N28" s="13" t="n">
        <v>392618.736666667</v>
      </c>
      <c r="O28" s="13" t="n">
        <v>1431.79</v>
      </c>
      <c r="P28" s="13" t="n">
        <v>1</v>
      </c>
      <c r="Q28" s="13" t="n">
        <v>2</v>
      </c>
      <c r="R28" s="13" t="s">
        <v>111</v>
      </c>
      <c r="S28" s="13" t="s">
        <v>93</v>
      </c>
      <c r="T28" s="13" t="n">
        <v>1</v>
      </c>
      <c r="U28" s="13" t="n">
        <f aca="false">IF(B28="Individual",1,0)</f>
        <v>0</v>
      </c>
      <c r="V28" s="13" t="n">
        <f aca="false">IF(B28="Company",1,0)</f>
        <v>1</v>
      </c>
      <c r="W28" s="13" t="n">
        <f aca="false">IF(H28="Home",1,0)</f>
        <v>1</v>
      </c>
      <c r="X28" s="13" t="n">
        <f aca="false">IF(H28="Investment",1,0)</f>
        <v>0</v>
      </c>
      <c r="Y28" s="13" t="n">
        <f aca="false">IF(K28="Website",1,0)</f>
        <v>0</v>
      </c>
      <c r="Z28" s="13" t="n">
        <f aca="false">IF(K28="Agency",1,0)</f>
        <v>1</v>
      </c>
      <c r="AA28" s="13" t="n">
        <f aca="false">IF(K28="Client",1,0)</f>
        <v>0</v>
      </c>
      <c r="AB28" s="13" t="n">
        <f aca="false">(D28-AVERAGE(D$2:D$2001))/STDEV(D$2:D$2001)</f>
        <v>-1.0458239551886</v>
      </c>
      <c r="AC28" s="13" t="n">
        <f aca="false">(I28-AVERAGE(I$2:I$2001))/STDEV(I$2:I$2001)</f>
        <v>1.39434968409451</v>
      </c>
      <c r="AD28" s="13" t="n">
        <f aca="false">(L28-AVERAGE(L$2:L$2001))/STDEV(L$2:L$2001)</f>
        <v>-0.777063122173208</v>
      </c>
      <c r="AE28" s="13" t="n">
        <f aca="false">(M28-AVERAGE(M$2:M$2001))/STDEV(M$2:M$2001)</f>
        <v>-0.237239780054849</v>
      </c>
      <c r="AF28" s="13" t="n">
        <f aca="false">(N28-AVERAGE(N$2:N$2001))/STDEV(N$2:N$2001)</f>
        <v>0.653006183903277</v>
      </c>
      <c r="AG28" s="13" t="n">
        <f aca="false">(O28-AVERAGE(O$2:O$2001))/STDEV(O$2:O$2001)</f>
        <v>1.29277458916687</v>
      </c>
      <c r="AH28" s="0" t="str">
        <f aca="false">IF(B28="Company","C3 - Corporate Buyers",IF(AND(H28="Investment",M28&gt;'Segmentation Summary'!$C$1),"C1 - Global Investors",IF(AND(I28&gt;=4,M28&gt;'Segmentation Summary'!$C$1),"C4 - Luxury Investors",IF(AND(D28&lt;'Segmentation Summary'!$C$2,J28=1),"C2 - First-Time Buyers","C5 - Other Individual Buyers"))))</f>
        <v>C3 - Corporate Buyers</v>
      </c>
    </row>
    <row r="29" customFormat="false" ht="15" hidden="false" customHeight="true" outlineLevel="0" collapsed="false">
      <c r="A29" s="13" t="s">
        <v>159</v>
      </c>
      <c r="B29" s="13" t="s">
        <v>36</v>
      </c>
      <c r="C29" s="13" t="s">
        <v>160</v>
      </c>
      <c r="D29" s="13" t="n">
        <v>41</v>
      </c>
      <c r="E29" s="13" t="s">
        <v>83</v>
      </c>
      <c r="F29" s="13" t="s">
        <v>33</v>
      </c>
      <c r="G29" s="13" t="s">
        <v>100</v>
      </c>
      <c r="H29" s="13" t="s">
        <v>41</v>
      </c>
      <c r="I29" s="13" t="n">
        <v>1</v>
      </c>
      <c r="J29" s="13" t="n">
        <v>1</v>
      </c>
      <c r="K29" s="13" t="s">
        <v>85</v>
      </c>
      <c r="L29" s="13" t="n">
        <v>3</v>
      </c>
      <c r="M29" s="13" t="n">
        <v>893488.2</v>
      </c>
      <c r="N29" s="13" t="n">
        <v>297829.4</v>
      </c>
      <c r="O29" s="13" t="n">
        <v>1015.94</v>
      </c>
      <c r="P29" s="13" t="n">
        <v>1</v>
      </c>
      <c r="Q29" s="13" t="n">
        <v>2</v>
      </c>
      <c r="R29" s="13" t="s">
        <v>98</v>
      </c>
      <c r="S29" s="13" t="s">
        <v>124</v>
      </c>
      <c r="T29" s="13" t="n">
        <v>1</v>
      </c>
      <c r="U29" s="13" t="n">
        <f aca="false">IF(B29="Individual",1,0)</f>
        <v>0</v>
      </c>
      <c r="V29" s="13" t="n">
        <f aca="false">IF(B29="Company",1,0)</f>
        <v>1</v>
      </c>
      <c r="W29" s="13" t="n">
        <f aca="false">IF(H29="Home",1,0)</f>
        <v>1</v>
      </c>
      <c r="X29" s="13" t="n">
        <f aca="false">IF(H29="Investment",1,0)</f>
        <v>0</v>
      </c>
      <c r="Y29" s="13" t="n">
        <f aca="false">IF(K29="Website",1,0)</f>
        <v>1</v>
      </c>
      <c r="Z29" s="13" t="n">
        <f aca="false">IF(K29="Agency",1,0)</f>
        <v>0</v>
      </c>
      <c r="AA29" s="13" t="n">
        <f aca="false">IF(K29="Client",1,0)</f>
        <v>0</v>
      </c>
      <c r="AB29" s="13" t="n">
        <f aca="false">(D29-AVERAGE(D$2:D$2001))/STDEV(D$2:D$2001)</f>
        <v>-0.757511677747842</v>
      </c>
      <c r="AC29" s="13" t="n">
        <f aca="false">(I29-AVERAGE(I$2:I$2001))/STDEV(I$2:I$2001)</f>
        <v>-1.43538077576244</v>
      </c>
      <c r="AD29" s="13" t="n">
        <f aca="false">(L29-AVERAGE(L$2:L$2001))/STDEV(L$2:L$2001)</f>
        <v>-0.777063122173208</v>
      </c>
      <c r="AE29" s="13" t="n">
        <f aca="false">(M29-AVERAGE(M$2:M$2001))/STDEV(M$2:M$2001)</f>
        <v>-1.05478704875542</v>
      </c>
      <c r="AF29" s="13" t="n">
        <f aca="false">(N29-AVERAGE(N$2:N$2001))/STDEV(N$2:N$2001)</f>
        <v>-0.706529958447618</v>
      </c>
      <c r="AG29" s="13" t="n">
        <f aca="false">(O29-AVERAGE(O$2:O$2001))/STDEV(O$2:O$2001)</f>
        <v>-0.598118046047968</v>
      </c>
      <c r="AH29" s="0" t="str">
        <f aca="false">IF(B29="Company","C3 - Corporate Buyers",IF(AND(H29="Investment",M29&gt;'Segmentation Summary'!$C$1),"C1 - Global Investors",IF(AND(I29&gt;=4,M29&gt;'Segmentation Summary'!$C$1),"C4 - Luxury Investors",IF(AND(D29&lt;'Segmentation Summary'!$C$2,J29=1),"C2 - First-Time Buyers","C5 - Other Individual Buyers"))))</f>
        <v>C3 - Corporate Buyers</v>
      </c>
    </row>
    <row r="30" customFormat="false" ht="15" hidden="false" customHeight="true" outlineLevel="0" collapsed="false">
      <c r="A30" s="13" t="s">
        <v>161</v>
      </c>
      <c r="B30" s="13" t="s">
        <v>36</v>
      </c>
      <c r="C30" s="13" t="s">
        <v>160</v>
      </c>
      <c r="D30" s="13" t="n">
        <v>40</v>
      </c>
      <c r="E30" s="13" t="s">
        <v>83</v>
      </c>
      <c r="F30" s="13" t="s">
        <v>33</v>
      </c>
      <c r="G30" s="13" t="s">
        <v>162</v>
      </c>
      <c r="H30" s="13" t="s">
        <v>41</v>
      </c>
      <c r="I30" s="13" t="n">
        <v>3</v>
      </c>
      <c r="J30" s="13" t="n">
        <v>0</v>
      </c>
      <c r="K30" s="13" t="s">
        <v>85</v>
      </c>
      <c r="L30" s="13" t="n">
        <v>3</v>
      </c>
      <c r="M30" s="13" t="n">
        <v>938073.57</v>
      </c>
      <c r="N30" s="13" t="n">
        <v>312691.19</v>
      </c>
      <c r="O30" s="13" t="n">
        <v>1023.88</v>
      </c>
      <c r="P30" s="13" t="n">
        <v>0</v>
      </c>
      <c r="Q30" s="13" t="n">
        <v>3</v>
      </c>
      <c r="R30" s="13" t="s">
        <v>124</v>
      </c>
      <c r="S30" s="13" t="s">
        <v>133</v>
      </c>
      <c r="T30" s="13" t="n">
        <v>1</v>
      </c>
      <c r="U30" s="13" t="n">
        <f aca="false">IF(B30="Individual",1,0)</f>
        <v>0</v>
      </c>
      <c r="V30" s="13" t="n">
        <f aca="false">IF(B30="Company",1,0)</f>
        <v>1</v>
      </c>
      <c r="W30" s="13" t="n">
        <f aca="false">IF(H30="Home",1,0)</f>
        <v>1</v>
      </c>
      <c r="X30" s="13" t="n">
        <f aca="false">IF(H30="Investment",1,0)</f>
        <v>0</v>
      </c>
      <c r="Y30" s="13" t="n">
        <f aca="false">IF(K30="Website",1,0)</f>
        <v>1</v>
      </c>
      <c r="Z30" s="13" t="n">
        <f aca="false">IF(K30="Agency",1,0)</f>
        <v>0</v>
      </c>
      <c r="AA30" s="13" t="n">
        <f aca="false">IF(K30="Client",1,0)</f>
        <v>0</v>
      </c>
      <c r="AB30" s="13" t="n">
        <f aca="false">(D30-AVERAGE(D$2:D$2001))/STDEV(D$2:D$2001)</f>
        <v>-0.815174133235994</v>
      </c>
      <c r="AC30" s="13" t="n">
        <f aca="false">(I30-AVERAGE(I$2:I$2001))/STDEV(I$2:I$2001)</f>
        <v>-0.0205155458339628</v>
      </c>
      <c r="AD30" s="13" t="n">
        <f aca="false">(L30-AVERAGE(L$2:L$2001))/STDEV(L$2:L$2001)</f>
        <v>-0.777063122173208</v>
      </c>
      <c r="AE30" s="13" t="n">
        <f aca="false">(M30-AVERAGE(M$2:M$2001))/STDEV(M$2:M$2001)</f>
        <v>-0.926605797047453</v>
      </c>
      <c r="AF30" s="13" t="n">
        <f aca="false">(N30-AVERAGE(N$2:N$2001))/STDEV(N$2:N$2001)</f>
        <v>-0.49337158688857</v>
      </c>
      <c r="AG30" s="13" t="n">
        <f aca="false">(O30-AVERAGE(O$2:O$2001))/STDEV(O$2:O$2001)</f>
        <v>-0.562014432909563</v>
      </c>
      <c r="AH30" s="0" t="str">
        <f aca="false">IF(B30="Company","C3 - Corporate Buyers",IF(AND(H30="Investment",M30&gt;'Segmentation Summary'!$C$1),"C1 - Global Investors",IF(AND(I30&gt;=4,M30&gt;'Segmentation Summary'!$C$1),"C4 - Luxury Investors",IF(AND(D30&lt;'Segmentation Summary'!$C$2,J30=1),"C2 - First-Time Buyers","C5 - Other Individual Buyers"))))</f>
        <v>C3 - Corporate Buyers</v>
      </c>
    </row>
    <row r="31" customFormat="false" ht="15" hidden="false" customHeight="true" outlineLevel="0" collapsed="false">
      <c r="A31" s="13" t="s">
        <v>163</v>
      </c>
      <c r="B31" s="13" t="s">
        <v>36</v>
      </c>
      <c r="C31" s="13" t="s">
        <v>160</v>
      </c>
      <c r="D31" s="13" t="n">
        <v>45</v>
      </c>
      <c r="E31" s="13" t="s">
        <v>90</v>
      </c>
      <c r="F31" s="13" t="s">
        <v>33</v>
      </c>
      <c r="G31" s="13" t="s">
        <v>157</v>
      </c>
      <c r="H31" s="13" t="s">
        <v>41</v>
      </c>
      <c r="I31" s="13" t="n">
        <v>1</v>
      </c>
      <c r="J31" s="13" t="n">
        <v>0</v>
      </c>
      <c r="K31" s="13" t="s">
        <v>85</v>
      </c>
      <c r="L31" s="13" t="n">
        <v>4</v>
      </c>
      <c r="M31" s="13" t="n">
        <v>1470403.6</v>
      </c>
      <c r="N31" s="13" t="n">
        <v>367600.9</v>
      </c>
      <c r="O31" s="13" t="n">
        <v>1228.8325</v>
      </c>
      <c r="P31" s="13" t="n">
        <v>1</v>
      </c>
      <c r="Q31" s="13" t="n">
        <v>3</v>
      </c>
      <c r="R31" s="13" t="s">
        <v>124</v>
      </c>
      <c r="S31" s="13" t="s">
        <v>164</v>
      </c>
      <c r="T31" s="13" t="n">
        <v>1</v>
      </c>
      <c r="U31" s="13" t="n">
        <f aca="false">IF(B31="Individual",1,0)</f>
        <v>0</v>
      </c>
      <c r="V31" s="13" t="n">
        <f aca="false">IF(B31="Company",1,0)</f>
        <v>1</v>
      </c>
      <c r="W31" s="13" t="n">
        <f aca="false">IF(H31="Home",1,0)</f>
        <v>1</v>
      </c>
      <c r="X31" s="13" t="n">
        <f aca="false">IF(H31="Investment",1,0)</f>
        <v>0</v>
      </c>
      <c r="Y31" s="13" t="n">
        <f aca="false">IF(K31="Website",1,0)</f>
        <v>1</v>
      </c>
      <c r="Z31" s="13" t="n">
        <f aca="false">IF(K31="Agency",1,0)</f>
        <v>0</v>
      </c>
      <c r="AA31" s="13" t="n">
        <f aca="false">IF(K31="Client",1,0)</f>
        <v>0</v>
      </c>
      <c r="AB31" s="13" t="n">
        <f aca="false">(D31-AVERAGE(D$2:D$2001))/STDEV(D$2:D$2001)</f>
        <v>-0.526861855795238</v>
      </c>
      <c r="AC31" s="13" t="n">
        <f aca="false">(I31-AVERAGE(I$2:I$2001))/STDEV(I$2:I$2001)</f>
        <v>-1.43538077576244</v>
      </c>
      <c r="AD31" s="13" t="n">
        <f aca="false">(L31-AVERAGE(L$2:L$2001))/STDEV(L$2:L$2001)</f>
        <v>0.413838214490712</v>
      </c>
      <c r="AE31" s="13" t="n">
        <f aca="false">(M31-AVERAGE(M$2:M$2001))/STDEV(M$2:M$2001)</f>
        <v>0.603822896650528</v>
      </c>
      <c r="AF31" s="13" t="n">
        <f aca="false">(N31-AVERAGE(N$2:N$2001))/STDEV(N$2:N$2001)</f>
        <v>0.294182561459616</v>
      </c>
      <c r="AG31" s="13" t="n">
        <f aca="false">(O31-AVERAGE(O$2:O$2001))/STDEV(O$2:O$2001)</f>
        <v>0.369915765043711</v>
      </c>
      <c r="AH31" s="0" t="str">
        <f aca="false">IF(B31="Company","C3 - Corporate Buyers",IF(AND(H31="Investment",M31&gt;'Segmentation Summary'!$C$1),"C1 - Global Investors",IF(AND(I31&gt;=4,M31&gt;'Segmentation Summary'!$C$1),"C4 - Luxury Investors",IF(AND(D31&lt;'Segmentation Summary'!$C$2,J31=1),"C2 - First-Time Buyers","C5 - Other Individual Buyers"))))</f>
        <v>C3 - Corporate Buyers</v>
      </c>
    </row>
    <row r="32" customFormat="false" ht="15" hidden="false" customHeight="true" outlineLevel="0" collapsed="false">
      <c r="A32" s="13" t="s">
        <v>165</v>
      </c>
      <c r="B32" s="13" t="s">
        <v>36</v>
      </c>
      <c r="C32" s="13" t="s">
        <v>166</v>
      </c>
      <c r="D32" s="13" t="n">
        <v>44</v>
      </c>
      <c r="E32" s="13" t="s">
        <v>83</v>
      </c>
      <c r="F32" s="13" t="s">
        <v>33</v>
      </c>
      <c r="G32" s="13" t="s">
        <v>95</v>
      </c>
      <c r="H32" s="13" t="s">
        <v>41</v>
      </c>
      <c r="I32" s="13" t="n">
        <v>3</v>
      </c>
      <c r="J32" s="13" t="n">
        <v>1</v>
      </c>
      <c r="K32" s="13" t="s">
        <v>85</v>
      </c>
      <c r="L32" s="13" t="n">
        <v>4</v>
      </c>
      <c r="M32" s="13" t="n">
        <v>1548140.07</v>
      </c>
      <c r="N32" s="13" t="n">
        <v>387035.0175</v>
      </c>
      <c r="O32" s="13" t="n">
        <v>1280.5425</v>
      </c>
      <c r="P32" s="13" t="n">
        <v>0</v>
      </c>
      <c r="Q32" s="13" t="n">
        <v>4</v>
      </c>
      <c r="R32" s="13" t="s">
        <v>150</v>
      </c>
      <c r="S32" s="13" t="s">
        <v>133</v>
      </c>
      <c r="T32" s="13" t="n">
        <v>1</v>
      </c>
      <c r="U32" s="13" t="n">
        <f aca="false">IF(B32="Individual",1,0)</f>
        <v>0</v>
      </c>
      <c r="V32" s="13" t="n">
        <f aca="false">IF(B32="Company",1,0)</f>
        <v>1</v>
      </c>
      <c r="W32" s="13" t="n">
        <f aca="false">IF(H32="Home",1,0)</f>
        <v>1</v>
      </c>
      <c r="X32" s="13" t="n">
        <f aca="false">IF(H32="Investment",1,0)</f>
        <v>0</v>
      </c>
      <c r="Y32" s="13" t="n">
        <f aca="false">IF(K32="Website",1,0)</f>
        <v>1</v>
      </c>
      <c r="Z32" s="13" t="n">
        <f aca="false">IF(K32="Agency",1,0)</f>
        <v>0</v>
      </c>
      <c r="AA32" s="13" t="n">
        <f aca="false">IF(K32="Client",1,0)</f>
        <v>0</v>
      </c>
      <c r="AB32" s="13" t="n">
        <f aca="false">(D32-AVERAGE(D$2:D$2001))/STDEV(D$2:D$2001)</f>
        <v>-0.584524311283389</v>
      </c>
      <c r="AC32" s="13" t="n">
        <f aca="false">(I32-AVERAGE(I$2:I$2001))/STDEV(I$2:I$2001)</f>
        <v>-0.0205155458339628</v>
      </c>
      <c r="AD32" s="13" t="n">
        <f aca="false">(L32-AVERAGE(L$2:L$2001))/STDEV(L$2:L$2001)</f>
        <v>0.413838214490712</v>
      </c>
      <c r="AE32" s="13" t="n">
        <f aca="false">(M32-AVERAGE(M$2:M$2001))/STDEV(M$2:M$2001)</f>
        <v>0.82731230647171</v>
      </c>
      <c r="AF32" s="13" t="n">
        <f aca="false">(N32-AVERAGE(N$2:N$2001))/STDEV(N$2:N$2001)</f>
        <v>0.572920508839252</v>
      </c>
      <c r="AG32" s="13" t="n">
        <f aca="false">(O32-AVERAGE(O$2:O$2001))/STDEV(O$2:O$2001)</f>
        <v>0.605043955898488</v>
      </c>
      <c r="AH32" s="0" t="str">
        <f aca="false">IF(B32="Company","C3 - Corporate Buyers",IF(AND(H32="Investment",M32&gt;'Segmentation Summary'!$C$1),"C1 - Global Investors",IF(AND(I32&gt;=4,M32&gt;'Segmentation Summary'!$C$1),"C4 - Luxury Investors",IF(AND(D32&lt;'Segmentation Summary'!$C$2,J32=1),"C2 - First-Time Buyers","C5 - Other Individual Buyers"))))</f>
        <v>C3 - Corporate Buyers</v>
      </c>
    </row>
    <row r="33" customFormat="false" ht="15" hidden="false" customHeight="true" outlineLevel="0" collapsed="false">
      <c r="A33" s="13" t="s">
        <v>167</v>
      </c>
      <c r="B33" s="13" t="s">
        <v>36</v>
      </c>
      <c r="C33" s="13" t="s">
        <v>168</v>
      </c>
      <c r="D33" s="13" t="n">
        <v>49</v>
      </c>
      <c r="E33" s="13" t="s">
        <v>90</v>
      </c>
      <c r="F33" s="13" t="s">
        <v>37</v>
      </c>
      <c r="G33" s="13" t="s">
        <v>169</v>
      </c>
      <c r="H33" s="13" t="s">
        <v>43</v>
      </c>
      <c r="I33" s="13" t="n">
        <v>5</v>
      </c>
      <c r="J33" s="13" t="n">
        <v>1</v>
      </c>
      <c r="K33" s="13" t="s">
        <v>91</v>
      </c>
      <c r="L33" s="13" t="n">
        <v>4</v>
      </c>
      <c r="M33" s="13" t="n">
        <v>1105281.92</v>
      </c>
      <c r="N33" s="13" t="n">
        <v>276320.48</v>
      </c>
      <c r="O33" s="13" t="n">
        <v>1015.8675</v>
      </c>
      <c r="P33" s="13" t="n">
        <v>1</v>
      </c>
      <c r="Q33" s="13" t="n">
        <v>3</v>
      </c>
      <c r="R33" s="13" t="s">
        <v>121</v>
      </c>
      <c r="S33" s="13" t="s">
        <v>164</v>
      </c>
      <c r="T33" s="13" t="n">
        <v>1</v>
      </c>
      <c r="U33" s="13" t="n">
        <f aca="false">IF(B33="Individual",1,0)</f>
        <v>0</v>
      </c>
      <c r="V33" s="13" t="n">
        <f aca="false">IF(B33="Company",1,0)</f>
        <v>1</v>
      </c>
      <c r="W33" s="13" t="n">
        <f aca="false">IF(H33="Home",1,0)</f>
        <v>0</v>
      </c>
      <c r="X33" s="13" t="n">
        <f aca="false">IF(H33="Investment",1,0)</f>
        <v>1</v>
      </c>
      <c r="Y33" s="13" t="n">
        <f aca="false">IF(K33="Website",1,0)</f>
        <v>0</v>
      </c>
      <c r="Z33" s="13" t="n">
        <f aca="false">IF(K33="Agency",1,0)</f>
        <v>1</v>
      </c>
      <c r="AA33" s="13" t="n">
        <f aca="false">IF(K33="Client",1,0)</f>
        <v>0</v>
      </c>
      <c r="AB33" s="13" t="n">
        <f aca="false">(D33-AVERAGE(D$2:D$2001))/STDEV(D$2:D$2001)</f>
        <v>-0.296212033842633</v>
      </c>
      <c r="AC33" s="13" t="n">
        <f aca="false">(I33-AVERAGE(I$2:I$2001))/STDEV(I$2:I$2001)</f>
        <v>1.39434968409451</v>
      </c>
      <c r="AD33" s="13" t="n">
        <f aca="false">(L33-AVERAGE(L$2:L$2001))/STDEV(L$2:L$2001)</f>
        <v>0.413838214490712</v>
      </c>
      <c r="AE33" s="13" t="n">
        <f aca="false">(M33-AVERAGE(M$2:M$2001))/STDEV(M$2:M$2001)</f>
        <v>-0.445888117705007</v>
      </c>
      <c r="AF33" s="13" t="n">
        <f aca="false">(N33-AVERAGE(N$2:N$2001))/STDEV(N$2:N$2001)</f>
        <v>-1.01502620023235</v>
      </c>
      <c r="AG33" s="13" t="n">
        <f aca="false">(O33-AVERAGE(O$2:O$2001))/STDEV(O$2:O$2001)</f>
        <v>-0.598447707502948</v>
      </c>
      <c r="AH33" s="0" t="str">
        <f aca="false">IF(B33="Company","C3 - Corporate Buyers",IF(AND(H33="Investment",M33&gt;'Segmentation Summary'!$C$1),"C1 - Global Investors",IF(AND(I33&gt;=4,M33&gt;'Segmentation Summary'!$C$1),"C4 - Luxury Investors",IF(AND(D33&lt;'Segmentation Summary'!$C$2,J33=1),"C2 - First-Time Buyers","C5 - Other Individual Buyers"))))</f>
        <v>C3 - Corporate Buyers</v>
      </c>
    </row>
    <row r="34" customFormat="false" ht="15" hidden="false" customHeight="true" outlineLevel="0" collapsed="false">
      <c r="A34" s="13" t="s">
        <v>170</v>
      </c>
      <c r="B34" s="13" t="s">
        <v>36</v>
      </c>
      <c r="C34" s="13" t="s">
        <v>168</v>
      </c>
      <c r="D34" s="13" t="n">
        <v>39</v>
      </c>
      <c r="E34" s="13" t="s">
        <v>83</v>
      </c>
      <c r="F34" s="13" t="s">
        <v>33</v>
      </c>
      <c r="G34" s="13" t="s">
        <v>157</v>
      </c>
      <c r="H34" s="13" t="s">
        <v>41</v>
      </c>
      <c r="I34" s="13" t="n">
        <v>1</v>
      </c>
      <c r="J34" s="13" t="n">
        <v>1</v>
      </c>
      <c r="K34" s="13" t="s">
        <v>116</v>
      </c>
      <c r="L34" s="13" t="n">
        <v>3</v>
      </c>
      <c r="M34" s="13" t="n">
        <v>985909</v>
      </c>
      <c r="N34" s="13" t="n">
        <v>328636.333333333</v>
      </c>
      <c r="O34" s="13" t="n">
        <v>1101.55</v>
      </c>
      <c r="P34" s="13" t="n">
        <v>1</v>
      </c>
      <c r="Q34" s="13" t="n">
        <v>2</v>
      </c>
      <c r="R34" s="13" t="s">
        <v>117</v>
      </c>
      <c r="S34" s="13" t="s">
        <v>87</v>
      </c>
      <c r="T34" s="13" t="n">
        <v>1</v>
      </c>
      <c r="U34" s="13" t="n">
        <f aca="false">IF(B34="Individual",1,0)</f>
        <v>0</v>
      </c>
      <c r="V34" s="13" t="n">
        <f aca="false">IF(B34="Company",1,0)</f>
        <v>1</v>
      </c>
      <c r="W34" s="13" t="n">
        <f aca="false">IF(H34="Home",1,0)</f>
        <v>1</v>
      </c>
      <c r="X34" s="13" t="n">
        <f aca="false">IF(H34="Investment",1,0)</f>
        <v>0</v>
      </c>
      <c r="Y34" s="13" t="n">
        <f aca="false">IF(K34="Website",1,0)</f>
        <v>0</v>
      </c>
      <c r="Z34" s="13" t="n">
        <f aca="false">IF(K34="Agency",1,0)</f>
        <v>0</v>
      </c>
      <c r="AA34" s="13" t="n">
        <f aca="false">IF(K34="Client",1,0)</f>
        <v>1</v>
      </c>
      <c r="AB34" s="13" t="n">
        <f aca="false">(D34-AVERAGE(D$2:D$2001))/STDEV(D$2:D$2001)</f>
        <v>-0.872836588724145</v>
      </c>
      <c r="AC34" s="13" t="n">
        <f aca="false">(I34-AVERAGE(I$2:I$2001))/STDEV(I$2:I$2001)</f>
        <v>-1.43538077576244</v>
      </c>
      <c r="AD34" s="13" t="n">
        <f aca="false">(L34-AVERAGE(L$2:L$2001))/STDEV(L$2:L$2001)</f>
        <v>-0.777063122173208</v>
      </c>
      <c r="AE34" s="13" t="n">
        <f aca="false">(M34-AVERAGE(M$2:M$2001))/STDEV(M$2:M$2001)</f>
        <v>-0.789080745816769</v>
      </c>
      <c r="AF34" s="13" t="n">
        <f aca="false">(N34-AVERAGE(N$2:N$2001))/STDEV(N$2:N$2001)</f>
        <v>-0.264674990636781</v>
      </c>
      <c r="AG34" s="13" t="n">
        <f aca="false">(O34-AVERAGE(O$2:O$2001))/STDEV(O$2:O$2001)</f>
        <v>-0.208844705899496</v>
      </c>
      <c r="AH34" s="0" t="str">
        <f aca="false">IF(B34="Company","C3 - Corporate Buyers",IF(AND(H34="Investment",M34&gt;'Segmentation Summary'!$C$1),"C1 - Global Investors",IF(AND(I34&gt;=4,M34&gt;'Segmentation Summary'!$C$1),"C4 - Luxury Investors",IF(AND(D34&lt;'Segmentation Summary'!$C$2,J34=1),"C2 - First-Time Buyers","C5 - Other Individual Buyers"))))</f>
        <v>C3 - Corporate Buyers</v>
      </c>
    </row>
    <row r="35" customFormat="false" ht="15" hidden="false" customHeight="true" outlineLevel="0" collapsed="false">
      <c r="A35" s="13" t="s">
        <v>171</v>
      </c>
      <c r="B35" s="13" t="s">
        <v>36</v>
      </c>
      <c r="C35" s="13" t="s">
        <v>168</v>
      </c>
      <c r="D35" s="13" t="n">
        <v>36</v>
      </c>
      <c r="E35" s="13" t="s">
        <v>83</v>
      </c>
      <c r="F35" s="13" t="s">
        <v>33</v>
      </c>
      <c r="G35" s="13" t="s">
        <v>162</v>
      </c>
      <c r="H35" s="13" t="s">
        <v>41</v>
      </c>
      <c r="I35" s="13" t="n">
        <v>5</v>
      </c>
      <c r="J35" s="13" t="n">
        <v>0</v>
      </c>
      <c r="K35" s="13" t="s">
        <v>85</v>
      </c>
      <c r="L35" s="13" t="n">
        <v>4</v>
      </c>
      <c r="M35" s="13" t="n">
        <v>1746049.93</v>
      </c>
      <c r="N35" s="13" t="n">
        <v>436512.4825</v>
      </c>
      <c r="O35" s="13" t="n">
        <v>1421.465</v>
      </c>
      <c r="P35" s="13" t="n">
        <v>1</v>
      </c>
      <c r="Q35" s="13" t="n">
        <v>3</v>
      </c>
      <c r="R35" s="13" t="s">
        <v>121</v>
      </c>
      <c r="S35" s="13" t="s">
        <v>87</v>
      </c>
      <c r="T35" s="13" t="n">
        <v>1</v>
      </c>
      <c r="U35" s="13" t="n">
        <f aca="false">IF(B35="Individual",1,0)</f>
        <v>0</v>
      </c>
      <c r="V35" s="13" t="n">
        <f aca="false">IF(B35="Company",1,0)</f>
        <v>1</v>
      </c>
      <c r="W35" s="13" t="n">
        <f aca="false">IF(H35="Home",1,0)</f>
        <v>1</v>
      </c>
      <c r="X35" s="13" t="n">
        <f aca="false">IF(H35="Investment",1,0)</f>
        <v>0</v>
      </c>
      <c r="Y35" s="13" t="n">
        <f aca="false">IF(K35="Website",1,0)</f>
        <v>1</v>
      </c>
      <c r="Z35" s="13" t="n">
        <f aca="false">IF(K35="Agency",1,0)</f>
        <v>0</v>
      </c>
      <c r="AA35" s="13" t="n">
        <f aca="false">IF(K35="Client",1,0)</f>
        <v>0</v>
      </c>
      <c r="AB35" s="13" t="n">
        <f aca="false">(D35-AVERAGE(D$2:D$2001))/STDEV(D$2:D$2001)</f>
        <v>-1.0458239551886</v>
      </c>
      <c r="AC35" s="13" t="n">
        <f aca="false">(I35-AVERAGE(I$2:I$2001))/STDEV(I$2:I$2001)</f>
        <v>1.39434968409451</v>
      </c>
      <c r="AD35" s="13" t="n">
        <f aca="false">(L35-AVERAGE(L$2:L$2001))/STDEV(L$2:L$2001)</f>
        <v>0.413838214490712</v>
      </c>
      <c r="AE35" s="13" t="n">
        <f aca="false">(M35-AVERAGE(M$2:M$2001))/STDEV(M$2:M$2001)</f>
        <v>1.3962956653661</v>
      </c>
      <c r="AF35" s="13" t="n">
        <f aca="false">(N35-AVERAGE(N$2:N$2001))/STDEV(N$2:N$2001)</f>
        <v>1.28256153244878</v>
      </c>
      <c r="AG35" s="13" t="n">
        <f aca="false">(O35-AVERAGE(O$2:O$2001))/STDEV(O$2:O$2001)</f>
        <v>1.24582625092329</v>
      </c>
      <c r="AH35" s="0" t="str">
        <f aca="false">IF(B35="Company","C3 - Corporate Buyers",IF(AND(H35="Investment",M35&gt;'Segmentation Summary'!$C$1),"C1 - Global Investors",IF(AND(I35&gt;=4,M35&gt;'Segmentation Summary'!$C$1),"C4 - Luxury Investors",IF(AND(D35&lt;'Segmentation Summary'!$C$2,J35=1),"C2 - First-Time Buyers","C5 - Other Individual Buyers"))))</f>
        <v>C3 - Corporate Buyers</v>
      </c>
    </row>
    <row r="36" customFormat="false" ht="15" hidden="false" customHeight="true" outlineLevel="0" collapsed="false">
      <c r="A36" s="13" t="s">
        <v>172</v>
      </c>
      <c r="B36" s="13" t="s">
        <v>36</v>
      </c>
      <c r="C36" s="13" t="s">
        <v>168</v>
      </c>
      <c r="D36" s="13" t="n">
        <v>47</v>
      </c>
      <c r="E36" s="13" t="s">
        <v>83</v>
      </c>
      <c r="F36" s="13" t="s">
        <v>33</v>
      </c>
      <c r="G36" s="13" t="s">
        <v>84</v>
      </c>
      <c r="H36" s="13" t="s">
        <v>43</v>
      </c>
      <c r="I36" s="13" t="n">
        <v>4</v>
      </c>
      <c r="J36" s="13" t="n">
        <v>1</v>
      </c>
      <c r="K36" s="13" t="s">
        <v>85</v>
      </c>
      <c r="L36" s="13" t="n">
        <v>4</v>
      </c>
      <c r="M36" s="13" t="n">
        <v>1457429.02</v>
      </c>
      <c r="N36" s="13" t="n">
        <v>364357.255</v>
      </c>
      <c r="O36" s="13" t="n">
        <v>1104.2925</v>
      </c>
      <c r="P36" s="13" t="n">
        <v>0</v>
      </c>
      <c r="Q36" s="13" t="n">
        <v>4</v>
      </c>
      <c r="R36" s="13" t="s">
        <v>101</v>
      </c>
      <c r="S36" s="13" t="s">
        <v>133</v>
      </c>
      <c r="T36" s="13" t="n">
        <v>1</v>
      </c>
      <c r="U36" s="13" t="n">
        <f aca="false">IF(B36="Individual",1,0)</f>
        <v>0</v>
      </c>
      <c r="V36" s="13" t="n">
        <f aca="false">IF(B36="Company",1,0)</f>
        <v>1</v>
      </c>
      <c r="W36" s="13" t="n">
        <f aca="false">IF(H36="Home",1,0)</f>
        <v>0</v>
      </c>
      <c r="X36" s="13" t="n">
        <f aca="false">IF(H36="Investment",1,0)</f>
        <v>1</v>
      </c>
      <c r="Y36" s="13" t="n">
        <f aca="false">IF(K36="Website",1,0)</f>
        <v>1</v>
      </c>
      <c r="Z36" s="13" t="n">
        <f aca="false">IF(K36="Agency",1,0)</f>
        <v>0</v>
      </c>
      <c r="AA36" s="13" t="n">
        <f aca="false">IF(K36="Client",1,0)</f>
        <v>0</v>
      </c>
      <c r="AB36" s="13" t="n">
        <f aca="false">(D36-AVERAGE(D$2:D$2001))/STDEV(D$2:D$2001)</f>
        <v>-0.411536944818935</v>
      </c>
      <c r="AC36" s="13" t="n">
        <f aca="false">(I36-AVERAGE(I$2:I$2001))/STDEV(I$2:I$2001)</f>
        <v>0.686917069130275</v>
      </c>
      <c r="AD36" s="13" t="n">
        <f aca="false">(L36-AVERAGE(L$2:L$2001))/STDEV(L$2:L$2001)</f>
        <v>0.413838214490712</v>
      </c>
      <c r="AE36" s="13" t="n">
        <f aca="false">(M36-AVERAGE(M$2:M$2001))/STDEV(M$2:M$2001)</f>
        <v>0.566521470088739</v>
      </c>
      <c r="AF36" s="13" t="n">
        <f aca="false">(N36-AVERAGE(N$2:N$2001))/STDEV(N$2:N$2001)</f>
        <v>0.247659895877902</v>
      </c>
      <c r="AG36" s="13" t="n">
        <f aca="false">(O36-AVERAGE(O$2:O$2001))/STDEV(O$2:O$2001)</f>
        <v>-0.196374408792181</v>
      </c>
      <c r="AH36" s="0" t="str">
        <f aca="false">IF(B36="Company","C3 - Corporate Buyers",IF(AND(H36="Investment",M36&gt;'Segmentation Summary'!$C$1),"C1 - Global Investors",IF(AND(I36&gt;=4,M36&gt;'Segmentation Summary'!$C$1),"C4 - Luxury Investors",IF(AND(D36&lt;'Segmentation Summary'!$C$2,J36=1),"C2 - First-Time Buyers","C5 - Other Individual Buyers"))))</f>
        <v>C3 - Corporate Buyers</v>
      </c>
    </row>
    <row r="37" customFormat="false" ht="15" hidden="false" customHeight="true" outlineLevel="0" collapsed="false">
      <c r="A37" s="13" t="s">
        <v>173</v>
      </c>
      <c r="B37" s="13" t="s">
        <v>36</v>
      </c>
      <c r="C37" s="13" t="s">
        <v>174</v>
      </c>
      <c r="D37" s="13" t="n">
        <v>55</v>
      </c>
      <c r="E37" s="13" t="s">
        <v>90</v>
      </c>
      <c r="F37" s="13" t="s">
        <v>33</v>
      </c>
      <c r="G37" s="13" t="s">
        <v>100</v>
      </c>
      <c r="H37" s="13" t="s">
        <v>41</v>
      </c>
      <c r="I37" s="13" t="n">
        <v>4</v>
      </c>
      <c r="J37" s="13" t="n">
        <v>0</v>
      </c>
      <c r="K37" s="13" t="s">
        <v>91</v>
      </c>
      <c r="L37" s="13" t="n">
        <v>4</v>
      </c>
      <c r="M37" s="13" t="n">
        <v>1230552.15</v>
      </c>
      <c r="N37" s="13" t="n">
        <v>307638.0375</v>
      </c>
      <c r="O37" s="13" t="n">
        <v>1053.27</v>
      </c>
      <c r="P37" s="13" t="n">
        <v>1</v>
      </c>
      <c r="Q37" s="13" t="n">
        <v>3</v>
      </c>
      <c r="R37" s="13" t="s">
        <v>92</v>
      </c>
      <c r="S37" s="13" t="s">
        <v>133</v>
      </c>
      <c r="T37" s="13" t="n">
        <v>1</v>
      </c>
      <c r="U37" s="13" t="n">
        <f aca="false">IF(B37="Individual",1,0)</f>
        <v>0</v>
      </c>
      <c r="V37" s="13" t="n">
        <f aca="false">IF(B37="Company",1,0)</f>
        <v>1</v>
      </c>
      <c r="W37" s="13" t="n">
        <f aca="false">IF(H37="Home",1,0)</f>
        <v>1</v>
      </c>
      <c r="X37" s="13" t="n">
        <f aca="false">IF(H37="Investment",1,0)</f>
        <v>0</v>
      </c>
      <c r="Y37" s="13" t="n">
        <f aca="false">IF(K37="Website",1,0)</f>
        <v>0</v>
      </c>
      <c r="Z37" s="13" t="n">
        <f aca="false">IF(K37="Agency",1,0)</f>
        <v>1</v>
      </c>
      <c r="AA37" s="13" t="n">
        <f aca="false">IF(K37="Client",1,0)</f>
        <v>0</v>
      </c>
      <c r="AB37" s="13" t="n">
        <f aca="false">(D37-AVERAGE(D$2:D$2001))/STDEV(D$2:D$2001)</f>
        <v>0.0497626990862745</v>
      </c>
      <c r="AC37" s="13" t="n">
        <f aca="false">(I37-AVERAGE(I$2:I$2001))/STDEV(I$2:I$2001)</f>
        <v>0.686917069130275</v>
      </c>
      <c r="AD37" s="13" t="n">
        <f aca="false">(L37-AVERAGE(L$2:L$2001))/STDEV(L$2:L$2001)</f>
        <v>0.413838214490712</v>
      </c>
      <c r="AE37" s="13" t="n">
        <f aca="false">(M37-AVERAGE(M$2:M$2001))/STDEV(M$2:M$2001)</f>
        <v>-0.085740946488411</v>
      </c>
      <c r="AF37" s="13" t="n">
        <f aca="false">(N37-AVERAGE(N$2:N$2001))/STDEV(N$2:N$2001)</f>
        <v>-0.565847497134883</v>
      </c>
      <c r="AG37" s="13" t="n">
        <f aca="false">(O37-AVERAGE(O$2:O$2001))/STDEV(O$2:O$2001)</f>
        <v>-0.428376499642847</v>
      </c>
      <c r="AH37" s="0" t="str">
        <f aca="false">IF(B37="Company","C3 - Corporate Buyers",IF(AND(H37="Investment",M37&gt;'Segmentation Summary'!$C$1),"C1 - Global Investors",IF(AND(I37&gt;=4,M37&gt;'Segmentation Summary'!$C$1),"C4 - Luxury Investors",IF(AND(D37&lt;'Segmentation Summary'!$C$2,J37=1),"C2 - First-Time Buyers","C5 - Other Individual Buyers"))))</f>
        <v>C3 - Corporate Buyers</v>
      </c>
    </row>
    <row r="38" customFormat="false" ht="15" hidden="false" customHeight="true" outlineLevel="0" collapsed="false">
      <c r="A38" s="13" t="s">
        <v>175</v>
      </c>
      <c r="B38" s="13" t="s">
        <v>36</v>
      </c>
      <c r="C38" s="13" t="s">
        <v>174</v>
      </c>
      <c r="D38" s="13" t="n">
        <v>30</v>
      </c>
      <c r="E38" s="13" t="s">
        <v>90</v>
      </c>
      <c r="F38" s="13" t="s">
        <v>33</v>
      </c>
      <c r="G38" s="13" t="s">
        <v>100</v>
      </c>
      <c r="H38" s="13" t="s">
        <v>43</v>
      </c>
      <c r="I38" s="13" t="n">
        <v>1</v>
      </c>
      <c r="J38" s="13" t="n">
        <v>1</v>
      </c>
      <c r="K38" s="13" t="s">
        <v>85</v>
      </c>
      <c r="L38" s="13" t="n">
        <v>3</v>
      </c>
      <c r="M38" s="13" t="n">
        <v>1206881.92</v>
      </c>
      <c r="N38" s="13" t="n">
        <v>402293.973333333</v>
      </c>
      <c r="O38" s="13" t="n">
        <v>1338.14666666667</v>
      </c>
      <c r="P38" s="13" t="n">
        <v>1</v>
      </c>
      <c r="Q38" s="13" t="n">
        <v>2</v>
      </c>
      <c r="R38" s="13" t="s">
        <v>92</v>
      </c>
      <c r="S38" s="13" t="s">
        <v>111</v>
      </c>
      <c r="T38" s="13" t="n">
        <v>1</v>
      </c>
      <c r="U38" s="13" t="n">
        <f aca="false">IF(B38="Individual",1,0)</f>
        <v>0</v>
      </c>
      <c r="V38" s="13" t="n">
        <f aca="false">IF(B38="Company",1,0)</f>
        <v>1</v>
      </c>
      <c r="W38" s="13" t="n">
        <f aca="false">IF(H38="Home",1,0)</f>
        <v>0</v>
      </c>
      <c r="X38" s="13" t="n">
        <f aca="false">IF(H38="Investment",1,0)</f>
        <v>1</v>
      </c>
      <c r="Y38" s="13" t="n">
        <f aca="false">IF(K38="Website",1,0)</f>
        <v>1</v>
      </c>
      <c r="Z38" s="13" t="n">
        <f aca="false">IF(K38="Agency",1,0)</f>
        <v>0</v>
      </c>
      <c r="AA38" s="13" t="n">
        <f aca="false">IF(K38="Client",1,0)</f>
        <v>0</v>
      </c>
      <c r="AB38" s="13" t="n">
        <f aca="false">(D38-AVERAGE(D$2:D$2001))/STDEV(D$2:D$2001)</f>
        <v>-1.39179868811751</v>
      </c>
      <c r="AC38" s="13" t="n">
        <f aca="false">(I38-AVERAGE(I$2:I$2001))/STDEV(I$2:I$2001)</f>
        <v>-1.43538077576244</v>
      </c>
      <c r="AD38" s="13" t="n">
        <f aca="false">(L38-AVERAGE(L$2:L$2001))/STDEV(L$2:L$2001)</f>
        <v>-0.777063122173208</v>
      </c>
      <c r="AE38" s="13" t="n">
        <f aca="false">(M38-AVERAGE(M$2:M$2001))/STDEV(M$2:M$2001)</f>
        <v>-0.153791962093206</v>
      </c>
      <c r="AF38" s="13" t="n">
        <f aca="false">(N38-AVERAGE(N$2:N$2001))/STDEV(N$2:N$2001)</f>
        <v>0.791775315502829</v>
      </c>
      <c r="AG38" s="13" t="n">
        <f aca="false">(O38-AVERAGE(O$2:O$2001))/STDEV(O$2:O$2001)</f>
        <v>0.866973244121872</v>
      </c>
      <c r="AH38" s="0" t="str">
        <f aca="false">IF(B38="Company","C3 - Corporate Buyers",IF(AND(H38="Investment",M38&gt;'Segmentation Summary'!$C$1),"C1 - Global Investors",IF(AND(I38&gt;=4,M38&gt;'Segmentation Summary'!$C$1),"C4 - Luxury Investors",IF(AND(D38&lt;'Segmentation Summary'!$C$2,J38=1),"C2 - First-Time Buyers","C5 - Other Individual Buyers"))))</f>
        <v>C3 - Corporate Buyers</v>
      </c>
    </row>
    <row r="39" customFormat="false" ht="15" hidden="false" customHeight="true" outlineLevel="0" collapsed="false">
      <c r="A39" s="13" t="s">
        <v>176</v>
      </c>
      <c r="B39" s="13" t="s">
        <v>36</v>
      </c>
      <c r="C39" s="13" t="s">
        <v>174</v>
      </c>
      <c r="D39" s="13" t="n">
        <v>44</v>
      </c>
      <c r="E39" s="13" t="s">
        <v>83</v>
      </c>
      <c r="F39" s="13" t="s">
        <v>33</v>
      </c>
      <c r="G39" s="13" t="s">
        <v>162</v>
      </c>
      <c r="H39" s="13" t="s">
        <v>43</v>
      </c>
      <c r="I39" s="13" t="n">
        <v>2</v>
      </c>
      <c r="J39" s="13" t="n">
        <v>0</v>
      </c>
      <c r="K39" s="13" t="s">
        <v>91</v>
      </c>
      <c r="L39" s="13" t="n">
        <v>4</v>
      </c>
      <c r="M39" s="13" t="n">
        <v>1127600.93</v>
      </c>
      <c r="N39" s="13" t="n">
        <v>281900.2325</v>
      </c>
      <c r="O39" s="13" t="n">
        <v>885.395</v>
      </c>
      <c r="P39" s="13" t="n">
        <v>1</v>
      </c>
      <c r="Q39" s="13" t="n">
        <v>3</v>
      </c>
      <c r="R39" s="13" t="s">
        <v>92</v>
      </c>
      <c r="S39" s="13" t="s">
        <v>135</v>
      </c>
      <c r="T39" s="13" t="n">
        <v>1</v>
      </c>
      <c r="U39" s="13" t="n">
        <f aca="false">IF(B39="Individual",1,0)</f>
        <v>0</v>
      </c>
      <c r="V39" s="13" t="n">
        <f aca="false">IF(B39="Company",1,0)</f>
        <v>1</v>
      </c>
      <c r="W39" s="13" t="n">
        <f aca="false">IF(H39="Home",1,0)</f>
        <v>0</v>
      </c>
      <c r="X39" s="13" t="n">
        <f aca="false">IF(H39="Investment",1,0)</f>
        <v>1</v>
      </c>
      <c r="Y39" s="13" t="n">
        <f aca="false">IF(K39="Website",1,0)</f>
        <v>0</v>
      </c>
      <c r="Z39" s="13" t="n">
        <f aca="false">IF(K39="Agency",1,0)</f>
        <v>1</v>
      </c>
      <c r="AA39" s="13" t="n">
        <f aca="false">IF(K39="Client",1,0)</f>
        <v>0</v>
      </c>
      <c r="AB39" s="13" t="n">
        <f aca="false">(D39-AVERAGE(D$2:D$2001))/STDEV(D$2:D$2001)</f>
        <v>-0.584524311283389</v>
      </c>
      <c r="AC39" s="13" t="n">
        <f aca="false">(I39-AVERAGE(I$2:I$2001))/STDEV(I$2:I$2001)</f>
        <v>-0.727948160798201</v>
      </c>
      <c r="AD39" s="13" t="n">
        <f aca="false">(L39-AVERAGE(L$2:L$2001))/STDEV(L$2:L$2001)</f>
        <v>0.413838214490712</v>
      </c>
      <c r="AE39" s="13" t="n">
        <f aca="false">(M39-AVERAGE(M$2:M$2001))/STDEV(M$2:M$2001)</f>
        <v>-0.381721808472119</v>
      </c>
      <c r="AF39" s="13" t="n">
        <f aca="false">(N39-AVERAGE(N$2:N$2001))/STDEV(N$2:N$2001)</f>
        <v>-0.934997417925334</v>
      </c>
      <c r="AG39" s="13" t="n">
        <f aca="false">(O39-AVERAGE(O$2:O$2001))/STDEV(O$2:O$2001)</f>
        <v>-1.19171328246524</v>
      </c>
      <c r="AH39" s="0" t="str">
        <f aca="false">IF(B39="Company","C3 - Corporate Buyers",IF(AND(H39="Investment",M39&gt;'Segmentation Summary'!$C$1),"C1 - Global Investors",IF(AND(I39&gt;=4,M39&gt;'Segmentation Summary'!$C$1),"C4 - Luxury Investors",IF(AND(D39&lt;'Segmentation Summary'!$C$2,J39=1),"C2 - First-Time Buyers","C5 - Other Individual Buyers"))))</f>
        <v>C3 - Corporate Buyers</v>
      </c>
    </row>
    <row r="40" customFormat="false" ht="15" hidden="false" customHeight="true" outlineLevel="0" collapsed="false">
      <c r="A40" s="13" t="s">
        <v>177</v>
      </c>
      <c r="B40" s="13" t="s">
        <v>36</v>
      </c>
      <c r="C40" s="13" t="s">
        <v>174</v>
      </c>
      <c r="D40" s="13" t="n">
        <v>61</v>
      </c>
      <c r="E40" s="13" t="s">
        <v>90</v>
      </c>
      <c r="F40" s="13" t="s">
        <v>33</v>
      </c>
      <c r="G40" s="13" t="s">
        <v>95</v>
      </c>
      <c r="H40" s="13" t="s">
        <v>41</v>
      </c>
      <c r="I40" s="13" t="n">
        <v>2</v>
      </c>
      <c r="J40" s="13" t="n">
        <v>0</v>
      </c>
      <c r="K40" s="13" t="s">
        <v>91</v>
      </c>
      <c r="L40" s="13" t="n">
        <v>4</v>
      </c>
      <c r="M40" s="13" t="n">
        <v>1345035.74</v>
      </c>
      <c r="N40" s="13" t="n">
        <v>336258.935</v>
      </c>
      <c r="O40" s="13" t="n">
        <v>1103.3025</v>
      </c>
      <c r="P40" s="13" t="n">
        <v>0</v>
      </c>
      <c r="Q40" s="13" t="n">
        <v>4</v>
      </c>
      <c r="R40" s="13" t="s">
        <v>117</v>
      </c>
      <c r="S40" s="13" t="s">
        <v>133</v>
      </c>
      <c r="T40" s="13" t="n">
        <v>1</v>
      </c>
      <c r="U40" s="13" t="n">
        <f aca="false">IF(B40="Individual",1,0)</f>
        <v>0</v>
      </c>
      <c r="V40" s="13" t="n">
        <f aca="false">IF(B40="Company",1,0)</f>
        <v>1</v>
      </c>
      <c r="W40" s="13" t="n">
        <f aca="false">IF(H40="Home",1,0)</f>
        <v>1</v>
      </c>
      <c r="X40" s="13" t="n">
        <f aca="false">IF(H40="Investment",1,0)</f>
        <v>0</v>
      </c>
      <c r="Y40" s="13" t="n">
        <f aca="false">IF(K40="Website",1,0)</f>
        <v>0</v>
      </c>
      <c r="Z40" s="13" t="n">
        <f aca="false">IF(K40="Agency",1,0)</f>
        <v>1</v>
      </c>
      <c r="AA40" s="13" t="n">
        <f aca="false">IF(K40="Client",1,0)</f>
        <v>0</v>
      </c>
      <c r="AB40" s="13" t="n">
        <f aca="false">(D40-AVERAGE(D$2:D$2001))/STDEV(D$2:D$2001)</f>
        <v>0.395737432015182</v>
      </c>
      <c r="AC40" s="13" t="n">
        <f aca="false">(I40-AVERAGE(I$2:I$2001))/STDEV(I$2:I$2001)</f>
        <v>-0.727948160798201</v>
      </c>
      <c r="AD40" s="13" t="n">
        <f aca="false">(L40-AVERAGE(L$2:L$2001))/STDEV(L$2:L$2001)</f>
        <v>0.413838214490712</v>
      </c>
      <c r="AE40" s="13" t="n">
        <f aca="false">(M40-AVERAGE(M$2:M$2001))/STDEV(M$2:M$2001)</f>
        <v>0.243395042878102</v>
      </c>
      <c r="AF40" s="13" t="n">
        <f aca="false">(N40-AVERAGE(N$2:N$2001))/STDEV(N$2:N$2001)</f>
        <v>-0.15534621137735</v>
      </c>
      <c r="AG40" s="13" t="n">
        <f aca="false">(O40-AVERAGE(O$2:O$2001))/STDEV(O$2:O$2001)</f>
        <v>-0.200875992798104</v>
      </c>
      <c r="AH40" s="0" t="str">
        <f aca="false">IF(B40="Company","C3 - Corporate Buyers",IF(AND(H40="Investment",M40&gt;'Segmentation Summary'!$C$1),"C1 - Global Investors",IF(AND(I40&gt;=4,M40&gt;'Segmentation Summary'!$C$1),"C4 - Luxury Investors",IF(AND(D40&lt;'Segmentation Summary'!$C$2,J40=1),"C2 - First-Time Buyers","C5 - Other Individual Buyers"))))</f>
        <v>C3 - Corporate Buyers</v>
      </c>
    </row>
    <row r="41" customFormat="false" ht="15" hidden="false" customHeight="true" outlineLevel="0" collapsed="false">
      <c r="A41" s="13" t="s">
        <v>178</v>
      </c>
      <c r="B41" s="13" t="s">
        <v>36</v>
      </c>
      <c r="C41" s="13" t="s">
        <v>174</v>
      </c>
      <c r="D41" s="13" t="n">
        <v>29</v>
      </c>
      <c r="E41" s="13" t="s">
        <v>83</v>
      </c>
      <c r="F41" s="13" t="s">
        <v>33</v>
      </c>
      <c r="G41" s="13" t="s">
        <v>95</v>
      </c>
      <c r="H41" s="13" t="s">
        <v>41</v>
      </c>
      <c r="I41" s="13" t="n">
        <v>5</v>
      </c>
      <c r="J41" s="13" t="n">
        <v>0</v>
      </c>
      <c r="K41" s="13" t="s">
        <v>91</v>
      </c>
      <c r="L41" s="13" t="n">
        <v>4</v>
      </c>
      <c r="M41" s="13" t="n">
        <v>1277850.15</v>
      </c>
      <c r="N41" s="13" t="n">
        <v>319462.5375</v>
      </c>
      <c r="O41" s="13" t="n">
        <v>1025.15</v>
      </c>
      <c r="P41" s="13" t="n">
        <v>0</v>
      </c>
      <c r="Q41" s="13" t="n">
        <v>4</v>
      </c>
      <c r="R41" s="13" t="s">
        <v>111</v>
      </c>
      <c r="S41" s="13" t="s">
        <v>133</v>
      </c>
      <c r="T41" s="13" t="n">
        <v>1</v>
      </c>
      <c r="U41" s="13" t="n">
        <f aca="false">IF(B41="Individual",1,0)</f>
        <v>0</v>
      </c>
      <c r="V41" s="13" t="n">
        <f aca="false">IF(B41="Company",1,0)</f>
        <v>1</v>
      </c>
      <c r="W41" s="13" t="n">
        <f aca="false">IF(H41="Home",1,0)</f>
        <v>1</v>
      </c>
      <c r="X41" s="13" t="n">
        <f aca="false">IF(H41="Investment",1,0)</f>
        <v>0</v>
      </c>
      <c r="Y41" s="13" t="n">
        <f aca="false">IF(K41="Website",1,0)</f>
        <v>0</v>
      </c>
      <c r="Z41" s="13" t="n">
        <f aca="false">IF(K41="Agency",1,0)</f>
        <v>1</v>
      </c>
      <c r="AA41" s="13" t="n">
        <f aca="false">IF(K41="Client",1,0)</f>
        <v>0</v>
      </c>
      <c r="AB41" s="13" t="n">
        <f aca="false">(D41-AVERAGE(D$2:D$2001))/STDEV(D$2:D$2001)</f>
        <v>-1.44946114360566</v>
      </c>
      <c r="AC41" s="13" t="n">
        <f aca="false">(I41-AVERAGE(I$2:I$2001))/STDEV(I$2:I$2001)</f>
        <v>1.39434968409451</v>
      </c>
      <c r="AD41" s="13" t="n">
        <f aca="false">(L41-AVERAGE(L$2:L$2001))/STDEV(L$2:L$2001)</f>
        <v>0.413838214490712</v>
      </c>
      <c r="AE41" s="13" t="n">
        <f aca="false">(M41-AVERAGE(M$2:M$2001))/STDEV(M$2:M$2001)</f>
        <v>0.0502390138277994</v>
      </c>
      <c r="AF41" s="13" t="n">
        <f aca="false">(N41-AVERAGE(N$2:N$2001))/STDEV(N$2:N$2001)</f>
        <v>-0.396252100853549</v>
      </c>
      <c r="AG41" s="13" t="n">
        <f aca="false">(O41-AVERAGE(O$2:O$2001))/STDEV(O$2:O$2001)</f>
        <v>-0.556239673629238</v>
      </c>
      <c r="AH41" s="0" t="str">
        <f aca="false">IF(B41="Company","C3 - Corporate Buyers",IF(AND(H41="Investment",M41&gt;'Segmentation Summary'!$C$1),"C1 - Global Investors",IF(AND(I41&gt;=4,M41&gt;'Segmentation Summary'!$C$1),"C4 - Luxury Investors",IF(AND(D41&lt;'Segmentation Summary'!$C$2,J41=1),"C2 - First-Time Buyers","C5 - Other Individual Buyers"))))</f>
        <v>C3 - Corporate Buyers</v>
      </c>
    </row>
    <row r="42" customFormat="false" ht="15" hidden="false" customHeight="true" outlineLevel="0" collapsed="false">
      <c r="A42" s="13" t="s">
        <v>179</v>
      </c>
      <c r="B42" s="13" t="s">
        <v>36</v>
      </c>
      <c r="C42" s="13" t="s">
        <v>180</v>
      </c>
      <c r="D42" s="13" t="n">
        <v>64</v>
      </c>
      <c r="E42" s="13" t="s">
        <v>83</v>
      </c>
      <c r="F42" s="13" t="s">
        <v>33</v>
      </c>
      <c r="G42" s="13" t="s">
        <v>145</v>
      </c>
      <c r="H42" s="13" t="s">
        <v>41</v>
      </c>
      <c r="I42" s="13" t="n">
        <v>2</v>
      </c>
      <c r="J42" s="13" t="n">
        <v>0</v>
      </c>
      <c r="K42" s="13" t="s">
        <v>91</v>
      </c>
      <c r="L42" s="13" t="n">
        <v>3</v>
      </c>
      <c r="M42" s="13" t="n">
        <v>1178759.88</v>
      </c>
      <c r="N42" s="13" t="n">
        <v>392919.96</v>
      </c>
      <c r="O42" s="13" t="n">
        <v>1263.86333333333</v>
      </c>
      <c r="P42" s="13" t="n">
        <v>1</v>
      </c>
      <c r="Q42" s="13" t="n">
        <v>2</v>
      </c>
      <c r="R42" s="13" t="s">
        <v>121</v>
      </c>
      <c r="S42" s="13" t="s">
        <v>152</v>
      </c>
      <c r="T42" s="13" t="n">
        <v>1</v>
      </c>
      <c r="U42" s="13" t="n">
        <f aca="false">IF(B42="Individual",1,0)</f>
        <v>0</v>
      </c>
      <c r="V42" s="13" t="n">
        <f aca="false">IF(B42="Company",1,0)</f>
        <v>1</v>
      </c>
      <c r="W42" s="13" t="n">
        <f aca="false">IF(H42="Home",1,0)</f>
        <v>1</v>
      </c>
      <c r="X42" s="13" t="n">
        <f aca="false">IF(H42="Investment",1,0)</f>
        <v>0</v>
      </c>
      <c r="Y42" s="13" t="n">
        <f aca="false">IF(K42="Website",1,0)</f>
        <v>0</v>
      </c>
      <c r="Z42" s="13" t="n">
        <f aca="false">IF(K42="Agency",1,0)</f>
        <v>1</v>
      </c>
      <c r="AA42" s="13" t="n">
        <f aca="false">IF(K42="Client",1,0)</f>
        <v>0</v>
      </c>
      <c r="AB42" s="13" t="n">
        <f aca="false">(D42-AVERAGE(D$2:D$2001))/STDEV(D$2:D$2001)</f>
        <v>0.568724798479635</v>
      </c>
      <c r="AC42" s="13" t="n">
        <f aca="false">(I42-AVERAGE(I$2:I$2001))/STDEV(I$2:I$2001)</f>
        <v>-0.727948160798201</v>
      </c>
      <c r="AD42" s="13" t="n">
        <f aca="false">(L42-AVERAGE(L$2:L$2001))/STDEV(L$2:L$2001)</f>
        <v>-0.777063122173208</v>
      </c>
      <c r="AE42" s="13" t="n">
        <f aca="false">(M42-AVERAGE(M$2:M$2001))/STDEV(M$2:M$2001)</f>
        <v>-0.234641762998337</v>
      </c>
      <c r="AF42" s="13" t="n">
        <f aca="false">(N42-AVERAGE(N$2:N$2001))/STDEV(N$2:N$2001)</f>
        <v>0.657326543376049</v>
      </c>
      <c r="AG42" s="13" t="n">
        <f aca="false">(O42-AVERAGE(O$2:O$2001))/STDEV(O$2:O$2001)</f>
        <v>0.52920287519264</v>
      </c>
      <c r="AH42" s="0" t="str">
        <f aca="false">IF(B42="Company","C3 - Corporate Buyers",IF(AND(H42="Investment",M42&gt;'Segmentation Summary'!$C$1),"C1 - Global Investors",IF(AND(I42&gt;=4,M42&gt;'Segmentation Summary'!$C$1),"C4 - Luxury Investors",IF(AND(D42&lt;'Segmentation Summary'!$C$2,J42=1),"C2 - First-Time Buyers","C5 - Other Individual Buyers"))))</f>
        <v>C3 - Corporate Buyers</v>
      </c>
    </row>
    <row r="43" customFormat="false" ht="15" hidden="false" customHeight="true" outlineLevel="0" collapsed="false">
      <c r="A43" s="13" t="s">
        <v>181</v>
      </c>
      <c r="B43" s="13" t="s">
        <v>36</v>
      </c>
      <c r="C43" s="13" t="s">
        <v>182</v>
      </c>
      <c r="D43" s="13" t="n">
        <v>64</v>
      </c>
      <c r="E43" s="13" t="s">
        <v>83</v>
      </c>
      <c r="F43" s="13" t="s">
        <v>38</v>
      </c>
      <c r="G43" s="13" t="s">
        <v>183</v>
      </c>
      <c r="H43" s="13" t="s">
        <v>41</v>
      </c>
      <c r="I43" s="13" t="n">
        <v>2</v>
      </c>
      <c r="J43" s="13" t="n">
        <v>0</v>
      </c>
      <c r="K43" s="13" t="s">
        <v>91</v>
      </c>
      <c r="L43" s="13" t="n">
        <v>4</v>
      </c>
      <c r="M43" s="13" t="n">
        <v>1248456.03</v>
      </c>
      <c r="N43" s="13" t="n">
        <v>312114.0075</v>
      </c>
      <c r="O43" s="13" t="n">
        <v>993.0625</v>
      </c>
      <c r="P43" s="13" t="n">
        <v>0</v>
      </c>
      <c r="Q43" s="13" t="n">
        <v>4</v>
      </c>
      <c r="R43" s="13" t="s">
        <v>101</v>
      </c>
      <c r="S43" s="13" t="s">
        <v>87</v>
      </c>
      <c r="T43" s="13" t="n">
        <v>1</v>
      </c>
      <c r="U43" s="13" t="n">
        <f aca="false">IF(B43="Individual",1,0)</f>
        <v>0</v>
      </c>
      <c r="V43" s="13" t="n">
        <f aca="false">IF(B43="Company",1,0)</f>
        <v>1</v>
      </c>
      <c r="W43" s="13" t="n">
        <f aca="false">IF(H43="Home",1,0)</f>
        <v>1</v>
      </c>
      <c r="X43" s="13" t="n">
        <f aca="false">IF(H43="Investment",1,0)</f>
        <v>0</v>
      </c>
      <c r="Y43" s="13" t="n">
        <f aca="false">IF(K43="Website",1,0)</f>
        <v>0</v>
      </c>
      <c r="Z43" s="13" t="n">
        <f aca="false">IF(K43="Agency",1,0)</f>
        <v>1</v>
      </c>
      <c r="AA43" s="13" t="n">
        <f aca="false">IF(K43="Client",1,0)</f>
        <v>0</v>
      </c>
      <c r="AB43" s="13" t="n">
        <f aca="false">(D43-AVERAGE(D$2:D$2001))/STDEV(D$2:D$2001)</f>
        <v>0.568724798479635</v>
      </c>
      <c r="AC43" s="13" t="n">
        <f aca="false">(I43-AVERAGE(I$2:I$2001))/STDEV(I$2:I$2001)</f>
        <v>-0.727948160798201</v>
      </c>
      <c r="AD43" s="13" t="n">
        <f aca="false">(L43-AVERAGE(L$2:L$2001))/STDEV(L$2:L$2001)</f>
        <v>0.413838214490712</v>
      </c>
      <c r="AE43" s="13" t="n">
        <f aca="false">(M43-AVERAGE(M$2:M$2001))/STDEV(M$2:M$2001)</f>
        <v>-0.0342679689437747</v>
      </c>
      <c r="AF43" s="13" t="n">
        <f aca="false">(N43-AVERAGE(N$2:N$2001))/STDEV(N$2:N$2001)</f>
        <v>-0.50164994917147</v>
      </c>
      <c r="AG43" s="13" t="n">
        <f aca="false">(O43-AVERAGE(O$2:O$2001))/STDEV(O$2:O$2001)</f>
        <v>-0.702143286548455</v>
      </c>
      <c r="AH43" s="0" t="str">
        <f aca="false">IF(B43="Company","C3 - Corporate Buyers",IF(AND(H43="Investment",M43&gt;'Segmentation Summary'!$C$1),"C1 - Global Investors",IF(AND(I43&gt;=4,M43&gt;'Segmentation Summary'!$C$1),"C4 - Luxury Investors",IF(AND(D43&lt;'Segmentation Summary'!$C$2,J43=1),"C2 - First-Time Buyers","C5 - Other Individual Buyers"))))</f>
        <v>C3 - Corporate Buyers</v>
      </c>
    </row>
    <row r="44" customFormat="false" ht="15" hidden="false" customHeight="true" outlineLevel="0" collapsed="false">
      <c r="A44" s="13" t="s">
        <v>184</v>
      </c>
      <c r="B44" s="13" t="s">
        <v>36</v>
      </c>
      <c r="C44" s="13" t="s">
        <v>182</v>
      </c>
      <c r="D44" s="13" t="n">
        <v>59</v>
      </c>
      <c r="E44" s="13" t="s">
        <v>90</v>
      </c>
      <c r="F44" s="13" t="s">
        <v>35</v>
      </c>
      <c r="G44" s="13" t="s">
        <v>185</v>
      </c>
      <c r="H44" s="13" t="s">
        <v>41</v>
      </c>
      <c r="I44" s="13" t="n">
        <v>2</v>
      </c>
      <c r="J44" s="13" t="n">
        <v>1</v>
      </c>
      <c r="K44" s="13" t="s">
        <v>85</v>
      </c>
      <c r="L44" s="13" t="n">
        <v>4</v>
      </c>
      <c r="M44" s="13" t="n">
        <v>1097902.26</v>
      </c>
      <c r="N44" s="13" t="n">
        <v>274475.565</v>
      </c>
      <c r="O44" s="13" t="n">
        <v>909.9825</v>
      </c>
      <c r="P44" s="13" t="n">
        <v>1</v>
      </c>
      <c r="Q44" s="13" t="n">
        <v>3</v>
      </c>
      <c r="R44" s="13" t="s">
        <v>98</v>
      </c>
      <c r="S44" s="13" t="s">
        <v>154</v>
      </c>
      <c r="T44" s="13" t="n">
        <v>1</v>
      </c>
      <c r="U44" s="13" t="n">
        <f aca="false">IF(B44="Individual",1,0)</f>
        <v>0</v>
      </c>
      <c r="V44" s="13" t="n">
        <f aca="false">IF(B44="Company",1,0)</f>
        <v>1</v>
      </c>
      <c r="W44" s="13" t="n">
        <f aca="false">IF(H44="Home",1,0)</f>
        <v>1</v>
      </c>
      <c r="X44" s="13" t="n">
        <f aca="false">IF(H44="Investment",1,0)</f>
        <v>0</v>
      </c>
      <c r="Y44" s="13" t="n">
        <f aca="false">IF(K44="Website",1,0)</f>
        <v>1</v>
      </c>
      <c r="Z44" s="13" t="n">
        <f aca="false">IF(K44="Agency",1,0)</f>
        <v>0</v>
      </c>
      <c r="AA44" s="13" t="n">
        <f aca="false">IF(K44="Client",1,0)</f>
        <v>0</v>
      </c>
      <c r="AB44" s="13" t="n">
        <f aca="false">(D44-AVERAGE(D$2:D$2001))/STDEV(D$2:D$2001)</f>
        <v>0.280412521038879</v>
      </c>
      <c r="AC44" s="13" t="n">
        <f aca="false">(I44-AVERAGE(I$2:I$2001))/STDEV(I$2:I$2001)</f>
        <v>-0.727948160798201</v>
      </c>
      <c r="AD44" s="13" t="n">
        <f aca="false">(L44-AVERAGE(L$2:L$2001))/STDEV(L$2:L$2001)</f>
        <v>0.413838214490712</v>
      </c>
      <c r="AE44" s="13" t="n">
        <f aca="false">(M44-AVERAGE(M$2:M$2001))/STDEV(M$2:M$2001)</f>
        <v>-0.467104360969989</v>
      </c>
      <c r="AF44" s="13" t="n">
        <f aca="false">(N44-AVERAGE(N$2:N$2001))/STDEV(N$2:N$2001)</f>
        <v>-1.04148728446681</v>
      </c>
      <c r="AG44" s="13" t="n">
        <f aca="false">(O44-AVERAGE(O$2:O$2001))/STDEV(O$2:O$2001)</f>
        <v>-1.07991257868179</v>
      </c>
      <c r="AH44" s="0" t="str">
        <f aca="false">IF(B44="Company","C3 - Corporate Buyers",IF(AND(H44="Investment",M44&gt;'Segmentation Summary'!$C$1),"C1 - Global Investors",IF(AND(I44&gt;=4,M44&gt;'Segmentation Summary'!$C$1),"C4 - Luxury Investors",IF(AND(D44&lt;'Segmentation Summary'!$C$2,J44=1),"C2 - First-Time Buyers","C5 - Other Individual Buyers"))))</f>
        <v>C3 - Corporate Buyers</v>
      </c>
    </row>
    <row r="45" customFormat="false" ht="15" hidden="false" customHeight="true" outlineLevel="0" collapsed="false">
      <c r="A45" s="13" t="s">
        <v>186</v>
      </c>
      <c r="B45" s="13" t="s">
        <v>36</v>
      </c>
      <c r="C45" s="13" t="s">
        <v>187</v>
      </c>
      <c r="D45" s="13" t="n">
        <v>29</v>
      </c>
      <c r="E45" s="13" t="s">
        <v>83</v>
      </c>
      <c r="F45" s="13" t="s">
        <v>33</v>
      </c>
      <c r="G45" s="13" t="s">
        <v>106</v>
      </c>
      <c r="H45" s="13" t="s">
        <v>41</v>
      </c>
      <c r="I45" s="13" t="n">
        <v>5</v>
      </c>
      <c r="J45" s="13" t="n">
        <v>1</v>
      </c>
      <c r="K45" s="13" t="s">
        <v>85</v>
      </c>
      <c r="L45" s="13" t="n">
        <v>3</v>
      </c>
      <c r="M45" s="13" t="n">
        <v>639815</v>
      </c>
      <c r="N45" s="13" t="n">
        <v>213271.666666667</v>
      </c>
      <c r="O45" s="13" t="n">
        <v>839.143333333333</v>
      </c>
      <c r="P45" s="13" t="n">
        <v>0</v>
      </c>
      <c r="Q45" s="13" t="n">
        <v>3</v>
      </c>
      <c r="R45" s="13" t="s">
        <v>133</v>
      </c>
      <c r="S45" s="13" t="s">
        <v>154</v>
      </c>
      <c r="T45" s="13" t="n">
        <v>1</v>
      </c>
      <c r="U45" s="13" t="n">
        <f aca="false">IF(B45="Individual",1,0)</f>
        <v>0</v>
      </c>
      <c r="V45" s="13" t="n">
        <f aca="false">IF(B45="Company",1,0)</f>
        <v>1</v>
      </c>
      <c r="W45" s="13" t="n">
        <f aca="false">IF(H45="Home",1,0)</f>
        <v>1</v>
      </c>
      <c r="X45" s="13" t="n">
        <f aca="false">IF(H45="Investment",1,0)</f>
        <v>0</v>
      </c>
      <c r="Y45" s="13" t="n">
        <f aca="false">IF(K45="Website",1,0)</f>
        <v>1</v>
      </c>
      <c r="Z45" s="13" t="n">
        <f aca="false">IF(K45="Agency",1,0)</f>
        <v>0</v>
      </c>
      <c r="AA45" s="13" t="n">
        <f aca="false">IF(K45="Client",1,0)</f>
        <v>0</v>
      </c>
      <c r="AB45" s="13" t="n">
        <f aca="false">(D45-AVERAGE(D$2:D$2001))/STDEV(D$2:D$2001)</f>
        <v>-1.44946114360566</v>
      </c>
      <c r="AC45" s="13" t="n">
        <f aca="false">(I45-AVERAGE(I$2:I$2001))/STDEV(I$2:I$2001)</f>
        <v>1.39434968409451</v>
      </c>
      <c r="AD45" s="13" t="n">
        <f aca="false">(L45-AVERAGE(L$2:L$2001))/STDEV(L$2:L$2001)</f>
        <v>-0.777063122173208</v>
      </c>
      <c r="AE45" s="13" t="n">
        <f aca="false">(M45-AVERAGE(M$2:M$2001))/STDEV(M$2:M$2001)</f>
        <v>-1.78408790015054</v>
      </c>
      <c r="AF45" s="13" t="n">
        <f aca="false">(N45-AVERAGE(N$2:N$2001))/STDEV(N$2:N$2001)</f>
        <v>-1.91931716241548</v>
      </c>
      <c r="AG45" s="13" t="n">
        <f aca="false">(O45-AVERAGE(O$2:O$2001))/STDEV(O$2:O$2001)</f>
        <v>-1.40202213389342</v>
      </c>
      <c r="AH45" s="0" t="str">
        <f aca="false">IF(B45="Company","C3 - Corporate Buyers",IF(AND(H45="Investment",M45&gt;'Segmentation Summary'!$C$1),"C1 - Global Investors",IF(AND(I45&gt;=4,M45&gt;'Segmentation Summary'!$C$1),"C4 - Luxury Investors",IF(AND(D45&lt;'Segmentation Summary'!$C$2,J45=1),"C2 - First-Time Buyers","C5 - Other Individual Buyers"))))</f>
        <v>C3 - Corporate Buyers</v>
      </c>
    </row>
    <row r="46" customFormat="false" ht="15" hidden="false" customHeight="true" outlineLevel="0" collapsed="false">
      <c r="A46" s="13" t="s">
        <v>188</v>
      </c>
      <c r="B46" s="13" t="s">
        <v>36</v>
      </c>
      <c r="C46" s="13" t="s">
        <v>187</v>
      </c>
      <c r="D46" s="13" t="n">
        <v>35</v>
      </c>
      <c r="E46" s="13" t="s">
        <v>83</v>
      </c>
      <c r="F46" s="13" t="s">
        <v>33</v>
      </c>
      <c r="G46" s="13" t="s">
        <v>95</v>
      </c>
      <c r="H46" s="13" t="s">
        <v>41</v>
      </c>
      <c r="I46" s="13" t="n">
        <v>4</v>
      </c>
      <c r="J46" s="13" t="n">
        <v>0</v>
      </c>
      <c r="K46" s="13" t="s">
        <v>85</v>
      </c>
      <c r="L46" s="13" t="n">
        <v>4</v>
      </c>
      <c r="M46" s="13" t="n">
        <v>1614522.9</v>
      </c>
      <c r="N46" s="13" t="n">
        <v>403630.725</v>
      </c>
      <c r="O46" s="13" t="n">
        <v>1350.98</v>
      </c>
      <c r="P46" s="13" t="n">
        <v>0</v>
      </c>
      <c r="Q46" s="13" t="n">
        <v>4</v>
      </c>
      <c r="R46" s="13" t="s">
        <v>92</v>
      </c>
      <c r="S46" s="13" t="s">
        <v>125</v>
      </c>
      <c r="T46" s="13" t="n">
        <v>1</v>
      </c>
      <c r="U46" s="13" t="n">
        <f aca="false">IF(B46="Individual",1,0)</f>
        <v>0</v>
      </c>
      <c r="V46" s="13" t="n">
        <f aca="false">IF(B46="Company",1,0)</f>
        <v>1</v>
      </c>
      <c r="W46" s="13" t="n">
        <f aca="false">IF(H46="Home",1,0)</f>
        <v>1</v>
      </c>
      <c r="X46" s="13" t="n">
        <f aca="false">IF(H46="Investment",1,0)</f>
        <v>0</v>
      </c>
      <c r="Y46" s="13" t="n">
        <f aca="false">IF(K46="Website",1,0)</f>
        <v>1</v>
      </c>
      <c r="Z46" s="13" t="n">
        <f aca="false">IF(K46="Agency",1,0)</f>
        <v>0</v>
      </c>
      <c r="AA46" s="13" t="n">
        <f aca="false">IF(K46="Client",1,0)</f>
        <v>0</v>
      </c>
      <c r="AB46" s="13" t="n">
        <f aca="false">(D46-AVERAGE(D$2:D$2001))/STDEV(D$2:D$2001)</f>
        <v>-1.10348641067675</v>
      </c>
      <c r="AC46" s="13" t="n">
        <f aca="false">(I46-AVERAGE(I$2:I$2001))/STDEV(I$2:I$2001)</f>
        <v>0.686917069130275</v>
      </c>
      <c r="AD46" s="13" t="n">
        <f aca="false">(L46-AVERAGE(L$2:L$2001))/STDEV(L$2:L$2001)</f>
        <v>0.413838214490712</v>
      </c>
      <c r="AE46" s="13" t="n">
        <f aca="false">(M46-AVERAGE(M$2:M$2001))/STDEV(M$2:M$2001)</f>
        <v>1.01816043089722</v>
      </c>
      <c r="AF46" s="13" t="n">
        <f aca="false">(N46-AVERAGE(N$2:N$2001))/STDEV(N$2:N$2001)</f>
        <v>0.810947959474086</v>
      </c>
      <c r="AG46" s="13" t="n">
        <f aca="false">(O46-AVERAGE(O$2:O$2001))/STDEV(O$2:O$2001)</f>
        <v>0.925327110865291</v>
      </c>
      <c r="AH46" s="0" t="str">
        <f aca="false">IF(B46="Company","C3 - Corporate Buyers",IF(AND(H46="Investment",M46&gt;'Segmentation Summary'!$C$1),"C1 - Global Investors",IF(AND(I46&gt;=4,M46&gt;'Segmentation Summary'!$C$1),"C4 - Luxury Investors",IF(AND(D46&lt;'Segmentation Summary'!$C$2,J46=1),"C2 - First-Time Buyers","C5 - Other Individual Buyers"))))</f>
        <v>C3 - Corporate Buyers</v>
      </c>
    </row>
    <row r="47" customFormat="false" ht="15" hidden="false" customHeight="true" outlineLevel="0" collapsed="false">
      <c r="A47" s="13" t="s">
        <v>189</v>
      </c>
      <c r="B47" s="13" t="s">
        <v>36</v>
      </c>
      <c r="C47" s="13" t="s">
        <v>187</v>
      </c>
      <c r="D47" s="13" t="n">
        <v>47</v>
      </c>
      <c r="E47" s="13" t="s">
        <v>90</v>
      </c>
      <c r="F47" s="13" t="s">
        <v>33</v>
      </c>
      <c r="G47" s="13" t="s">
        <v>95</v>
      </c>
      <c r="H47" s="13" t="s">
        <v>41</v>
      </c>
      <c r="I47" s="13" t="n">
        <v>3</v>
      </c>
      <c r="J47" s="13" t="n">
        <v>0</v>
      </c>
      <c r="K47" s="13" t="s">
        <v>91</v>
      </c>
      <c r="L47" s="13" t="n">
        <v>4</v>
      </c>
      <c r="M47" s="13" t="n">
        <v>736696.97</v>
      </c>
      <c r="N47" s="13" t="n">
        <v>184174.2425</v>
      </c>
      <c r="O47" s="13" t="n">
        <v>658.8625</v>
      </c>
      <c r="P47" s="13" t="n">
        <v>0</v>
      </c>
      <c r="Q47" s="13" t="n">
        <v>4</v>
      </c>
      <c r="R47" s="13" t="s">
        <v>101</v>
      </c>
      <c r="S47" s="13" t="s">
        <v>125</v>
      </c>
      <c r="T47" s="13" t="n">
        <v>1</v>
      </c>
      <c r="U47" s="13" t="n">
        <f aca="false">IF(B47="Individual",1,0)</f>
        <v>0</v>
      </c>
      <c r="V47" s="13" t="n">
        <f aca="false">IF(B47="Company",1,0)</f>
        <v>1</v>
      </c>
      <c r="W47" s="13" t="n">
        <f aca="false">IF(H47="Home",1,0)</f>
        <v>1</v>
      </c>
      <c r="X47" s="13" t="n">
        <f aca="false">IF(H47="Investment",1,0)</f>
        <v>0</v>
      </c>
      <c r="Y47" s="13" t="n">
        <f aca="false">IF(K47="Website",1,0)</f>
        <v>0</v>
      </c>
      <c r="Z47" s="13" t="n">
        <f aca="false">IF(K47="Agency",1,0)</f>
        <v>1</v>
      </c>
      <c r="AA47" s="13" t="n">
        <f aca="false">IF(K47="Client",1,0)</f>
        <v>0</v>
      </c>
      <c r="AB47" s="13" t="n">
        <f aca="false">(D47-AVERAGE(D$2:D$2001))/STDEV(D$2:D$2001)</f>
        <v>-0.411536944818935</v>
      </c>
      <c r="AC47" s="13" t="n">
        <f aca="false">(I47-AVERAGE(I$2:I$2001))/STDEV(I$2:I$2001)</f>
        <v>-0.0205155458339628</v>
      </c>
      <c r="AD47" s="13" t="n">
        <f aca="false">(L47-AVERAGE(L$2:L$2001))/STDEV(L$2:L$2001)</f>
        <v>0.413838214490712</v>
      </c>
      <c r="AE47" s="13" t="n">
        <f aca="false">(M47-AVERAGE(M$2:M$2001))/STDEV(M$2:M$2001)</f>
        <v>-1.50555590226572</v>
      </c>
      <c r="AF47" s="13" t="n">
        <f aca="false">(N47-AVERAGE(N$2:N$2001))/STDEV(N$2:N$2001)</f>
        <v>-2.3366531328423</v>
      </c>
      <c r="AG47" s="13" t="n">
        <f aca="false">(O47-AVERAGE(O$2:O$2001))/STDEV(O$2:O$2001)</f>
        <v>-2.22176891763851</v>
      </c>
      <c r="AH47" s="0" t="str">
        <f aca="false">IF(B47="Company","C3 - Corporate Buyers",IF(AND(H47="Investment",M47&gt;'Segmentation Summary'!$C$1),"C1 - Global Investors",IF(AND(I47&gt;=4,M47&gt;'Segmentation Summary'!$C$1),"C4 - Luxury Investors",IF(AND(D47&lt;'Segmentation Summary'!$C$2,J47=1),"C2 - First-Time Buyers","C5 - Other Individual Buyers"))))</f>
        <v>C3 - Corporate Buyers</v>
      </c>
    </row>
    <row r="48" customFormat="false" ht="15" hidden="false" customHeight="true" outlineLevel="0" collapsed="false">
      <c r="A48" s="13" t="s">
        <v>190</v>
      </c>
      <c r="B48" s="13" t="s">
        <v>36</v>
      </c>
      <c r="C48" s="13" t="s">
        <v>191</v>
      </c>
      <c r="D48" s="13" t="n">
        <v>31</v>
      </c>
      <c r="E48" s="13" t="s">
        <v>83</v>
      </c>
      <c r="F48" s="13" t="s">
        <v>33</v>
      </c>
      <c r="G48" s="13" t="s">
        <v>106</v>
      </c>
      <c r="H48" s="13" t="s">
        <v>41</v>
      </c>
      <c r="I48" s="13" t="n">
        <v>1</v>
      </c>
      <c r="J48" s="13" t="n">
        <v>0</v>
      </c>
      <c r="K48" s="13" t="s">
        <v>91</v>
      </c>
      <c r="L48" s="13" t="n">
        <v>4</v>
      </c>
      <c r="M48" s="13" t="n">
        <v>1077094.73</v>
      </c>
      <c r="N48" s="13" t="n">
        <v>269273.6825</v>
      </c>
      <c r="O48" s="13" t="n">
        <v>948.7575</v>
      </c>
      <c r="P48" s="13" t="n">
        <v>0</v>
      </c>
      <c r="Q48" s="13" t="n">
        <v>4</v>
      </c>
      <c r="R48" s="13" t="s">
        <v>98</v>
      </c>
      <c r="S48" s="13" t="s">
        <v>114</v>
      </c>
      <c r="T48" s="13" t="n">
        <v>1</v>
      </c>
      <c r="U48" s="13" t="n">
        <f aca="false">IF(B48="Individual",1,0)</f>
        <v>0</v>
      </c>
      <c r="V48" s="13" t="n">
        <f aca="false">IF(B48="Company",1,0)</f>
        <v>1</v>
      </c>
      <c r="W48" s="13" t="n">
        <f aca="false">IF(H48="Home",1,0)</f>
        <v>1</v>
      </c>
      <c r="X48" s="13" t="n">
        <f aca="false">IF(H48="Investment",1,0)</f>
        <v>0</v>
      </c>
      <c r="Y48" s="13" t="n">
        <f aca="false">IF(K48="Website",1,0)</f>
        <v>0</v>
      </c>
      <c r="Z48" s="13" t="n">
        <f aca="false">IF(K48="Agency",1,0)</f>
        <v>1</v>
      </c>
      <c r="AA48" s="13" t="n">
        <f aca="false">IF(K48="Client",1,0)</f>
        <v>0</v>
      </c>
      <c r="AB48" s="13" t="n">
        <f aca="false">(D48-AVERAGE(D$2:D$2001))/STDEV(D$2:D$2001)</f>
        <v>-1.33413623262935</v>
      </c>
      <c r="AC48" s="13" t="n">
        <f aca="false">(I48-AVERAGE(I$2:I$2001))/STDEV(I$2:I$2001)</f>
        <v>-1.43538077576244</v>
      </c>
      <c r="AD48" s="13" t="n">
        <f aca="false">(L48-AVERAGE(L$2:L$2001))/STDEV(L$2:L$2001)</f>
        <v>0.413838214490712</v>
      </c>
      <c r="AE48" s="13" t="n">
        <f aca="false">(M48-AVERAGE(M$2:M$2001))/STDEV(M$2:M$2001)</f>
        <v>-0.526925222394961</v>
      </c>
      <c r="AF48" s="13" t="n">
        <f aca="false">(N48-AVERAGE(N$2:N$2001))/STDEV(N$2:N$2001)</f>
        <v>-1.11609638624671</v>
      </c>
      <c r="AG48" s="13" t="n">
        <f aca="false">(O48-AVERAGE(O$2:O$2001))/STDEV(O$2:O$2001)</f>
        <v>-0.903600538449845</v>
      </c>
      <c r="AH48" s="0" t="str">
        <f aca="false">IF(B48="Company","C3 - Corporate Buyers",IF(AND(H48="Investment",M48&gt;'Segmentation Summary'!$C$1),"C1 - Global Investors",IF(AND(I48&gt;=4,M48&gt;'Segmentation Summary'!$C$1),"C4 - Luxury Investors",IF(AND(D48&lt;'Segmentation Summary'!$C$2,J48=1),"C2 - First-Time Buyers","C5 - Other Individual Buyers"))))</f>
        <v>C3 - Corporate Buyers</v>
      </c>
    </row>
    <row r="49" customFormat="false" ht="15" hidden="false" customHeight="true" outlineLevel="0" collapsed="false">
      <c r="A49" s="13" t="s">
        <v>192</v>
      </c>
      <c r="B49" s="13" t="s">
        <v>36</v>
      </c>
      <c r="C49" s="13" t="s">
        <v>191</v>
      </c>
      <c r="D49" s="13" t="n">
        <v>59</v>
      </c>
      <c r="E49" s="13" t="s">
        <v>90</v>
      </c>
      <c r="F49" s="13" t="s">
        <v>33</v>
      </c>
      <c r="G49" s="13" t="s">
        <v>84</v>
      </c>
      <c r="H49" s="13" t="s">
        <v>41</v>
      </c>
      <c r="I49" s="13" t="n">
        <v>4</v>
      </c>
      <c r="J49" s="13" t="n">
        <v>1</v>
      </c>
      <c r="K49" s="13" t="s">
        <v>91</v>
      </c>
      <c r="L49" s="13" t="n">
        <v>3</v>
      </c>
      <c r="M49" s="13" t="n">
        <v>962374.65</v>
      </c>
      <c r="N49" s="13" t="n">
        <v>320791.55</v>
      </c>
      <c r="O49" s="13" t="n">
        <v>1205.96333333333</v>
      </c>
      <c r="P49" s="13" t="n">
        <v>0</v>
      </c>
      <c r="Q49" s="13" t="n">
        <v>3</v>
      </c>
      <c r="R49" s="13" t="s">
        <v>93</v>
      </c>
      <c r="S49" s="13" t="s">
        <v>133</v>
      </c>
      <c r="T49" s="13" t="n">
        <v>1</v>
      </c>
      <c r="U49" s="13" t="n">
        <f aca="false">IF(B49="Individual",1,0)</f>
        <v>0</v>
      </c>
      <c r="V49" s="13" t="n">
        <f aca="false">IF(B49="Company",1,0)</f>
        <v>1</v>
      </c>
      <c r="W49" s="13" t="n">
        <f aca="false">IF(H49="Home",1,0)</f>
        <v>1</v>
      </c>
      <c r="X49" s="13" t="n">
        <f aca="false">IF(H49="Investment",1,0)</f>
        <v>0</v>
      </c>
      <c r="Y49" s="13" t="n">
        <f aca="false">IF(K49="Website",1,0)</f>
        <v>0</v>
      </c>
      <c r="Z49" s="13" t="n">
        <f aca="false">IF(K49="Agency",1,0)</f>
        <v>1</v>
      </c>
      <c r="AA49" s="13" t="n">
        <f aca="false">IF(K49="Client",1,0)</f>
        <v>0</v>
      </c>
      <c r="AB49" s="13" t="n">
        <f aca="false">(D49-AVERAGE(D$2:D$2001))/STDEV(D$2:D$2001)</f>
        <v>0.280412521038879</v>
      </c>
      <c r="AC49" s="13" t="n">
        <f aca="false">(I49-AVERAGE(I$2:I$2001))/STDEV(I$2:I$2001)</f>
        <v>0.686917069130275</v>
      </c>
      <c r="AD49" s="13" t="n">
        <f aca="false">(L49-AVERAGE(L$2:L$2001))/STDEV(L$2:L$2001)</f>
        <v>-0.777063122173208</v>
      </c>
      <c r="AE49" s="13" t="n">
        <f aca="false">(M49-AVERAGE(M$2:M$2001))/STDEV(M$2:M$2001)</f>
        <v>-0.856741111563055</v>
      </c>
      <c r="AF49" s="13" t="n">
        <f aca="false">(N49-AVERAGE(N$2:N$2001))/STDEV(N$2:N$2001)</f>
        <v>-0.377190457519763</v>
      </c>
      <c r="AG49" s="13" t="n">
        <f aca="false">(O49-AVERAGE(O$2:O$2001))/STDEV(O$2:O$2001)</f>
        <v>0.265928416664471</v>
      </c>
      <c r="AH49" s="0" t="str">
        <f aca="false">IF(B49="Company","C3 - Corporate Buyers",IF(AND(H49="Investment",M49&gt;'Segmentation Summary'!$C$1),"C1 - Global Investors",IF(AND(I49&gt;=4,M49&gt;'Segmentation Summary'!$C$1),"C4 - Luxury Investors",IF(AND(D49&lt;'Segmentation Summary'!$C$2,J49=1),"C2 - First-Time Buyers","C5 - Other Individual Buyers"))))</f>
        <v>C3 - Corporate Buyers</v>
      </c>
    </row>
    <row r="50" customFormat="false" ht="15" hidden="false" customHeight="true" outlineLevel="0" collapsed="false">
      <c r="A50" s="13" t="s">
        <v>193</v>
      </c>
      <c r="B50" s="13" t="s">
        <v>36</v>
      </c>
      <c r="C50" s="13" t="s">
        <v>191</v>
      </c>
      <c r="D50" s="13" t="n">
        <v>55</v>
      </c>
      <c r="E50" s="13" t="s">
        <v>83</v>
      </c>
      <c r="F50" s="13" t="s">
        <v>33</v>
      </c>
      <c r="G50" s="13" t="s">
        <v>162</v>
      </c>
      <c r="H50" s="13" t="s">
        <v>41</v>
      </c>
      <c r="I50" s="13" t="n">
        <v>1</v>
      </c>
      <c r="J50" s="13" t="n">
        <v>0</v>
      </c>
      <c r="K50" s="13" t="s">
        <v>91</v>
      </c>
      <c r="L50" s="13" t="n">
        <v>4</v>
      </c>
      <c r="M50" s="13" t="n">
        <v>1310963.25</v>
      </c>
      <c r="N50" s="13" t="n">
        <v>327740.8125</v>
      </c>
      <c r="O50" s="13" t="n">
        <v>1140.38</v>
      </c>
      <c r="P50" s="13" t="n">
        <v>0</v>
      </c>
      <c r="Q50" s="13" t="n">
        <v>4</v>
      </c>
      <c r="R50" s="13" t="s">
        <v>101</v>
      </c>
      <c r="S50" s="13" t="s">
        <v>135</v>
      </c>
      <c r="T50" s="13" t="n">
        <v>1</v>
      </c>
      <c r="U50" s="13" t="n">
        <f aca="false">IF(B50="Individual",1,0)</f>
        <v>0</v>
      </c>
      <c r="V50" s="13" t="n">
        <f aca="false">IF(B50="Company",1,0)</f>
        <v>1</v>
      </c>
      <c r="W50" s="13" t="n">
        <f aca="false">IF(H50="Home",1,0)</f>
        <v>1</v>
      </c>
      <c r="X50" s="13" t="n">
        <f aca="false">IF(H50="Investment",1,0)</f>
        <v>0</v>
      </c>
      <c r="Y50" s="13" t="n">
        <f aca="false">IF(K50="Website",1,0)</f>
        <v>0</v>
      </c>
      <c r="Z50" s="13" t="n">
        <f aca="false">IF(K50="Agency",1,0)</f>
        <v>1</v>
      </c>
      <c r="AA50" s="13" t="n">
        <f aca="false">IF(K50="Client",1,0)</f>
        <v>0</v>
      </c>
      <c r="AB50" s="13" t="n">
        <f aca="false">(D50-AVERAGE(D$2:D$2001))/STDEV(D$2:D$2001)</f>
        <v>0.0497626990862745</v>
      </c>
      <c r="AC50" s="13" t="n">
        <f aca="false">(I50-AVERAGE(I$2:I$2001))/STDEV(I$2:I$2001)</f>
        <v>-1.43538077576244</v>
      </c>
      <c r="AD50" s="13" t="n">
        <f aca="false">(L50-AVERAGE(L$2:L$2001))/STDEV(L$2:L$2001)</f>
        <v>0.413838214490712</v>
      </c>
      <c r="AE50" s="13" t="n">
        <f aca="false">(M50-AVERAGE(M$2:M$2001))/STDEV(M$2:M$2001)</f>
        <v>0.145437923378874</v>
      </c>
      <c r="AF50" s="13" t="n">
        <f aca="false">(N50-AVERAGE(N$2:N$2001))/STDEV(N$2:N$2001)</f>
        <v>-0.277519187905782</v>
      </c>
      <c r="AG50" s="13" t="n">
        <f aca="false">(O50-AVERAGE(O$2:O$2001))/STDEV(O$2:O$2001)</f>
        <v>-0.0322825776672191</v>
      </c>
      <c r="AH50" s="0" t="str">
        <f aca="false">IF(B50="Company","C3 - Corporate Buyers",IF(AND(H50="Investment",M50&gt;'Segmentation Summary'!$C$1),"C1 - Global Investors",IF(AND(I50&gt;=4,M50&gt;'Segmentation Summary'!$C$1),"C4 - Luxury Investors",IF(AND(D50&lt;'Segmentation Summary'!$C$2,J50=1),"C2 - First-Time Buyers","C5 - Other Individual Buyers"))))</f>
        <v>C3 - Corporate Buyers</v>
      </c>
    </row>
    <row r="51" customFormat="false" ht="15" hidden="false" customHeight="true" outlineLevel="0" collapsed="false">
      <c r="A51" s="13" t="s">
        <v>194</v>
      </c>
      <c r="B51" s="13" t="s">
        <v>36</v>
      </c>
      <c r="C51" s="13" t="s">
        <v>191</v>
      </c>
      <c r="D51" s="13" t="n">
        <v>34</v>
      </c>
      <c r="E51" s="13" t="s">
        <v>83</v>
      </c>
      <c r="F51" s="13" t="s">
        <v>33</v>
      </c>
      <c r="G51" s="13" t="s">
        <v>110</v>
      </c>
      <c r="H51" s="13" t="s">
        <v>41</v>
      </c>
      <c r="I51" s="13" t="n">
        <v>4</v>
      </c>
      <c r="J51" s="13" t="n">
        <v>0</v>
      </c>
      <c r="K51" s="13" t="s">
        <v>91</v>
      </c>
      <c r="L51" s="13" t="n">
        <v>3</v>
      </c>
      <c r="M51" s="13" t="n">
        <v>979536.36</v>
      </c>
      <c r="N51" s="13" t="n">
        <v>326512.12</v>
      </c>
      <c r="O51" s="13" t="n">
        <v>1038.71666666667</v>
      </c>
      <c r="P51" s="13" t="n">
        <v>0</v>
      </c>
      <c r="Q51" s="13" t="n">
        <v>3</v>
      </c>
      <c r="R51" s="13" t="s">
        <v>101</v>
      </c>
      <c r="S51" s="13" t="s">
        <v>133</v>
      </c>
      <c r="T51" s="13" t="n">
        <v>1</v>
      </c>
      <c r="U51" s="13" t="n">
        <f aca="false">IF(B51="Individual",1,0)</f>
        <v>0</v>
      </c>
      <c r="V51" s="13" t="n">
        <f aca="false">IF(B51="Company",1,0)</f>
        <v>1</v>
      </c>
      <c r="W51" s="13" t="n">
        <f aca="false">IF(H51="Home",1,0)</f>
        <v>1</v>
      </c>
      <c r="X51" s="13" t="n">
        <f aca="false">IF(H51="Investment",1,0)</f>
        <v>0</v>
      </c>
      <c r="Y51" s="13" t="n">
        <f aca="false">IF(K51="Website",1,0)</f>
        <v>0</v>
      </c>
      <c r="Z51" s="13" t="n">
        <f aca="false">IF(K51="Agency",1,0)</f>
        <v>1</v>
      </c>
      <c r="AA51" s="13" t="n">
        <f aca="false">IF(K51="Client",1,0)</f>
        <v>0</v>
      </c>
      <c r="AB51" s="13" t="n">
        <f aca="false">(D51-AVERAGE(D$2:D$2001))/STDEV(D$2:D$2001)</f>
        <v>-1.1611488661649</v>
      </c>
      <c r="AC51" s="13" t="n">
        <f aca="false">(I51-AVERAGE(I$2:I$2001))/STDEV(I$2:I$2001)</f>
        <v>0.686917069130275</v>
      </c>
      <c r="AD51" s="13" t="n">
        <f aca="false">(L51-AVERAGE(L$2:L$2001))/STDEV(L$2:L$2001)</f>
        <v>-0.777063122173208</v>
      </c>
      <c r="AE51" s="13" t="n">
        <f aca="false">(M51-AVERAGE(M$2:M$2001))/STDEV(M$2:M$2001)</f>
        <v>-0.807401844685844</v>
      </c>
      <c r="AF51" s="13" t="n">
        <f aca="false">(N51-AVERAGE(N$2:N$2001))/STDEV(N$2:N$2001)</f>
        <v>-0.295141970386682</v>
      </c>
      <c r="AG51" s="13" t="n">
        <f aca="false">(O51-AVERAGE(O$2:O$2001))/STDEV(O$2:O$2001)</f>
        <v>-0.494551300214736</v>
      </c>
      <c r="AH51" s="0" t="str">
        <f aca="false">IF(B51="Company","C3 - Corporate Buyers",IF(AND(H51="Investment",M51&gt;'Segmentation Summary'!$C$1),"C1 - Global Investors",IF(AND(I51&gt;=4,M51&gt;'Segmentation Summary'!$C$1),"C4 - Luxury Investors",IF(AND(D51&lt;'Segmentation Summary'!$C$2,J51=1),"C2 - First-Time Buyers","C5 - Other Individual Buyers"))))</f>
        <v>C3 - Corporate Buyers</v>
      </c>
    </row>
    <row r="52" customFormat="false" ht="15" hidden="false" customHeight="true" outlineLevel="0" collapsed="false">
      <c r="A52" s="13" t="s">
        <v>195</v>
      </c>
      <c r="B52" s="13" t="s">
        <v>36</v>
      </c>
      <c r="C52" s="13" t="s">
        <v>191</v>
      </c>
      <c r="D52" s="13" t="n">
        <v>43</v>
      </c>
      <c r="E52" s="13" t="s">
        <v>83</v>
      </c>
      <c r="F52" s="13" t="s">
        <v>45</v>
      </c>
      <c r="G52" s="13" t="s">
        <v>196</v>
      </c>
      <c r="H52" s="13" t="s">
        <v>43</v>
      </c>
      <c r="I52" s="13" t="n">
        <v>3</v>
      </c>
      <c r="J52" s="13" t="n">
        <v>0</v>
      </c>
      <c r="K52" s="13" t="s">
        <v>85</v>
      </c>
      <c r="L52" s="13" t="n">
        <v>4</v>
      </c>
      <c r="M52" s="13" t="n">
        <v>1652083.92</v>
      </c>
      <c r="N52" s="13" t="n">
        <v>413020.98</v>
      </c>
      <c r="O52" s="13" t="n">
        <v>1334.8775</v>
      </c>
      <c r="P52" s="13" t="n">
        <v>0</v>
      </c>
      <c r="Q52" s="13" t="n">
        <v>4</v>
      </c>
      <c r="R52" s="13" t="s">
        <v>135</v>
      </c>
      <c r="S52" s="13" t="s">
        <v>87</v>
      </c>
      <c r="T52" s="13" t="n">
        <v>1</v>
      </c>
      <c r="U52" s="13" t="n">
        <f aca="false">IF(B52="Individual",1,0)</f>
        <v>0</v>
      </c>
      <c r="V52" s="13" t="n">
        <f aca="false">IF(B52="Company",1,0)</f>
        <v>1</v>
      </c>
      <c r="W52" s="13" t="n">
        <f aca="false">IF(H52="Home",1,0)</f>
        <v>0</v>
      </c>
      <c r="X52" s="13" t="n">
        <f aca="false">IF(H52="Investment",1,0)</f>
        <v>1</v>
      </c>
      <c r="Y52" s="13" t="n">
        <f aca="false">IF(K52="Website",1,0)</f>
        <v>1</v>
      </c>
      <c r="Z52" s="13" t="n">
        <f aca="false">IF(K52="Agency",1,0)</f>
        <v>0</v>
      </c>
      <c r="AA52" s="13" t="n">
        <f aca="false">IF(K52="Client",1,0)</f>
        <v>0</v>
      </c>
      <c r="AB52" s="13" t="n">
        <f aca="false">(D52-AVERAGE(D$2:D$2001))/STDEV(D$2:D$2001)</f>
        <v>-0.64218676677154</v>
      </c>
      <c r="AC52" s="13" t="n">
        <f aca="false">(I52-AVERAGE(I$2:I$2001))/STDEV(I$2:I$2001)</f>
        <v>-0.0205155458339628</v>
      </c>
      <c r="AD52" s="13" t="n">
        <f aca="false">(L52-AVERAGE(L$2:L$2001))/STDEV(L$2:L$2001)</f>
        <v>0.413838214490712</v>
      </c>
      <c r="AE52" s="13" t="n">
        <f aca="false">(M52-AVERAGE(M$2:M$2001))/STDEV(M$2:M$2001)</f>
        <v>1.12614694214582</v>
      </c>
      <c r="AF52" s="13" t="n">
        <f aca="false">(N52-AVERAGE(N$2:N$2001))/STDEV(N$2:N$2001)</f>
        <v>0.94562968114585</v>
      </c>
      <c r="AG52" s="13" t="n">
        <f aca="false">(O52-AVERAGE(O$2:O$2001))/STDEV(O$2:O$2001)</f>
        <v>0.852108164950787</v>
      </c>
      <c r="AH52" s="0" t="str">
        <f aca="false">IF(B52="Company","C3 - Corporate Buyers",IF(AND(H52="Investment",M52&gt;'Segmentation Summary'!$C$1),"C1 - Global Investors",IF(AND(I52&gt;=4,M52&gt;'Segmentation Summary'!$C$1),"C4 - Luxury Investors",IF(AND(D52&lt;'Segmentation Summary'!$C$2,J52=1),"C2 - First-Time Buyers","C5 - Other Individual Buyers"))))</f>
        <v>C3 - Corporate Buyers</v>
      </c>
    </row>
    <row r="53" customFormat="false" ht="15" hidden="false" customHeight="true" outlineLevel="0" collapsed="false">
      <c r="A53" s="13" t="s">
        <v>197</v>
      </c>
      <c r="B53" s="13" t="s">
        <v>36</v>
      </c>
      <c r="C53" s="13" t="s">
        <v>198</v>
      </c>
      <c r="D53" s="13" t="n">
        <v>49</v>
      </c>
      <c r="E53" s="13" t="s">
        <v>83</v>
      </c>
      <c r="F53" s="13" t="s">
        <v>33</v>
      </c>
      <c r="G53" s="13" t="s">
        <v>95</v>
      </c>
      <c r="H53" s="13" t="s">
        <v>43</v>
      </c>
      <c r="I53" s="13" t="n">
        <v>5</v>
      </c>
      <c r="J53" s="13" t="n">
        <v>0</v>
      </c>
      <c r="K53" s="13" t="s">
        <v>91</v>
      </c>
      <c r="L53" s="13" t="n">
        <v>5</v>
      </c>
      <c r="M53" s="13" t="n">
        <v>1622885.53</v>
      </c>
      <c r="N53" s="13" t="n">
        <v>324577.106</v>
      </c>
      <c r="O53" s="13" t="n">
        <v>1097.394</v>
      </c>
      <c r="P53" s="13" t="n">
        <v>1</v>
      </c>
      <c r="Q53" s="13" t="n">
        <v>4</v>
      </c>
      <c r="R53" s="13" t="s">
        <v>101</v>
      </c>
      <c r="S53" s="13" t="s">
        <v>135</v>
      </c>
      <c r="T53" s="13" t="n">
        <v>1</v>
      </c>
      <c r="U53" s="13" t="n">
        <f aca="false">IF(B53="Individual",1,0)</f>
        <v>0</v>
      </c>
      <c r="V53" s="13" t="n">
        <f aca="false">IF(B53="Company",1,0)</f>
        <v>1</v>
      </c>
      <c r="W53" s="13" t="n">
        <f aca="false">IF(H53="Home",1,0)</f>
        <v>0</v>
      </c>
      <c r="X53" s="13" t="n">
        <f aca="false">IF(H53="Investment",1,0)</f>
        <v>1</v>
      </c>
      <c r="Y53" s="13" t="n">
        <f aca="false">IF(K53="Website",1,0)</f>
        <v>0</v>
      </c>
      <c r="Z53" s="13" t="n">
        <f aca="false">IF(K53="Agency",1,0)</f>
        <v>1</v>
      </c>
      <c r="AA53" s="13" t="n">
        <f aca="false">IF(K53="Client",1,0)</f>
        <v>0</v>
      </c>
      <c r="AB53" s="13" t="n">
        <f aca="false">(D53-AVERAGE(D$2:D$2001))/STDEV(D$2:D$2001)</f>
        <v>-0.296212033842633</v>
      </c>
      <c r="AC53" s="13" t="n">
        <f aca="false">(I53-AVERAGE(I$2:I$2001))/STDEV(I$2:I$2001)</f>
        <v>1.39434968409451</v>
      </c>
      <c r="AD53" s="13" t="n">
        <f aca="false">(L53-AVERAGE(L$2:L$2001))/STDEV(L$2:L$2001)</f>
        <v>1.60473955115463</v>
      </c>
      <c r="AE53" s="13" t="n">
        <f aca="false">(M53-AVERAGE(M$2:M$2001))/STDEV(M$2:M$2001)</f>
        <v>1.04220267571812</v>
      </c>
      <c r="AF53" s="13" t="n">
        <f aca="false">(N53-AVERAGE(N$2:N$2001))/STDEV(N$2:N$2001)</f>
        <v>-0.322895318616199</v>
      </c>
      <c r="AG53" s="13" t="n">
        <f aca="false">(O53-AVERAGE(O$2:O$2001))/STDEV(O$2:O$2001)</f>
        <v>-0.227742264615266</v>
      </c>
      <c r="AH53" s="0" t="str">
        <f aca="false">IF(B53="Company","C3 - Corporate Buyers",IF(AND(H53="Investment",M53&gt;'Segmentation Summary'!$C$1),"C1 - Global Investors",IF(AND(I53&gt;=4,M53&gt;'Segmentation Summary'!$C$1),"C4 - Luxury Investors",IF(AND(D53&lt;'Segmentation Summary'!$C$2,J53=1),"C2 - First-Time Buyers","C5 - Other Individual Buyers"))))</f>
        <v>C3 - Corporate Buyers</v>
      </c>
    </row>
    <row r="54" customFormat="false" ht="15" hidden="false" customHeight="true" outlineLevel="0" collapsed="false">
      <c r="A54" s="13" t="s">
        <v>199</v>
      </c>
      <c r="B54" s="13" t="s">
        <v>36</v>
      </c>
      <c r="C54" s="13" t="s">
        <v>200</v>
      </c>
      <c r="D54" s="13" t="n">
        <v>55</v>
      </c>
      <c r="E54" s="13" t="s">
        <v>90</v>
      </c>
      <c r="F54" s="13" t="s">
        <v>33</v>
      </c>
      <c r="G54" s="13" t="s">
        <v>95</v>
      </c>
      <c r="H54" s="13" t="s">
        <v>43</v>
      </c>
      <c r="I54" s="13" t="n">
        <v>1</v>
      </c>
      <c r="J54" s="13" t="n">
        <v>1</v>
      </c>
      <c r="K54" s="13" t="s">
        <v>85</v>
      </c>
      <c r="L54" s="13" t="n">
        <v>5</v>
      </c>
      <c r="M54" s="13" t="n">
        <v>1441406.17</v>
      </c>
      <c r="N54" s="13" t="n">
        <v>288281.234</v>
      </c>
      <c r="O54" s="13" t="n">
        <v>919.84</v>
      </c>
      <c r="P54" s="13" t="n">
        <v>2</v>
      </c>
      <c r="Q54" s="13" t="n">
        <v>3</v>
      </c>
      <c r="R54" s="13" t="s">
        <v>111</v>
      </c>
      <c r="S54" s="13" t="s">
        <v>87</v>
      </c>
      <c r="T54" s="13" t="n">
        <v>1</v>
      </c>
      <c r="U54" s="13" t="n">
        <f aca="false">IF(B54="Individual",1,0)</f>
        <v>0</v>
      </c>
      <c r="V54" s="13" t="n">
        <f aca="false">IF(B54="Company",1,0)</f>
        <v>1</v>
      </c>
      <c r="W54" s="13" t="n">
        <f aca="false">IF(H54="Home",1,0)</f>
        <v>0</v>
      </c>
      <c r="X54" s="13" t="n">
        <f aca="false">IF(H54="Investment",1,0)</f>
        <v>1</v>
      </c>
      <c r="Y54" s="13" t="n">
        <f aca="false">IF(K54="Website",1,0)</f>
        <v>1</v>
      </c>
      <c r="Z54" s="13" t="n">
        <f aca="false">IF(K54="Agency",1,0)</f>
        <v>0</v>
      </c>
      <c r="AA54" s="13" t="n">
        <f aca="false">IF(K54="Client",1,0)</f>
        <v>0</v>
      </c>
      <c r="AB54" s="13" t="n">
        <f aca="false">(D54-AVERAGE(D$2:D$2001))/STDEV(D$2:D$2001)</f>
        <v>0.0497626990862745</v>
      </c>
      <c r="AC54" s="13" t="n">
        <f aca="false">(I54-AVERAGE(I$2:I$2001))/STDEV(I$2:I$2001)</f>
        <v>-1.43538077576244</v>
      </c>
      <c r="AD54" s="13" t="n">
        <f aca="false">(L54-AVERAGE(L$2:L$2001))/STDEV(L$2:L$2001)</f>
        <v>1.60473955115463</v>
      </c>
      <c r="AE54" s="13" t="n">
        <f aca="false">(M54-AVERAGE(M$2:M$2001))/STDEV(M$2:M$2001)</f>
        <v>0.520456382618812</v>
      </c>
      <c r="AF54" s="13" t="n">
        <f aca="false">(N54-AVERAGE(N$2:N$2001))/STDEV(N$2:N$2001)</f>
        <v>-0.843476552090476</v>
      </c>
      <c r="AG54" s="13" t="n">
        <f aca="false">(O54-AVERAGE(O$2:O$2001))/STDEV(O$2:O$2001)</f>
        <v>-1.03508998844101</v>
      </c>
      <c r="AH54" s="0" t="str">
        <f aca="false">IF(B54="Company","C3 - Corporate Buyers",IF(AND(H54="Investment",M54&gt;'Segmentation Summary'!$C$1),"C1 - Global Investors",IF(AND(I54&gt;=4,M54&gt;'Segmentation Summary'!$C$1),"C4 - Luxury Investors",IF(AND(D54&lt;'Segmentation Summary'!$C$2,J54=1),"C2 - First-Time Buyers","C5 - Other Individual Buyers"))))</f>
        <v>C3 - Corporate Buyers</v>
      </c>
    </row>
    <row r="55" customFormat="false" ht="15" hidden="false" customHeight="true" outlineLevel="0" collapsed="false">
      <c r="A55" s="13" t="s">
        <v>201</v>
      </c>
      <c r="B55" s="13" t="s">
        <v>36</v>
      </c>
      <c r="C55" s="13" t="s">
        <v>202</v>
      </c>
      <c r="D55" s="13" t="n">
        <v>49</v>
      </c>
      <c r="E55" s="13" t="s">
        <v>83</v>
      </c>
      <c r="F55" s="13" t="s">
        <v>33</v>
      </c>
      <c r="G55" s="13" t="s">
        <v>95</v>
      </c>
      <c r="H55" s="13" t="s">
        <v>43</v>
      </c>
      <c r="I55" s="13" t="n">
        <v>5</v>
      </c>
      <c r="J55" s="13" t="n">
        <v>0</v>
      </c>
      <c r="K55" s="13" t="s">
        <v>85</v>
      </c>
      <c r="L55" s="13" t="n">
        <v>4</v>
      </c>
      <c r="M55" s="13" t="n">
        <v>1599526.4</v>
      </c>
      <c r="N55" s="13" t="n">
        <v>399881.6</v>
      </c>
      <c r="O55" s="13" t="n">
        <v>1317.445</v>
      </c>
      <c r="P55" s="13" t="n">
        <v>0</v>
      </c>
      <c r="Q55" s="13" t="n">
        <v>4</v>
      </c>
      <c r="R55" s="13" t="s">
        <v>150</v>
      </c>
      <c r="S55" s="13" t="s">
        <v>112</v>
      </c>
      <c r="T55" s="13" t="n">
        <v>1</v>
      </c>
      <c r="U55" s="13" t="n">
        <f aca="false">IF(B55="Individual",1,0)</f>
        <v>0</v>
      </c>
      <c r="V55" s="13" t="n">
        <f aca="false">IF(B55="Company",1,0)</f>
        <v>1</v>
      </c>
      <c r="W55" s="13" t="n">
        <f aca="false">IF(H55="Home",1,0)</f>
        <v>0</v>
      </c>
      <c r="X55" s="13" t="n">
        <f aca="false">IF(H55="Investment",1,0)</f>
        <v>1</v>
      </c>
      <c r="Y55" s="13" t="n">
        <f aca="false">IF(K55="Website",1,0)</f>
        <v>1</v>
      </c>
      <c r="Z55" s="13" t="n">
        <f aca="false">IF(K55="Agency",1,0)</f>
        <v>0</v>
      </c>
      <c r="AA55" s="13" t="n">
        <f aca="false">IF(K55="Client",1,0)</f>
        <v>0</v>
      </c>
      <c r="AB55" s="13" t="n">
        <f aca="false">(D55-AVERAGE(D$2:D$2001))/STDEV(D$2:D$2001)</f>
        <v>-0.296212033842633</v>
      </c>
      <c r="AC55" s="13" t="n">
        <f aca="false">(I55-AVERAGE(I$2:I$2001))/STDEV(I$2:I$2001)</f>
        <v>1.39434968409451</v>
      </c>
      <c r="AD55" s="13" t="n">
        <f aca="false">(L55-AVERAGE(L$2:L$2001))/STDEV(L$2:L$2001)</f>
        <v>0.413838214490712</v>
      </c>
      <c r="AE55" s="13" t="n">
        <f aca="false">(M55-AVERAGE(M$2:M$2001))/STDEV(M$2:M$2001)</f>
        <v>0.975046060841783</v>
      </c>
      <c r="AF55" s="13" t="n">
        <f aca="false">(N55-AVERAGE(N$2:N$2001))/STDEV(N$2:N$2001)</f>
        <v>0.757175339905964</v>
      </c>
      <c r="AG55" s="13" t="n">
        <f aca="false">(O55-AVERAGE(O$2:O$2001))/STDEV(O$2:O$2001)</f>
        <v>0.77284163648287</v>
      </c>
      <c r="AH55" s="0" t="str">
        <f aca="false">IF(B55="Company","C3 - Corporate Buyers",IF(AND(H55="Investment",M55&gt;'Segmentation Summary'!$C$1),"C1 - Global Investors",IF(AND(I55&gt;=4,M55&gt;'Segmentation Summary'!$C$1),"C4 - Luxury Investors",IF(AND(D55&lt;'Segmentation Summary'!$C$2,J55=1),"C2 - First-Time Buyers","C5 - Other Individual Buyers"))))</f>
        <v>C3 - Corporate Buyers</v>
      </c>
    </row>
    <row r="56" customFormat="false" ht="15" hidden="false" customHeight="true" outlineLevel="0" collapsed="false">
      <c r="A56" s="13" t="s">
        <v>203</v>
      </c>
      <c r="B56" s="13" t="s">
        <v>36</v>
      </c>
      <c r="C56" s="13" t="s">
        <v>204</v>
      </c>
      <c r="D56" s="13" t="n">
        <v>31</v>
      </c>
      <c r="E56" s="13" t="s">
        <v>90</v>
      </c>
      <c r="F56" s="13" t="s">
        <v>40</v>
      </c>
      <c r="G56" s="13" t="s">
        <v>205</v>
      </c>
      <c r="H56" s="13" t="s">
        <v>41</v>
      </c>
      <c r="I56" s="13" t="n">
        <v>4</v>
      </c>
      <c r="J56" s="13" t="n">
        <v>1</v>
      </c>
      <c r="K56" s="13" t="s">
        <v>85</v>
      </c>
      <c r="L56" s="13" t="n">
        <v>3</v>
      </c>
      <c r="M56" s="13" t="n">
        <v>800299.08</v>
      </c>
      <c r="N56" s="13" t="n">
        <v>266766.36</v>
      </c>
      <c r="O56" s="13" t="n">
        <v>842.73</v>
      </c>
      <c r="P56" s="13" t="n">
        <v>1</v>
      </c>
      <c r="Q56" s="13" t="n">
        <v>2</v>
      </c>
      <c r="R56" s="13" t="s">
        <v>117</v>
      </c>
      <c r="S56" s="13" t="s">
        <v>141</v>
      </c>
      <c r="T56" s="13" t="n">
        <v>1</v>
      </c>
      <c r="U56" s="13" t="n">
        <f aca="false">IF(B56="Individual",1,0)</f>
        <v>0</v>
      </c>
      <c r="V56" s="13" t="n">
        <f aca="false">IF(B56="Company",1,0)</f>
        <v>1</v>
      </c>
      <c r="W56" s="13" t="n">
        <f aca="false">IF(H56="Home",1,0)</f>
        <v>1</v>
      </c>
      <c r="X56" s="13" t="n">
        <f aca="false">IF(H56="Investment",1,0)</f>
        <v>0</v>
      </c>
      <c r="Y56" s="13" t="n">
        <f aca="false">IF(K56="Website",1,0)</f>
        <v>1</v>
      </c>
      <c r="Z56" s="13" t="n">
        <f aca="false">IF(K56="Agency",1,0)</f>
        <v>0</v>
      </c>
      <c r="AA56" s="13" t="n">
        <f aca="false">IF(K56="Client",1,0)</f>
        <v>0</v>
      </c>
      <c r="AB56" s="13" t="n">
        <f aca="false">(D56-AVERAGE(D$2:D$2001))/STDEV(D$2:D$2001)</f>
        <v>-1.33413623262935</v>
      </c>
      <c r="AC56" s="13" t="n">
        <f aca="false">(I56-AVERAGE(I$2:I$2001))/STDEV(I$2:I$2001)</f>
        <v>0.686917069130275</v>
      </c>
      <c r="AD56" s="13" t="n">
        <f aca="false">(L56-AVERAGE(L$2:L$2001))/STDEV(L$2:L$2001)</f>
        <v>-0.777063122173208</v>
      </c>
      <c r="AE56" s="13" t="n">
        <f aca="false">(M56-AVERAGE(M$2:M$2001))/STDEV(M$2:M$2001)</f>
        <v>-1.32270224262203</v>
      </c>
      <c r="AF56" s="13" t="n">
        <f aca="false">(N56-AVERAGE(N$2:N$2001))/STDEV(N$2:N$2001)</f>
        <v>-1.15205819038156</v>
      </c>
      <c r="AG56" s="13" t="n">
        <f aca="false">(O56-AVERAGE(O$2:O$2001))/STDEV(O$2:O$2001)</f>
        <v>-1.38571336490227</v>
      </c>
      <c r="AH56" s="0" t="str">
        <f aca="false">IF(B56="Company","C3 - Corporate Buyers",IF(AND(H56="Investment",M56&gt;'Segmentation Summary'!$C$1),"C1 - Global Investors",IF(AND(I56&gt;=4,M56&gt;'Segmentation Summary'!$C$1),"C4 - Luxury Investors",IF(AND(D56&lt;'Segmentation Summary'!$C$2,J56=1),"C2 - First-Time Buyers","C5 - Other Individual Buyers"))))</f>
        <v>C3 - Corporate Buyers</v>
      </c>
    </row>
    <row r="57" customFormat="false" ht="15" hidden="false" customHeight="true" outlineLevel="0" collapsed="false">
      <c r="A57" s="13" t="s">
        <v>206</v>
      </c>
      <c r="B57" s="13" t="s">
        <v>36</v>
      </c>
      <c r="C57" s="13" t="s">
        <v>204</v>
      </c>
      <c r="D57" s="13" t="n">
        <v>62</v>
      </c>
      <c r="E57" s="13" t="s">
        <v>90</v>
      </c>
      <c r="F57" s="13" t="s">
        <v>33</v>
      </c>
      <c r="G57" s="13" t="s">
        <v>207</v>
      </c>
      <c r="H57" s="13" t="s">
        <v>41</v>
      </c>
      <c r="I57" s="13" t="n">
        <v>3</v>
      </c>
      <c r="J57" s="13" t="n">
        <v>0</v>
      </c>
      <c r="K57" s="13" t="s">
        <v>85</v>
      </c>
      <c r="L57" s="13" t="n">
        <v>4</v>
      </c>
      <c r="M57" s="13" t="n">
        <v>1633111.65</v>
      </c>
      <c r="N57" s="13" t="n">
        <v>408277.9125</v>
      </c>
      <c r="O57" s="13" t="n">
        <v>1196.9725</v>
      </c>
      <c r="P57" s="13" t="n">
        <v>0</v>
      </c>
      <c r="Q57" s="13" t="n">
        <v>4</v>
      </c>
      <c r="R57" s="13" t="s">
        <v>124</v>
      </c>
      <c r="S57" s="13" t="s">
        <v>164</v>
      </c>
      <c r="T57" s="13" t="n">
        <v>1</v>
      </c>
      <c r="U57" s="13" t="n">
        <f aca="false">IF(B57="Individual",1,0)</f>
        <v>0</v>
      </c>
      <c r="V57" s="13" t="n">
        <f aca="false">IF(B57="Company",1,0)</f>
        <v>1</v>
      </c>
      <c r="W57" s="13" t="n">
        <f aca="false">IF(H57="Home",1,0)</f>
        <v>1</v>
      </c>
      <c r="X57" s="13" t="n">
        <f aca="false">IF(H57="Investment",1,0)</f>
        <v>0</v>
      </c>
      <c r="Y57" s="13" t="n">
        <f aca="false">IF(K57="Website",1,0)</f>
        <v>1</v>
      </c>
      <c r="Z57" s="13" t="n">
        <f aca="false">IF(K57="Agency",1,0)</f>
        <v>0</v>
      </c>
      <c r="AA57" s="13" t="n">
        <f aca="false">IF(K57="Client",1,0)</f>
        <v>0</v>
      </c>
      <c r="AB57" s="13" t="n">
        <f aca="false">(D57-AVERAGE(D$2:D$2001))/STDEV(D$2:D$2001)</f>
        <v>0.453399887503333</v>
      </c>
      <c r="AC57" s="13" t="n">
        <f aca="false">(I57-AVERAGE(I$2:I$2001))/STDEV(I$2:I$2001)</f>
        <v>-0.0205155458339628</v>
      </c>
      <c r="AD57" s="13" t="n">
        <f aca="false">(L57-AVERAGE(L$2:L$2001))/STDEV(L$2:L$2001)</f>
        <v>0.413838214490712</v>
      </c>
      <c r="AE57" s="13" t="n">
        <f aca="false">(M57-AVERAGE(M$2:M$2001))/STDEV(M$2:M$2001)</f>
        <v>1.07160238377742</v>
      </c>
      <c r="AF57" s="13" t="n">
        <f aca="false">(N57-AVERAGE(N$2:N$2001))/STDEV(N$2:N$2001)</f>
        <v>0.877601230703834</v>
      </c>
      <c r="AG57" s="13" t="n">
        <f aca="false">(O57-AVERAGE(O$2:O$2001))/STDEV(O$2:O$2001)</f>
        <v>0.225046607034947</v>
      </c>
      <c r="AH57" s="0" t="str">
        <f aca="false">IF(B57="Company","C3 - Corporate Buyers",IF(AND(H57="Investment",M57&gt;'Segmentation Summary'!$C$1),"C1 - Global Investors",IF(AND(I57&gt;=4,M57&gt;'Segmentation Summary'!$C$1),"C4 - Luxury Investors",IF(AND(D57&lt;'Segmentation Summary'!$C$2,J57=1),"C2 - First-Time Buyers","C5 - Other Individual Buyers"))))</f>
        <v>C3 - Corporate Buyers</v>
      </c>
    </row>
    <row r="58" customFormat="false" ht="15" hidden="false" customHeight="true" outlineLevel="0" collapsed="false">
      <c r="A58" s="13" t="s">
        <v>208</v>
      </c>
      <c r="B58" s="13" t="s">
        <v>36</v>
      </c>
      <c r="C58" s="13" t="s">
        <v>204</v>
      </c>
      <c r="D58" s="13" t="n">
        <v>39</v>
      </c>
      <c r="E58" s="13" t="s">
        <v>83</v>
      </c>
      <c r="F58" s="13" t="s">
        <v>44</v>
      </c>
      <c r="G58" s="13" t="s">
        <v>209</v>
      </c>
      <c r="H58" s="13" t="s">
        <v>41</v>
      </c>
      <c r="I58" s="13" t="n">
        <v>3</v>
      </c>
      <c r="J58" s="13" t="n">
        <v>0</v>
      </c>
      <c r="K58" s="13" t="s">
        <v>85</v>
      </c>
      <c r="L58" s="13" t="n">
        <v>4</v>
      </c>
      <c r="M58" s="13" t="n">
        <v>1195819.4</v>
      </c>
      <c r="N58" s="13" t="n">
        <v>298954.85</v>
      </c>
      <c r="O58" s="13" t="n">
        <v>1024.3375</v>
      </c>
      <c r="P58" s="13" t="n">
        <v>2</v>
      </c>
      <c r="Q58" s="13" t="n">
        <v>2</v>
      </c>
      <c r="R58" s="13" t="s">
        <v>117</v>
      </c>
      <c r="S58" s="13" t="s">
        <v>87</v>
      </c>
      <c r="T58" s="13" t="n">
        <v>1</v>
      </c>
      <c r="U58" s="13" t="n">
        <f aca="false">IF(B58="Individual",1,0)</f>
        <v>0</v>
      </c>
      <c r="V58" s="13" t="n">
        <f aca="false">IF(B58="Company",1,0)</f>
        <v>1</v>
      </c>
      <c r="W58" s="13" t="n">
        <f aca="false">IF(H58="Home",1,0)</f>
        <v>1</v>
      </c>
      <c r="X58" s="13" t="n">
        <f aca="false">IF(H58="Investment",1,0)</f>
        <v>0</v>
      </c>
      <c r="Y58" s="13" t="n">
        <f aca="false">IF(K58="Website",1,0)</f>
        <v>1</v>
      </c>
      <c r="Z58" s="13" t="n">
        <f aca="false">IF(K58="Agency",1,0)</f>
        <v>0</v>
      </c>
      <c r="AA58" s="13" t="n">
        <f aca="false">IF(K58="Client",1,0)</f>
        <v>0</v>
      </c>
      <c r="AB58" s="13" t="n">
        <f aca="false">(D58-AVERAGE(D$2:D$2001))/STDEV(D$2:D$2001)</f>
        <v>-0.872836588724145</v>
      </c>
      <c r="AC58" s="13" t="n">
        <f aca="false">(I58-AVERAGE(I$2:I$2001))/STDEV(I$2:I$2001)</f>
        <v>-0.0205155458339628</v>
      </c>
      <c r="AD58" s="13" t="n">
        <f aca="false">(L58-AVERAGE(L$2:L$2001))/STDEV(L$2:L$2001)</f>
        <v>0.413838214490712</v>
      </c>
      <c r="AE58" s="13" t="n">
        <f aca="false">(M58-AVERAGE(M$2:M$2001))/STDEV(M$2:M$2001)</f>
        <v>-0.185596288504413</v>
      </c>
      <c r="AF58" s="13" t="n">
        <f aca="false">(N58-AVERAGE(N$2:N$2001))/STDEV(N$2:N$2001)</f>
        <v>-0.690387953394989</v>
      </c>
      <c r="AG58" s="13" t="n">
        <f aca="false">(O58-AVERAGE(O$2:O$2001))/STDEV(O$2:O$2001)</f>
        <v>-0.55993415545228</v>
      </c>
      <c r="AH58" s="0" t="str">
        <f aca="false">IF(B58="Company","C3 - Corporate Buyers",IF(AND(H58="Investment",M58&gt;'Segmentation Summary'!$C$1),"C1 - Global Investors",IF(AND(I58&gt;=4,M58&gt;'Segmentation Summary'!$C$1),"C4 - Luxury Investors",IF(AND(D58&lt;'Segmentation Summary'!$C$2,J58=1),"C2 - First-Time Buyers","C5 - Other Individual Buyers"))))</f>
        <v>C3 - Corporate Buyers</v>
      </c>
    </row>
    <row r="59" customFormat="false" ht="15" hidden="false" customHeight="true" outlineLevel="0" collapsed="false">
      <c r="A59" s="13" t="s">
        <v>210</v>
      </c>
      <c r="B59" s="13" t="s">
        <v>36</v>
      </c>
      <c r="C59" s="13" t="s">
        <v>211</v>
      </c>
      <c r="D59" s="13" t="n">
        <v>48</v>
      </c>
      <c r="E59" s="13" t="s">
        <v>83</v>
      </c>
      <c r="F59" s="13" t="s">
        <v>33</v>
      </c>
      <c r="G59" s="13" t="s">
        <v>95</v>
      </c>
      <c r="H59" s="13" t="s">
        <v>43</v>
      </c>
      <c r="I59" s="13" t="n">
        <v>5</v>
      </c>
      <c r="J59" s="13" t="n">
        <v>0</v>
      </c>
      <c r="K59" s="13" t="s">
        <v>85</v>
      </c>
      <c r="L59" s="13" t="n">
        <v>13</v>
      </c>
      <c r="M59" s="13" t="n">
        <v>3653385.38</v>
      </c>
      <c r="N59" s="13" t="n">
        <v>281029.644615385</v>
      </c>
      <c r="O59" s="13" t="n">
        <v>927.296153846154</v>
      </c>
      <c r="P59" s="13" t="n">
        <v>0</v>
      </c>
      <c r="Q59" s="13" t="n">
        <v>13</v>
      </c>
      <c r="R59" s="13" t="s">
        <v>101</v>
      </c>
      <c r="S59" s="13" t="s">
        <v>135</v>
      </c>
      <c r="T59" s="13" t="n">
        <v>1</v>
      </c>
      <c r="U59" s="13" t="n">
        <f aca="false">IF(B59="Individual",1,0)</f>
        <v>0</v>
      </c>
      <c r="V59" s="13" t="n">
        <f aca="false">IF(B59="Company",1,0)</f>
        <v>1</v>
      </c>
      <c r="W59" s="13" t="n">
        <f aca="false">IF(H59="Home",1,0)</f>
        <v>0</v>
      </c>
      <c r="X59" s="13" t="n">
        <f aca="false">IF(H59="Investment",1,0)</f>
        <v>1</v>
      </c>
      <c r="Y59" s="13" t="n">
        <f aca="false">IF(K59="Website",1,0)</f>
        <v>1</v>
      </c>
      <c r="Z59" s="13" t="n">
        <f aca="false">IF(K59="Agency",1,0)</f>
        <v>0</v>
      </c>
      <c r="AA59" s="13" t="n">
        <f aca="false">IF(K59="Client",1,0)</f>
        <v>0</v>
      </c>
      <c r="AB59" s="13" t="n">
        <f aca="false">(D59-AVERAGE(D$2:D$2001))/STDEV(D$2:D$2001)</f>
        <v>-0.353874489330784</v>
      </c>
      <c r="AC59" s="13" t="n">
        <f aca="false">(I59-AVERAGE(I$2:I$2001))/STDEV(I$2:I$2001)</f>
        <v>1.39434968409451</v>
      </c>
      <c r="AD59" s="13" t="n">
        <f aca="false">(L59-AVERAGE(L$2:L$2001))/STDEV(L$2:L$2001)</f>
        <v>11.131950244466</v>
      </c>
      <c r="AE59" s="13" t="n">
        <f aca="false">(M59-AVERAGE(M$2:M$2001))/STDEV(M$2:M$2001)</f>
        <v>6.87981291346753</v>
      </c>
      <c r="AF59" s="13" t="n">
        <f aca="false">(N59-AVERAGE(N$2:N$2001))/STDEV(N$2:N$2001)</f>
        <v>-0.947484009095279</v>
      </c>
      <c r="AG59" s="13" t="n">
        <f aca="false">(O59-AVERAGE(O$2:O$2001))/STDEV(O$2:O$2001)</f>
        <v>-1.00118645015864</v>
      </c>
      <c r="AH59" s="0" t="str">
        <f aca="false">IF(B59="Company","C3 - Corporate Buyers",IF(AND(H59="Investment",M59&gt;'Segmentation Summary'!$C$1),"C1 - Global Investors",IF(AND(I59&gt;=4,M59&gt;'Segmentation Summary'!$C$1),"C4 - Luxury Investors",IF(AND(D59&lt;'Segmentation Summary'!$C$2,J59=1),"C2 - First-Time Buyers","C5 - Other Individual Buyers"))))</f>
        <v>C3 - Corporate Buyers</v>
      </c>
    </row>
    <row r="60" customFormat="false" ht="15" hidden="false" customHeight="true" outlineLevel="0" collapsed="false">
      <c r="A60" s="13" t="s">
        <v>212</v>
      </c>
      <c r="B60" s="13" t="s">
        <v>36</v>
      </c>
      <c r="C60" s="13" t="s">
        <v>213</v>
      </c>
      <c r="D60" s="13" t="n">
        <v>50</v>
      </c>
      <c r="E60" s="13" t="s">
        <v>83</v>
      </c>
      <c r="F60" s="13" t="s">
        <v>46</v>
      </c>
      <c r="G60" s="13" t="s">
        <v>214</v>
      </c>
      <c r="H60" s="13" t="s">
        <v>41</v>
      </c>
      <c r="I60" s="13" t="n">
        <v>4</v>
      </c>
      <c r="J60" s="13" t="n">
        <v>1</v>
      </c>
      <c r="K60" s="13" t="s">
        <v>91</v>
      </c>
      <c r="L60" s="13" t="n">
        <v>3</v>
      </c>
      <c r="M60" s="13" t="n">
        <v>1006584.7</v>
      </c>
      <c r="N60" s="13" t="n">
        <v>335528.233333333</v>
      </c>
      <c r="O60" s="13" t="n">
        <v>1203.39</v>
      </c>
      <c r="P60" s="13" t="n">
        <v>0</v>
      </c>
      <c r="Q60" s="13" t="n">
        <v>3</v>
      </c>
      <c r="R60" s="13" t="s">
        <v>117</v>
      </c>
      <c r="S60" s="13" t="s">
        <v>215</v>
      </c>
      <c r="T60" s="13" t="n">
        <v>1</v>
      </c>
      <c r="U60" s="13" t="n">
        <f aca="false">IF(B60="Individual",1,0)</f>
        <v>0</v>
      </c>
      <c r="V60" s="13" t="n">
        <f aca="false">IF(B60="Company",1,0)</f>
        <v>1</v>
      </c>
      <c r="W60" s="13" t="n">
        <f aca="false">IF(H60="Home",1,0)</f>
        <v>1</v>
      </c>
      <c r="X60" s="13" t="n">
        <f aca="false">IF(H60="Investment",1,0)</f>
        <v>0</v>
      </c>
      <c r="Y60" s="13" t="n">
        <f aca="false">IF(K60="Website",1,0)</f>
        <v>0</v>
      </c>
      <c r="Z60" s="13" t="n">
        <f aca="false">IF(K60="Agency",1,0)</f>
        <v>1</v>
      </c>
      <c r="AA60" s="13" t="n">
        <f aca="false">IF(K60="Client",1,0)</f>
        <v>0</v>
      </c>
      <c r="AB60" s="13" t="n">
        <f aca="false">(D60-AVERAGE(D$2:D$2001))/STDEV(D$2:D$2001)</f>
        <v>-0.238549578354482</v>
      </c>
      <c r="AC60" s="13" t="n">
        <f aca="false">(I60-AVERAGE(I$2:I$2001))/STDEV(I$2:I$2001)</f>
        <v>0.686917069130275</v>
      </c>
      <c r="AD60" s="13" t="n">
        <f aca="false">(L60-AVERAGE(L$2:L$2001))/STDEV(L$2:L$2001)</f>
        <v>-0.777063122173208</v>
      </c>
      <c r="AE60" s="13" t="n">
        <f aca="false">(M60-AVERAGE(M$2:M$2001))/STDEV(M$2:M$2001)</f>
        <v>-0.729638890653552</v>
      </c>
      <c r="AF60" s="13" t="n">
        <f aca="false">(N60-AVERAGE(N$2:N$2001))/STDEV(N$2:N$2001)</f>
        <v>-0.16582645483135</v>
      </c>
      <c r="AG60" s="13" t="n">
        <f aca="false">(O60-AVERAGE(O$2:O$2001))/STDEV(O$2:O$2001)</f>
        <v>0.25422732961879</v>
      </c>
      <c r="AH60" s="0" t="str">
        <f aca="false">IF(B60="Company","C3 - Corporate Buyers",IF(AND(H60="Investment",M60&gt;'Segmentation Summary'!$C$1),"C1 - Global Investors",IF(AND(I60&gt;=4,M60&gt;'Segmentation Summary'!$C$1),"C4 - Luxury Investors",IF(AND(D60&lt;'Segmentation Summary'!$C$2,J60=1),"C2 - First-Time Buyers","C5 - Other Individual Buyers"))))</f>
        <v>C3 - Corporate Buyers</v>
      </c>
    </row>
    <row r="61" customFormat="false" ht="15" hidden="false" customHeight="true" outlineLevel="0" collapsed="false">
      <c r="A61" s="13" t="s">
        <v>216</v>
      </c>
      <c r="B61" s="13" t="s">
        <v>36</v>
      </c>
      <c r="C61" s="13" t="s">
        <v>213</v>
      </c>
      <c r="D61" s="13" t="n">
        <v>42</v>
      </c>
      <c r="E61" s="13" t="s">
        <v>83</v>
      </c>
      <c r="F61" s="13" t="s">
        <v>33</v>
      </c>
      <c r="G61" s="13" t="s">
        <v>120</v>
      </c>
      <c r="H61" s="13" t="s">
        <v>41</v>
      </c>
      <c r="I61" s="13" t="n">
        <v>1</v>
      </c>
      <c r="J61" s="13" t="n">
        <v>0</v>
      </c>
      <c r="K61" s="13" t="s">
        <v>116</v>
      </c>
      <c r="L61" s="13" t="n">
        <v>3</v>
      </c>
      <c r="M61" s="13" t="n">
        <v>1130759.41</v>
      </c>
      <c r="N61" s="13" t="n">
        <v>376919.803333333</v>
      </c>
      <c r="O61" s="13" t="n">
        <v>1313.16</v>
      </c>
      <c r="P61" s="13" t="n">
        <v>0</v>
      </c>
      <c r="Q61" s="13" t="n">
        <v>3</v>
      </c>
      <c r="R61" s="13" t="s">
        <v>98</v>
      </c>
      <c r="S61" s="13" t="s">
        <v>93</v>
      </c>
      <c r="T61" s="13" t="n">
        <v>1</v>
      </c>
      <c r="U61" s="13" t="n">
        <f aca="false">IF(B61="Individual",1,0)</f>
        <v>0</v>
      </c>
      <c r="V61" s="13" t="n">
        <f aca="false">IF(B61="Company",1,0)</f>
        <v>1</v>
      </c>
      <c r="W61" s="13" t="n">
        <f aca="false">IF(H61="Home",1,0)</f>
        <v>1</v>
      </c>
      <c r="X61" s="13" t="n">
        <f aca="false">IF(H61="Investment",1,0)</f>
        <v>0</v>
      </c>
      <c r="Y61" s="13" t="n">
        <f aca="false">IF(K61="Website",1,0)</f>
        <v>0</v>
      </c>
      <c r="Z61" s="13" t="n">
        <f aca="false">IF(K61="Agency",1,0)</f>
        <v>0</v>
      </c>
      <c r="AA61" s="13" t="n">
        <f aca="false">IF(K61="Client",1,0)</f>
        <v>1</v>
      </c>
      <c r="AB61" s="13" t="n">
        <f aca="false">(D61-AVERAGE(D$2:D$2001))/STDEV(D$2:D$2001)</f>
        <v>-0.699849222259691</v>
      </c>
      <c r="AC61" s="13" t="n">
        <f aca="false">(I61-AVERAGE(I$2:I$2001))/STDEV(I$2:I$2001)</f>
        <v>-1.43538077576244</v>
      </c>
      <c r="AD61" s="13" t="n">
        <f aca="false">(L61-AVERAGE(L$2:L$2001))/STDEV(L$2:L$2001)</f>
        <v>-0.777063122173208</v>
      </c>
      <c r="AE61" s="13" t="n">
        <f aca="false">(M61-AVERAGE(M$2:M$2001))/STDEV(M$2:M$2001)</f>
        <v>-0.372641297984159</v>
      </c>
      <c r="AF61" s="13" t="n">
        <f aca="false">(N61-AVERAGE(N$2:N$2001))/STDEV(N$2:N$2001)</f>
        <v>0.427840906736291</v>
      </c>
      <c r="AG61" s="13" t="n">
        <f aca="false">(O61-AVERAGE(O$2:O$2001))/STDEV(O$2:O$2001)</f>
        <v>0.753357507729966</v>
      </c>
      <c r="AH61" s="0" t="str">
        <f aca="false">IF(B61="Company","C3 - Corporate Buyers",IF(AND(H61="Investment",M61&gt;'Segmentation Summary'!$C$1),"C1 - Global Investors",IF(AND(I61&gt;=4,M61&gt;'Segmentation Summary'!$C$1),"C4 - Luxury Investors",IF(AND(D61&lt;'Segmentation Summary'!$C$2,J61=1),"C2 - First-Time Buyers","C5 - Other Individual Buyers"))))</f>
        <v>C3 - Corporate Buyers</v>
      </c>
    </row>
    <row r="62" customFormat="false" ht="15" hidden="false" customHeight="true" outlineLevel="0" collapsed="false">
      <c r="A62" s="13" t="s">
        <v>217</v>
      </c>
      <c r="B62" s="13" t="s">
        <v>36</v>
      </c>
      <c r="C62" s="13" t="s">
        <v>218</v>
      </c>
      <c r="D62" s="13" t="n">
        <v>39</v>
      </c>
      <c r="E62" s="13" t="s">
        <v>83</v>
      </c>
      <c r="F62" s="13" t="s">
        <v>40</v>
      </c>
      <c r="G62" s="13" t="s">
        <v>219</v>
      </c>
      <c r="H62" s="13" t="s">
        <v>43</v>
      </c>
      <c r="I62" s="13" t="n">
        <v>1</v>
      </c>
      <c r="J62" s="13" t="n">
        <v>1</v>
      </c>
      <c r="K62" s="13" t="s">
        <v>85</v>
      </c>
      <c r="L62" s="13" t="n">
        <v>3</v>
      </c>
      <c r="M62" s="13" t="n">
        <v>1199226.44</v>
      </c>
      <c r="N62" s="13" t="n">
        <v>399742.146666667</v>
      </c>
      <c r="O62" s="13" t="n">
        <v>1361.74333333333</v>
      </c>
      <c r="P62" s="13" t="n">
        <v>0</v>
      </c>
      <c r="Q62" s="13" t="n">
        <v>3</v>
      </c>
      <c r="R62" s="13" t="s">
        <v>135</v>
      </c>
      <c r="S62" s="13" t="s">
        <v>133</v>
      </c>
      <c r="T62" s="13" t="n">
        <v>1</v>
      </c>
      <c r="U62" s="13" t="n">
        <f aca="false">IF(B62="Individual",1,0)</f>
        <v>0</v>
      </c>
      <c r="V62" s="13" t="n">
        <f aca="false">IF(B62="Company",1,0)</f>
        <v>1</v>
      </c>
      <c r="W62" s="13" t="n">
        <f aca="false">IF(H62="Home",1,0)</f>
        <v>0</v>
      </c>
      <c r="X62" s="13" t="n">
        <f aca="false">IF(H62="Investment",1,0)</f>
        <v>1</v>
      </c>
      <c r="Y62" s="13" t="n">
        <f aca="false">IF(K62="Website",1,0)</f>
        <v>1</v>
      </c>
      <c r="Z62" s="13" t="n">
        <f aca="false">IF(K62="Agency",1,0)</f>
        <v>0</v>
      </c>
      <c r="AA62" s="13" t="n">
        <f aca="false">IF(K62="Client",1,0)</f>
        <v>0</v>
      </c>
      <c r="AB62" s="13" t="n">
        <f aca="false">(D62-AVERAGE(D$2:D$2001))/STDEV(D$2:D$2001)</f>
        <v>-0.872836588724145</v>
      </c>
      <c r="AC62" s="13" t="n">
        <f aca="false">(I62-AVERAGE(I$2:I$2001))/STDEV(I$2:I$2001)</f>
        <v>-1.43538077576244</v>
      </c>
      <c r="AD62" s="13" t="n">
        <f aca="false">(L62-AVERAGE(L$2:L$2001))/STDEV(L$2:L$2001)</f>
        <v>-0.777063122173208</v>
      </c>
      <c r="AE62" s="13" t="n">
        <f aca="false">(M62-AVERAGE(M$2:M$2001))/STDEV(M$2:M$2001)</f>
        <v>-0.175801177421582</v>
      </c>
      <c r="AF62" s="13" t="n">
        <f aca="false">(N62-AVERAGE(N$2:N$2001))/STDEV(N$2:N$2001)</f>
        <v>0.755175200929318</v>
      </c>
      <c r="AG62" s="13" t="n">
        <f aca="false">(O62-AVERAGE(O$2:O$2001))/STDEV(O$2:O$2001)</f>
        <v>0.974268574687236</v>
      </c>
      <c r="AH62" s="0" t="str">
        <f aca="false">IF(B62="Company","C3 - Corporate Buyers",IF(AND(H62="Investment",M62&gt;'Segmentation Summary'!$C$1),"C1 - Global Investors",IF(AND(I62&gt;=4,M62&gt;'Segmentation Summary'!$C$1),"C4 - Luxury Investors",IF(AND(D62&lt;'Segmentation Summary'!$C$2,J62=1),"C2 - First-Time Buyers","C5 - Other Individual Buyers"))))</f>
        <v>C3 - Corporate Buyers</v>
      </c>
    </row>
    <row r="63" customFormat="false" ht="15" hidden="false" customHeight="true" outlineLevel="0" collapsed="false">
      <c r="A63" s="13" t="s">
        <v>220</v>
      </c>
      <c r="B63" s="13" t="s">
        <v>36</v>
      </c>
      <c r="C63" s="13" t="s">
        <v>221</v>
      </c>
      <c r="D63" s="13" t="n">
        <v>59</v>
      </c>
      <c r="E63" s="13" t="s">
        <v>83</v>
      </c>
      <c r="F63" s="13" t="s">
        <v>33</v>
      </c>
      <c r="G63" s="13" t="s">
        <v>84</v>
      </c>
      <c r="H63" s="13" t="s">
        <v>41</v>
      </c>
      <c r="I63" s="13" t="n">
        <v>4</v>
      </c>
      <c r="J63" s="13" t="n">
        <v>1</v>
      </c>
      <c r="K63" s="13" t="s">
        <v>91</v>
      </c>
      <c r="L63" s="13" t="n">
        <v>4</v>
      </c>
      <c r="M63" s="13" t="n">
        <v>987267.48</v>
      </c>
      <c r="N63" s="13" t="n">
        <v>246816.87</v>
      </c>
      <c r="O63" s="13" t="n">
        <v>840.8725</v>
      </c>
      <c r="P63" s="13" t="n">
        <v>0</v>
      </c>
      <c r="Q63" s="13" t="n">
        <v>4</v>
      </c>
      <c r="R63" s="13" t="s">
        <v>117</v>
      </c>
      <c r="S63" s="13" t="s">
        <v>135</v>
      </c>
      <c r="T63" s="13" t="n">
        <v>1</v>
      </c>
      <c r="U63" s="13" t="n">
        <f aca="false">IF(B63="Individual",1,0)</f>
        <v>0</v>
      </c>
      <c r="V63" s="13" t="n">
        <f aca="false">IF(B63="Company",1,0)</f>
        <v>1</v>
      </c>
      <c r="W63" s="13" t="n">
        <f aca="false">IF(H63="Home",1,0)</f>
        <v>1</v>
      </c>
      <c r="X63" s="13" t="n">
        <f aca="false">IF(H63="Investment",1,0)</f>
        <v>0</v>
      </c>
      <c r="Y63" s="13" t="n">
        <f aca="false">IF(K63="Website",1,0)</f>
        <v>0</v>
      </c>
      <c r="Z63" s="13" t="n">
        <f aca="false">IF(K63="Agency",1,0)</f>
        <v>1</v>
      </c>
      <c r="AA63" s="13" t="n">
        <f aca="false">IF(K63="Client",1,0)</f>
        <v>0</v>
      </c>
      <c r="AB63" s="13" t="n">
        <f aca="false">(D63-AVERAGE(D$2:D$2001))/STDEV(D$2:D$2001)</f>
        <v>0.280412521038879</v>
      </c>
      <c r="AC63" s="13" t="n">
        <f aca="false">(I63-AVERAGE(I$2:I$2001))/STDEV(I$2:I$2001)</f>
        <v>0.686917069130275</v>
      </c>
      <c r="AD63" s="13" t="n">
        <f aca="false">(L63-AVERAGE(L$2:L$2001))/STDEV(L$2:L$2001)</f>
        <v>0.413838214490712</v>
      </c>
      <c r="AE63" s="13" t="n">
        <f aca="false">(M63-AVERAGE(M$2:M$2001))/STDEV(M$2:M$2001)</f>
        <v>-0.785175167219569</v>
      </c>
      <c r="AF63" s="13" t="n">
        <f aca="false">(N63-AVERAGE(N$2:N$2001))/STDEV(N$2:N$2001)</f>
        <v>-1.43818797702459</v>
      </c>
      <c r="AG63" s="13" t="n">
        <f aca="false">(O63-AVERAGE(O$2:O$2001))/STDEV(O$2:O$2001)</f>
        <v>-1.39415951873156</v>
      </c>
      <c r="AH63" s="0" t="str">
        <f aca="false">IF(B63="Company","C3 - Corporate Buyers",IF(AND(H63="Investment",M63&gt;'Segmentation Summary'!$C$1),"C1 - Global Investors",IF(AND(I63&gt;=4,M63&gt;'Segmentation Summary'!$C$1),"C4 - Luxury Investors",IF(AND(D63&lt;'Segmentation Summary'!$C$2,J63=1),"C2 - First-Time Buyers","C5 - Other Individual Buyers"))))</f>
        <v>C3 - Corporate Buyers</v>
      </c>
    </row>
    <row r="64" customFormat="false" ht="15" hidden="false" customHeight="true" outlineLevel="0" collapsed="false">
      <c r="A64" s="13" t="s">
        <v>222</v>
      </c>
      <c r="B64" s="13" t="s">
        <v>36</v>
      </c>
      <c r="C64" s="13" t="s">
        <v>221</v>
      </c>
      <c r="D64" s="13" t="n">
        <v>39</v>
      </c>
      <c r="E64" s="13" t="s">
        <v>90</v>
      </c>
      <c r="F64" s="13" t="s">
        <v>44</v>
      </c>
      <c r="G64" s="13" t="s">
        <v>209</v>
      </c>
      <c r="H64" s="13" t="s">
        <v>43</v>
      </c>
      <c r="I64" s="13" t="n">
        <v>3</v>
      </c>
      <c r="J64" s="13" t="n">
        <v>0</v>
      </c>
      <c r="K64" s="13" t="s">
        <v>91</v>
      </c>
      <c r="L64" s="13" t="n">
        <v>4</v>
      </c>
      <c r="M64" s="13" t="n">
        <v>968070.64</v>
      </c>
      <c r="N64" s="13" t="n">
        <v>242017.66</v>
      </c>
      <c r="O64" s="13" t="n">
        <v>809.6575</v>
      </c>
      <c r="P64" s="13" t="n">
        <v>0</v>
      </c>
      <c r="Q64" s="13" t="n">
        <v>4</v>
      </c>
      <c r="R64" s="13" t="s">
        <v>98</v>
      </c>
      <c r="S64" s="13" t="s">
        <v>114</v>
      </c>
      <c r="T64" s="13" t="n">
        <v>1</v>
      </c>
      <c r="U64" s="13" t="n">
        <f aca="false">IF(B64="Individual",1,0)</f>
        <v>0</v>
      </c>
      <c r="V64" s="13" t="n">
        <f aca="false">IF(B64="Company",1,0)</f>
        <v>1</v>
      </c>
      <c r="W64" s="13" t="n">
        <f aca="false">IF(H64="Home",1,0)</f>
        <v>0</v>
      </c>
      <c r="X64" s="13" t="n">
        <f aca="false">IF(H64="Investment",1,0)</f>
        <v>1</v>
      </c>
      <c r="Y64" s="13" t="n">
        <f aca="false">IF(K64="Website",1,0)</f>
        <v>0</v>
      </c>
      <c r="Z64" s="13" t="n">
        <f aca="false">IF(K64="Agency",1,0)</f>
        <v>1</v>
      </c>
      <c r="AA64" s="13" t="n">
        <f aca="false">IF(K64="Client",1,0)</f>
        <v>0</v>
      </c>
      <c r="AB64" s="13" t="n">
        <f aca="false">(D64-AVERAGE(D$2:D$2001))/STDEV(D$2:D$2001)</f>
        <v>-0.872836588724145</v>
      </c>
      <c r="AC64" s="13" t="n">
        <f aca="false">(I64-AVERAGE(I$2:I$2001))/STDEV(I$2:I$2001)</f>
        <v>-0.0205155458339628</v>
      </c>
      <c r="AD64" s="13" t="n">
        <f aca="false">(L64-AVERAGE(L$2:L$2001))/STDEV(L$2:L$2001)</f>
        <v>0.413838214490712</v>
      </c>
      <c r="AE64" s="13" t="n">
        <f aca="false">(M64-AVERAGE(M$2:M$2001))/STDEV(M$2:M$2001)</f>
        <v>-0.840365355840582</v>
      </c>
      <c r="AF64" s="13" t="n">
        <f aca="false">(N64-AVERAGE(N$2:N$2001))/STDEV(N$2:N$2001)</f>
        <v>-1.5070216631667</v>
      </c>
      <c r="AG64" s="13" t="n">
        <f aca="false">(O64-AVERAGE(O$2:O$2001))/STDEV(O$2:O$2001)</f>
        <v>-1.53609582655465</v>
      </c>
      <c r="AH64" s="0" t="str">
        <f aca="false">IF(B64="Company","C3 - Corporate Buyers",IF(AND(H64="Investment",M64&gt;'Segmentation Summary'!$C$1),"C1 - Global Investors",IF(AND(I64&gt;=4,M64&gt;'Segmentation Summary'!$C$1),"C4 - Luxury Investors",IF(AND(D64&lt;'Segmentation Summary'!$C$2,J64=1),"C2 - First-Time Buyers","C5 - Other Individual Buyers"))))</f>
        <v>C3 - Corporate Buyers</v>
      </c>
    </row>
    <row r="65" customFormat="false" ht="15" hidden="false" customHeight="true" outlineLevel="0" collapsed="false">
      <c r="A65" s="13" t="s">
        <v>223</v>
      </c>
      <c r="B65" s="13" t="s">
        <v>36</v>
      </c>
      <c r="C65" s="13" t="s">
        <v>224</v>
      </c>
      <c r="D65" s="13" t="n">
        <v>30</v>
      </c>
      <c r="E65" s="13" t="s">
        <v>90</v>
      </c>
      <c r="F65" s="13" t="s">
        <v>45</v>
      </c>
      <c r="G65" s="13" t="s">
        <v>225</v>
      </c>
      <c r="H65" s="13" t="s">
        <v>41</v>
      </c>
      <c r="I65" s="13" t="n">
        <v>1</v>
      </c>
      <c r="J65" s="13" t="n">
        <v>0</v>
      </c>
      <c r="K65" s="13" t="s">
        <v>116</v>
      </c>
      <c r="L65" s="13" t="n">
        <v>3</v>
      </c>
      <c r="M65" s="13" t="n">
        <v>822428.05</v>
      </c>
      <c r="N65" s="13" t="n">
        <v>274142.683333333</v>
      </c>
      <c r="O65" s="13" t="n">
        <v>851.87</v>
      </c>
      <c r="P65" s="13" t="n">
        <v>1</v>
      </c>
      <c r="Q65" s="13" t="n">
        <v>2</v>
      </c>
      <c r="R65" s="13" t="s">
        <v>101</v>
      </c>
      <c r="S65" s="13" t="s">
        <v>114</v>
      </c>
      <c r="T65" s="13" t="n">
        <v>1</v>
      </c>
      <c r="U65" s="13" t="n">
        <f aca="false">IF(B65="Individual",1,0)</f>
        <v>0</v>
      </c>
      <c r="V65" s="13" t="n">
        <f aca="false">IF(B65="Company",1,0)</f>
        <v>1</v>
      </c>
      <c r="W65" s="13" t="n">
        <f aca="false">IF(H65="Home",1,0)</f>
        <v>1</v>
      </c>
      <c r="X65" s="13" t="n">
        <f aca="false">IF(H65="Investment",1,0)</f>
        <v>0</v>
      </c>
      <c r="Y65" s="13" t="n">
        <f aca="false">IF(K65="Website",1,0)</f>
        <v>0</v>
      </c>
      <c r="Z65" s="13" t="n">
        <f aca="false">IF(K65="Agency",1,0)</f>
        <v>0</v>
      </c>
      <c r="AA65" s="13" t="n">
        <f aca="false">IF(K65="Client",1,0)</f>
        <v>1</v>
      </c>
      <c r="AB65" s="13" t="n">
        <f aca="false">(D65-AVERAGE(D$2:D$2001))/STDEV(D$2:D$2001)</f>
        <v>-1.39179868811751</v>
      </c>
      <c r="AC65" s="13" t="n">
        <f aca="false">(I65-AVERAGE(I$2:I$2001))/STDEV(I$2:I$2001)</f>
        <v>-1.43538077576244</v>
      </c>
      <c r="AD65" s="13" t="n">
        <f aca="false">(L65-AVERAGE(L$2:L$2001))/STDEV(L$2:L$2001)</f>
        <v>-0.777063122173208</v>
      </c>
      <c r="AE65" s="13" t="n">
        <f aca="false">(M65-AVERAGE(M$2:M$2001))/STDEV(M$2:M$2001)</f>
        <v>-1.25908229119832</v>
      </c>
      <c r="AF65" s="13" t="n">
        <f aca="false">(N65-AVERAGE(N$2:N$2001))/STDEV(N$2:N$2001)</f>
        <v>-1.04626171029227</v>
      </c>
      <c r="AG65" s="13" t="n">
        <f aca="false">(O65-AVERAGE(O$2:O$2001))/STDEV(O$2:O$2001)</f>
        <v>-1.34415328630214</v>
      </c>
      <c r="AH65" s="0" t="str">
        <f aca="false">IF(B65="Company","C3 - Corporate Buyers",IF(AND(H65="Investment",M65&gt;'Segmentation Summary'!$C$1),"C1 - Global Investors",IF(AND(I65&gt;=4,M65&gt;'Segmentation Summary'!$C$1),"C4 - Luxury Investors",IF(AND(D65&lt;'Segmentation Summary'!$C$2,J65=1),"C2 - First-Time Buyers","C5 - Other Individual Buyers"))))</f>
        <v>C3 - Corporate Buyers</v>
      </c>
    </row>
    <row r="66" customFormat="false" ht="15" hidden="false" customHeight="true" outlineLevel="0" collapsed="false">
      <c r="A66" s="13" t="s">
        <v>226</v>
      </c>
      <c r="B66" s="13" t="s">
        <v>36</v>
      </c>
      <c r="C66" s="13" t="s">
        <v>224</v>
      </c>
      <c r="D66" s="13" t="n">
        <v>31</v>
      </c>
      <c r="E66" s="13" t="s">
        <v>83</v>
      </c>
      <c r="F66" s="13" t="s">
        <v>33</v>
      </c>
      <c r="G66" s="13" t="s">
        <v>106</v>
      </c>
      <c r="H66" s="13" t="s">
        <v>41</v>
      </c>
      <c r="I66" s="13" t="n">
        <v>4</v>
      </c>
      <c r="J66" s="13" t="n">
        <v>1</v>
      </c>
      <c r="K66" s="13" t="s">
        <v>91</v>
      </c>
      <c r="L66" s="13" t="n">
        <v>4</v>
      </c>
      <c r="M66" s="13" t="n">
        <v>1450499.68</v>
      </c>
      <c r="N66" s="13" t="n">
        <v>362624.92</v>
      </c>
      <c r="O66" s="13" t="n">
        <v>1214.7825</v>
      </c>
      <c r="P66" s="13" t="n">
        <v>1</v>
      </c>
      <c r="Q66" s="13" t="n">
        <v>3</v>
      </c>
      <c r="R66" s="13" t="s">
        <v>92</v>
      </c>
      <c r="S66" s="13" t="s">
        <v>125</v>
      </c>
      <c r="T66" s="13" t="n">
        <v>1</v>
      </c>
      <c r="U66" s="13" t="n">
        <f aca="false">IF(B66="Individual",1,0)</f>
        <v>0</v>
      </c>
      <c r="V66" s="13" t="n">
        <f aca="false">IF(B66="Company",1,0)</f>
        <v>1</v>
      </c>
      <c r="W66" s="13" t="n">
        <f aca="false">IF(H66="Home",1,0)</f>
        <v>1</v>
      </c>
      <c r="X66" s="13" t="n">
        <f aca="false">IF(H66="Investment",1,0)</f>
        <v>0</v>
      </c>
      <c r="Y66" s="13" t="n">
        <f aca="false">IF(K66="Website",1,0)</f>
        <v>0</v>
      </c>
      <c r="Z66" s="13" t="n">
        <f aca="false">IF(K66="Agency",1,0)</f>
        <v>1</v>
      </c>
      <c r="AA66" s="13" t="n">
        <f aca="false">IF(K66="Client",1,0)</f>
        <v>0</v>
      </c>
      <c r="AB66" s="13" t="n">
        <f aca="false">(D66-AVERAGE(D$2:D$2001))/STDEV(D$2:D$2001)</f>
        <v>-1.33413623262935</v>
      </c>
      <c r="AC66" s="13" t="n">
        <f aca="false">(I66-AVERAGE(I$2:I$2001))/STDEV(I$2:I$2001)</f>
        <v>0.686917069130275</v>
      </c>
      <c r="AD66" s="13" t="n">
        <f aca="false">(L66-AVERAGE(L$2:L$2001))/STDEV(L$2:L$2001)</f>
        <v>0.413838214490712</v>
      </c>
      <c r="AE66" s="13" t="n">
        <f aca="false">(M66-AVERAGE(M$2:M$2001))/STDEV(M$2:M$2001)</f>
        <v>0.546599879784338</v>
      </c>
      <c r="AF66" s="13" t="n">
        <f aca="false">(N66-AVERAGE(N$2:N$2001))/STDEV(N$2:N$2001)</f>
        <v>0.222813514143619</v>
      </c>
      <c r="AG66" s="13" t="n">
        <f aca="false">(O66-AVERAGE(O$2:O$2001))/STDEV(O$2:O$2001)</f>
        <v>0.306029648596029</v>
      </c>
      <c r="AH66" s="0" t="str">
        <f aca="false">IF(B66="Company","C3 - Corporate Buyers",IF(AND(H66="Investment",M66&gt;'Segmentation Summary'!$C$1),"C1 - Global Investors",IF(AND(I66&gt;=4,M66&gt;'Segmentation Summary'!$C$1),"C4 - Luxury Investors",IF(AND(D66&lt;'Segmentation Summary'!$C$2,J66=1),"C2 - First-Time Buyers","C5 - Other Individual Buyers"))))</f>
        <v>C3 - Corporate Buyers</v>
      </c>
    </row>
    <row r="67" customFormat="false" ht="15" hidden="false" customHeight="true" outlineLevel="0" collapsed="false">
      <c r="A67" s="13" t="s">
        <v>227</v>
      </c>
      <c r="B67" s="13" t="s">
        <v>36</v>
      </c>
      <c r="C67" s="13" t="s">
        <v>228</v>
      </c>
      <c r="D67" s="13" t="n">
        <v>32</v>
      </c>
      <c r="E67" s="13" t="s">
        <v>83</v>
      </c>
      <c r="F67" s="13" t="s">
        <v>33</v>
      </c>
      <c r="G67" s="13" t="s">
        <v>84</v>
      </c>
      <c r="H67" s="13" t="s">
        <v>41</v>
      </c>
      <c r="I67" s="13" t="n">
        <v>3</v>
      </c>
      <c r="J67" s="13" t="n">
        <v>0</v>
      </c>
      <c r="K67" s="13" t="s">
        <v>91</v>
      </c>
      <c r="L67" s="13" t="n">
        <v>3</v>
      </c>
      <c r="M67" s="13" t="n">
        <v>1235262.65</v>
      </c>
      <c r="N67" s="13" t="n">
        <v>411754.216666667</v>
      </c>
      <c r="O67" s="13" t="n">
        <v>1451.53666666667</v>
      </c>
      <c r="P67" s="13" t="n">
        <v>1</v>
      </c>
      <c r="Q67" s="13" t="n">
        <v>2</v>
      </c>
      <c r="R67" s="13" t="s">
        <v>92</v>
      </c>
      <c r="S67" s="13" t="s">
        <v>164</v>
      </c>
      <c r="T67" s="13" t="n">
        <v>1</v>
      </c>
      <c r="U67" s="13" t="n">
        <f aca="false">IF(B67="Individual",1,0)</f>
        <v>0</v>
      </c>
      <c r="V67" s="13" t="n">
        <f aca="false">IF(B67="Company",1,0)</f>
        <v>1</v>
      </c>
      <c r="W67" s="13" t="n">
        <f aca="false">IF(H67="Home",1,0)</f>
        <v>1</v>
      </c>
      <c r="X67" s="13" t="n">
        <f aca="false">IF(H67="Investment",1,0)</f>
        <v>0</v>
      </c>
      <c r="Y67" s="13" t="n">
        <f aca="false">IF(K67="Website",1,0)</f>
        <v>0</v>
      </c>
      <c r="Z67" s="13" t="n">
        <f aca="false">IF(K67="Agency",1,0)</f>
        <v>1</v>
      </c>
      <c r="AA67" s="13" t="n">
        <f aca="false">IF(K67="Client",1,0)</f>
        <v>0</v>
      </c>
      <c r="AB67" s="13" t="n">
        <f aca="false">(D67-AVERAGE(D$2:D$2001))/STDEV(D$2:D$2001)</f>
        <v>-1.2764737771412</v>
      </c>
      <c r="AC67" s="13" t="n">
        <f aca="false">(I67-AVERAGE(I$2:I$2001))/STDEV(I$2:I$2001)</f>
        <v>-0.0205155458339628</v>
      </c>
      <c r="AD67" s="13" t="n">
        <f aca="false">(L67-AVERAGE(L$2:L$2001))/STDEV(L$2:L$2001)</f>
        <v>-0.777063122173208</v>
      </c>
      <c r="AE67" s="13" t="n">
        <f aca="false">(M67-AVERAGE(M$2:M$2001))/STDEV(M$2:M$2001)</f>
        <v>-0.0721984372265076</v>
      </c>
      <c r="AF67" s="13" t="n">
        <f aca="false">(N67-AVERAGE(N$2:N$2001))/STDEV(N$2:N$2001)</f>
        <v>0.927460859672531</v>
      </c>
      <c r="AG67" s="13" t="n">
        <f aca="false">(O67-AVERAGE(O$2:O$2001))/STDEV(O$2:O$2001)</f>
        <v>1.38256375970925</v>
      </c>
      <c r="AH67" s="0" t="str">
        <f aca="false">IF(B67="Company","C3 - Corporate Buyers",IF(AND(H67="Investment",M67&gt;'Segmentation Summary'!$C$1),"C1 - Global Investors",IF(AND(I67&gt;=4,M67&gt;'Segmentation Summary'!$C$1),"C4 - Luxury Investors",IF(AND(D67&lt;'Segmentation Summary'!$C$2,J67=1),"C2 - First-Time Buyers","C5 - Other Individual Buyers"))))</f>
        <v>C3 - Corporate Buyers</v>
      </c>
    </row>
    <row r="68" customFormat="false" ht="15" hidden="false" customHeight="true" outlineLevel="0" collapsed="false">
      <c r="A68" s="13" t="s">
        <v>229</v>
      </c>
      <c r="B68" s="13" t="s">
        <v>36</v>
      </c>
      <c r="C68" s="13" t="s">
        <v>228</v>
      </c>
      <c r="D68" s="13" t="n">
        <v>47</v>
      </c>
      <c r="E68" s="13" t="s">
        <v>83</v>
      </c>
      <c r="F68" s="13" t="s">
        <v>33</v>
      </c>
      <c r="G68" s="13" t="s">
        <v>95</v>
      </c>
      <c r="H68" s="13" t="s">
        <v>43</v>
      </c>
      <c r="I68" s="13" t="n">
        <v>2</v>
      </c>
      <c r="J68" s="13" t="n">
        <v>1</v>
      </c>
      <c r="K68" s="13" t="s">
        <v>116</v>
      </c>
      <c r="L68" s="13" t="n">
        <v>4</v>
      </c>
      <c r="M68" s="13" t="n">
        <v>1254919.36</v>
      </c>
      <c r="N68" s="13" t="n">
        <v>313729.84</v>
      </c>
      <c r="O68" s="13" t="n">
        <v>1115.505</v>
      </c>
      <c r="P68" s="13" t="n">
        <v>1</v>
      </c>
      <c r="Q68" s="13" t="n">
        <v>3</v>
      </c>
      <c r="R68" s="13" t="s">
        <v>101</v>
      </c>
      <c r="S68" s="13" t="s">
        <v>164</v>
      </c>
      <c r="T68" s="13" t="n">
        <v>1</v>
      </c>
      <c r="U68" s="13" t="n">
        <f aca="false">IF(B68="Individual",1,0)</f>
        <v>0</v>
      </c>
      <c r="V68" s="13" t="n">
        <f aca="false">IF(B68="Company",1,0)</f>
        <v>1</v>
      </c>
      <c r="W68" s="13" t="n">
        <f aca="false">IF(H68="Home",1,0)</f>
        <v>0</v>
      </c>
      <c r="X68" s="13" t="n">
        <f aca="false">IF(H68="Investment",1,0)</f>
        <v>1</v>
      </c>
      <c r="Y68" s="13" t="n">
        <f aca="false">IF(K68="Website",1,0)</f>
        <v>0</v>
      </c>
      <c r="Z68" s="13" t="n">
        <f aca="false">IF(K68="Agency",1,0)</f>
        <v>0</v>
      </c>
      <c r="AA68" s="13" t="n">
        <f aca="false">IF(K68="Client",1,0)</f>
        <v>1</v>
      </c>
      <c r="AB68" s="13" t="n">
        <f aca="false">(D68-AVERAGE(D$2:D$2001))/STDEV(D$2:D$2001)</f>
        <v>-0.411536944818935</v>
      </c>
      <c r="AC68" s="13" t="n">
        <f aca="false">(I68-AVERAGE(I$2:I$2001))/STDEV(I$2:I$2001)</f>
        <v>-0.727948160798201</v>
      </c>
      <c r="AD68" s="13" t="n">
        <f aca="false">(L68-AVERAGE(L$2:L$2001))/STDEV(L$2:L$2001)</f>
        <v>0.413838214490712</v>
      </c>
      <c r="AE68" s="13" t="n">
        <f aca="false">(M68-AVERAGE(M$2:M$2001))/STDEV(M$2:M$2001)</f>
        <v>-0.0156861397562703</v>
      </c>
      <c r="AF68" s="13" t="n">
        <f aca="false">(N68-AVERAGE(N$2:N$2001))/STDEV(N$2:N$2001)</f>
        <v>-0.478474529224601</v>
      </c>
      <c r="AG68" s="13" t="n">
        <f aca="false">(O68-AVERAGE(O$2:O$2001))/STDEV(O$2:O$2001)</f>
        <v>-0.1453905596342</v>
      </c>
      <c r="AH68" s="0" t="str">
        <f aca="false">IF(B68="Company","C3 - Corporate Buyers",IF(AND(H68="Investment",M68&gt;'Segmentation Summary'!$C$1),"C1 - Global Investors",IF(AND(I68&gt;=4,M68&gt;'Segmentation Summary'!$C$1),"C4 - Luxury Investors",IF(AND(D68&lt;'Segmentation Summary'!$C$2,J68=1),"C2 - First-Time Buyers","C5 - Other Individual Buyers"))))</f>
        <v>C3 - Corporate Buyers</v>
      </c>
    </row>
    <row r="69" customFormat="false" ht="15" hidden="false" customHeight="true" outlineLevel="0" collapsed="false">
      <c r="A69" s="13" t="s">
        <v>230</v>
      </c>
      <c r="B69" s="13" t="s">
        <v>36</v>
      </c>
      <c r="C69" s="13" t="s">
        <v>228</v>
      </c>
      <c r="D69" s="13" t="n">
        <v>39</v>
      </c>
      <c r="E69" s="13" t="s">
        <v>90</v>
      </c>
      <c r="F69" s="13" t="s">
        <v>33</v>
      </c>
      <c r="G69" s="13" t="s">
        <v>84</v>
      </c>
      <c r="H69" s="13" t="s">
        <v>41</v>
      </c>
      <c r="I69" s="13" t="n">
        <v>2</v>
      </c>
      <c r="J69" s="13" t="n">
        <v>0</v>
      </c>
      <c r="K69" s="13" t="s">
        <v>91</v>
      </c>
      <c r="L69" s="13" t="n">
        <v>4</v>
      </c>
      <c r="M69" s="13" t="n">
        <v>1498125.2</v>
      </c>
      <c r="N69" s="13" t="n">
        <v>374531.3</v>
      </c>
      <c r="O69" s="13" t="n">
        <v>1158.7275</v>
      </c>
      <c r="P69" s="13" t="n">
        <v>1</v>
      </c>
      <c r="Q69" s="13" t="n">
        <v>3</v>
      </c>
      <c r="R69" s="13" t="s">
        <v>92</v>
      </c>
      <c r="S69" s="13" t="s">
        <v>87</v>
      </c>
      <c r="T69" s="13" t="n">
        <v>1</v>
      </c>
      <c r="U69" s="13" t="n">
        <f aca="false">IF(B69="Individual",1,0)</f>
        <v>0</v>
      </c>
      <c r="V69" s="13" t="n">
        <f aca="false">IF(B69="Company",1,0)</f>
        <v>1</v>
      </c>
      <c r="W69" s="13" t="n">
        <f aca="false">IF(H69="Home",1,0)</f>
        <v>1</v>
      </c>
      <c r="X69" s="13" t="n">
        <f aca="false">IF(H69="Investment",1,0)</f>
        <v>0</v>
      </c>
      <c r="Y69" s="13" t="n">
        <f aca="false">IF(K69="Website",1,0)</f>
        <v>0</v>
      </c>
      <c r="Z69" s="13" t="n">
        <f aca="false">IF(K69="Agency",1,0)</f>
        <v>1</v>
      </c>
      <c r="AA69" s="13" t="n">
        <f aca="false">IF(K69="Client",1,0)</f>
        <v>0</v>
      </c>
      <c r="AB69" s="13" t="n">
        <f aca="false">(D69-AVERAGE(D$2:D$2001))/STDEV(D$2:D$2001)</f>
        <v>-0.872836588724145</v>
      </c>
      <c r="AC69" s="13" t="n">
        <f aca="false">(I69-AVERAGE(I$2:I$2001))/STDEV(I$2:I$2001)</f>
        <v>-0.727948160798201</v>
      </c>
      <c r="AD69" s="13" t="n">
        <f aca="false">(L69-AVERAGE(L$2:L$2001))/STDEV(L$2:L$2001)</f>
        <v>0.413838214490712</v>
      </c>
      <c r="AE69" s="13" t="n">
        <f aca="false">(M69-AVERAGE(M$2:M$2001))/STDEV(M$2:M$2001)</f>
        <v>0.683521447707694</v>
      </c>
      <c r="AF69" s="13" t="n">
        <f aca="false">(N69-AVERAGE(N$2:N$2001))/STDEV(N$2:N$2001)</f>
        <v>0.393583291671308</v>
      </c>
      <c r="AG69" s="13" t="n">
        <f aca="false">(O69-AVERAGE(O$2:O$2001))/STDEV(O$2:O$2001)</f>
        <v>0.05114450571526</v>
      </c>
      <c r="AH69" s="0" t="str">
        <f aca="false">IF(B69="Company","C3 - Corporate Buyers",IF(AND(H69="Investment",M69&gt;'Segmentation Summary'!$C$1),"C1 - Global Investors",IF(AND(I69&gt;=4,M69&gt;'Segmentation Summary'!$C$1),"C4 - Luxury Investors",IF(AND(D69&lt;'Segmentation Summary'!$C$2,J69=1),"C2 - First-Time Buyers","C5 - Other Individual Buyers"))))</f>
        <v>C3 - Corporate Buyers</v>
      </c>
    </row>
    <row r="70" customFormat="false" ht="15" hidden="false" customHeight="true" outlineLevel="0" collapsed="false">
      <c r="A70" s="13" t="s">
        <v>231</v>
      </c>
      <c r="B70" s="13" t="s">
        <v>36</v>
      </c>
      <c r="C70" s="13" t="s">
        <v>232</v>
      </c>
      <c r="D70" s="13" t="n">
        <v>60</v>
      </c>
      <c r="E70" s="13" t="s">
        <v>90</v>
      </c>
      <c r="F70" s="13" t="s">
        <v>35</v>
      </c>
      <c r="G70" s="13" t="s">
        <v>185</v>
      </c>
      <c r="H70" s="13" t="s">
        <v>41</v>
      </c>
      <c r="I70" s="13" t="n">
        <v>3</v>
      </c>
      <c r="J70" s="13" t="n">
        <v>1</v>
      </c>
      <c r="K70" s="13" t="s">
        <v>91</v>
      </c>
      <c r="L70" s="13" t="n">
        <v>4</v>
      </c>
      <c r="M70" s="13" t="n">
        <v>1281064.76</v>
      </c>
      <c r="N70" s="13" t="n">
        <v>320266.19</v>
      </c>
      <c r="O70" s="13" t="n">
        <v>1068.57</v>
      </c>
      <c r="P70" s="13" t="n">
        <v>0</v>
      </c>
      <c r="Q70" s="13" t="n">
        <v>4</v>
      </c>
      <c r="R70" s="13" t="s">
        <v>98</v>
      </c>
      <c r="S70" s="13" t="s">
        <v>87</v>
      </c>
      <c r="T70" s="13" t="n">
        <v>1</v>
      </c>
      <c r="U70" s="13" t="n">
        <f aca="false">IF(B70="Individual",1,0)</f>
        <v>0</v>
      </c>
      <c r="V70" s="13" t="n">
        <f aca="false">IF(B70="Company",1,0)</f>
        <v>1</v>
      </c>
      <c r="W70" s="13" t="n">
        <f aca="false">IF(H70="Home",1,0)</f>
        <v>1</v>
      </c>
      <c r="X70" s="13" t="n">
        <f aca="false">IF(H70="Investment",1,0)</f>
        <v>0</v>
      </c>
      <c r="Y70" s="13" t="n">
        <f aca="false">IF(K70="Website",1,0)</f>
        <v>0</v>
      </c>
      <c r="Z70" s="13" t="n">
        <f aca="false">IF(K70="Agency",1,0)</f>
        <v>1</v>
      </c>
      <c r="AA70" s="13" t="n">
        <f aca="false">IF(K70="Client",1,0)</f>
        <v>0</v>
      </c>
      <c r="AB70" s="13" t="n">
        <f aca="false">(D70-AVERAGE(D$2:D$2001))/STDEV(D$2:D$2001)</f>
        <v>0.338074976527031</v>
      </c>
      <c r="AC70" s="13" t="n">
        <f aca="false">(I70-AVERAGE(I$2:I$2001))/STDEV(I$2:I$2001)</f>
        <v>-0.0205155458339628</v>
      </c>
      <c r="AD70" s="13" t="n">
        <f aca="false">(L70-AVERAGE(L$2:L$2001))/STDEV(L$2:L$2001)</f>
        <v>0.413838214490712</v>
      </c>
      <c r="AE70" s="13" t="n">
        <f aca="false">(M70-AVERAGE(M$2:M$2001))/STDEV(M$2:M$2001)</f>
        <v>0.0594808959418868</v>
      </c>
      <c r="AF70" s="13" t="n">
        <f aca="false">(N70-AVERAGE(N$2:N$2001))/STDEV(N$2:N$2001)</f>
        <v>-0.384725544617768</v>
      </c>
      <c r="AG70" s="13" t="n">
        <f aca="false">(O70-AVERAGE(O$2:O$2001))/STDEV(O$2:O$2001)</f>
        <v>-0.358806565005869</v>
      </c>
      <c r="AH70" s="0" t="str">
        <f aca="false">IF(B70="Company","C3 - Corporate Buyers",IF(AND(H70="Investment",M70&gt;'Segmentation Summary'!$C$1),"C1 - Global Investors",IF(AND(I70&gt;=4,M70&gt;'Segmentation Summary'!$C$1),"C4 - Luxury Investors",IF(AND(D70&lt;'Segmentation Summary'!$C$2,J70=1),"C2 - First-Time Buyers","C5 - Other Individual Buyers"))))</f>
        <v>C3 - Corporate Buyers</v>
      </c>
    </row>
    <row r="71" customFormat="false" ht="15" hidden="false" customHeight="true" outlineLevel="0" collapsed="false">
      <c r="A71" s="13" t="s">
        <v>233</v>
      </c>
      <c r="B71" s="13" t="s">
        <v>36</v>
      </c>
      <c r="C71" s="13" t="s">
        <v>234</v>
      </c>
      <c r="D71" s="13" t="n">
        <v>48</v>
      </c>
      <c r="E71" s="13" t="s">
        <v>83</v>
      </c>
      <c r="F71" s="13" t="s">
        <v>40</v>
      </c>
      <c r="G71" s="13" t="s">
        <v>235</v>
      </c>
      <c r="H71" s="13" t="s">
        <v>41</v>
      </c>
      <c r="I71" s="13" t="n">
        <v>3</v>
      </c>
      <c r="J71" s="13" t="n">
        <v>1</v>
      </c>
      <c r="K71" s="13" t="s">
        <v>116</v>
      </c>
      <c r="L71" s="13" t="n">
        <v>3</v>
      </c>
      <c r="M71" s="13" t="n">
        <v>799742.26</v>
      </c>
      <c r="N71" s="13" t="n">
        <v>266580.753333333</v>
      </c>
      <c r="O71" s="13" t="n">
        <v>932.37</v>
      </c>
      <c r="P71" s="13" t="n">
        <v>0</v>
      </c>
      <c r="Q71" s="13" t="n">
        <v>3</v>
      </c>
      <c r="R71" s="13" t="s">
        <v>101</v>
      </c>
      <c r="S71" s="13" t="s">
        <v>87</v>
      </c>
      <c r="T71" s="13" t="n">
        <v>1</v>
      </c>
      <c r="U71" s="13" t="n">
        <f aca="false">IF(B71="Individual",1,0)</f>
        <v>0</v>
      </c>
      <c r="V71" s="13" t="n">
        <f aca="false">IF(B71="Company",1,0)</f>
        <v>1</v>
      </c>
      <c r="W71" s="13" t="n">
        <f aca="false">IF(H71="Home",1,0)</f>
        <v>1</v>
      </c>
      <c r="X71" s="13" t="n">
        <f aca="false">IF(H71="Investment",1,0)</f>
        <v>0</v>
      </c>
      <c r="Y71" s="13" t="n">
        <f aca="false">IF(K71="Website",1,0)</f>
        <v>0</v>
      </c>
      <c r="Z71" s="13" t="n">
        <f aca="false">IF(K71="Agency",1,0)</f>
        <v>0</v>
      </c>
      <c r="AA71" s="13" t="n">
        <f aca="false">IF(K71="Client",1,0)</f>
        <v>1</v>
      </c>
      <c r="AB71" s="13" t="n">
        <f aca="false">(D71-AVERAGE(D$2:D$2001))/STDEV(D$2:D$2001)</f>
        <v>-0.353874489330784</v>
      </c>
      <c r="AC71" s="13" t="n">
        <f aca="false">(I71-AVERAGE(I$2:I$2001))/STDEV(I$2:I$2001)</f>
        <v>-0.0205155458339628</v>
      </c>
      <c r="AD71" s="13" t="n">
        <f aca="false">(L71-AVERAGE(L$2:L$2001))/STDEV(L$2:L$2001)</f>
        <v>-0.777063122173208</v>
      </c>
      <c r="AE71" s="13" t="n">
        <f aca="false">(M71-AVERAGE(M$2:M$2001))/STDEV(M$2:M$2001)</f>
        <v>-1.32430307905281</v>
      </c>
      <c r="AF71" s="13" t="n">
        <f aca="false">(N71-AVERAGE(N$2:N$2001))/STDEV(N$2:N$2001)</f>
        <v>-1.15472029331918</v>
      </c>
      <c r="AG71" s="13" t="n">
        <f aca="false">(O71-AVERAGE(O$2:O$2001))/STDEV(O$2:O$2001)</f>
        <v>-0.97811539491151</v>
      </c>
      <c r="AH71" s="0" t="str">
        <f aca="false">IF(B71="Company","C3 - Corporate Buyers",IF(AND(H71="Investment",M71&gt;'Segmentation Summary'!$C$1),"C1 - Global Investors",IF(AND(I71&gt;=4,M71&gt;'Segmentation Summary'!$C$1),"C4 - Luxury Investors",IF(AND(D71&lt;'Segmentation Summary'!$C$2,J71=1),"C2 - First-Time Buyers","C5 - Other Individual Buyers"))))</f>
        <v>C3 - Corporate Buyers</v>
      </c>
    </row>
    <row r="72" customFormat="false" ht="15" hidden="false" customHeight="true" outlineLevel="0" collapsed="false">
      <c r="A72" s="13" t="s">
        <v>236</v>
      </c>
      <c r="B72" s="13" t="s">
        <v>36</v>
      </c>
      <c r="C72" s="13" t="s">
        <v>237</v>
      </c>
      <c r="D72" s="13" t="n">
        <v>40</v>
      </c>
      <c r="E72" s="13" t="s">
        <v>83</v>
      </c>
      <c r="F72" s="13" t="s">
        <v>33</v>
      </c>
      <c r="G72" s="13" t="s">
        <v>95</v>
      </c>
      <c r="H72" s="13" t="s">
        <v>41</v>
      </c>
      <c r="I72" s="13" t="n">
        <v>1</v>
      </c>
      <c r="J72" s="13" t="n">
        <v>0</v>
      </c>
      <c r="K72" s="13" t="s">
        <v>85</v>
      </c>
      <c r="L72" s="13" t="n">
        <v>4</v>
      </c>
      <c r="M72" s="13" t="n">
        <v>1856997.08</v>
      </c>
      <c r="N72" s="13" t="n">
        <v>464249.27</v>
      </c>
      <c r="O72" s="13" t="n">
        <v>1408.3275</v>
      </c>
      <c r="P72" s="13" t="n">
        <v>1</v>
      </c>
      <c r="Q72" s="13" t="n">
        <v>3</v>
      </c>
      <c r="R72" s="13" t="s">
        <v>101</v>
      </c>
      <c r="S72" s="13" t="s">
        <v>114</v>
      </c>
      <c r="T72" s="13" t="n">
        <v>1</v>
      </c>
      <c r="U72" s="13" t="n">
        <f aca="false">IF(B72="Individual",1,0)</f>
        <v>0</v>
      </c>
      <c r="V72" s="13" t="n">
        <f aca="false">IF(B72="Company",1,0)</f>
        <v>1</v>
      </c>
      <c r="W72" s="13" t="n">
        <f aca="false">IF(H72="Home",1,0)</f>
        <v>1</v>
      </c>
      <c r="X72" s="13" t="n">
        <f aca="false">IF(H72="Investment",1,0)</f>
        <v>0</v>
      </c>
      <c r="Y72" s="13" t="n">
        <f aca="false">IF(K72="Website",1,0)</f>
        <v>1</v>
      </c>
      <c r="Z72" s="13" t="n">
        <f aca="false">IF(K72="Agency",1,0)</f>
        <v>0</v>
      </c>
      <c r="AA72" s="13" t="n">
        <f aca="false">IF(K72="Client",1,0)</f>
        <v>0</v>
      </c>
      <c r="AB72" s="13" t="n">
        <f aca="false">(D72-AVERAGE(D$2:D$2001))/STDEV(D$2:D$2001)</f>
        <v>-0.815174133235994</v>
      </c>
      <c r="AC72" s="13" t="n">
        <f aca="false">(I72-AVERAGE(I$2:I$2001))/STDEV(I$2:I$2001)</f>
        <v>-1.43538077576244</v>
      </c>
      <c r="AD72" s="13" t="n">
        <f aca="false">(L72-AVERAGE(L$2:L$2001))/STDEV(L$2:L$2001)</f>
        <v>0.413838214490712</v>
      </c>
      <c r="AE72" s="13" t="n">
        <f aca="false">(M72-AVERAGE(M$2:M$2001))/STDEV(M$2:M$2001)</f>
        <v>1.71526452354608</v>
      </c>
      <c r="AF72" s="13" t="n">
        <f aca="false">(N72-AVERAGE(N$2:N$2001))/STDEV(N$2:N$2001)</f>
        <v>1.68038228323178</v>
      </c>
      <c r="AG72" s="13" t="n">
        <f aca="false">(O72-AVERAGE(O$2:O$2001))/STDEV(O$2:O$2001)</f>
        <v>1.18608932175379</v>
      </c>
      <c r="AH72" s="0" t="str">
        <f aca="false">IF(B72="Company","C3 - Corporate Buyers",IF(AND(H72="Investment",M72&gt;'Segmentation Summary'!$C$1),"C1 - Global Investors",IF(AND(I72&gt;=4,M72&gt;'Segmentation Summary'!$C$1),"C4 - Luxury Investors",IF(AND(D72&lt;'Segmentation Summary'!$C$2,J72=1),"C2 - First-Time Buyers","C5 - Other Individual Buyers"))))</f>
        <v>C3 - Corporate Buyers</v>
      </c>
    </row>
    <row r="73" customFormat="false" ht="15" hidden="false" customHeight="true" outlineLevel="0" collapsed="false">
      <c r="A73" s="13" t="s">
        <v>238</v>
      </c>
      <c r="B73" s="13" t="s">
        <v>36</v>
      </c>
      <c r="C73" s="13" t="s">
        <v>237</v>
      </c>
      <c r="D73" s="13" t="n">
        <v>34</v>
      </c>
      <c r="E73" s="13" t="s">
        <v>83</v>
      </c>
      <c r="F73" s="13" t="s">
        <v>40</v>
      </c>
      <c r="G73" s="13" t="s">
        <v>239</v>
      </c>
      <c r="H73" s="13" t="s">
        <v>41</v>
      </c>
      <c r="I73" s="13" t="n">
        <v>3</v>
      </c>
      <c r="J73" s="13" t="n">
        <v>1</v>
      </c>
      <c r="K73" s="13" t="s">
        <v>91</v>
      </c>
      <c r="L73" s="13" t="n">
        <v>3</v>
      </c>
      <c r="M73" s="13" t="n">
        <v>1230590.28</v>
      </c>
      <c r="N73" s="13" t="n">
        <v>410196.76</v>
      </c>
      <c r="O73" s="13" t="n">
        <v>1321.52333333333</v>
      </c>
      <c r="P73" s="13" t="n">
        <v>1</v>
      </c>
      <c r="Q73" s="13" t="n">
        <v>2</v>
      </c>
      <c r="R73" s="13" t="s">
        <v>121</v>
      </c>
      <c r="S73" s="13" t="s">
        <v>125</v>
      </c>
      <c r="T73" s="13" t="n">
        <v>1</v>
      </c>
      <c r="U73" s="13" t="n">
        <f aca="false">IF(B73="Individual",1,0)</f>
        <v>0</v>
      </c>
      <c r="V73" s="13" t="n">
        <f aca="false">IF(B73="Company",1,0)</f>
        <v>1</v>
      </c>
      <c r="W73" s="13" t="n">
        <f aca="false">IF(H73="Home",1,0)</f>
        <v>1</v>
      </c>
      <c r="X73" s="13" t="n">
        <f aca="false">IF(H73="Investment",1,0)</f>
        <v>0</v>
      </c>
      <c r="Y73" s="13" t="n">
        <f aca="false">IF(K73="Website",1,0)</f>
        <v>0</v>
      </c>
      <c r="Z73" s="13" t="n">
        <f aca="false">IF(K73="Agency",1,0)</f>
        <v>1</v>
      </c>
      <c r="AA73" s="13" t="n">
        <f aca="false">IF(K73="Client",1,0)</f>
        <v>0</v>
      </c>
      <c r="AB73" s="13" t="n">
        <f aca="false">(D73-AVERAGE(D$2:D$2001))/STDEV(D$2:D$2001)</f>
        <v>-1.1611488661649</v>
      </c>
      <c r="AC73" s="13" t="n">
        <f aca="false">(I73-AVERAGE(I$2:I$2001))/STDEV(I$2:I$2001)</f>
        <v>-0.0205155458339628</v>
      </c>
      <c r="AD73" s="13" t="n">
        <f aca="false">(L73-AVERAGE(L$2:L$2001))/STDEV(L$2:L$2001)</f>
        <v>-0.777063122173208</v>
      </c>
      <c r="AE73" s="13" t="n">
        <f aca="false">(M73-AVERAGE(M$2:M$2001))/STDEV(M$2:M$2001)</f>
        <v>-0.0856313241811914</v>
      </c>
      <c r="AF73" s="13" t="n">
        <f aca="false">(N73-AVERAGE(N$2:N$2001))/STDEV(N$2:N$2001)</f>
        <v>0.905122707482214</v>
      </c>
      <c r="AG73" s="13" t="n">
        <f aca="false">(O73-AVERAGE(O$2:O$2001))/STDEV(O$2:O$2001)</f>
        <v>0.791386040628463</v>
      </c>
      <c r="AH73" s="0" t="str">
        <f aca="false">IF(B73="Company","C3 - Corporate Buyers",IF(AND(H73="Investment",M73&gt;'Segmentation Summary'!$C$1),"C1 - Global Investors",IF(AND(I73&gt;=4,M73&gt;'Segmentation Summary'!$C$1),"C4 - Luxury Investors",IF(AND(D73&lt;'Segmentation Summary'!$C$2,J73=1),"C2 - First-Time Buyers","C5 - Other Individual Buyers"))))</f>
        <v>C3 - Corporate Buyers</v>
      </c>
    </row>
    <row r="74" customFormat="false" ht="15" hidden="false" customHeight="true" outlineLevel="0" collapsed="false">
      <c r="A74" s="13" t="s">
        <v>240</v>
      </c>
      <c r="B74" s="13" t="s">
        <v>36</v>
      </c>
      <c r="C74" s="13" t="s">
        <v>237</v>
      </c>
      <c r="D74" s="13" t="n">
        <v>32</v>
      </c>
      <c r="E74" s="13" t="s">
        <v>90</v>
      </c>
      <c r="F74" s="13" t="s">
        <v>33</v>
      </c>
      <c r="G74" s="13" t="s">
        <v>157</v>
      </c>
      <c r="H74" s="13" t="s">
        <v>43</v>
      </c>
      <c r="I74" s="13" t="n">
        <v>1</v>
      </c>
      <c r="J74" s="13" t="n">
        <v>1</v>
      </c>
      <c r="K74" s="13" t="s">
        <v>85</v>
      </c>
      <c r="L74" s="13" t="n">
        <v>4</v>
      </c>
      <c r="M74" s="13" t="n">
        <v>1598853.55</v>
      </c>
      <c r="N74" s="13" t="n">
        <v>399713.3875</v>
      </c>
      <c r="O74" s="13" t="n">
        <v>1313.38</v>
      </c>
      <c r="P74" s="13" t="n">
        <v>0</v>
      </c>
      <c r="Q74" s="13" t="n">
        <v>4</v>
      </c>
      <c r="R74" s="13" t="s">
        <v>124</v>
      </c>
      <c r="S74" s="13" t="s">
        <v>154</v>
      </c>
      <c r="T74" s="13" t="n">
        <v>1</v>
      </c>
      <c r="U74" s="13" t="n">
        <f aca="false">IF(B74="Individual",1,0)</f>
        <v>0</v>
      </c>
      <c r="V74" s="13" t="n">
        <f aca="false">IF(B74="Company",1,0)</f>
        <v>1</v>
      </c>
      <c r="W74" s="13" t="n">
        <f aca="false">IF(H74="Home",1,0)</f>
        <v>0</v>
      </c>
      <c r="X74" s="13" t="n">
        <f aca="false">IF(H74="Investment",1,0)</f>
        <v>1</v>
      </c>
      <c r="Y74" s="13" t="n">
        <f aca="false">IF(K74="Website",1,0)</f>
        <v>1</v>
      </c>
      <c r="Z74" s="13" t="n">
        <f aca="false">IF(K74="Agency",1,0)</f>
        <v>0</v>
      </c>
      <c r="AA74" s="13" t="n">
        <f aca="false">IF(K74="Client",1,0)</f>
        <v>0</v>
      </c>
      <c r="AB74" s="13" t="n">
        <f aca="false">(D74-AVERAGE(D$2:D$2001))/STDEV(D$2:D$2001)</f>
        <v>-1.2764737771412</v>
      </c>
      <c r="AC74" s="13" t="n">
        <f aca="false">(I74-AVERAGE(I$2:I$2001))/STDEV(I$2:I$2001)</f>
        <v>-1.43538077576244</v>
      </c>
      <c r="AD74" s="13" t="n">
        <f aca="false">(L74-AVERAGE(L$2:L$2001))/STDEV(L$2:L$2001)</f>
        <v>0.413838214490712</v>
      </c>
      <c r="AE74" s="13" t="n">
        <f aca="false">(M74-AVERAGE(M$2:M$2001))/STDEV(M$2:M$2001)</f>
        <v>0.973111642551395</v>
      </c>
      <c r="AF74" s="13" t="n">
        <f aca="false">(N74-AVERAGE(N$2:N$2001))/STDEV(N$2:N$2001)</f>
        <v>0.75476271648874</v>
      </c>
      <c r="AG74" s="13" t="n">
        <f aca="false">(O74-AVERAGE(O$2:O$2001))/STDEV(O$2:O$2001)</f>
        <v>0.754357859731282</v>
      </c>
      <c r="AH74" s="0" t="str">
        <f aca="false">IF(B74="Company","C3 - Corporate Buyers",IF(AND(H74="Investment",M74&gt;'Segmentation Summary'!$C$1),"C1 - Global Investors",IF(AND(I74&gt;=4,M74&gt;'Segmentation Summary'!$C$1),"C4 - Luxury Investors",IF(AND(D74&lt;'Segmentation Summary'!$C$2,J74=1),"C2 - First-Time Buyers","C5 - Other Individual Buyers"))))</f>
        <v>C3 - Corporate Buyers</v>
      </c>
    </row>
    <row r="75" customFormat="false" ht="15" hidden="false" customHeight="true" outlineLevel="0" collapsed="false">
      <c r="A75" s="13" t="s">
        <v>241</v>
      </c>
      <c r="B75" s="13" t="s">
        <v>36</v>
      </c>
      <c r="C75" s="13" t="s">
        <v>242</v>
      </c>
      <c r="D75" s="13" t="n">
        <v>46</v>
      </c>
      <c r="E75" s="13" t="s">
        <v>83</v>
      </c>
      <c r="F75" s="13" t="s">
        <v>37</v>
      </c>
      <c r="G75" s="13" t="s">
        <v>169</v>
      </c>
      <c r="H75" s="13" t="s">
        <v>41</v>
      </c>
      <c r="I75" s="13" t="n">
        <v>3</v>
      </c>
      <c r="J75" s="13" t="n">
        <v>1</v>
      </c>
      <c r="K75" s="13" t="s">
        <v>91</v>
      </c>
      <c r="L75" s="13" t="n">
        <v>3</v>
      </c>
      <c r="M75" s="13" t="n">
        <v>1252827.37</v>
      </c>
      <c r="N75" s="13" t="n">
        <v>417609.123333333</v>
      </c>
      <c r="O75" s="13" t="n">
        <v>1407.51333333333</v>
      </c>
      <c r="P75" s="13" t="n">
        <v>0</v>
      </c>
      <c r="Q75" s="13" t="n">
        <v>3</v>
      </c>
      <c r="R75" s="13" t="s">
        <v>101</v>
      </c>
      <c r="S75" s="13" t="s">
        <v>128</v>
      </c>
      <c r="T75" s="13" t="n">
        <v>1</v>
      </c>
      <c r="U75" s="13" t="n">
        <f aca="false">IF(B75="Individual",1,0)</f>
        <v>0</v>
      </c>
      <c r="V75" s="13" t="n">
        <f aca="false">IF(B75="Company",1,0)</f>
        <v>1</v>
      </c>
      <c r="W75" s="13" t="n">
        <f aca="false">IF(H75="Home",1,0)</f>
        <v>1</v>
      </c>
      <c r="X75" s="13" t="n">
        <f aca="false">IF(H75="Investment",1,0)</f>
        <v>0</v>
      </c>
      <c r="Y75" s="13" t="n">
        <f aca="false">IF(K75="Website",1,0)</f>
        <v>0</v>
      </c>
      <c r="Z75" s="13" t="n">
        <f aca="false">IF(K75="Agency",1,0)</f>
        <v>1</v>
      </c>
      <c r="AA75" s="13" t="n">
        <f aca="false">IF(K75="Client",1,0)</f>
        <v>0</v>
      </c>
      <c r="AB75" s="13" t="n">
        <f aca="false">(D75-AVERAGE(D$2:D$2001))/STDEV(D$2:D$2001)</f>
        <v>-0.469199400307086</v>
      </c>
      <c r="AC75" s="13" t="n">
        <f aca="false">(I75-AVERAGE(I$2:I$2001))/STDEV(I$2:I$2001)</f>
        <v>-0.0205155458339628</v>
      </c>
      <c r="AD75" s="13" t="n">
        <f aca="false">(L75-AVERAGE(L$2:L$2001))/STDEV(L$2:L$2001)</f>
        <v>-0.777063122173208</v>
      </c>
      <c r="AE75" s="13" t="n">
        <f aca="false">(M75-AVERAGE(M$2:M$2001))/STDEV(M$2:M$2001)</f>
        <v>-0.0217005318485767</v>
      </c>
      <c r="AF75" s="13" t="n">
        <f aca="false">(N75-AVERAGE(N$2:N$2001))/STDEV(N$2:N$2001)</f>
        <v>1.01143609890662</v>
      </c>
      <c r="AG75" s="13" t="n">
        <f aca="false">(O75-AVERAGE(O$2:O$2001))/STDEV(O$2:O$2001)</f>
        <v>1.18238726150648</v>
      </c>
      <c r="AH75" s="0" t="str">
        <f aca="false">IF(B75="Company","C3 - Corporate Buyers",IF(AND(H75="Investment",M75&gt;'Segmentation Summary'!$C$1),"C1 - Global Investors",IF(AND(I75&gt;=4,M75&gt;'Segmentation Summary'!$C$1),"C4 - Luxury Investors",IF(AND(D75&lt;'Segmentation Summary'!$C$2,J75=1),"C2 - First-Time Buyers","C5 - Other Individual Buyers"))))</f>
        <v>C3 - Corporate Buyers</v>
      </c>
    </row>
    <row r="76" customFormat="false" ht="15" hidden="false" customHeight="true" outlineLevel="0" collapsed="false">
      <c r="A76" s="13" t="s">
        <v>243</v>
      </c>
      <c r="B76" s="13" t="s">
        <v>36</v>
      </c>
      <c r="C76" s="13" t="s">
        <v>242</v>
      </c>
      <c r="D76" s="13" t="n">
        <v>63</v>
      </c>
      <c r="E76" s="13" t="s">
        <v>83</v>
      </c>
      <c r="F76" s="13" t="s">
        <v>33</v>
      </c>
      <c r="G76" s="13" t="s">
        <v>84</v>
      </c>
      <c r="H76" s="13" t="s">
        <v>41</v>
      </c>
      <c r="I76" s="13" t="n">
        <v>4</v>
      </c>
      <c r="J76" s="13" t="n">
        <v>1</v>
      </c>
      <c r="K76" s="13" t="s">
        <v>85</v>
      </c>
      <c r="L76" s="13" t="n">
        <v>4</v>
      </c>
      <c r="M76" s="13" t="n">
        <v>1532340.63</v>
      </c>
      <c r="N76" s="13" t="n">
        <v>383085.1575</v>
      </c>
      <c r="O76" s="13" t="n">
        <v>1338.9</v>
      </c>
      <c r="P76" s="13" t="n">
        <v>1</v>
      </c>
      <c r="Q76" s="13" t="n">
        <v>3</v>
      </c>
      <c r="R76" s="13" t="s">
        <v>98</v>
      </c>
      <c r="S76" s="13" t="s">
        <v>133</v>
      </c>
      <c r="T76" s="13" t="n">
        <v>1</v>
      </c>
      <c r="U76" s="13" t="n">
        <f aca="false">IF(B76="Individual",1,0)</f>
        <v>0</v>
      </c>
      <c r="V76" s="13" t="n">
        <f aca="false">IF(B76="Company",1,0)</f>
        <v>1</v>
      </c>
      <c r="W76" s="13" t="n">
        <f aca="false">IF(H76="Home",1,0)</f>
        <v>1</v>
      </c>
      <c r="X76" s="13" t="n">
        <f aca="false">IF(H76="Investment",1,0)</f>
        <v>0</v>
      </c>
      <c r="Y76" s="13" t="n">
        <f aca="false">IF(K76="Website",1,0)</f>
        <v>1</v>
      </c>
      <c r="Z76" s="13" t="n">
        <f aca="false">IF(K76="Agency",1,0)</f>
        <v>0</v>
      </c>
      <c r="AA76" s="13" t="n">
        <f aca="false">IF(K76="Client",1,0)</f>
        <v>0</v>
      </c>
      <c r="AB76" s="13" t="n">
        <f aca="false">(D76-AVERAGE(D$2:D$2001))/STDEV(D$2:D$2001)</f>
        <v>0.511062342991484</v>
      </c>
      <c r="AC76" s="13" t="n">
        <f aca="false">(I76-AVERAGE(I$2:I$2001))/STDEV(I$2:I$2001)</f>
        <v>0.686917069130275</v>
      </c>
      <c r="AD76" s="13" t="n">
        <f aca="false">(L76-AVERAGE(L$2:L$2001))/STDEV(L$2:L$2001)</f>
        <v>0.413838214490712</v>
      </c>
      <c r="AE76" s="13" t="n">
        <f aca="false">(M76-AVERAGE(M$2:M$2001))/STDEV(M$2:M$2001)</f>
        <v>0.781889514298292</v>
      </c>
      <c r="AF76" s="13" t="n">
        <f aca="false">(N76-AVERAGE(N$2:N$2001))/STDEV(N$2:N$2001)</f>
        <v>0.516268805007733</v>
      </c>
      <c r="AG76" s="13" t="n">
        <f aca="false">(O76-AVERAGE(O$2:O$2001))/STDEV(O$2:O$2001)</f>
        <v>0.87039869188394</v>
      </c>
      <c r="AH76" s="0" t="str">
        <f aca="false">IF(B76="Company","C3 - Corporate Buyers",IF(AND(H76="Investment",M76&gt;'Segmentation Summary'!$C$1),"C1 - Global Investors",IF(AND(I76&gt;=4,M76&gt;'Segmentation Summary'!$C$1),"C4 - Luxury Investors",IF(AND(D76&lt;'Segmentation Summary'!$C$2,J76=1),"C2 - First-Time Buyers","C5 - Other Individual Buyers"))))</f>
        <v>C3 - Corporate Buyers</v>
      </c>
    </row>
    <row r="77" customFormat="false" ht="15" hidden="false" customHeight="true" outlineLevel="0" collapsed="false">
      <c r="A77" s="13" t="s">
        <v>244</v>
      </c>
      <c r="B77" s="13" t="s">
        <v>36</v>
      </c>
      <c r="C77" s="13" t="s">
        <v>242</v>
      </c>
      <c r="D77" s="13" t="n">
        <v>64</v>
      </c>
      <c r="E77" s="13" t="s">
        <v>83</v>
      </c>
      <c r="F77" s="13" t="s">
        <v>40</v>
      </c>
      <c r="G77" s="13" t="s">
        <v>239</v>
      </c>
      <c r="H77" s="13" t="s">
        <v>43</v>
      </c>
      <c r="I77" s="13" t="n">
        <v>1</v>
      </c>
      <c r="J77" s="13" t="n">
        <v>0</v>
      </c>
      <c r="K77" s="13" t="s">
        <v>116</v>
      </c>
      <c r="L77" s="13" t="n">
        <v>4</v>
      </c>
      <c r="M77" s="13" t="n">
        <v>1387997.02</v>
      </c>
      <c r="N77" s="13" t="n">
        <v>346999.255</v>
      </c>
      <c r="O77" s="13" t="n">
        <v>1104.2925</v>
      </c>
      <c r="P77" s="13" t="n">
        <v>0</v>
      </c>
      <c r="Q77" s="13" t="n">
        <v>4</v>
      </c>
      <c r="R77" s="13" t="s">
        <v>98</v>
      </c>
      <c r="S77" s="13" t="s">
        <v>112</v>
      </c>
      <c r="T77" s="13" t="n">
        <v>1</v>
      </c>
      <c r="U77" s="13" t="n">
        <f aca="false">IF(B77="Individual",1,0)</f>
        <v>0</v>
      </c>
      <c r="V77" s="13" t="n">
        <f aca="false">IF(B77="Company",1,0)</f>
        <v>1</v>
      </c>
      <c r="W77" s="13" t="n">
        <f aca="false">IF(H77="Home",1,0)</f>
        <v>0</v>
      </c>
      <c r="X77" s="13" t="n">
        <f aca="false">IF(H77="Investment",1,0)</f>
        <v>1</v>
      </c>
      <c r="Y77" s="13" t="n">
        <f aca="false">IF(K77="Website",1,0)</f>
        <v>0</v>
      </c>
      <c r="Z77" s="13" t="n">
        <f aca="false">IF(K77="Agency",1,0)</f>
        <v>0</v>
      </c>
      <c r="AA77" s="13" t="n">
        <f aca="false">IF(K77="Client",1,0)</f>
        <v>1</v>
      </c>
      <c r="AB77" s="13" t="n">
        <f aca="false">(D77-AVERAGE(D$2:D$2001))/STDEV(D$2:D$2001)</f>
        <v>0.568724798479635</v>
      </c>
      <c r="AC77" s="13" t="n">
        <f aca="false">(I77-AVERAGE(I$2:I$2001))/STDEV(I$2:I$2001)</f>
        <v>-1.43538077576244</v>
      </c>
      <c r="AD77" s="13" t="n">
        <f aca="false">(L77-AVERAGE(L$2:L$2001))/STDEV(L$2:L$2001)</f>
        <v>0.413838214490712</v>
      </c>
      <c r="AE77" s="13" t="n">
        <f aca="false">(M77-AVERAGE(M$2:M$2001))/STDEV(M$2:M$2001)</f>
        <v>0.366907097289147</v>
      </c>
      <c r="AF77" s="13" t="n">
        <f aca="false">(N77-AVERAGE(N$2:N$2001))/STDEV(N$2:N$2001)</f>
        <v>-0.0013008964305585</v>
      </c>
      <c r="AG77" s="13" t="n">
        <f aca="false">(O77-AVERAGE(O$2:O$2001))/STDEV(O$2:O$2001)</f>
        <v>-0.196374408792181</v>
      </c>
      <c r="AH77" s="0" t="str">
        <f aca="false">IF(B77="Company","C3 - Corporate Buyers",IF(AND(H77="Investment",M77&gt;'Segmentation Summary'!$C$1),"C1 - Global Investors",IF(AND(I77&gt;=4,M77&gt;'Segmentation Summary'!$C$1),"C4 - Luxury Investors",IF(AND(D77&lt;'Segmentation Summary'!$C$2,J77=1),"C2 - First-Time Buyers","C5 - Other Individual Buyers"))))</f>
        <v>C3 - Corporate Buyers</v>
      </c>
    </row>
    <row r="78" customFormat="false" ht="15" hidden="false" customHeight="true" outlineLevel="0" collapsed="false">
      <c r="A78" s="13" t="s">
        <v>245</v>
      </c>
      <c r="B78" s="13" t="s">
        <v>36</v>
      </c>
      <c r="C78" s="13" t="s">
        <v>242</v>
      </c>
      <c r="D78" s="13" t="n">
        <v>53</v>
      </c>
      <c r="E78" s="13" t="s">
        <v>90</v>
      </c>
      <c r="F78" s="13" t="s">
        <v>33</v>
      </c>
      <c r="G78" s="13" t="s">
        <v>95</v>
      </c>
      <c r="H78" s="13" t="s">
        <v>41</v>
      </c>
      <c r="I78" s="13" t="n">
        <v>2</v>
      </c>
      <c r="J78" s="13" t="n">
        <v>0</v>
      </c>
      <c r="K78" s="13" t="s">
        <v>85</v>
      </c>
      <c r="L78" s="13" t="n">
        <v>4</v>
      </c>
      <c r="M78" s="13" t="n">
        <v>1047112.48</v>
      </c>
      <c r="N78" s="13" t="n">
        <v>261778.12</v>
      </c>
      <c r="O78" s="13" t="n">
        <v>860.9325</v>
      </c>
      <c r="P78" s="13" t="n">
        <v>0</v>
      </c>
      <c r="Q78" s="13" t="n">
        <v>4</v>
      </c>
      <c r="R78" s="13" t="s">
        <v>98</v>
      </c>
      <c r="S78" s="13" t="s">
        <v>135</v>
      </c>
      <c r="T78" s="13" t="n">
        <v>1</v>
      </c>
      <c r="U78" s="13" t="n">
        <f aca="false">IF(B78="Individual",1,0)</f>
        <v>0</v>
      </c>
      <c r="V78" s="13" t="n">
        <f aca="false">IF(B78="Company",1,0)</f>
        <v>1</v>
      </c>
      <c r="W78" s="13" t="n">
        <f aca="false">IF(H78="Home",1,0)</f>
        <v>1</v>
      </c>
      <c r="X78" s="13" t="n">
        <f aca="false">IF(H78="Investment",1,0)</f>
        <v>0</v>
      </c>
      <c r="Y78" s="13" t="n">
        <f aca="false">IF(K78="Website",1,0)</f>
        <v>1</v>
      </c>
      <c r="Z78" s="13" t="n">
        <f aca="false">IF(K78="Agency",1,0)</f>
        <v>0</v>
      </c>
      <c r="AA78" s="13" t="n">
        <f aca="false">IF(K78="Client",1,0)</f>
        <v>0</v>
      </c>
      <c r="AB78" s="13" t="n">
        <f aca="false">(D78-AVERAGE(D$2:D$2001))/STDEV(D$2:D$2001)</f>
        <v>-0.065562211890028</v>
      </c>
      <c r="AC78" s="13" t="n">
        <f aca="false">(I78-AVERAGE(I$2:I$2001))/STDEV(I$2:I$2001)</f>
        <v>-0.727948160798201</v>
      </c>
      <c r="AD78" s="13" t="n">
        <f aca="false">(L78-AVERAGE(L$2:L$2001))/STDEV(L$2:L$2001)</f>
        <v>0.413838214490712</v>
      </c>
      <c r="AE78" s="13" t="n">
        <f aca="false">(M78-AVERAGE(M$2:M$2001))/STDEV(M$2:M$2001)</f>
        <v>-0.613123056662599</v>
      </c>
      <c r="AF78" s="13" t="n">
        <f aca="false">(N78-AVERAGE(N$2:N$2001))/STDEV(N$2:N$2001)</f>
        <v>-1.22360307934485</v>
      </c>
      <c r="AG78" s="13" t="n">
        <f aca="false">(O78-AVERAGE(O$2:O$2001))/STDEV(O$2:O$2001)</f>
        <v>-1.30294560442975</v>
      </c>
      <c r="AH78" s="0" t="str">
        <f aca="false">IF(B78="Company","C3 - Corporate Buyers",IF(AND(H78="Investment",M78&gt;'Segmentation Summary'!$C$1),"C1 - Global Investors",IF(AND(I78&gt;=4,M78&gt;'Segmentation Summary'!$C$1),"C4 - Luxury Investors",IF(AND(D78&lt;'Segmentation Summary'!$C$2,J78=1),"C2 - First-Time Buyers","C5 - Other Individual Buyers"))))</f>
        <v>C3 - Corporate Buyers</v>
      </c>
    </row>
    <row r="79" customFormat="false" ht="15" hidden="false" customHeight="true" outlineLevel="0" collapsed="false">
      <c r="A79" s="13" t="s">
        <v>246</v>
      </c>
      <c r="B79" s="13" t="s">
        <v>36</v>
      </c>
      <c r="C79" s="13" t="s">
        <v>247</v>
      </c>
      <c r="D79" s="13" t="n">
        <v>33</v>
      </c>
      <c r="E79" s="13" t="s">
        <v>90</v>
      </c>
      <c r="F79" s="13" t="s">
        <v>33</v>
      </c>
      <c r="G79" s="13" t="s">
        <v>162</v>
      </c>
      <c r="H79" s="13" t="s">
        <v>41</v>
      </c>
      <c r="I79" s="13" t="n">
        <v>2</v>
      </c>
      <c r="J79" s="13" t="n">
        <v>0</v>
      </c>
      <c r="K79" s="13" t="s">
        <v>85</v>
      </c>
      <c r="L79" s="13" t="n">
        <v>4</v>
      </c>
      <c r="M79" s="13" t="n">
        <v>760443.35</v>
      </c>
      <c r="N79" s="13" t="n">
        <v>190110.8375</v>
      </c>
      <c r="O79" s="13" t="n">
        <v>677.79</v>
      </c>
      <c r="P79" s="13" t="n">
        <v>1</v>
      </c>
      <c r="Q79" s="13" t="n">
        <v>3</v>
      </c>
      <c r="R79" s="13" t="s">
        <v>101</v>
      </c>
      <c r="S79" s="13" t="s">
        <v>87</v>
      </c>
      <c r="T79" s="13" t="n">
        <v>1</v>
      </c>
      <c r="U79" s="13" t="n">
        <f aca="false">IF(B79="Individual",1,0)</f>
        <v>0</v>
      </c>
      <c r="V79" s="13" t="n">
        <f aca="false">IF(B79="Company",1,0)</f>
        <v>1</v>
      </c>
      <c r="W79" s="13" t="n">
        <f aca="false">IF(H79="Home",1,0)</f>
        <v>1</v>
      </c>
      <c r="X79" s="13" t="n">
        <f aca="false">IF(H79="Investment",1,0)</f>
        <v>0</v>
      </c>
      <c r="Y79" s="13" t="n">
        <f aca="false">IF(K79="Website",1,0)</f>
        <v>1</v>
      </c>
      <c r="Z79" s="13" t="n">
        <f aca="false">IF(K79="Agency",1,0)</f>
        <v>0</v>
      </c>
      <c r="AA79" s="13" t="n">
        <f aca="false">IF(K79="Client",1,0)</f>
        <v>0</v>
      </c>
      <c r="AB79" s="13" t="n">
        <f aca="false">(D79-AVERAGE(D$2:D$2001))/STDEV(D$2:D$2001)</f>
        <v>-1.21881132165305</v>
      </c>
      <c r="AC79" s="13" t="n">
        <f aca="false">(I79-AVERAGE(I$2:I$2001))/STDEV(I$2:I$2001)</f>
        <v>-0.727948160798201</v>
      </c>
      <c r="AD79" s="13" t="n">
        <f aca="false">(L79-AVERAGE(L$2:L$2001))/STDEV(L$2:L$2001)</f>
        <v>0.413838214490712</v>
      </c>
      <c r="AE79" s="13" t="n">
        <f aca="false">(M79-AVERAGE(M$2:M$2001))/STDEV(M$2:M$2001)</f>
        <v>-1.43728595829232</v>
      </c>
      <c r="AF79" s="13" t="n">
        <f aca="false">(N79-AVERAGE(N$2:N$2001))/STDEV(N$2:N$2001)</f>
        <v>-2.25150626138162</v>
      </c>
      <c r="AG79" s="13" t="n">
        <f aca="false">(O79-AVERAGE(O$2:O$2001))/STDEV(O$2:O$2001)</f>
        <v>-2.1357045426162</v>
      </c>
      <c r="AH79" s="0" t="str">
        <f aca="false">IF(B79="Company","C3 - Corporate Buyers",IF(AND(H79="Investment",M79&gt;'Segmentation Summary'!$C$1),"C1 - Global Investors",IF(AND(I79&gt;=4,M79&gt;'Segmentation Summary'!$C$1),"C4 - Luxury Investors",IF(AND(D79&lt;'Segmentation Summary'!$C$2,J79=1),"C2 - First-Time Buyers","C5 - Other Individual Buyers"))))</f>
        <v>C3 - Corporate Buyers</v>
      </c>
    </row>
    <row r="80" customFormat="false" ht="15" hidden="false" customHeight="true" outlineLevel="0" collapsed="false">
      <c r="A80" s="13" t="s">
        <v>248</v>
      </c>
      <c r="B80" s="13" t="s">
        <v>36</v>
      </c>
      <c r="C80" s="13" t="s">
        <v>247</v>
      </c>
      <c r="D80" s="13" t="n">
        <v>37</v>
      </c>
      <c r="E80" s="13" t="s">
        <v>83</v>
      </c>
      <c r="F80" s="13" t="s">
        <v>33</v>
      </c>
      <c r="G80" s="13" t="s">
        <v>95</v>
      </c>
      <c r="H80" s="13" t="s">
        <v>41</v>
      </c>
      <c r="I80" s="13" t="n">
        <v>2</v>
      </c>
      <c r="J80" s="13" t="n">
        <v>0</v>
      </c>
      <c r="K80" s="13" t="s">
        <v>85</v>
      </c>
      <c r="L80" s="13" t="n">
        <v>4</v>
      </c>
      <c r="M80" s="13" t="n">
        <v>1018262.69</v>
      </c>
      <c r="N80" s="13" t="n">
        <v>254565.6725</v>
      </c>
      <c r="O80" s="13" t="n">
        <v>849.79</v>
      </c>
      <c r="P80" s="13" t="n">
        <v>0</v>
      </c>
      <c r="Q80" s="13" t="n">
        <v>4</v>
      </c>
      <c r="R80" s="13" t="s">
        <v>215</v>
      </c>
      <c r="S80" s="13" t="s">
        <v>133</v>
      </c>
      <c r="T80" s="13" t="n">
        <v>1</v>
      </c>
      <c r="U80" s="13" t="n">
        <f aca="false">IF(B80="Individual",1,0)</f>
        <v>0</v>
      </c>
      <c r="V80" s="13" t="n">
        <f aca="false">IF(B80="Company",1,0)</f>
        <v>1</v>
      </c>
      <c r="W80" s="13" t="n">
        <f aca="false">IF(H80="Home",1,0)</f>
        <v>1</v>
      </c>
      <c r="X80" s="13" t="n">
        <f aca="false">IF(H80="Investment",1,0)</f>
        <v>0</v>
      </c>
      <c r="Y80" s="13" t="n">
        <f aca="false">IF(K80="Website",1,0)</f>
        <v>1</v>
      </c>
      <c r="Z80" s="13" t="n">
        <f aca="false">IF(K80="Agency",1,0)</f>
        <v>0</v>
      </c>
      <c r="AA80" s="13" t="n">
        <f aca="false">IF(K80="Client",1,0)</f>
        <v>0</v>
      </c>
      <c r="AB80" s="13" t="n">
        <f aca="false">(D80-AVERAGE(D$2:D$2001))/STDEV(D$2:D$2001)</f>
        <v>-0.988161499700447</v>
      </c>
      <c r="AC80" s="13" t="n">
        <f aca="false">(I80-AVERAGE(I$2:I$2001))/STDEV(I$2:I$2001)</f>
        <v>-0.727948160798201</v>
      </c>
      <c r="AD80" s="13" t="n">
        <f aca="false">(L80-AVERAGE(L$2:L$2001))/STDEV(L$2:L$2001)</f>
        <v>0.413838214490712</v>
      </c>
      <c r="AE80" s="13" t="n">
        <f aca="false">(M80-AVERAGE(M$2:M$2001))/STDEV(M$2:M$2001)</f>
        <v>-0.696065111280786</v>
      </c>
      <c r="AF80" s="13" t="n">
        <f aca="false">(N80-AVERAGE(N$2:N$2001))/STDEV(N$2:N$2001)</f>
        <v>-1.32704913557732</v>
      </c>
      <c r="AG80" s="13" t="n">
        <f aca="false">(O80-AVERAGE(O$2:O$2001))/STDEV(O$2:O$2001)</f>
        <v>-1.35361115976913</v>
      </c>
      <c r="AH80" s="0" t="str">
        <f aca="false">IF(B80="Company","C3 - Corporate Buyers",IF(AND(H80="Investment",M80&gt;'Segmentation Summary'!$C$1),"C1 - Global Investors",IF(AND(I80&gt;=4,M80&gt;'Segmentation Summary'!$C$1),"C4 - Luxury Investors",IF(AND(D80&lt;'Segmentation Summary'!$C$2,J80=1),"C2 - First-Time Buyers","C5 - Other Individual Buyers"))))</f>
        <v>C3 - Corporate Buyers</v>
      </c>
    </row>
    <row r="81" customFormat="false" ht="15" hidden="false" customHeight="true" outlineLevel="0" collapsed="false">
      <c r="A81" s="13" t="s">
        <v>249</v>
      </c>
      <c r="B81" s="13" t="s">
        <v>36</v>
      </c>
      <c r="C81" s="13" t="s">
        <v>247</v>
      </c>
      <c r="D81" s="13" t="n">
        <v>35</v>
      </c>
      <c r="E81" s="13" t="s">
        <v>83</v>
      </c>
      <c r="F81" s="13" t="s">
        <v>35</v>
      </c>
      <c r="G81" s="13" t="s">
        <v>137</v>
      </c>
      <c r="H81" s="13" t="s">
        <v>43</v>
      </c>
      <c r="I81" s="13" t="n">
        <v>2</v>
      </c>
      <c r="J81" s="13" t="n">
        <v>0</v>
      </c>
      <c r="K81" s="13" t="s">
        <v>85</v>
      </c>
      <c r="L81" s="13" t="n">
        <v>4</v>
      </c>
      <c r="M81" s="13" t="n">
        <v>1287767.07</v>
      </c>
      <c r="N81" s="13" t="n">
        <v>321941.7675</v>
      </c>
      <c r="O81" s="13" t="n">
        <v>1063.04</v>
      </c>
      <c r="P81" s="13" t="n">
        <v>1</v>
      </c>
      <c r="Q81" s="13" t="n">
        <v>3</v>
      </c>
      <c r="R81" s="13" t="s">
        <v>92</v>
      </c>
      <c r="S81" s="13" t="s">
        <v>114</v>
      </c>
      <c r="T81" s="13" t="n">
        <v>1</v>
      </c>
      <c r="U81" s="13" t="n">
        <f aca="false">IF(B81="Individual",1,0)</f>
        <v>0</v>
      </c>
      <c r="V81" s="13" t="n">
        <f aca="false">IF(B81="Company",1,0)</f>
        <v>1</v>
      </c>
      <c r="W81" s="13" t="n">
        <f aca="false">IF(H81="Home",1,0)</f>
        <v>0</v>
      </c>
      <c r="X81" s="13" t="n">
        <f aca="false">IF(H81="Investment",1,0)</f>
        <v>1</v>
      </c>
      <c r="Y81" s="13" t="n">
        <f aca="false">IF(K81="Website",1,0)</f>
        <v>1</v>
      </c>
      <c r="Z81" s="13" t="n">
        <f aca="false">IF(K81="Agency",1,0)</f>
        <v>0</v>
      </c>
      <c r="AA81" s="13" t="n">
        <f aca="false">IF(K81="Client",1,0)</f>
        <v>0</v>
      </c>
      <c r="AB81" s="13" t="n">
        <f aca="false">(D81-AVERAGE(D$2:D$2001))/STDEV(D$2:D$2001)</f>
        <v>-1.10348641067675</v>
      </c>
      <c r="AC81" s="13" t="n">
        <f aca="false">(I81-AVERAGE(I$2:I$2001))/STDEV(I$2:I$2001)</f>
        <v>-0.727948160798201</v>
      </c>
      <c r="AD81" s="13" t="n">
        <f aca="false">(L81-AVERAGE(L$2:L$2001))/STDEV(L$2:L$2001)</f>
        <v>0.413838214490712</v>
      </c>
      <c r="AE81" s="13" t="n">
        <f aca="false">(M81-AVERAGE(M$2:M$2001))/STDEV(M$2:M$2001)</f>
        <v>0.0787497835867544</v>
      </c>
      <c r="AF81" s="13" t="n">
        <f aca="false">(N81-AVERAGE(N$2:N$2001))/STDEV(N$2:N$2001)</f>
        <v>-0.360693219351364</v>
      </c>
      <c r="AG81" s="13" t="n">
        <f aca="false">(O81-AVERAGE(O$2:O$2001))/STDEV(O$2:O$2001)</f>
        <v>-0.383951776675313</v>
      </c>
      <c r="AH81" s="0" t="str">
        <f aca="false">IF(B81="Company","C3 - Corporate Buyers",IF(AND(H81="Investment",M81&gt;'Segmentation Summary'!$C$1),"C1 - Global Investors",IF(AND(I81&gt;=4,M81&gt;'Segmentation Summary'!$C$1),"C4 - Luxury Investors",IF(AND(D81&lt;'Segmentation Summary'!$C$2,J81=1),"C2 - First-Time Buyers","C5 - Other Individual Buyers"))))</f>
        <v>C3 - Corporate Buyers</v>
      </c>
    </row>
    <row r="82" customFormat="false" ht="15" hidden="false" customHeight="true" outlineLevel="0" collapsed="false">
      <c r="A82" s="13" t="s">
        <v>250</v>
      </c>
      <c r="B82" s="13" t="s">
        <v>36</v>
      </c>
      <c r="C82" s="13" t="s">
        <v>251</v>
      </c>
      <c r="D82" s="13" t="n">
        <v>33</v>
      </c>
      <c r="E82" s="13" t="s">
        <v>83</v>
      </c>
      <c r="F82" s="13" t="s">
        <v>33</v>
      </c>
      <c r="G82" s="13" t="s">
        <v>162</v>
      </c>
      <c r="H82" s="13" t="s">
        <v>41</v>
      </c>
      <c r="I82" s="13" t="n">
        <v>3</v>
      </c>
      <c r="J82" s="13" t="n">
        <v>0</v>
      </c>
      <c r="K82" s="13" t="s">
        <v>85</v>
      </c>
      <c r="L82" s="13" t="n">
        <v>4</v>
      </c>
      <c r="M82" s="13" t="n">
        <v>1497163.73</v>
      </c>
      <c r="N82" s="13" t="n">
        <v>374290.9325</v>
      </c>
      <c r="O82" s="13" t="n">
        <v>1150.2</v>
      </c>
      <c r="P82" s="13" t="n">
        <v>0</v>
      </c>
      <c r="Q82" s="13" t="n">
        <v>4</v>
      </c>
      <c r="R82" s="13" t="s">
        <v>117</v>
      </c>
      <c r="S82" s="13" t="s">
        <v>135</v>
      </c>
      <c r="T82" s="13" t="n">
        <v>1</v>
      </c>
      <c r="U82" s="13" t="n">
        <f aca="false">IF(B82="Individual",1,0)</f>
        <v>0</v>
      </c>
      <c r="V82" s="13" t="n">
        <f aca="false">IF(B82="Company",1,0)</f>
        <v>1</v>
      </c>
      <c r="W82" s="13" t="n">
        <f aca="false">IF(H82="Home",1,0)</f>
        <v>1</v>
      </c>
      <c r="X82" s="13" t="n">
        <f aca="false">IF(H82="Investment",1,0)</f>
        <v>0</v>
      </c>
      <c r="Y82" s="13" t="n">
        <f aca="false">IF(K82="Website",1,0)</f>
        <v>1</v>
      </c>
      <c r="Z82" s="13" t="n">
        <f aca="false">IF(K82="Agency",1,0)</f>
        <v>0</v>
      </c>
      <c r="AA82" s="13" t="n">
        <f aca="false">IF(K82="Client",1,0)</f>
        <v>0</v>
      </c>
      <c r="AB82" s="13" t="n">
        <f aca="false">(D82-AVERAGE(D$2:D$2001))/STDEV(D$2:D$2001)</f>
        <v>-1.21881132165305</v>
      </c>
      <c r="AC82" s="13" t="n">
        <f aca="false">(I82-AVERAGE(I$2:I$2001))/STDEV(I$2:I$2001)</f>
        <v>-0.0205155458339628</v>
      </c>
      <c r="AD82" s="13" t="n">
        <f aca="false">(L82-AVERAGE(L$2:L$2001))/STDEV(L$2:L$2001)</f>
        <v>0.413838214490712</v>
      </c>
      <c r="AE82" s="13" t="n">
        <f aca="false">(M82-AVERAGE(M$2:M$2001))/STDEV(M$2:M$2001)</f>
        <v>0.680757257838245</v>
      </c>
      <c r="AF82" s="13" t="n">
        <f aca="false">(N82-AVERAGE(N$2:N$2001))/STDEV(N$2:N$2001)</f>
        <v>0.390135769880479</v>
      </c>
      <c r="AG82" s="13" t="n">
        <f aca="false">(O82-AVERAGE(O$2:O$2001))/STDEV(O$2:O$2001)</f>
        <v>0.0123694980278863</v>
      </c>
      <c r="AH82" s="0" t="str">
        <f aca="false">IF(B82="Company","C3 - Corporate Buyers",IF(AND(H82="Investment",M82&gt;'Segmentation Summary'!$C$1),"C1 - Global Investors",IF(AND(I82&gt;=4,M82&gt;'Segmentation Summary'!$C$1),"C4 - Luxury Investors",IF(AND(D82&lt;'Segmentation Summary'!$C$2,J82=1),"C2 - First-Time Buyers","C5 - Other Individual Buyers"))))</f>
        <v>C3 - Corporate Buyers</v>
      </c>
    </row>
    <row r="83" customFormat="false" ht="15" hidden="false" customHeight="true" outlineLevel="0" collapsed="false">
      <c r="A83" s="13" t="s">
        <v>252</v>
      </c>
      <c r="B83" s="13" t="s">
        <v>36</v>
      </c>
      <c r="C83" s="13" t="s">
        <v>251</v>
      </c>
      <c r="D83" s="13" t="n">
        <v>50</v>
      </c>
      <c r="E83" s="13" t="s">
        <v>83</v>
      </c>
      <c r="F83" s="13" t="s">
        <v>33</v>
      </c>
      <c r="G83" s="13" t="s">
        <v>95</v>
      </c>
      <c r="H83" s="13" t="s">
        <v>41</v>
      </c>
      <c r="I83" s="13" t="n">
        <v>1</v>
      </c>
      <c r="J83" s="13" t="n">
        <v>0</v>
      </c>
      <c r="K83" s="13" t="s">
        <v>91</v>
      </c>
      <c r="L83" s="13" t="n">
        <v>3</v>
      </c>
      <c r="M83" s="13" t="n">
        <v>1091085.93</v>
      </c>
      <c r="N83" s="13" t="n">
        <v>363695.31</v>
      </c>
      <c r="O83" s="13" t="n">
        <v>1190.31333333333</v>
      </c>
      <c r="P83" s="13" t="n">
        <v>1</v>
      </c>
      <c r="Q83" s="13" t="n">
        <v>2</v>
      </c>
      <c r="R83" s="13" t="s">
        <v>111</v>
      </c>
      <c r="S83" s="13" t="s">
        <v>103</v>
      </c>
      <c r="T83" s="13" t="n">
        <v>1</v>
      </c>
      <c r="U83" s="13" t="n">
        <f aca="false">IF(B83="Individual",1,0)</f>
        <v>0</v>
      </c>
      <c r="V83" s="13" t="n">
        <f aca="false">IF(B83="Company",1,0)</f>
        <v>1</v>
      </c>
      <c r="W83" s="13" t="n">
        <f aca="false">IF(H83="Home",1,0)</f>
        <v>1</v>
      </c>
      <c r="X83" s="13" t="n">
        <f aca="false">IF(H83="Investment",1,0)</f>
        <v>0</v>
      </c>
      <c r="Y83" s="13" t="n">
        <f aca="false">IF(K83="Website",1,0)</f>
        <v>0</v>
      </c>
      <c r="Z83" s="13" t="n">
        <f aca="false">IF(K83="Agency",1,0)</f>
        <v>1</v>
      </c>
      <c r="AA83" s="13" t="n">
        <f aca="false">IF(K83="Client",1,0)</f>
        <v>0</v>
      </c>
      <c r="AB83" s="13" t="n">
        <f aca="false">(D83-AVERAGE(D$2:D$2001))/STDEV(D$2:D$2001)</f>
        <v>-0.238549578354482</v>
      </c>
      <c r="AC83" s="13" t="n">
        <f aca="false">(I83-AVERAGE(I$2:I$2001))/STDEV(I$2:I$2001)</f>
        <v>-1.43538077576244</v>
      </c>
      <c r="AD83" s="13" t="n">
        <f aca="false">(L83-AVERAGE(L$2:L$2001))/STDEV(L$2:L$2001)</f>
        <v>-0.777063122173208</v>
      </c>
      <c r="AE83" s="13" t="n">
        <f aca="false">(M83-AVERAGE(M$2:M$2001))/STDEV(M$2:M$2001)</f>
        <v>-0.486701051800514</v>
      </c>
      <c r="AF83" s="13" t="n">
        <f aca="false">(N83-AVERAGE(N$2:N$2001))/STDEV(N$2:N$2001)</f>
        <v>0.238165809481738</v>
      </c>
      <c r="AG83" s="13" t="n">
        <f aca="false">(O83-AVERAGE(O$2:O$2001))/STDEV(O$2:O$2001)</f>
        <v>0.194767012934491</v>
      </c>
      <c r="AH83" s="0" t="str">
        <f aca="false">IF(B83="Company","C3 - Corporate Buyers",IF(AND(H83="Investment",M83&gt;'Segmentation Summary'!$C$1),"C1 - Global Investors",IF(AND(I83&gt;=4,M83&gt;'Segmentation Summary'!$C$1),"C4 - Luxury Investors",IF(AND(D83&lt;'Segmentation Summary'!$C$2,J83=1),"C2 - First-Time Buyers","C5 - Other Individual Buyers"))))</f>
        <v>C3 - Corporate Buyers</v>
      </c>
    </row>
    <row r="84" customFormat="false" ht="15" hidden="false" customHeight="true" outlineLevel="0" collapsed="false">
      <c r="A84" s="13" t="s">
        <v>253</v>
      </c>
      <c r="B84" s="13" t="s">
        <v>36</v>
      </c>
      <c r="C84" s="13" t="s">
        <v>251</v>
      </c>
      <c r="D84" s="13" t="n">
        <v>40</v>
      </c>
      <c r="E84" s="13" t="s">
        <v>90</v>
      </c>
      <c r="F84" s="13" t="s">
        <v>33</v>
      </c>
      <c r="G84" s="13" t="s">
        <v>84</v>
      </c>
      <c r="H84" s="13" t="s">
        <v>41</v>
      </c>
      <c r="I84" s="13" t="n">
        <v>2</v>
      </c>
      <c r="J84" s="13" t="n">
        <v>1</v>
      </c>
      <c r="K84" s="13" t="s">
        <v>91</v>
      </c>
      <c r="L84" s="13" t="n">
        <v>3</v>
      </c>
      <c r="M84" s="13" t="n">
        <v>1133984.52</v>
      </c>
      <c r="N84" s="13" t="n">
        <v>377994.84</v>
      </c>
      <c r="O84" s="13" t="n">
        <v>1313.16</v>
      </c>
      <c r="P84" s="13" t="n">
        <v>0</v>
      </c>
      <c r="Q84" s="13" t="n">
        <v>3</v>
      </c>
      <c r="R84" s="13" t="s">
        <v>98</v>
      </c>
      <c r="S84" s="13" t="s">
        <v>103</v>
      </c>
      <c r="T84" s="13" t="n">
        <v>1</v>
      </c>
      <c r="U84" s="13" t="n">
        <f aca="false">IF(B84="Individual",1,0)</f>
        <v>0</v>
      </c>
      <c r="V84" s="13" t="n">
        <f aca="false">IF(B84="Company",1,0)</f>
        <v>1</v>
      </c>
      <c r="W84" s="13" t="n">
        <f aca="false">IF(H84="Home",1,0)</f>
        <v>1</v>
      </c>
      <c r="X84" s="13" t="n">
        <f aca="false">IF(H84="Investment",1,0)</f>
        <v>0</v>
      </c>
      <c r="Y84" s="13" t="n">
        <f aca="false">IF(K84="Website",1,0)</f>
        <v>0</v>
      </c>
      <c r="Z84" s="13" t="n">
        <f aca="false">IF(K84="Agency",1,0)</f>
        <v>1</v>
      </c>
      <c r="AA84" s="13" t="n">
        <f aca="false">IF(K84="Client",1,0)</f>
        <v>0</v>
      </c>
      <c r="AB84" s="13" t="n">
        <f aca="false">(D84-AVERAGE(D$2:D$2001))/STDEV(D$2:D$2001)</f>
        <v>-0.815174133235994</v>
      </c>
      <c r="AC84" s="13" t="n">
        <f aca="false">(I84-AVERAGE(I$2:I$2001))/STDEV(I$2:I$2001)</f>
        <v>-0.727948160798201</v>
      </c>
      <c r="AD84" s="13" t="n">
        <f aca="false">(L84-AVERAGE(L$2:L$2001))/STDEV(L$2:L$2001)</f>
        <v>-0.777063122173208</v>
      </c>
      <c r="AE84" s="13" t="n">
        <f aca="false">(M84-AVERAGE(M$2:M$2001))/STDEV(M$2:M$2001)</f>
        <v>-0.363369228767376</v>
      </c>
      <c r="AF84" s="13" t="n">
        <f aca="false">(N84-AVERAGE(N$2:N$2001))/STDEV(N$2:N$2001)</f>
        <v>0.443259847875482</v>
      </c>
      <c r="AG84" s="13" t="n">
        <f aca="false">(O84-AVERAGE(O$2:O$2001))/STDEV(O$2:O$2001)</f>
        <v>0.753357507729966</v>
      </c>
      <c r="AH84" s="0" t="str">
        <f aca="false">IF(B84="Company","C3 - Corporate Buyers",IF(AND(H84="Investment",M84&gt;'Segmentation Summary'!$C$1),"C1 - Global Investors",IF(AND(I84&gt;=4,M84&gt;'Segmentation Summary'!$C$1),"C4 - Luxury Investors",IF(AND(D84&lt;'Segmentation Summary'!$C$2,J84=1),"C2 - First-Time Buyers","C5 - Other Individual Buyers"))))</f>
        <v>C3 - Corporate Buyers</v>
      </c>
    </row>
    <row r="85" customFormat="false" ht="15" hidden="false" customHeight="true" outlineLevel="0" collapsed="false">
      <c r="A85" s="13" t="s">
        <v>254</v>
      </c>
      <c r="B85" s="13" t="s">
        <v>36</v>
      </c>
      <c r="C85" s="13" t="s">
        <v>255</v>
      </c>
      <c r="D85" s="13" t="n">
        <v>57</v>
      </c>
      <c r="E85" s="13" t="s">
        <v>90</v>
      </c>
      <c r="F85" s="13" t="s">
        <v>33</v>
      </c>
      <c r="G85" s="13" t="s">
        <v>95</v>
      </c>
      <c r="H85" s="13" t="s">
        <v>43</v>
      </c>
      <c r="I85" s="13" t="n">
        <v>5</v>
      </c>
      <c r="J85" s="13" t="n">
        <v>1</v>
      </c>
      <c r="K85" s="13" t="s">
        <v>85</v>
      </c>
      <c r="L85" s="13" t="n">
        <v>3</v>
      </c>
      <c r="M85" s="13" t="n">
        <v>1205900.67</v>
      </c>
      <c r="N85" s="13" t="n">
        <v>401966.89</v>
      </c>
      <c r="O85" s="13" t="n">
        <v>1290.08666666667</v>
      </c>
      <c r="P85" s="13" t="n">
        <v>1</v>
      </c>
      <c r="Q85" s="13" t="n">
        <v>2</v>
      </c>
      <c r="R85" s="13" t="s">
        <v>86</v>
      </c>
      <c r="S85" s="13" t="s">
        <v>164</v>
      </c>
      <c r="T85" s="13" t="n">
        <v>1</v>
      </c>
      <c r="U85" s="13" t="n">
        <f aca="false">IF(B85="Individual",1,0)</f>
        <v>0</v>
      </c>
      <c r="V85" s="13" t="n">
        <f aca="false">IF(B85="Company",1,0)</f>
        <v>1</v>
      </c>
      <c r="W85" s="13" t="n">
        <f aca="false">IF(H85="Home",1,0)</f>
        <v>0</v>
      </c>
      <c r="X85" s="13" t="n">
        <f aca="false">IF(H85="Investment",1,0)</f>
        <v>1</v>
      </c>
      <c r="Y85" s="13" t="n">
        <f aca="false">IF(K85="Website",1,0)</f>
        <v>1</v>
      </c>
      <c r="Z85" s="13" t="n">
        <f aca="false">IF(K85="Agency",1,0)</f>
        <v>0</v>
      </c>
      <c r="AA85" s="13" t="n">
        <f aca="false">IF(K85="Client",1,0)</f>
        <v>0</v>
      </c>
      <c r="AB85" s="13" t="n">
        <f aca="false">(D85-AVERAGE(D$2:D$2001))/STDEV(D$2:D$2001)</f>
        <v>0.165087610062577</v>
      </c>
      <c r="AC85" s="13" t="n">
        <f aca="false">(I85-AVERAGE(I$2:I$2001))/STDEV(I$2:I$2001)</f>
        <v>1.39434968409451</v>
      </c>
      <c r="AD85" s="13" t="n">
        <f aca="false">(L85-AVERAGE(L$2:L$2001))/STDEV(L$2:L$2001)</f>
        <v>-0.777063122173208</v>
      </c>
      <c r="AE85" s="13" t="n">
        <f aca="false">(M85-AVERAGE(M$2:M$2001))/STDEV(M$2:M$2001)</f>
        <v>-0.15661301871421</v>
      </c>
      <c r="AF85" s="13" t="n">
        <f aca="false">(N85-AVERAGE(N$2:N$2001))/STDEV(N$2:N$2001)</f>
        <v>0.787084053501593</v>
      </c>
      <c r="AG85" s="13" t="n">
        <f aca="false">(O85-AVERAGE(O$2:O$2001))/STDEV(O$2:O$2001)</f>
        <v>0.648441802379838</v>
      </c>
      <c r="AH85" s="0" t="str">
        <f aca="false">IF(B85="Company","C3 - Corporate Buyers",IF(AND(H85="Investment",M85&gt;'Segmentation Summary'!$C$1),"C1 - Global Investors",IF(AND(I85&gt;=4,M85&gt;'Segmentation Summary'!$C$1),"C4 - Luxury Investors",IF(AND(D85&lt;'Segmentation Summary'!$C$2,J85=1),"C2 - First-Time Buyers","C5 - Other Individual Buyers"))))</f>
        <v>C3 - Corporate Buyers</v>
      </c>
    </row>
    <row r="86" customFormat="false" ht="15" hidden="false" customHeight="true" outlineLevel="0" collapsed="false">
      <c r="A86" s="13" t="s">
        <v>256</v>
      </c>
      <c r="B86" s="13" t="s">
        <v>36</v>
      </c>
      <c r="C86" s="13" t="s">
        <v>255</v>
      </c>
      <c r="D86" s="13" t="n">
        <v>53</v>
      </c>
      <c r="E86" s="13" t="s">
        <v>90</v>
      </c>
      <c r="F86" s="13" t="s">
        <v>33</v>
      </c>
      <c r="G86" s="13" t="s">
        <v>97</v>
      </c>
      <c r="H86" s="13" t="s">
        <v>41</v>
      </c>
      <c r="I86" s="13" t="n">
        <v>3</v>
      </c>
      <c r="J86" s="13" t="n">
        <v>0</v>
      </c>
      <c r="K86" s="13" t="s">
        <v>91</v>
      </c>
      <c r="L86" s="13" t="n">
        <v>3</v>
      </c>
      <c r="M86" s="13" t="n">
        <v>1036781.97</v>
      </c>
      <c r="N86" s="13" t="n">
        <v>345593.99</v>
      </c>
      <c r="O86" s="13" t="n">
        <v>1152.59666666667</v>
      </c>
      <c r="P86" s="13" t="n">
        <v>0</v>
      </c>
      <c r="Q86" s="13" t="n">
        <v>3</v>
      </c>
      <c r="R86" s="13" t="s">
        <v>107</v>
      </c>
      <c r="S86" s="13" t="s">
        <v>154</v>
      </c>
      <c r="T86" s="13" t="n">
        <v>1</v>
      </c>
      <c r="U86" s="13" t="n">
        <f aca="false">IF(B86="Individual",1,0)</f>
        <v>0</v>
      </c>
      <c r="V86" s="13" t="n">
        <f aca="false">IF(B86="Company",1,0)</f>
        <v>1</v>
      </c>
      <c r="W86" s="13" t="n">
        <f aca="false">IF(H86="Home",1,0)</f>
        <v>1</v>
      </c>
      <c r="X86" s="13" t="n">
        <f aca="false">IF(H86="Investment",1,0)</f>
        <v>0</v>
      </c>
      <c r="Y86" s="13" t="n">
        <f aca="false">IF(K86="Website",1,0)</f>
        <v>0</v>
      </c>
      <c r="Z86" s="13" t="n">
        <f aca="false">IF(K86="Agency",1,0)</f>
        <v>1</v>
      </c>
      <c r="AA86" s="13" t="n">
        <f aca="false">IF(K86="Client",1,0)</f>
        <v>0</v>
      </c>
      <c r="AB86" s="13" t="n">
        <f aca="false">(D86-AVERAGE(D$2:D$2001))/STDEV(D$2:D$2001)</f>
        <v>-0.065562211890028</v>
      </c>
      <c r="AC86" s="13" t="n">
        <f aca="false">(I86-AVERAGE(I$2:I$2001))/STDEV(I$2:I$2001)</f>
        <v>-0.0205155458339628</v>
      </c>
      <c r="AD86" s="13" t="n">
        <f aca="false">(L86-AVERAGE(L$2:L$2001))/STDEV(L$2:L$2001)</f>
        <v>-0.777063122173208</v>
      </c>
      <c r="AE86" s="13" t="n">
        <f aca="false">(M86-AVERAGE(M$2:M$2001))/STDEV(M$2:M$2001)</f>
        <v>-0.642822882021942</v>
      </c>
      <c r="AF86" s="13" t="n">
        <f aca="false">(N86-AVERAGE(N$2:N$2001))/STDEV(N$2:N$2001)</f>
        <v>-0.0214562073997573</v>
      </c>
      <c r="AG86" s="13" t="n">
        <f aca="false">(O86-AVERAGE(O$2:O$2001))/STDEV(O$2:O$2001)</f>
        <v>0.0232672721028438</v>
      </c>
      <c r="AH86" s="0" t="str">
        <f aca="false">IF(B86="Company","C3 - Corporate Buyers",IF(AND(H86="Investment",M86&gt;'Segmentation Summary'!$C$1),"C1 - Global Investors",IF(AND(I86&gt;=4,M86&gt;'Segmentation Summary'!$C$1),"C4 - Luxury Investors",IF(AND(D86&lt;'Segmentation Summary'!$C$2,J86=1),"C2 - First-Time Buyers","C5 - Other Individual Buyers"))))</f>
        <v>C3 - Corporate Buyers</v>
      </c>
    </row>
    <row r="87" customFormat="false" ht="15" hidden="false" customHeight="true" outlineLevel="0" collapsed="false">
      <c r="A87" s="13" t="s">
        <v>257</v>
      </c>
      <c r="B87" s="13" t="s">
        <v>36</v>
      </c>
      <c r="C87" s="13" t="s">
        <v>258</v>
      </c>
      <c r="D87" s="13" t="n">
        <v>39</v>
      </c>
      <c r="E87" s="13" t="s">
        <v>83</v>
      </c>
      <c r="F87" s="13" t="s">
        <v>37</v>
      </c>
      <c r="G87" s="13" t="s">
        <v>259</v>
      </c>
      <c r="H87" s="13" t="s">
        <v>43</v>
      </c>
      <c r="I87" s="13" t="n">
        <v>5</v>
      </c>
      <c r="J87" s="13" t="n">
        <v>1</v>
      </c>
      <c r="K87" s="13" t="s">
        <v>85</v>
      </c>
      <c r="L87" s="13" t="n">
        <v>4</v>
      </c>
      <c r="M87" s="13" t="n">
        <v>1527115.16</v>
      </c>
      <c r="N87" s="13" t="n">
        <v>381778.79</v>
      </c>
      <c r="O87" s="13" t="n">
        <v>1263.775</v>
      </c>
      <c r="P87" s="13" t="n">
        <v>0</v>
      </c>
      <c r="Q87" s="13" t="n">
        <v>4</v>
      </c>
      <c r="R87" s="13" t="s">
        <v>124</v>
      </c>
      <c r="S87" s="13" t="s">
        <v>133</v>
      </c>
      <c r="T87" s="13" t="n">
        <v>1</v>
      </c>
      <c r="U87" s="13" t="n">
        <f aca="false">IF(B87="Individual",1,0)</f>
        <v>0</v>
      </c>
      <c r="V87" s="13" t="n">
        <f aca="false">IF(B87="Company",1,0)</f>
        <v>1</v>
      </c>
      <c r="W87" s="13" t="n">
        <f aca="false">IF(H87="Home",1,0)</f>
        <v>0</v>
      </c>
      <c r="X87" s="13" t="n">
        <f aca="false">IF(H87="Investment",1,0)</f>
        <v>1</v>
      </c>
      <c r="Y87" s="13" t="n">
        <f aca="false">IF(K87="Website",1,0)</f>
        <v>1</v>
      </c>
      <c r="Z87" s="13" t="n">
        <f aca="false">IF(K87="Agency",1,0)</f>
        <v>0</v>
      </c>
      <c r="AA87" s="13" t="n">
        <f aca="false">IF(K87="Client",1,0)</f>
        <v>0</v>
      </c>
      <c r="AB87" s="13" t="n">
        <f aca="false">(D87-AVERAGE(D$2:D$2001))/STDEV(D$2:D$2001)</f>
        <v>-0.872836588724145</v>
      </c>
      <c r="AC87" s="13" t="n">
        <f aca="false">(I87-AVERAGE(I$2:I$2001))/STDEV(I$2:I$2001)</f>
        <v>1.39434968409451</v>
      </c>
      <c r="AD87" s="13" t="n">
        <f aca="false">(L87-AVERAGE(L$2:L$2001))/STDEV(L$2:L$2001)</f>
        <v>0.413838214490712</v>
      </c>
      <c r="AE87" s="13" t="n">
        <f aca="false">(M87-AVERAGE(M$2:M$2001))/STDEV(M$2:M$2001)</f>
        <v>0.766866485772063</v>
      </c>
      <c r="AF87" s="13" t="n">
        <f aca="false">(N87-AVERAGE(N$2:N$2001))/STDEV(N$2:N$2001)</f>
        <v>0.497531952383812</v>
      </c>
      <c r="AG87" s="13" t="n">
        <f aca="false">(O87-AVERAGE(O$2:O$2001))/STDEV(O$2:O$2001)</f>
        <v>0.528801218707278</v>
      </c>
      <c r="AH87" s="0" t="str">
        <f aca="false">IF(B87="Company","C3 - Corporate Buyers",IF(AND(H87="Investment",M87&gt;'Segmentation Summary'!$C$1),"C1 - Global Investors",IF(AND(I87&gt;=4,M87&gt;'Segmentation Summary'!$C$1),"C4 - Luxury Investors",IF(AND(D87&lt;'Segmentation Summary'!$C$2,J87=1),"C2 - First-Time Buyers","C5 - Other Individual Buyers"))))</f>
        <v>C3 - Corporate Buyers</v>
      </c>
    </row>
    <row r="88" customFormat="false" ht="15" hidden="false" customHeight="true" outlineLevel="0" collapsed="false">
      <c r="A88" s="13" t="s">
        <v>260</v>
      </c>
      <c r="B88" s="13" t="s">
        <v>36</v>
      </c>
      <c r="C88" s="13" t="s">
        <v>258</v>
      </c>
      <c r="D88" s="13" t="n">
        <v>39</v>
      </c>
      <c r="E88" s="13" t="s">
        <v>83</v>
      </c>
      <c r="F88" s="13" t="s">
        <v>33</v>
      </c>
      <c r="G88" s="13" t="s">
        <v>95</v>
      </c>
      <c r="H88" s="13" t="s">
        <v>41</v>
      </c>
      <c r="I88" s="13" t="n">
        <v>2</v>
      </c>
      <c r="J88" s="13" t="n">
        <v>1</v>
      </c>
      <c r="K88" s="13" t="s">
        <v>91</v>
      </c>
      <c r="L88" s="13" t="n">
        <v>4</v>
      </c>
      <c r="M88" s="13" t="n">
        <v>816793.91</v>
      </c>
      <c r="N88" s="13" t="n">
        <v>204198.4775</v>
      </c>
      <c r="O88" s="13" t="n">
        <v>735.11</v>
      </c>
      <c r="P88" s="13" t="n">
        <v>0</v>
      </c>
      <c r="Q88" s="13" t="n">
        <v>4</v>
      </c>
      <c r="R88" s="13" t="s">
        <v>86</v>
      </c>
      <c r="S88" s="13" t="s">
        <v>112</v>
      </c>
      <c r="T88" s="13" t="n">
        <v>1</v>
      </c>
      <c r="U88" s="13" t="n">
        <f aca="false">IF(B88="Individual",1,0)</f>
        <v>0</v>
      </c>
      <c r="V88" s="13" t="n">
        <f aca="false">IF(B88="Company",1,0)</f>
        <v>1</v>
      </c>
      <c r="W88" s="13" t="n">
        <f aca="false">IF(H88="Home",1,0)</f>
        <v>1</v>
      </c>
      <c r="X88" s="13" t="n">
        <f aca="false">IF(H88="Investment",1,0)</f>
        <v>0</v>
      </c>
      <c r="Y88" s="13" t="n">
        <f aca="false">IF(K88="Website",1,0)</f>
        <v>0</v>
      </c>
      <c r="Z88" s="13" t="n">
        <f aca="false">IF(K88="Agency",1,0)</f>
        <v>1</v>
      </c>
      <c r="AA88" s="13" t="n">
        <f aca="false">IF(K88="Client",1,0)</f>
        <v>0</v>
      </c>
      <c r="AB88" s="13" t="n">
        <f aca="false">(D88-AVERAGE(D$2:D$2001))/STDEV(D$2:D$2001)</f>
        <v>-0.872836588724145</v>
      </c>
      <c r="AC88" s="13" t="n">
        <f aca="false">(I88-AVERAGE(I$2:I$2001))/STDEV(I$2:I$2001)</f>
        <v>-0.727948160798201</v>
      </c>
      <c r="AD88" s="13" t="n">
        <f aca="false">(L88-AVERAGE(L$2:L$2001))/STDEV(L$2:L$2001)</f>
        <v>0.413838214490712</v>
      </c>
      <c r="AE88" s="13" t="n">
        <f aca="false">(M88-AVERAGE(M$2:M$2001))/STDEV(M$2:M$2001)</f>
        <v>-1.2752802305111</v>
      </c>
      <c r="AF88" s="13" t="n">
        <f aca="false">(N88-AVERAGE(N$2:N$2001))/STDEV(N$2:N$2001)</f>
        <v>-2.04945130020197</v>
      </c>
      <c r="AG88" s="13" t="n">
        <f aca="false">(O88-AVERAGE(O$2:O$2001))/STDEV(O$2:O$2001)</f>
        <v>-1.87506737572786</v>
      </c>
      <c r="AH88" s="0" t="str">
        <f aca="false">IF(B88="Company","C3 - Corporate Buyers",IF(AND(H88="Investment",M88&gt;'Segmentation Summary'!$C$1),"C1 - Global Investors",IF(AND(I88&gt;=4,M88&gt;'Segmentation Summary'!$C$1),"C4 - Luxury Investors",IF(AND(D88&lt;'Segmentation Summary'!$C$2,J88=1),"C2 - First-Time Buyers","C5 - Other Individual Buyers"))))</f>
        <v>C3 - Corporate Buyers</v>
      </c>
    </row>
    <row r="89" customFormat="false" ht="15" hidden="false" customHeight="true" outlineLevel="0" collapsed="false">
      <c r="A89" s="13" t="s">
        <v>261</v>
      </c>
      <c r="B89" s="13" t="s">
        <v>36</v>
      </c>
      <c r="C89" s="13" t="s">
        <v>258</v>
      </c>
      <c r="D89" s="13" t="n">
        <v>51</v>
      </c>
      <c r="E89" s="13" t="s">
        <v>90</v>
      </c>
      <c r="F89" s="13" t="s">
        <v>33</v>
      </c>
      <c r="G89" s="13" t="s">
        <v>95</v>
      </c>
      <c r="H89" s="13" t="s">
        <v>41</v>
      </c>
      <c r="I89" s="13" t="n">
        <v>1</v>
      </c>
      <c r="J89" s="13" t="n">
        <v>1</v>
      </c>
      <c r="K89" s="13" t="s">
        <v>116</v>
      </c>
      <c r="L89" s="13" t="n">
        <v>4</v>
      </c>
      <c r="M89" s="13" t="n">
        <v>1653171.62</v>
      </c>
      <c r="N89" s="13" t="n">
        <v>413292.905</v>
      </c>
      <c r="O89" s="13" t="n">
        <v>1428.575</v>
      </c>
      <c r="P89" s="13" t="n">
        <v>0</v>
      </c>
      <c r="Q89" s="13" t="n">
        <v>4</v>
      </c>
      <c r="R89" s="13" t="s">
        <v>98</v>
      </c>
      <c r="S89" s="13" t="s">
        <v>150</v>
      </c>
      <c r="T89" s="13" t="n">
        <v>1</v>
      </c>
      <c r="U89" s="13" t="n">
        <f aca="false">IF(B89="Individual",1,0)</f>
        <v>0</v>
      </c>
      <c r="V89" s="13" t="n">
        <f aca="false">IF(B89="Company",1,0)</f>
        <v>1</v>
      </c>
      <c r="W89" s="13" t="n">
        <f aca="false">IF(H89="Home",1,0)</f>
        <v>1</v>
      </c>
      <c r="X89" s="13" t="n">
        <f aca="false">IF(H89="Investment",1,0)</f>
        <v>0</v>
      </c>
      <c r="Y89" s="13" t="n">
        <f aca="false">IF(K89="Website",1,0)</f>
        <v>0</v>
      </c>
      <c r="Z89" s="13" t="n">
        <f aca="false">IF(K89="Agency",1,0)</f>
        <v>0</v>
      </c>
      <c r="AA89" s="13" t="n">
        <f aca="false">IF(K89="Client",1,0)</f>
        <v>1</v>
      </c>
      <c r="AB89" s="13" t="n">
        <f aca="false">(D89-AVERAGE(D$2:D$2001))/STDEV(D$2:D$2001)</f>
        <v>-0.18088712286633</v>
      </c>
      <c r="AC89" s="13" t="n">
        <f aca="false">(I89-AVERAGE(I$2:I$2001))/STDEV(I$2:I$2001)</f>
        <v>-1.43538077576244</v>
      </c>
      <c r="AD89" s="13" t="n">
        <f aca="false">(L89-AVERAGE(L$2:L$2001))/STDEV(L$2:L$2001)</f>
        <v>0.413838214490712</v>
      </c>
      <c r="AE89" s="13" t="n">
        <f aca="false">(M89-AVERAGE(M$2:M$2001))/STDEV(M$2:M$2001)</f>
        <v>1.12927403848892</v>
      </c>
      <c r="AF89" s="13" t="n">
        <f aca="false">(N89-AVERAGE(N$2:N$2001))/STDEV(N$2:N$2001)</f>
        <v>0.949529823065915</v>
      </c>
      <c r="AG89" s="13" t="n">
        <f aca="false">(O89-AVERAGE(O$2:O$2001))/STDEV(O$2:O$2001)</f>
        <v>1.278155808784</v>
      </c>
      <c r="AH89" s="0" t="str">
        <f aca="false">IF(B89="Company","C3 - Corporate Buyers",IF(AND(H89="Investment",M89&gt;'Segmentation Summary'!$C$1),"C1 - Global Investors",IF(AND(I89&gt;=4,M89&gt;'Segmentation Summary'!$C$1),"C4 - Luxury Investors",IF(AND(D89&lt;'Segmentation Summary'!$C$2,J89=1),"C2 - First-Time Buyers","C5 - Other Individual Buyers"))))</f>
        <v>C3 - Corporate Buyers</v>
      </c>
    </row>
    <row r="90" customFormat="false" ht="15" hidden="false" customHeight="true" outlineLevel="0" collapsed="false">
      <c r="A90" s="13" t="s">
        <v>262</v>
      </c>
      <c r="B90" s="13" t="s">
        <v>36</v>
      </c>
      <c r="C90" s="13" t="s">
        <v>258</v>
      </c>
      <c r="D90" s="13" t="n">
        <v>57</v>
      </c>
      <c r="E90" s="13" t="s">
        <v>83</v>
      </c>
      <c r="F90" s="13" t="s">
        <v>33</v>
      </c>
      <c r="G90" s="13" t="s">
        <v>95</v>
      </c>
      <c r="H90" s="13" t="s">
        <v>41</v>
      </c>
      <c r="I90" s="13" t="n">
        <v>2</v>
      </c>
      <c r="J90" s="13" t="n">
        <v>1</v>
      </c>
      <c r="K90" s="13" t="s">
        <v>85</v>
      </c>
      <c r="L90" s="13" t="n">
        <v>3</v>
      </c>
      <c r="M90" s="13" t="n">
        <v>615223.03</v>
      </c>
      <c r="N90" s="13" t="n">
        <v>205074.343333333</v>
      </c>
      <c r="O90" s="13" t="n">
        <v>678.97</v>
      </c>
      <c r="P90" s="13" t="n">
        <v>0</v>
      </c>
      <c r="Q90" s="13" t="n">
        <v>3</v>
      </c>
      <c r="R90" s="13" t="s">
        <v>215</v>
      </c>
      <c r="S90" s="13" t="s">
        <v>87</v>
      </c>
      <c r="T90" s="13" t="n">
        <v>1</v>
      </c>
      <c r="U90" s="13" t="n">
        <f aca="false">IF(B90="Individual",1,0)</f>
        <v>0</v>
      </c>
      <c r="V90" s="13" t="n">
        <f aca="false">IF(B90="Company",1,0)</f>
        <v>1</v>
      </c>
      <c r="W90" s="13" t="n">
        <f aca="false">IF(H90="Home",1,0)</f>
        <v>1</v>
      </c>
      <c r="X90" s="13" t="n">
        <f aca="false">IF(H90="Investment",1,0)</f>
        <v>0</v>
      </c>
      <c r="Y90" s="13" t="n">
        <f aca="false">IF(K90="Website",1,0)</f>
        <v>1</v>
      </c>
      <c r="Z90" s="13" t="n">
        <f aca="false">IF(K90="Agency",1,0)</f>
        <v>0</v>
      </c>
      <c r="AA90" s="13" t="n">
        <f aca="false">IF(K90="Client",1,0)</f>
        <v>0</v>
      </c>
      <c r="AB90" s="13" t="n">
        <f aca="false">(D90-AVERAGE(D$2:D$2001))/STDEV(D$2:D$2001)</f>
        <v>0.165087610062577</v>
      </c>
      <c r="AC90" s="13" t="n">
        <f aca="false">(I90-AVERAGE(I$2:I$2001))/STDEV(I$2:I$2001)</f>
        <v>-0.727948160798201</v>
      </c>
      <c r="AD90" s="13" t="n">
        <f aca="false">(L90-AVERAGE(L$2:L$2001))/STDEV(L$2:L$2001)</f>
        <v>-0.777063122173208</v>
      </c>
      <c r="AE90" s="13" t="n">
        <f aca="false">(M90-AVERAGE(M$2:M$2001))/STDEV(M$2:M$2001)</f>
        <v>-1.8547888833781</v>
      </c>
      <c r="AF90" s="13" t="n">
        <f aca="false">(N90-AVERAGE(N$2:N$2001))/STDEV(N$2:N$2001)</f>
        <v>-2.0368890089344</v>
      </c>
      <c r="AG90" s="13" t="n">
        <f aca="false">(O90-AVERAGE(O$2:O$2001))/STDEV(O$2:O$2001)</f>
        <v>-2.1303390182455</v>
      </c>
      <c r="AH90" s="0" t="str">
        <f aca="false">IF(B90="Company","C3 - Corporate Buyers",IF(AND(H90="Investment",M90&gt;'Segmentation Summary'!$C$1),"C1 - Global Investors",IF(AND(I90&gt;=4,M90&gt;'Segmentation Summary'!$C$1),"C4 - Luxury Investors",IF(AND(D90&lt;'Segmentation Summary'!$C$2,J90=1),"C2 - First-Time Buyers","C5 - Other Individual Buyers"))))</f>
        <v>C3 - Corporate Buyers</v>
      </c>
    </row>
    <row r="91" customFormat="false" ht="15" hidden="false" customHeight="true" outlineLevel="0" collapsed="false">
      <c r="A91" s="13" t="s">
        <v>263</v>
      </c>
      <c r="B91" s="13" t="s">
        <v>36</v>
      </c>
      <c r="C91" s="13" t="s">
        <v>264</v>
      </c>
      <c r="D91" s="13" t="n">
        <v>57</v>
      </c>
      <c r="E91" s="13" t="s">
        <v>83</v>
      </c>
      <c r="F91" s="13" t="s">
        <v>33</v>
      </c>
      <c r="G91" s="13" t="s">
        <v>265</v>
      </c>
      <c r="H91" s="13" t="s">
        <v>41</v>
      </c>
      <c r="I91" s="13" t="n">
        <v>5</v>
      </c>
      <c r="J91" s="13" t="n">
        <v>0</v>
      </c>
      <c r="K91" s="13" t="s">
        <v>85</v>
      </c>
      <c r="L91" s="13" t="n">
        <v>3</v>
      </c>
      <c r="M91" s="13" t="n">
        <v>983925.13</v>
      </c>
      <c r="N91" s="13" t="n">
        <v>327975.043333333</v>
      </c>
      <c r="O91" s="13" t="n">
        <v>1090.77333333333</v>
      </c>
      <c r="P91" s="13" t="n">
        <v>0</v>
      </c>
      <c r="Q91" s="13" t="n">
        <v>3</v>
      </c>
      <c r="R91" s="13" t="s">
        <v>121</v>
      </c>
      <c r="S91" s="13" t="s">
        <v>152</v>
      </c>
      <c r="T91" s="13" t="n">
        <v>1</v>
      </c>
      <c r="U91" s="13" t="n">
        <f aca="false">IF(B91="Individual",1,0)</f>
        <v>0</v>
      </c>
      <c r="V91" s="13" t="n">
        <f aca="false">IF(B91="Company",1,0)</f>
        <v>1</v>
      </c>
      <c r="W91" s="13" t="n">
        <f aca="false">IF(H91="Home",1,0)</f>
        <v>1</v>
      </c>
      <c r="X91" s="13" t="n">
        <f aca="false">IF(H91="Investment",1,0)</f>
        <v>0</v>
      </c>
      <c r="Y91" s="13" t="n">
        <f aca="false">IF(K91="Website",1,0)</f>
        <v>1</v>
      </c>
      <c r="Z91" s="13" t="n">
        <f aca="false">IF(K91="Agency",1,0)</f>
        <v>0</v>
      </c>
      <c r="AA91" s="13" t="n">
        <f aca="false">IF(K91="Client",1,0)</f>
        <v>0</v>
      </c>
      <c r="AB91" s="13" t="n">
        <f aca="false">(D91-AVERAGE(D$2:D$2001))/STDEV(D$2:D$2001)</f>
        <v>0.165087610062577</v>
      </c>
      <c r="AC91" s="13" t="n">
        <f aca="false">(I91-AVERAGE(I$2:I$2001))/STDEV(I$2:I$2001)</f>
        <v>1.39434968409451</v>
      </c>
      <c r="AD91" s="13" t="n">
        <f aca="false">(L91-AVERAGE(L$2:L$2001))/STDEV(L$2:L$2001)</f>
        <v>-0.777063122173208</v>
      </c>
      <c r="AE91" s="13" t="n">
        <f aca="false">(M91-AVERAGE(M$2:M$2001))/STDEV(M$2:M$2001)</f>
        <v>-0.794784297000171</v>
      </c>
      <c r="AF91" s="13" t="n">
        <f aca="false">(N91-AVERAGE(N$2:N$2001))/STDEV(N$2:N$2001)</f>
        <v>-0.274159682556684</v>
      </c>
      <c r="AG91" s="13" t="n">
        <f aca="false">(O91-AVERAGE(O$2:O$2001))/STDEV(O$2:O$2001)</f>
        <v>-0.257846797115491</v>
      </c>
      <c r="AH91" s="0" t="str">
        <f aca="false">IF(B91="Company","C3 - Corporate Buyers",IF(AND(H91="Investment",M91&gt;'Segmentation Summary'!$C$1),"C1 - Global Investors",IF(AND(I91&gt;=4,M91&gt;'Segmentation Summary'!$C$1),"C4 - Luxury Investors",IF(AND(D91&lt;'Segmentation Summary'!$C$2,J91=1),"C2 - First-Time Buyers","C5 - Other Individual Buyers"))))</f>
        <v>C3 - Corporate Buyers</v>
      </c>
    </row>
    <row r="92" customFormat="false" ht="15" hidden="false" customHeight="true" outlineLevel="0" collapsed="false">
      <c r="A92" s="13" t="s">
        <v>266</v>
      </c>
      <c r="B92" s="13" t="s">
        <v>36</v>
      </c>
      <c r="C92" s="13" t="s">
        <v>264</v>
      </c>
      <c r="D92" s="13" t="n">
        <v>43</v>
      </c>
      <c r="E92" s="13" t="s">
        <v>83</v>
      </c>
      <c r="F92" s="13" t="s">
        <v>35</v>
      </c>
      <c r="G92" s="13" t="s">
        <v>267</v>
      </c>
      <c r="H92" s="13" t="s">
        <v>41</v>
      </c>
      <c r="I92" s="13" t="n">
        <v>5</v>
      </c>
      <c r="J92" s="13" t="n">
        <v>0</v>
      </c>
      <c r="K92" s="13" t="s">
        <v>85</v>
      </c>
      <c r="L92" s="13" t="n">
        <v>4</v>
      </c>
      <c r="M92" s="13" t="n">
        <v>1196856.69</v>
      </c>
      <c r="N92" s="13" t="n">
        <v>299214.1725</v>
      </c>
      <c r="O92" s="13" t="n">
        <v>929.6975</v>
      </c>
      <c r="P92" s="13" t="n">
        <v>3</v>
      </c>
      <c r="Q92" s="13" t="n">
        <v>1</v>
      </c>
      <c r="R92" s="13" t="s">
        <v>111</v>
      </c>
      <c r="S92" s="13" t="s">
        <v>107</v>
      </c>
      <c r="T92" s="13" t="n">
        <v>1</v>
      </c>
      <c r="U92" s="13" t="n">
        <f aca="false">IF(B92="Individual",1,0)</f>
        <v>0</v>
      </c>
      <c r="V92" s="13" t="n">
        <f aca="false">IF(B92="Company",1,0)</f>
        <v>1</v>
      </c>
      <c r="W92" s="13" t="n">
        <f aca="false">IF(H92="Home",1,0)</f>
        <v>1</v>
      </c>
      <c r="X92" s="13" t="n">
        <f aca="false">IF(H92="Investment",1,0)</f>
        <v>0</v>
      </c>
      <c r="Y92" s="13" t="n">
        <f aca="false">IF(K92="Website",1,0)</f>
        <v>1</v>
      </c>
      <c r="Z92" s="13" t="n">
        <f aca="false">IF(K92="Agency",1,0)</f>
        <v>0</v>
      </c>
      <c r="AA92" s="13" t="n">
        <f aca="false">IF(K92="Client",1,0)</f>
        <v>0</v>
      </c>
      <c r="AB92" s="13" t="n">
        <f aca="false">(D92-AVERAGE(D$2:D$2001))/STDEV(D$2:D$2001)</f>
        <v>-0.64218676677154</v>
      </c>
      <c r="AC92" s="13" t="n">
        <f aca="false">(I92-AVERAGE(I$2:I$2001))/STDEV(I$2:I$2001)</f>
        <v>1.39434968409451</v>
      </c>
      <c r="AD92" s="13" t="n">
        <f aca="false">(L92-AVERAGE(L$2:L$2001))/STDEV(L$2:L$2001)</f>
        <v>0.413838214490712</v>
      </c>
      <c r="AE92" s="13" t="n">
        <f aca="false">(M92-AVERAGE(M$2:M$2001))/STDEV(M$2:M$2001)</f>
        <v>-0.182614119003876</v>
      </c>
      <c r="AF92" s="13" t="n">
        <f aca="false">(N92-AVERAGE(N$2:N$2001))/STDEV(N$2:N$2001)</f>
        <v>-0.686668565501026</v>
      </c>
      <c r="AG92" s="13" t="n">
        <f aca="false">(O92-AVERAGE(O$2:O$2001))/STDEV(O$2:O$2001)</f>
        <v>-0.990267398200224</v>
      </c>
      <c r="AH92" s="0" t="str">
        <f aca="false">IF(B92="Company","C3 - Corporate Buyers",IF(AND(H92="Investment",M92&gt;'Segmentation Summary'!$C$1),"C1 - Global Investors",IF(AND(I92&gt;=4,M92&gt;'Segmentation Summary'!$C$1),"C4 - Luxury Investors",IF(AND(D92&lt;'Segmentation Summary'!$C$2,J92=1),"C2 - First-Time Buyers","C5 - Other Individual Buyers"))))</f>
        <v>C3 - Corporate Buyers</v>
      </c>
    </row>
    <row r="93" customFormat="false" ht="15" hidden="false" customHeight="true" outlineLevel="0" collapsed="false">
      <c r="A93" s="13" t="s">
        <v>268</v>
      </c>
      <c r="B93" s="13" t="s">
        <v>36</v>
      </c>
      <c r="C93" s="13" t="s">
        <v>264</v>
      </c>
      <c r="D93" s="13" t="n">
        <v>39</v>
      </c>
      <c r="E93" s="13" t="s">
        <v>90</v>
      </c>
      <c r="F93" s="13" t="s">
        <v>33</v>
      </c>
      <c r="G93" s="13" t="s">
        <v>95</v>
      </c>
      <c r="H93" s="13" t="s">
        <v>43</v>
      </c>
      <c r="I93" s="13" t="n">
        <v>5</v>
      </c>
      <c r="J93" s="13" t="n">
        <v>0</v>
      </c>
      <c r="K93" s="13" t="s">
        <v>91</v>
      </c>
      <c r="L93" s="13" t="n">
        <v>4</v>
      </c>
      <c r="M93" s="13" t="n">
        <v>1038640.05</v>
      </c>
      <c r="N93" s="13" t="n">
        <v>259660.0125</v>
      </c>
      <c r="O93" s="13" t="n">
        <v>894.905</v>
      </c>
      <c r="P93" s="13" t="n">
        <v>0</v>
      </c>
      <c r="Q93" s="13" t="n">
        <v>4</v>
      </c>
      <c r="R93" s="13" t="s">
        <v>111</v>
      </c>
      <c r="S93" s="13" t="s">
        <v>87</v>
      </c>
      <c r="T93" s="13" t="n">
        <v>1</v>
      </c>
      <c r="U93" s="13" t="n">
        <f aca="false">IF(B93="Individual",1,0)</f>
        <v>0</v>
      </c>
      <c r="V93" s="13" t="n">
        <f aca="false">IF(B93="Company",1,0)</f>
        <v>1</v>
      </c>
      <c r="W93" s="13" t="n">
        <f aca="false">IF(H93="Home",1,0)</f>
        <v>0</v>
      </c>
      <c r="X93" s="13" t="n">
        <f aca="false">IF(H93="Investment",1,0)</f>
        <v>1</v>
      </c>
      <c r="Y93" s="13" t="n">
        <f aca="false">IF(K93="Website",1,0)</f>
        <v>0</v>
      </c>
      <c r="Z93" s="13" t="n">
        <f aca="false">IF(K93="Agency",1,0)</f>
        <v>1</v>
      </c>
      <c r="AA93" s="13" t="n">
        <f aca="false">IF(K93="Client",1,0)</f>
        <v>0</v>
      </c>
      <c r="AB93" s="13" t="n">
        <f aca="false">(D93-AVERAGE(D$2:D$2001))/STDEV(D$2:D$2001)</f>
        <v>-0.872836588724145</v>
      </c>
      <c r="AC93" s="13" t="n">
        <f aca="false">(I93-AVERAGE(I$2:I$2001))/STDEV(I$2:I$2001)</f>
        <v>1.39434968409451</v>
      </c>
      <c r="AD93" s="13" t="n">
        <f aca="false">(L93-AVERAGE(L$2:L$2001))/STDEV(L$2:L$2001)</f>
        <v>0.413838214490712</v>
      </c>
      <c r="AE93" s="13" t="n">
        <f aca="false">(M93-AVERAGE(M$2:M$2001))/STDEV(M$2:M$2001)</f>
        <v>-0.637480972328839</v>
      </c>
      <c r="AF93" s="13" t="n">
        <f aca="false">(N93-AVERAGE(N$2:N$2001))/STDEV(N$2:N$2001)</f>
        <v>-1.25398248488665</v>
      </c>
      <c r="AG93" s="13" t="n">
        <f aca="false">(O93-AVERAGE(O$2:O$2001))/STDEV(O$2:O$2001)</f>
        <v>-1.14847079368108</v>
      </c>
      <c r="AH93" s="0" t="str">
        <f aca="false">IF(B93="Company","C3 - Corporate Buyers",IF(AND(H93="Investment",M93&gt;'Segmentation Summary'!$C$1),"C1 - Global Investors",IF(AND(I93&gt;=4,M93&gt;'Segmentation Summary'!$C$1),"C4 - Luxury Investors",IF(AND(D93&lt;'Segmentation Summary'!$C$2,J93=1),"C2 - First-Time Buyers","C5 - Other Individual Buyers"))))</f>
        <v>C3 - Corporate Buyers</v>
      </c>
    </row>
    <row r="94" customFormat="false" ht="15" hidden="false" customHeight="true" outlineLevel="0" collapsed="false">
      <c r="A94" s="13" t="s">
        <v>269</v>
      </c>
      <c r="B94" s="13" t="s">
        <v>36</v>
      </c>
      <c r="C94" s="13" t="s">
        <v>270</v>
      </c>
      <c r="D94" s="13" t="n">
        <v>52</v>
      </c>
      <c r="E94" s="13" t="s">
        <v>90</v>
      </c>
      <c r="F94" s="13" t="s">
        <v>33</v>
      </c>
      <c r="G94" s="13" t="s">
        <v>95</v>
      </c>
      <c r="H94" s="13" t="s">
        <v>43</v>
      </c>
      <c r="I94" s="13" t="n">
        <v>4</v>
      </c>
      <c r="J94" s="13" t="n">
        <v>0</v>
      </c>
      <c r="K94" s="13" t="s">
        <v>91</v>
      </c>
      <c r="L94" s="13" t="n">
        <v>3</v>
      </c>
      <c r="M94" s="13" t="n">
        <v>1227293.02</v>
      </c>
      <c r="N94" s="13" t="n">
        <v>409097.673333333</v>
      </c>
      <c r="O94" s="13" t="n">
        <v>1357.19333333333</v>
      </c>
      <c r="P94" s="13" t="n">
        <v>1</v>
      </c>
      <c r="Q94" s="13" t="n">
        <v>2</v>
      </c>
      <c r="R94" s="13" t="s">
        <v>141</v>
      </c>
      <c r="S94" s="13" t="s">
        <v>114</v>
      </c>
      <c r="T94" s="13" t="n">
        <v>1</v>
      </c>
      <c r="U94" s="13" t="n">
        <f aca="false">IF(B94="Individual",1,0)</f>
        <v>0</v>
      </c>
      <c r="V94" s="13" t="n">
        <f aca="false">IF(B94="Company",1,0)</f>
        <v>1</v>
      </c>
      <c r="W94" s="13" t="n">
        <f aca="false">IF(H94="Home",1,0)</f>
        <v>0</v>
      </c>
      <c r="X94" s="13" t="n">
        <f aca="false">IF(H94="Investment",1,0)</f>
        <v>1</v>
      </c>
      <c r="Y94" s="13" t="n">
        <f aca="false">IF(K94="Website",1,0)</f>
        <v>0</v>
      </c>
      <c r="Z94" s="13" t="n">
        <f aca="false">IF(K94="Agency",1,0)</f>
        <v>1</v>
      </c>
      <c r="AA94" s="13" t="n">
        <f aca="false">IF(K94="Client",1,0)</f>
        <v>0</v>
      </c>
      <c r="AB94" s="13" t="n">
        <f aca="false">(D94-AVERAGE(D$2:D$2001))/STDEV(D$2:D$2001)</f>
        <v>-0.123224667378179</v>
      </c>
      <c r="AC94" s="13" t="n">
        <f aca="false">(I94-AVERAGE(I$2:I$2001))/STDEV(I$2:I$2001)</f>
        <v>0.686917069130275</v>
      </c>
      <c r="AD94" s="13" t="n">
        <f aca="false">(L94-AVERAGE(L$2:L$2001))/STDEV(L$2:L$2001)</f>
        <v>-0.777063122173208</v>
      </c>
      <c r="AE94" s="13" t="n">
        <f aca="false">(M94-AVERAGE(M$2:M$2001))/STDEV(M$2:M$2001)</f>
        <v>-0.0951108219179293</v>
      </c>
      <c r="AF94" s="13" t="n">
        <f aca="false">(N94-AVERAGE(N$2:N$2001))/STDEV(N$2:N$2001)</f>
        <v>0.889358824123009</v>
      </c>
      <c r="AG94" s="13" t="n">
        <f aca="false">(O94-AVERAGE(O$2:O$2001))/STDEV(O$2:O$2001)</f>
        <v>0.953579476478201</v>
      </c>
      <c r="AH94" s="0" t="str">
        <f aca="false">IF(B94="Company","C3 - Corporate Buyers",IF(AND(H94="Investment",M94&gt;'Segmentation Summary'!$C$1),"C1 - Global Investors",IF(AND(I94&gt;=4,M94&gt;'Segmentation Summary'!$C$1),"C4 - Luxury Investors",IF(AND(D94&lt;'Segmentation Summary'!$C$2,J94=1),"C2 - First-Time Buyers","C5 - Other Individual Buyers"))))</f>
        <v>C3 - Corporate Buyers</v>
      </c>
    </row>
    <row r="95" customFormat="false" ht="15" hidden="false" customHeight="true" outlineLevel="0" collapsed="false">
      <c r="A95" s="13" t="s">
        <v>271</v>
      </c>
      <c r="B95" s="13" t="s">
        <v>36</v>
      </c>
      <c r="C95" s="13" t="s">
        <v>270</v>
      </c>
      <c r="D95" s="13" t="n">
        <v>37</v>
      </c>
      <c r="E95" s="13" t="s">
        <v>90</v>
      </c>
      <c r="F95" s="13" t="s">
        <v>33</v>
      </c>
      <c r="G95" s="13" t="s">
        <v>162</v>
      </c>
      <c r="H95" s="13" t="s">
        <v>43</v>
      </c>
      <c r="I95" s="13" t="n">
        <v>4</v>
      </c>
      <c r="J95" s="13" t="n">
        <v>0</v>
      </c>
      <c r="K95" s="13" t="s">
        <v>91</v>
      </c>
      <c r="L95" s="13" t="n">
        <v>3</v>
      </c>
      <c r="M95" s="13" t="n">
        <v>1037623.39</v>
      </c>
      <c r="N95" s="13" t="n">
        <v>345874.463333333</v>
      </c>
      <c r="O95" s="13" t="n">
        <v>1088.58666666667</v>
      </c>
      <c r="P95" s="13" t="n">
        <v>2</v>
      </c>
      <c r="Q95" s="13" t="n">
        <v>1</v>
      </c>
      <c r="R95" s="13" t="s">
        <v>92</v>
      </c>
      <c r="S95" s="13" t="s">
        <v>117</v>
      </c>
      <c r="T95" s="13" t="n">
        <v>1</v>
      </c>
      <c r="U95" s="13" t="n">
        <f aca="false">IF(B95="Individual",1,0)</f>
        <v>0</v>
      </c>
      <c r="V95" s="13" t="n">
        <f aca="false">IF(B95="Company",1,0)</f>
        <v>1</v>
      </c>
      <c r="W95" s="13" t="n">
        <f aca="false">IF(H95="Home",1,0)</f>
        <v>0</v>
      </c>
      <c r="X95" s="13" t="n">
        <f aca="false">IF(H95="Investment",1,0)</f>
        <v>1</v>
      </c>
      <c r="Y95" s="13" t="n">
        <f aca="false">IF(K95="Website",1,0)</f>
        <v>0</v>
      </c>
      <c r="Z95" s="13" t="n">
        <f aca="false">IF(K95="Agency",1,0)</f>
        <v>1</v>
      </c>
      <c r="AA95" s="13" t="n">
        <f aca="false">IF(K95="Client",1,0)</f>
        <v>0</v>
      </c>
      <c r="AB95" s="13" t="n">
        <f aca="false">(D95-AVERAGE(D$2:D$2001))/STDEV(D$2:D$2001)</f>
        <v>-0.988161499700447</v>
      </c>
      <c r="AC95" s="13" t="n">
        <f aca="false">(I95-AVERAGE(I$2:I$2001))/STDEV(I$2:I$2001)</f>
        <v>0.686917069130275</v>
      </c>
      <c r="AD95" s="13" t="n">
        <f aca="false">(L95-AVERAGE(L$2:L$2001))/STDEV(L$2:L$2001)</f>
        <v>-0.777063122173208</v>
      </c>
      <c r="AE95" s="13" t="n">
        <f aca="false">(M95-AVERAGE(M$2:M$2001))/STDEV(M$2:M$2001)</f>
        <v>-0.640403831359984</v>
      </c>
      <c r="AF95" s="13" t="n">
        <f aca="false">(N95-AVERAGE(N$2:N$2001))/STDEV(N$2:N$2001)</f>
        <v>-0.0174334591978914</v>
      </c>
      <c r="AG95" s="13" t="n">
        <f aca="false">(O95-AVERAGE(O$2:O$2001))/STDEV(O$2:O$2001)</f>
        <v>-0.267789689734602</v>
      </c>
      <c r="AH95" s="0" t="str">
        <f aca="false">IF(B95="Company","C3 - Corporate Buyers",IF(AND(H95="Investment",M95&gt;'Segmentation Summary'!$C$1),"C1 - Global Investors",IF(AND(I95&gt;=4,M95&gt;'Segmentation Summary'!$C$1),"C4 - Luxury Investors",IF(AND(D95&lt;'Segmentation Summary'!$C$2,J95=1),"C2 - First-Time Buyers","C5 - Other Individual Buyers"))))</f>
        <v>C3 - Corporate Buyers</v>
      </c>
    </row>
    <row r="96" customFormat="false" ht="15" hidden="false" customHeight="true" outlineLevel="0" collapsed="false">
      <c r="A96" s="13" t="s">
        <v>272</v>
      </c>
      <c r="B96" s="13" t="s">
        <v>36</v>
      </c>
      <c r="C96" s="13" t="s">
        <v>270</v>
      </c>
      <c r="D96" s="13" t="n">
        <v>38</v>
      </c>
      <c r="E96" s="13" t="s">
        <v>83</v>
      </c>
      <c r="F96" s="13" t="s">
        <v>33</v>
      </c>
      <c r="G96" s="13" t="s">
        <v>120</v>
      </c>
      <c r="H96" s="13" t="s">
        <v>43</v>
      </c>
      <c r="I96" s="13" t="n">
        <v>5</v>
      </c>
      <c r="J96" s="13" t="n">
        <v>0</v>
      </c>
      <c r="K96" s="13" t="s">
        <v>85</v>
      </c>
      <c r="L96" s="13" t="n">
        <v>4</v>
      </c>
      <c r="M96" s="13" t="n">
        <v>1299971.48</v>
      </c>
      <c r="N96" s="13" t="n">
        <v>324992.87</v>
      </c>
      <c r="O96" s="13" t="n">
        <v>1050.5725</v>
      </c>
      <c r="P96" s="13" t="n">
        <v>2</v>
      </c>
      <c r="Q96" s="13" t="n">
        <v>2</v>
      </c>
      <c r="R96" s="13" t="s">
        <v>117</v>
      </c>
      <c r="S96" s="13" t="s">
        <v>164</v>
      </c>
      <c r="T96" s="13" t="n">
        <v>1</v>
      </c>
      <c r="U96" s="13" t="n">
        <f aca="false">IF(B96="Individual",1,0)</f>
        <v>0</v>
      </c>
      <c r="V96" s="13" t="n">
        <f aca="false">IF(B96="Company",1,0)</f>
        <v>1</v>
      </c>
      <c r="W96" s="13" t="n">
        <f aca="false">IF(H96="Home",1,0)</f>
        <v>0</v>
      </c>
      <c r="X96" s="13" t="n">
        <f aca="false">IF(H96="Investment",1,0)</f>
        <v>1</v>
      </c>
      <c r="Y96" s="13" t="n">
        <f aca="false">IF(K96="Website",1,0)</f>
        <v>1</v>
      </c>
      <c r="Z96" s="13" t="n">
        <f aca="false">IF(K96="Agency",1,0)</f>
        <v>0</v>
      </c>
      <c r="AA96" s="13" t="n">
        <f aca="false">IF(K96="Client",1,0)</f>
        <v>0</v>
      </c>
      <c r="AB96" s="13" t="n">
        <f aca="false">(D96-AVERAGE(D$2:D$2001))/STDEV(D$2:D$2001)</f>
        <v>-0.930499044212296</v>
      </c>
      <c r="AC96" s="13" t="n">
        <f aca="false">(I96-AVERAGE(I$2:I$2001))/STDEV(I$2:I$2001)</f>
        <v>1.39434968409451</v>
      </c>
      <c r="AD96" s="13" t="n">
        <f aca="false">(L96-AVERAGE(L$2:L$2001))/STDEV(L$2:L$2001)</f>
        <v>0.413838214490712</v>
      </c>
      <c r="AE96" s="13" t="n">
        <f aca="false">(M96-AVERAGE(M$2:M$2001))/STDEV(M$2:M$2001)</f>
        <v>0.113837000540595</v>
      </c>
      <c r="AF96" s="13" t="n">
        <f aca="false">(N96-AVERAGE(N$2:N$2001))/STDEV(N$2:N$2001)</f>
        <v>-0.316932135366209</v>
      </c>
      <c r="AG96" s="13" t="n">
        <f aca="false">(O96-AVERAGE(O$2:O$2001))/STDEV(O$2:O$2001)</f>
        <v>-0.440642179295346</v>
      </c>
      <c r="AH96" s="0" t="str">
        <f aca="false">IF(B96="Company","C3 - Corporate Buyers",IF(AND(H96="Investment",M96&gt;'Segmentation Summary'!$C$1),"C1 - Global Investors",IF(AND(I96&gt;=4,M96&gt;'Segmentation Summary'!$C$1),"C4 - Luxury Investors",IF(AND(D96&lt;'Segmentation Summary'!$C$2,J96=1),"C2 - First-Time Buyers","C5 - Other Individual Buyers"))))</f>
        <v>C3 - Corporate Buyers</v>
      </c>
    </row>
    <row r="97" customFormat="false" ht="15" hidden="false" customHeight="true" outlineLevel="0" collapsed="false">
      <c r="A97" s="13" t="s">
        <v>273</v>
      </c>
      <c r="B97" s="13" t="s">
        <v>36</v>
      </c>
      <c r="C97" s="13" t="s">
        <v>274</v>
      </c>
      <c r="D97" s="13" t="n">
        <v>50</v>
      </c>
      <c r="E97" s="13" t="s">
        <v>90</v>
      </c>
      <c r="F97" s="13" t="s">
        <v>33</v>
      </c>
      <c r="G97" s="13" t="s">
        <v>95</v>
      </c>
      <c r="H97" s="13" t="s">
        <v>41</v>
      </c>
      <c r="I97" s="13" t="n">
        <v>1</v>
      </c>
      <c r="J97" s="13" t="n">
        <v>1</v>
      </c>
      <c r="K97" s="13" t="s">
        <v>116</v>
      </c>
      <c r="L97" s="13" t="n">
        <v>3</v>
      </c>
      <c r="M97" s="13" t="n">
        <v>1188736.23</v>
      </c>
      <c r="N97" s="13" t="n">
        <v>396245.41</v>
      </c>
      <c r="O97" s="13" t="n">
        <v>1332.34</v>
      </c>
      <c r="P97" s="13" t="n">
        <v>1</v>
      </c>
      <c r="Q97" s="13" t="n">
        <v>2</v>
      </c>
      <c r="R97" s="13" t="s">
        <v>135</v>
      </c>
      <c r="S97" s="13" t="s">
        <v>125</v>
      </c>
      <c r="T97" s="13" t="n">
        <v>1</v>
      </c>
      <c r="U97" s="13" t="n">
        <f aca="false">IF(B97="Individual",1,0)</f>
        <v>0</v>
      </c>
      <c r="V97" s="13" t="n">
        <f aca="false">IF(B97="Company",1,0)</f>
        <v>1</v>
      </c>
      <c r="W97" s="13" t="n">
        <f aca="false">IF(H97="Home",1,0)</f>
        <v>1</v>
      </c>
      <c r="X97" s="13" t="n">
        <f aca="false">IF(H97="Investment",1,0)</f>
        <v>0</v>
      </c>
      <c r="Y97" s="13" t="n">
        <f aca="false">IF(K97="Website",1,0)</f>
        <v>0</v>
      </c>
      <c r="Z97" s="13" t="n">
        <f aca="false">IF(K97="Agency",1,0)</f>
        <v>0</v>
      </c>
      <c r="AA97" s="13" t="n">
        <f aca="false">IF(K97="Client",1,0)</f>
        <v>1</v>
      </c>
      <c r="AB97" s="13" t="n">
        <f aca="false">(D97-AVERAGE(D$2:D$2001))/STDEV(D$2:D$2001)</f>
        <v>-0.238549578354482</v>
      </c>
      <c r="AC97" s="13" t="n">
        <f aca="false">(I97-AVERAGE(I$2:I$2001))/STDEV(I$2:I$2001)</f>
        <v>-1.43538077576244</v>
      </c>
      <c r="AD97" s="13" t="n">
        <f aca="false">(L97-AVERAGE(L$2:L$2001))/STDEV(L$2:L$2001)</f>
        <v>-0.777063122173208</v>
      </c>
      <c r="AE97" s="13" t="n">
        <f aca="false">(M97-AVERAGE(M$2:M$2001))/STDEV(M$2:M$2001)</f>
        <v>-0.205960134238122</v>
      </c>
      <c r="AF97" s="13" t="n">
        <f aca="false">(N97-AVERAGE(N$2:N$2001))/STDEV(N$2:N$2001)</f>
        <v>0.705022514500727</v>
      </c>
      <c r="AG97" s="13" t="n">
        <f aca="false">(O97-AVERAGE(O$2:O$2001))/STDEV(O$2:O$2001)</f>
        <v>0.840570014026516</v>
      </c>
      <c r="AH97" s="0" t="str">
        <f aca="false">IF(B97="Company","C3 - Corporate Buyers",IF(AND(H97="Investment",M97&gt;'Segmentation Summary'!$C$1),"C1 - Global Investors",IF(AND(I97&gt;=4,M97&gt;'Segmentation Summary'!$C$1),"C4 - Luxury Investors",IF(AND(D97&lt;'Segmentation Summary'!$C$2,J97=1),"C2 - First-Time Buyers","C5 - Other Individual Buyers"))))</f>
        <v>C3 - Corporate Buyers</v>
      </c>
    </row>
    <row r="98" customFormat="false" ht="15" hidden="false" customHeight="true" outlineLevel="0" collapsed="false">
      <c r="A98" s="13" t="s">
        <v>275</v>
      </c>
      <c r="B98" s="13" t="s">
        <v>36</v>
      </c>
      <c r="C98" s="13" t="s">
        <v>274</v>
      </c>
      <c r="D98" s="13" t="n">
        <v>56</v>
      </c>
      <c r="E98" s="13" t="s">
        <v>90</v>
      </c>
      <c r="F98" s="13" t="s">
        <v>33</v>
      </c>
      <c r="G98" s="13" t="s">
        <v>84</v>
      </c>
      <c r="H98" s="13" t="s">
        <v>43</v>
      </c>
      <c r="I98" s="13" t="n">
        <v>1</v>
      </c>
      <c r="J98" s="13" t="n">
        <v>0</v>
      </c>
      <c r="K98" s="13" t="s">
        <v>85</v>
      </c>
      <c r="L98" s="13" t="n">
        <v>4</v>
      </c>
      <c r="M98" s="13" t="n">
        <v>1083015.76</v>
      </c>
      <c r="N98" s="13" t="n">
        <v>270753.94</v>
      </c>
      <c r="O98" s="13" t="n">
        <v>929.2725</v>
      </c>
      <c r="P98" s="13" t="n">
        <v>0</v>
      </c>
      <c r="Q98" s="13" t="n">
        <v>4</v>
      </c>
      <c r="R98" s="13" t="s">
        <v>121</v>
      </c>
      <c r="S98" s="13" t="s">
        <v>87</v>
      </c>
      <c r="T98" s="13" t="n">
        <v>1</v>
      </c>
      <c r="U98" s="13" t="n">
        <f aca="false">IF(B98="Individual",1,0)</f>
        <v>0</v>
      </c>
      <c r="V98" s="13" t="n">
        <f aca="false">IF(B98="Company",1,0)</f>
        <v>1</v>
      </c>
      <c r="W98" s="13" t="n">
        <f aca="false">IF(H98="Home",1,0)</f>
        <v>0</v>
      </c>
      <c r="X98" s="13" t="n">
        <f aca="false">IF(H98="Investment",1,0)</f>
        <v>1</v>
      </c>
      <c r="Y98" s="13" t="n">
        <f aca="false">IF(K98="Website",1,0)</f>
        <v>1</v>
      </c>
      <c r="Z98" s="13" t="n">
        <f aca="false">IF(K98="Agency",1,0)</f>
        <v>0</v>
      </c>
      <c r="AA98" s="13" t="n">
        <f aca="false">IF(K98="Client",1,0)</f>
        <v>0</v>
      </c>
      <c r="AB98" s="13" t="n">
        <f aca="false">(D98-AVERAGE(D$2:D$2001))/STDEV(D$2:D$2001)</f>
        <v>0.107425154574426</v>
      </c>
      <c r="AC98" s="13" t="n">
        <f aca="false">(I98-AVERAGE(I$2:I$2001))/STDEV(I$2:I$2001)</f>
        <v>-1.43538077576244</v>
      </c>
      <c r="AD98" s="13" t="n">
        <f aca="false">(L98-AVERAGE(L$2:L$2001))/STDEV(L$2:L$2001)</f>
        <v>0.413838214490712</v>
      </c>
      <c r="AE98" s="13" t="n">
        <f aca="false">(M98-AVERAGE(M$2:M$2001))/STDEV(M$2:M$2001)</f>
        <v>-0.509902485187657</v>
      </c>
      <c r="AF98" s="13" t="n">
        <f aca="false">(N98-AVERAGE(N$2:N$2001))/STDEV(N$2:N$2001)</f>
        <v>-1.09486547945903</v>
      </c>
      <c r="AG98" s="13" t="n">
        <f aca="false">(O98-AVERAGE(O$2:O$2001))/STDEV(O$2:O$2001)</f>
        <v>-0.992199896384584</v>
      </c>
      <c r="AH98" s="0" t="str">
        <f aca="false">IF(B98="Company","C3 - Corporate Buyers",IF(AND(H98="Investment",M98&gt;'Segmentation Summary'!$C$1),"C1 - Global Investors",IF(AND(I98&gt;=4,M98&gt;'Segmentation Summary'!$C$1),"C4 - Luxury Investors",IF(AND(D98&lt;'Segmentation Summary'!$C$2,J98=1),"C2 - First-Time Buyers","C5 - Other Individual Buyers"))))</f>
        <v>C3 - Corporate Buyers</v>
      </c>
    </row>
    <row r="99" customFormat="false" ht="15" hidden="false" customHeight="true" outlineLevel="0" collapsed="false">
      <c r="A99" s="13" t="s">
        <v>276</v>
      </c>
      <c r="B99" s="13" t="s">
        <v>36</v>
      </c>
      <c r="C99" s="13" t="s">
        <v>277</v>
      </c>
      <c r="D99" s="13" t="n">
        <v>57</v>
      </c>
      <c r="E99" s="13" t="s">
        <v>90</v>
      </c>
      <c r="F99" s="13" t="s">
        <v>33</v>
      </c>
      <c r="G99" s="13" t="s">
        <v>84</v>
      </c>
      <c r="H99" s="13" t="s">
        <v>41</v>
      </c>
      <c r="I99" s="13" t="n">
        <v>1</v>
      </c>
      <c r="J99" s="13" t="n">
        <v>0</v>
      </c>
      <c r="K99" s="13" t="s">
        <v>91</v>
      </c>
      <c r="L99" s="13" t="n">
        <v>4</v>
      </c>
      <c r="M99" s="13" t="n">
        <v>1414568.09</v>
      </c>
      <c r="N99" s="13" t="n">
        <v>353642.0225</v>
      </c>
      <c r="O99" s="13" t="n">
        <v>1123.6175</v>
      </c>
      <c r="P99" s="13" t="n">
        <v>0</v>
      </c>
      <c r="Q99" s="13" t="n">
        <v>4</v>
      </c>
      <c r="R99" s="13" t="s">
        <v>86</v>
      </c>
      <c r="S99" s="13" t="s">
        <v>111</v>
      </c>
      <c r="T99" s="13" t="n">
        <v>1</v>
      </c>
      <c r="U99" s="13" t="n">
        <f aca="false">IF(B99="Individual",1,0)</f>
        <v>0</v>
      </c>
      <c r="V99" s="13" t="n">
        <f aca="false">IF(B99="Company",1,0)</f>
        <v>1</v>
      </c>
      <c r="W99" s="13" t="n">
        <f aca="false">IF(H99="Home",1,0)</f>
        <v>1</v>
      </c>
      <c r="X99" s="13" t="n">
        <f aca="false">IF(H99="Investment",1,0)</f>
        <v>0</v>
      </c>
      <c r="Y99" s="13" t="n">
        <f aca="false">IF(K99="Website",1,0)</f>
        <v>0</v>
      </c>
      <c r="Z99" s="13" t="n">
        <f aca="false">IF(K99="Agency",1,0)</f>
        <v>1</v>
      </c>
      <c r="AA99" s="13" t="n">
        <f aca="false">IF(K99="Client",1,0)</f>
        <v>0</v>
      </c>
      <c r="AB99" s="13" t="n">
        <f aca="false">(D99-AVERAGE(D$2:D$2001))/STDEV(D$2:D$2001)</f>
        <v>0.165087610062577</v>
      </c>
      <c r="AC99" s="13" t="n">
        <f aca="false">(I99-AVERAGE(I$2:I$2001))/STDEV(I$2:I$2001)</f>
        <v>-1.43538077576244</v>
      </c>
      <c r="AD99" s="13" t="n">
        <f aca="false">(L99-AVERAGE(L$2:L$2001))/STDEV(L$2:L$2001)</f>
        <v>0.413838214490712</v>
      </c>
      <c r="AE99" s="13" t="n">
        <f aca="false">(M99-AVERAGE(M$2:M$2001))/STDEV(M$2:M$2001)</f>
        <v>0.443297918130604</v>
      </c>
      <c r="AF99" s="13" t="n">
        <f aca="false">(N99-AVERAGE(N$2:N$2001))/STDEV(N$2:N$2001)</f>
        <v>0.0939744037146712</v>
      </c>
      <c r="AG99" s="13" t="n">
        <f aca="false">(O99-AVERAGE(O$2:O$2001))/STDEV(O$2:O$2001)</f>
        <v>-0.108502579585672</v>
      </c>
      <c r="AH99" s="0" t="str">
        <f aca="false">IF(B99="Company","C3 - Corporate Buyers",IF(AND(H99="Investment",M99&gt;'Segmentation Summary'!$C$1),"C1 - Global Investors",IF(AND(I99&gt;=4,M99&gt;'Segmentation Summary'!$C$1),"C4 - Luxury Investors",IF(AND(D99&lt;'Segmentation Summary'!$C$2,J99=1),"C2 - First-Time Buyers","C5 - Other Individual Buyers"))))</f>
        <v>C3 - Corporate Buyers</v>
      </c>
    </row>
    <row r="100" customFormat="false" ht="15" hidden="false" customHeight="true" outlineLevel="0" collapsed="false">
      <c r="A100" s="13" t="s">
        <v>278</v>
      </c>
      <c r="B100" s="13" t="s">
        <v>36</v>
      </c>
      <c r="C100" s="13" t="s">
        <v>277</v>
      </c>
      <c r="D100" s="13" t="n">
        <v>41</v>
      </c>
      <c r="E100" s="13" t="s">
        <v>83</v>
      </c>
      <c r="F100" s="13" t="s">
        <v>38</v>
      </c>
      <c r="G100" s="13" t="s">
        <v>183</v>
      </c>
      <c r="H100" s="13" t="s">
        <v>41</v>
      </c>
      <c r="I100" s="13" t="n">
        <v>5</v>
      </c>
      <c r="J100" s="13" t="n">
        <v>0</v>
      </c>
      <c r="K100" s="13" t="s">
        <v>85</v>
      </c>
      <c r="L100" s="13" t="n">
        <v>3</v>
      </c>
      <c r="M100" s="13" t="n">
        <v>1169866.19</v>
      </c>
      <c r="N100" s="13" t="n">
        <v>389955.396666667</v>
      </c>
      <c r="O100" s="13" t="n">
        <v>1267.40666666667</v>
      </c>
      <c r="P100" s="13" t="n">
        <v>1</v>
      </c>
      <c r="Q100" s="13" t="n">
        <v>2</v>
      </c>
      <c r="R100" s="13" t="s">
        <v>92</v>
      </c>
      <c r="S100" s="13" t="s">
        <v>125</v>
      </c>
      <c r="T100" s="13" t="n">
        <v>1</v>
      </c>
      <c r="U100" s="13" t="n">
        <f aca="false">IF(B100="Individual",1,0)</f>
        <v>0</v>
      </c>
      <c r="V100" s="13" t="n">
        <f aca="false">IF(B100="Company",1,0)</f>
        <v>1</v>
      </c>
      <c r="W100" s="13" t="n">
        <f aca="false">IF(H100="Home",1,0)</f>
        <v>1</v>
      </c>
      <c r="X100" s="13" t="n">
        <f aca="false">IF(H100="Investment",1,0)</f>
        <v>0</v>
      </c>
      <c r="Y100" s="13" t="n">
        <f aca="false">IF(K100="Website",1,0)</f>
        <v>1</v>
      </c>
      <c r="Z100" s="13" t="n">
        <f aca="false">IF(K100="Agency",1,0)</f>
        <v>0</v>
      </c>
      <c r="AA100" s="13" t="n">
        <f aca="false">IF(K100="Client",1,0)</f>
        <v>0</v>
      </c>
      <c r="AB100" s="13" t="n">
        <f aca="false">(D100-AVERAGE(D$2:D$2001))/STDEV(D$2:D$2001)</f>
        <v>-0.757511677747842</v>
      </c>
      <c r="AC100" s="13" t="n">
        <f aca="false">(I100-AVERAGE(I$2:I$2001))/STDEV(I$2:I$2001)</f>
        <v>1.39434968409451</v>
      </c>
      <c r="AD100" s="13" t="n">
        <f aca="false">(L100-AVERAGE(L$2:L$2001))/STDEV(L$2:L$2001)</f>
        <v>-0.777063122173208</v>
      </c>
      <c r="AE100" s="13" t="n">
        <f aca="false">(M100-AVERAGE(M$2:M$2001))/STDEV(M$2:M$2001)</f>
        <v>-0.260210785224745</v>
      </c>
      <c r="AF100" s="13" t="n">
        <f aca="false">(N100-AVERAGE(N$2:N$2001))/STDEV(N$2:N$2001)</f>
        <v>0.614806665722218</v>
      </c>
      <c r="AG100" s="13" t="n">
        <f aca="false">(O100-AVERAGE(O$2:O$2001))/STDEV(O$2:O$2001)</f>
        <v>0.545314605153259</v>
      </c>
      <c r="AH100" s="0" t="str">
        <f aca="false">IF(B100="Company","C3 - Corporate Buyers",IF(AND(H100="Investment",M100&gt;'Segmentation Summary'!$C$1),"C1 - Global Investors",IF(AND(I100&gt;=4,M100&gt;'Segmentation Summary'!$C$1),"C4 - Luxury Investors",IF(AND(D100&lt;'Segmentation Summary'!$C$2,J100=1),"C2 - First-Time Buyers","C5 - Other Individual Buyers"))))</f>
        <v>C3 - Corporate Buyers</v>
      </c>
    </row>
    <row r="101" customFormat="false" ht="15" hidden="false" customHeight="true" outlineLevel="0" collapsed="false">
      <c r="A101" s="13" t="s">
        <v>279</v>
      </c>
      <c r="B101" s="13" t="s">
        <v>36</v>
      </c>
      <c r="C101" s="13" t="s">
        <v>280</v>
      </c>
      <c r="D101" s="13" t="n">
        <v>37</v>
      </c>
      <c r="E101" s="13" t="s">
        <v>90</v>
      </c>
      <c r="F101" s="13" t="s">
        <v>33</v>
      </c>
      <c r="G101" s="13" t="s">
        <v>120</v>
      </c>
      <c r="H101" s="13" t="s">
        <v>41</v>
      </c>
      <c r="I101" s="13" t="n">
        <v>5</v>
      </c>
      <c r="J101" s="13" t="n">
        <v>1</v>
      </c>
      <c r="K101" s="13" t="s">
        <v>85</v>
      </c>
      <c r="L101" s="13" t="n">
        <v>3</v>
      </c>
      <c r="M101" s="13" t="n">
        <v>1171439.72</v>
      </c>
      <c r="N101" s="13" t="n">
        <v>390479.906666667</v>
      </c>
      <c r="O101" s="13" t="n">
        <v>1308.51333333333</v>
      </c>
      <c r="P101" s="13" t="n">
        <v>1</v>
      </c>
      <c r="Q101" s="13" t="n">
        <v>2</v>
      </c>
      <c r="R101" s="13" t="s">
        <v>92</v>
      </c>
      <c r="S101" s="13" t="s">
        <v>111</v>
      </c>
      <c r="T101" s="13" t="n">
        <v>1</v>
      </c>
      <c r="U101" s="13" t="n">
        <f aca="false">IF(B101="Individual",1,0)</f>
        <v>0</v>
      </c>
      <c r="V101" s="13" t="n">
        <f aca="false">IF(B101="Company",1,0)</f>
        <v>1</v>
      </c>
      <c r="W101" s="13" t="n">
        <f aca="false">IF(H101="Home",1,0)</f>
        <v>1</v>
      </c>
      <c r="X101" s="13" t="n">
        <f aca="false">IF(H101="Investment",1,0)</f>
        <v>0</v>
      </c>
      <c r="Y101" s="13" t="n">
        <f aca="false">IF(K101="Website",1,0)</f>
        <v>1</v>
      </c>
      <c r="Z101" s="13" t="n">
        <f aca="false">IF(K101="Agency",1,0)</f>
        <v>0</v>
      </c>
      <c r="AA101" s="13" t="n">
        <f aca="false">IF(K101="Client",1,0)</f>
        <v>0</v>
      </c>
      <c r="AB101" s="13" t="n">
        <f aca="false">(D101-AVERAGE(D$2:D$2001))/STDEV(D$2:D$2001)</f>
        <v>-0.988161499700447</v>
      </c>
      <c r="AC101" s="13" t="n">
        <f aca="false">(I101-AVERAGE(I$2:I$2001))/STDEV(I$2:I$2001)</f>
        <v>1.39434968409451</v>
      </c>
      <c r="AD101" s="13" t="n">
        <f aca="false">(L101-AVERAGE(L$2:L$2001))/STDEV(L$2:L$2001)</f>
        <v>-0.777063122173208</v>
      </c>
      <c r="AE101" s="13" t="n">
        <f aca="false">(M101-AVERAGE(M$2:M$2001))/STDEV(M$2:M$2001)</f>
        <v>-0.255686946014707</v>
      </c>
      <c r="AF101" s="13" t="n">
        <f aca="false">(N101-AVERAGE(N$2:N$2001))/STDEV(N$2:N$2001)</f>
        <v>0.62232956151515</v>
      </c>
      <c r="AG101" s="13" t="n">
        <f aca="false">(O101-AVERAGE(O$2:O$2001))/STDEV(O$2:O$2001)</f>
        <v>0.732228860914276</v>
      </c>
      <c r="AH101" s="0" t="str">
        <f aca="false">IF(B101="Company","C3 - Corporate Buyers",IF(AND(H101="Investment",M101&gt;'Segmentation Summary'!$C$1),"C1 - Global Investors",IF(AND(I101&gt;=4,M101&gt;'Segmentation Summary'!$C$1),"C4 - Luxury Investors",IF(AND(D101&lt;'Segmentation Summary'!$C$2,J101=1),"C2 - First-Time Buyers","C5 - Other Individual Buyers"))))</f>
        <v>C3 - Corporate Buyers</v>
      </c>
    </row>
    <row r="102" customFormat="false" ht="15" hidden="false" customHeight="true" outlineLevel="0" collapsed="false">
      <c r="A102" s="13" t="s">
        <v>281</v>
      </c>
      <c r="B102" s="13" t="s">
        <v>36</v>
      </c>
      <c r="C102" s="13" t="s">
        <v>280</v>
      </c>
      <c r="D102" s="13" t="n">
        <v>56</v>
      </c>
      <c r="E102" s="13" t="s">
        <v>90</v>
      </c>
      <c r="F102" s="13" t="s">
        <v>33</v>
      </c>
      <c r="G102" s="13" t="s">
        <v>95</v>
      </c>
      <c r="H102" s="13" t="s">
        <v>43</v>
      </c>
      <c r="I102" s="13" t="n">
        <v>1</v>
      </c>
      <c r="J102" s="13" t="n">
        <v>0</v>
      </c>
      <c r="K102" s="13" t="s">
        <v>91</v>
      </c>
      <c r="L102" s="13" t="n">
        <v>4</v>
      </c>
      <c r="M102" s="13" t="n">
        <v>1051466.92</v>
      </c>
      <c r="N102" s="13" t="n">
        <v>262866.73</v>
      </c>
      <c r="O102" s="13" t="n">
        <v>920.7075</v>
      </c>
      <c r="P102" s="13" t="n">
        <v>1</v>
      </c>
      <c r="Q102" s="13" t="n">
        <v>3</v>
      </c>
      <c r="R102" s="13" t="s">
        <v>124</v>
      </c>
      <c r="S102" s="13" t="s">
        <v>125</v>
      </c>
      <c r="T102" s="13" t="n">
        <v>1</v>
      </c>
      <c r="U102" s="13" t="n">
        <f aca="false">IF(B102="Individual",1,0)</f>
        <v>0</v>
      </c>
      <c r="V102" s="13" t="n">
        <f aca="false">IF(B102="Company",1,0)</f>
        <v>1</v>
      </c>
      <c r="W102" s="13" t="n">
        <f aca="false">IF(H102="Home",1,0)</f>
        <v>0</v>
      </c>
      <c r="X102" s="13" t="n">
        <f aca="false">IF(H102="Investment",1,0)</f>
        <v>1</v>
      </c>
      <c r="Y102" s="13" t="n">
        <f aca="false">IF(K102="Website",1,0)</f>
        <v>0</v>
      </c>
      <c r="Z102" s="13" t="n">
        <f aca="false">IF(K102="Agency",1,0)</f>
        <v>1</v>
      </c>
      <c r="AA102" s="13" t="n">
        <f aca="false">IF(K102="Client",1,0)</f>
        <v>0</v>
      </c>
      <c r="AB102" s="13" t="n">
        <f aca="false">(D102-AVERAGE(D$2:D$2001))/STDEV(D$2:D$2001)</f>
        <v>0.107425154574426</v>
      </c>
      <c r="AC102" s="13" t="n">
        <f aca="false">(I102-AVERAGE(I$2:I$2001))/STDEV(I$2:I$2001)</f>
        <v>-1.43538077576244</v>
      </c>
      <c r="AD102" s="13" t="n">
        <f aca="false">(L102-AVERAGE(L$2:L$2001))/STDEV(L$2:L$2001)</f>
        <v>0.413838214490712</v>
      </c>
      <c r="AE102" s="13" t="n">
        <f aca="false">(M102-AVERAGE(M$2:M$2001))/STDEV(M$2:M$2001)</f>
        <v>-0.600604206427931</v>
      </c>
      <c r="AF102" s="13" t="n">
        <f aca="false">(N102-AVERAGE(N$2:N$2001))/STDEV(N$2:N$2001)</f>
        <v>-1.20798945979681</v>
      </c>
      <c r="AG102" s="13" t="n">
        <f aca="false">(O102-AVERAGE(O$2:O$2001))/STDEV(O$2:O$2001)</f>
        <v>-1.03114541861764</v>
      </c>
      <c r="AH102" s="0" t="str">
        <f aca="false">IF(B102="Company","C3 - Corporate Buyers",IF(AND(H102="Investment",M102&gt;'Segmentation Summary'!$C$1),"C1 - Global Investors",IF(AND(I102&gt;=4,M102&gt;'Segmentation Summary'!$C$1),"C4 - Luxury Investors",IF(AND(D102&lt;'Segmentation Summary'!$C$2,J102=1),"C2 - First-Time Buyers","C5 - Other Individual Buyers"))))</f>
        <v>C3 - Corporate Buyers</v>
      </c>
    </row>
    <row r="103" customFormat="false" ht="15" hidden="false" customHeight="true" outlineLevel="0" collapsed="false">
      <c r="A103" s="13" t="s">
        <v>282</v>
      </c>
      <c r="B103" s="13" t="s">
        <v>36</v>
      </c>
      <c r="C103" s="13" t="s">
        <v>280</v>
      </c>
      <c r="D103" s="13" t="n">
        <v>29</v>
      </c>
      <c r="E103" s="13" t="s">
        <v>90</v>
      </c>
      <c r="F103" s="13" t="s">
        <v>33</v>
      </c>
      <c r="G103" s="13" t="s">
        <v>265</v>
      </c>
      <c r="H103" s="13" t="s">
        <v>41</v>
      </c>
      <c r="I103" s="13" t="n">
        <v>5</v>
      </c>
      <c r="J103" s="13" t="n">
        <v>1</v>
      </c>
      <c r="K103" s="13" t="s">
        <v>85</v>
      </c>
      <c r="L103" s="13" t="n">
        <v>4</v>
      </c>
      <c r="M103" s="13" t="n">
        <v>2061054.65</v>
      </c>
      <c r="N103" s="13" t="n">
        <v>515263.6625</v>
      </c>
      <c r="O103" s="13" t="n">
        <v>1726.0575</v>
      </c>
      <c r="P103" s="13" t="n">
        <v>1</v>
      </c>
      <c r="Q103" s="13" t="n">
        <v>3</v>
      </c>
      <c r="R103" s="13" t="s">
        <v>117</v>
      </c>
      <c r="S103" s="13" t="s">
        <v>87</v>
      </c>
      <c r="T103" s="13" t="n">
        <v>1</v>
      </c>
      <c r="U103" s="13" t="n">
        <f aca="false">IF(B103="Individual",1,0)</f>
        <v>0</v>
      </c>
      <c r="V103" s="13" t="n">
        <f aca="false">IF(B103="Company",1,0)</f>
        <v>1</v>
      </c>
      <c r="W103" s="13" t="n">
        <f aca="false">IF(H103="Home",1,0)</f>
        <v>1</v>
      </c>
      <c r="X103" s="13" t="n">
        <f aca="false">IF(H103="Investment",1,0)</f>
        <v>0</v>
      </c>
      <c r="Y103" s="13" t="n">
        <f aca="false">IF(K103="Website",1,0)</f>
        <v>1</v>
      </c>
      <c r="Z103" s="13" t="n">
        <f aca="false">IF(K103="Agency",1,0)</f>
        <v>0</v>
      </c>
      <c r="AA103" s="13" t="n">
        <f aca="false">IF(K103="Client",1,0)</f>
        <v>0</v>
      </c>
      <c r="AB103" s="13" t="n">
        <f aca="false">(D103-AVERAGE(D$2:D$2001))/STDEV(D$2:D$2001)</f>
        <v>-1.44946114360566</v>
      </c>
      <c r="AC103" s="13" t="n">
        <f aca="false">(I103-AVERAGE(I$2:I$2001))/STDEV(I$2:I$2001)</f>
        <v>1.39434968409451</v>
      </c>
      <c r="AD103" s="13" t="n">
        <f aca="false">(L103-AVERAGE(L$2:L$2001))/STDEV(L$2:L$2001)</f>
        <v>0.413838214490712</v>
      </c>
      <c r="AE103" s="13" t="n">
        <f aca="false">(M103-AVERAGE(M$2:M$2001))/STDEV(M$2:M$2001)</f>
        <v>2.30192231607055</v>
      </c>
      <c r="AF103" s="13" t="n">
        <f aca="false">(N103-AVERAGE(N$2:N$2001))/STDEV(N$2:N$2001)</f>
        <v>2.41206701510958</v>
      </c>
      <c r="AG103" s="13" t="n">
        <f aca="false">(O103-AVERAGE(O$2:O$2001))/STDEV(O$2:O$2001)</f>
        <v>2.63082496438169</v>
      </c>
      <c r="AH103" s="0" t="str">
        <f aca="false">IF(B103="Company","C3 - Corporate Buyers",IF(AND(H103="Investment",M103&gt;'Segmentation Summary'!$C$1),"C1 - Global Investors",IF(AND(I103&gt;=4,M103&gt;'Segmentation Summary'!$C$1),"C4 - Luxury Investors",IF(AND(D103&lt;'Segmentation Summary'!$C$2,J103=1),"C2 - First-Time Buyers","C5 - Other Individual Buyers"))))</f>
        <v>C3 - Corporate Buyers</v>
      </c>
    </row>
    <row r="104" customFormat="false" ht="15" hidden="false" customHeight="true" outlineLevel="0" collapsed="false">
      <c r="A104" s="13" t="s">
        <v>283</v>
      </c>
      <c r="B104" s="13" t="s">
        <v>36</v>
      </c>
      <c r="C104" s="13" t="s">
        <v>280</v>
      </c>
      <c r="D104" s="13" t="n">
        <v>30</v>
      </c>
      <c r="E104" s="13" t="s">
        <v>83</v>
      </c>
      <c r="F104" s="13" t="s">
        <v>33</v>
      </c>
      <c r="G104" s="13" t="s">
        <v>120</v>
      </c>
      <c r="H104" s="13" t="s">
        <v>41</v>
      </c>
      <c r="I104" s="13" t="n">
        <v>2</v>
      </c>
      <c r="J104" s="13" t="n">
        <v>0</v>
      </c>
      <c r="K104" s="13" t="s">
        <v>91</v>
      </c>
      <c r="L104" s="13" t="n">
        <v>3</v>
      </c>
      <c r="M104" s="13" t="n">
        <v>1217213.26</v>
      </c>
      <c r="N104" s="13" t="n">
        <v>405737.753333333</v>
      </c>
      <c r="O104" s="13" t="n">
        <v>1240.60666666667</v>
      </c>
      <c r="P104" s="13" t="n">
        <v>0</v>
      </c>
      <c r="Q104" s="13" t="n">
        <v>3</v>
      </c>
      <c r="R104" s="13" t="s">
        <v>150</v>
      </c>
      <c r="S104" s="13" t="s">
        <v>112</v>
      </c>
      <c r="T104" s="13" t="n">
        <v>1</v>
      </c>
      <c r="U104" s="13" t="n">
        <f aca="false">IF(B104="Individual",1,0)</f>
        <v>0</v>
      </c>
      <c r="V104" s="13" t="n">
        <f aca="false">IF(B104="Company",1,0)</f>
        <v>1</v>
      </c>
      <c r="W104" s="13" t="n">
        <f aca="false">IF(H104="Home",1,0)</f>
        <v>1</v>
      </c>
      <c r="X104" s="13" t="n">
        <f aca="false">IF(H104="Investment",1,0)</f>
        <v>0</v>
      </c>
      <c r="Y104" s="13" t="n">
        <f aca="false">IF(K104="Website",1,0)</f>
        <v>0</v>
      </c>
      <c r="Z104" s="13" t="n">
        <f aca="false">IF(K104="Agency",1,0)</f>
        <v>1</v>
      </c>
      <c r="AA104" s="13" t="n">
        <f aca="false">IF(K104="Client",1,0)</f>
        <v>0</v>
      </c>
      <c r="AB104" s="13" t="n">
        <f aca="false">(D104-AVERAGE(D$2:D$2001))/STDEV(D$2:D$2001)</f>
        <v>-1.39179868811751</v>
      </c>
      <c r="AC104" s="13" t="n">
        <f aca="false">(I104-AVERAGE(I$2:I$2001))/STDEV(I$2:I$2001)</f>
        <v>-0.727948160798201</v>
      </c>
      <c r="AD104" s="13" t="n">
        <f aca="false">(L104-AVERAGE(L$2:L$2001))/STDEV(L$2:L$2001)</f>
        <v>-0.777063122173208</v>
      </c>
      <c r="AE104" s="13" t="n">
        <f aca="false">(M104-AVERAGE(M$2:M$2001))/STDEV(M$2:M$2001)</f>
        <v>-0.124089750515268</v>
      </c>
      <c r="AF104" s="13" t="n">
        <f aca="false">(N104-AVERAGE(N$2:N$2001))/STDEV(N$2:N$2001)</f>
        <v>0.841168459720829</v>
      </c>
      <c r="AG104" s="13" t="n">
        <f aca="false">(O104-AVERAGE(O$2:O$2001))/STDEV(O$2:O$2001)</f>
        <v>0.423453543174763</v>
      </c>
      <c r="AH104" s="0" t="str">
        <f aca="false">IF(B104="Company","C3 - Corporate Buyers",IF(AND(H104="Investment",M104&gt;'Segmentation Summary'!$C$1),"C1 - Global Investors",IF(AND(I104&gt;=4,M104&gt;'Segmentation Summary'!$C$1),"C4 - Luxury Investors",IF(AND(D104&lt;'Segmentation Summary'!$C$2,J104=1),"C2 - First-Time Buyers","C5 - Other Individual Buyers"))))</f>
        <v>C3 - Corporate Buyers</v>
      </c>
    </row>
    <row r="105" customFormat="false" ht="15" hidden="false" customHeight="true" outlineLevel="0" collapsed="false">
      <c r="A105" s="13" t="s">
        <v>284</v>
      </c>
      <c r="B105" s="13" t="s">
        <v>34</v>
      </c>
      <c r="C105" s="13" t="s">
        <v>285</v>
      </c>
      <c r="D105" s="13" t="n">
        <v>75</v>
      </c>
      <c r="E105" s="13" t="s">
        <v>83</v>
      </c>
      <c r="F105" s="13" t="s">
        <v>33</v>
      </c>
      <c r="G105" s="13" t="s">
        <v>95</v>
      </c>
      <c r="H105" s="13" t="s">
        <v>41</v>
      </c>
      <c r="I105" s="13" t="n">
        <v>5</v>
      </c>
      <c r="J105" s="13" t="n">
        <v>0</v>
      </c>
      <c r="K105" s="13" t="s">
        <v>91</v>
      </c>
      <c r="L105" s="13" t="n">
        <v>4</v>
      </c>
      <c r="M105" s="13" t="n">
        <v>1182628.3</v>
      </c>
      <c r="N105" s="13" t="n">
        <v>295657.075</v>
      </c>
      <c r="O105" s="13" t="n">
        <v>942.035</v>
      </c>
      <c r="P105" s="13" t="n">
        <v>1</v>
      </c>
      <c r="Q105" s="13" t="n">
        <v>3</v>
      </c>
      <c r="R105" s="13" t="s">
        <v>98</v>
      </c>
      <c r="S105" s="13" t="s">
        <v>164</v>
      </c>
      <c r="T105" s="13" t="n">
        <v>1</v>
      </c>
      <c r="U105" s="13" t="n">
        <f aca="false">IF(B105="Individual",1,0)</f>
        <v>1</v>
      </c>
      <c r="V105" s="13" t="n">
        <f aca="false">IF(B105="Company",1,0)</f>
        <v>0</v>
      </c>
      <c r="W105" s="13" t="n">
        <f aca="false">IF(H105="Home",1,0)</f>
        <v>1</v>
      </c>
      <c r="X105" s="13" t="n">
        <f aca="false">IF(H105="Investment",1,0)</f>
        <v>0</v>
      </c>
      <c r="Y105" s="13" t="n">
        <f aca="false">IF(K105="Website",1,0)</f>
        <v>0</v>
      </c>
      <c r="Z105" s="13" t="n">
        <f aca="false">IF(K105="Agency",1,0)</f>
        <v>1</v>
      </c>
      <c r="AA105" s="13" t="n">
        <f aca="false">IF(K105="Client",1,0)</f>
        <v>0</v>
      </c>
      <c r="AB105" s="13" t="n">
        <f aca="false">(D105-AVERAGE(D$2:D$2001))/STDEV(D$2:D$2001)</f>
        <v>1.2030118088493</v>
      </c>
      <c r="AC105" s="13" t="n">
        <f aca="false">(I105-AVERAGE(I$2:I$2001))/STDEV(I$2:I$2001)</f>
        <v>1.39434968409451</v>
      </c>
      <c r="AD105" s="13" t="n">
        <f aca="false">(L105-AVERAGE(L$2:L$2001))/STDEV(L$2:L$2001)</f>
        <v>0.413838214490712</v>
      </c>
      <c r="AE105" s="13" t="n">
        <f aca="false">(M105-AVERAGE(M$2:M$2001))/STDEV(M$2:M$2001)</f>
        <v>-0.223520201873417</v>
      </c>
      <c r="AF105" s="13" t="n">
        <f aca="false">(N105-AVERAGE(N$2:N$2001))/STDEV(N$2:N$2001)</f>
        <v>-0.737686989969192</v>
      </c>
      <c r="AG105" s="13" t="n">
        <f aca="false">(O105-AVERAGE(O$2:O$2001))/STDEV(O$2:O$2001)</f>
        <v>-0.934168112671877</v>
      </c>
      <c r="AH105" s="0" t="str">
        <f aca="false">IF(B105="Company","C3 - Corporate Buyers",IF(AND(H105="Investment",M105&gt;'Segmentation Summary'!$C$1),"C1 - Global Investors",IF(AND(I105&gt;=4,M105&gt;'Segmentation Summary'!$C$1),"C4 - Luxury Investors",IF(AND(D105&lt;'Segmentation Summary'!$C$2,J105=1),"C2 - First-Time Buyers","C5 - Other Individual Buyers"))))</f>
        <v>C5 - Other Individual Buyers</v>
      </c>
    </row>
    <row r="106" customFormat="false" ht="15" hidden="false" customHeight="true" outlineLevel="0" collapsed="false">
      <c r="A106" s="13" t="s">
        <v>286</v>
      </c>
      <c r="B106" s="13" t="s">
        <v>34</v>
      </c>
      <c r="C106" s="13" t="s">
        <v>287</v>
      </c>
      <c r="D106" s="13" t="n">
        <v>68</v>
      </c>
      <c r="E106" s="13" t="s">
        <v>83</v>
      </c>
      <c r="F106" s="13" t="s">
        <v>42</v>
      </c>
      <c r="G106" s="13" t="s">
        <v>288</v>
      </c>
      <c r="H106" s="13" t="s">
        <v>41</v>
      </c>
      <c r="I106" s="13" t="n">
        <v>3</v>
      </c>
      <c r="J106" s="13" t="n">
        <v>0</v>
      </c>
      <c r="K106" s="13" t="s">
        <v>85</v>
      </c>
      <c r="L106" s="13" t="n">
        <v>4</v>
      </c>
      <c r="M106" s="13" t="n">
        <v>1687930.25</v>
      </c>
      <c r="N106" s="13" t="n">
        <v>421982.5625</v>
      </c>
      <c r="O106" s="13" t="n">
        <v>1333.2775</v>
      </c>
      <c r="P106" s="13" t="n">
        <v>1</v>
      </c>
      <c r="Q106" s="13" t="n">
        <v>3</v>
      </c>
      <c r="R106" s="13" t="s">
        <v>150</v>
      </c>
      <c r="S106" s="13" t="s">
        <v>103</v>
      </c>
      <c r="T106" s="13" t="n">
        <v>1</v>
      </c>
      <c r="U106" s="13" t="n">
        <f aca="false">IF(B106="Individual",1,0)</f>
        <v>1</v>
      </c>
      <c r="V106" s="13" t="n">
        <f aca="false">IF(B106="Company",1,0)</f>
        <v>0</v>
      </c>
      <c r="W106" s="13" t="n">
        <f aca="false">IF(H106="Home",1,0)</f>
        <v>1</v>
      </c>
      <c r="X106" s="13" t="n">
        <f aca="false">IF(H106="Investment",1,0)</f>
        <v>0</v>
      </c>
      <c r="Y106" s="13" t="n">
        <f aca="false">IF(K106="Website",1,0)</f>
        <v>1</v>
      </c>
      <c r="Z106" s="13" t="n">
        <f aca="false">IF(K106="Agency",1,0)</f>
        <v>0</v>
      </c>
      <c r="AA106" s="13" t="n">
        <f aca="false">IF(K106="Client",1,0)</f>
        <v>0</v>
      </c>
      <c r="AB106" s="13" t="n">
        <f aca="false">(D106-AVERAGE(D$2:D$2001))/STDEV(D$2:D$2001)</f>
        <v>0.79937462043224</v>
      </c>
      <c r="AC106" s="13" t="n">
        <f aca="false">(I106-AVERAGE(I$2:I$2001))/STDEV(I$2:I$2001)</f>
        <v>-0.0205155458339628</v>
      </c>
      <c r="AD106" s="13" t="n">
        <f aca="false">(L106-AVERAGE(L$2:L$2001))/STDEV(L$2:L$2001)</f>
        <v>0.413838214490712</v>
      </c>
      <c r="AE106" s="13" t="n">
        <f aca="false">(M106-AVERAGE(M$2:M$2001))/STDEV(M$2:M$2001)</f>
        <v>1.22920378452566</v>
      </c>
      <c r="AF106" s="13" t="n">
        <f aca="false">(N106-AVERAGE(N$2:N$2001))/STDEV(N$2:N$2001)</f>
        <v>1.0741630766717</v>
      </c>
      <c r="AG106" s="13" t="n">
        <f aca="false">(O106-AVERAGE(O$2:O$2001))/STDEV(O$2:O$2001)</f>
        <v>0.844832877668488</v>
      </c>
      <c r="AH106" s="0" t="str">
        <f aca="false">IF(B106="Company","C3 - Corporate Buyers",IF(AND(H106="Investment",M106&gt;'Segmentation Summary'!$C$1),"C1 - Global Investors",IF(AND(I106&gt;=4,M106&gt;'Segmentation Summary'!$C$1),"C4 - Luxury Investors",IF(AND(D106&lt;'Segmentation Summary'!$C$2,J106=1),"C2 - First-Time Buyers","C5 - Other Individual Buyers"))))</f>
        <v>C5 - Other Individual Buyers</v>
      </c>
    </row>
    <row r="107" customFormat="false" ht="15" hidden="false" customHeight="true" outlineLevel="0" collapsed="false">
      <c r="A107" s="13" t="s">
        <v>289</v>
      </c>
      <c r="B107" s="13" t="s">
        <v>34</v>
      </c>
      <c r="C107" s="13" t="s">
        <v>290</v>
      </c>
      <c r="D107" s="13" t="n">
        <v>33</v>
      </c>
      <c r="E107" s="13" t="s">
        <v>83</v>
      </c>
      <c r="F107" s="13" t="s">
        <v>33</v>
      </c>
      <c r="G107" s="13" t="s">
        <v>95</v>
      </c>
      <c r="H107" s="13" t="s">
        <v>41</v>
      </c>
      <c r="I107" s="13" t="n">
        <v>2</v>
      </c>
      <c r="J107" s="13" t="n">
        <v>0</v>
      </c>
      <c r="K107" s="13" t="s">
        <v>91</v>
      </c>
      <c r="L107" s="13" t="n">
        <v>3</v>
      </c>
      <c r="M107" s="13" t="n">
        <v>1252240.69</v>
      </c>
      <c r="N107" s="13" t="n">
        <v>417413.563333333</v>
      </c>
      <c r="O107" s="13" t="n">
        <v>1438.29333333333</v>
      </c>
      <c r="P107" s="13" t="n">
        <v>1</v>
      </c>
      <c r="Q107" s="13" t="n">
        <v>2</v>
      </c>
      <c r="R107" s="13" t="s">
        <v>101</v>
      </c>
      <c r="S107" s="13" t="s">
        <v>150</v>
      </c>
      <c r="T107" s="13" t="n">
        <v>1</v>
      </c>
      <c r="U107" s="13" t="n">
        <f aca="false">IF(B107="Individual",1,0)</f>
        <v>1</v>
      </c>
      <c r="V107" s="13" t="n">
        <f aca="false">IF(B107="Company",1,0)</f>
        <v>0</v>
      </c>
      <c r="W107" s="13" t="n">
        <f aca="false">IF(H107="Home",1,0)</f>
        <v>1</v>
      </c>
      <c r="X107" s="13" t="n">
        <f aca="false">IF(H107="Investment",1,0)</f>
        <v>0</v>
      </c>
      <c r="Y107" s="13" t="n">
        <f aca="false">IF(K107="Website",1,0)</f>
        <v>0</v>
      </c>
      <c r="Z107" s="13" t="n">
        <f aca="false">IF(K107="Agency",1,0)</f>
        <v>1</v>
      </c>
      <c r="AA107" s="13" t="n">
        <f aca="false">IF(K107="Client",1,0)</f>
        <v>0</v>
      </c>
      <c r="AB107" s="13" t="n">
        <f aca="false">(D107-AVERAGE(D$2:D$2001))/STDEV(D$2:D$2001)</f>
        <v>-1.21881132165305</v>
      </c>
      <c r="AC107" s="13" t="n">
        <f aca="false">(I107-AVERAGE(I$2:I$2001))/STDEV(I$2:I$2001)</f>
        <v>-0.727948160798201</v>
      </c>
      <c r="AD107" s="13" t="n">
        <f aca="false">(L107-AVERAGE(L$2:L$2001))/STDEV(L$2:L$2001)</f>
        <v>-0.777063122173208</v>
      </c>
      <c r="AE107" s="13" t="n">
        <f aca="false">(M107-AVERAGE(M$2:M$2001))/STDEV(M$2:M$2001)</f>
        <v>-0.0233872146495056</v>
      </c>
      <c r="AF107" s="13" t="n">
        <f aca="false">(N107-AVERAGE(N$2:N$2001))/STDEV(N$2:N$2001)</f>
        <v>1.00863123817705</v>
      </c>
      <c r="AG107" s="13" t="n">
        <f aca="false">(O107-AVERAGE(O$2:O$2001))/STDEV(O$2:O$2001)</f>
        <v>1.3223456005997</v>
      </c>
      <c r="AH107" s="0" t="str">
        <f aca="false">IF(B107="Company","C3 - Corporate Buyers",IF(AND(H107="Investment",M107&gt;'Segmentation Summary'!$C$1),"C1 - Global Investors",IF(AND(I107&gt;=4,M107&gt;'Segmentation Summary'!$C$1),"C4 - Luxury Investors",IF(AND(D107&lt;'Segmentation Summary'!$C$2,J107=1),"C2 - First-Time Buyers","C5 - Other Individual Buyers"))))</f>
        <v>C5 - Other Individual Buyers</v>
      </c>
    </row>
    <row r="108" customFormat="false" ht="15" hidden="false" customHeight="true" outlineLevel="0" collapsed="false">
      <c r="A108" s="13" t="s">
        <v>291</v>
      </c>
      <c r="B108" s="13" t="s">
        <v>34</v>
      </c>
      <c r="C108" s="13" t="s">
        <v>292</v>
      </c>
      <c r="D108" s="13" t="n">
        <v>57</v>
      </c>
      <c r="E108" s="13" t="s">
        <v>83</v>
      </c>
      <c r="F108" s="13" t="s">
        <v>33</v>
      </c>
      <c r="G108" s="13" t="s">
        <v>95</v>
      </c>
      <c r="H108" s="13" t="s">
        <v>41</v>
      </c>
      <c r="I108" s="13" t="n">
        <v>4</v>
      </c>
      <c r="J108" s="13" t="n">
        <v>0</v>
      </c>
      <c r="K108" s="13" t="s">
        <v>91</v>
      </c>
      <c r="L108" s="13" t="n">
        <v>4</v>
      </c>
      <c r="M108" s="13" t="n">
        <v>1366788.33</v>
      </c>
      <c r="N108" s="13" t="n">
        <v>341697.0825</v>
      </c>
      <c r="O108" s="13" t="n">
        <v>1184.9475</v>
      </c>
      <c r="P108" s="13" t="n">
        <v>0</v>
      </c>
      <c r="Q108" s="13" t="n">
        <v>4</v>
      </c>
      <c r="R108" s="13" t="s">
        <v>92</v>
      </c>
      <c r="S108" s="13" t="s">
        <v>103</v>
      </c>
      <c r="T108" s="13" t="n">
        <v>1</v>
      </c>
      <c r="U108" s="13" t="n">
        <f aca="false">IF(B108="Individual",1,0)</f>
        <v>1</v>
      </c>
      <c r="V108" s="13" t="n">
        <f aca="false">IF(B108="Company",1,0)</f>
        <v>0</v>
      </c>
      <c r="W108" s="13" t="n">
        <f aca="false">IF(H108="Home",1,0)</f>
        <v>1</v>
      </c>
      <c r="X108" s="13" t="n">
        <f aca="false">IF(H108="Investment",1,0)</f>
        <v>0</v>
      </c>
      <c r="Y108" s="13" t="n">
        <f aca="false">IF(K108="Website",1,0)</f>
        <v>0</v>
      </c>
      <c r="Z108" s="13" t="n">
        <f aca="false">IF(K108="Agency",1,0)</f>
        <v>1</v>
      </c>
      <c r="AA108" s="13" t="n">
        <f aca="false">IF(K108="Client",1,0)</f>
        <v>0</v>
      </c>
      <c r="AB108" s="13" t="n">
        <f aca="false">(D108-AVERAGE(D$2:D$2001))/STDEV(D$2:D$2001)</f>
        <v>0.165087610062577</v>
      </c>
      <c r="AC108" s="13" t="n">
        <f aca="false">(I108-AVERAGE(I$2:I$2001))/STDEV(I$2:I$2001)</f>
        <v>0.686917069130275</v>
      </c>
      <c r="AD108" s="13" t="n">
        <f aca="false">(L108-AVERAGE(L$2:L$2001))/STDEV(L$2:L$2001)</f>
        <v>0.413838214490712</v>
      </c>
      <c r="AE108" s="13" t="n">
        <f aca="false">(M108-AVERAGE(M$2:M$2001))/STDEV(M$2:M$2001)</f>
        <v>0.305932916043453</v>
      </c>
      <c r="AF108" s="13" t="n">
        <f aca="false">(N108-AVERAGE(N$2:N$2001))/STDEV(N$2:N$2001)</f>
        <v>-0.0773484287819889</v>
      </c>
      <c r="AG108" s="13" t="n">
        <f aca="false">(O108-AVERAGE(O$2:O$2001))/STDEV(O$2:O$2001)</f>
        <v>0.170368276053923</v>
      </c>
      <c r="AH108" s="0" t="str">
        <f aca="false">IF(B108="Company","C3 - Corporate Buyers",IF(AND(H108="Investment",M108&gt;'Segmentation Summary'!$C$1),"C1 - Global Investors",IF(AND(I108&gt;=4,M108&gt;'Segmentation Summary'!$C$1),"C4 - Luxury Investors",IF(AND(D108&lt;'Segmentation Summary'!$C$2,J108=1),"C2 - First-Time Buyers","C5 - Other Individual Buyers"))))</f>
        <v>C4 - Luxury Investors</v>
      </c>
    </row>
    <row r="109" customFormat="false" ht="15" hidden="false" customHeight="true" outlineLevel="0" collapsed="false">
      <c r="A109" s="13" t="s">
        <v>293</v>
      </c>
      <c r="B109" s="13" t="s">
        <v>34</v>
      </c>
      <c r="C109" s="13" t="s">
        <v>294</v>
      </c>
      <c r="D109" s="13" t="n">
        <v>58</v>
      </c>
      <c r="E109" s="13" t="s">
        <v>83</v>
      </c>
      <c r="F109" s="13" t="s">
        <v>33</v>
      </c>
      <c r="G109" s="13" t="s">
        <v>265</v>
      </c>
      <c r="H109" s="13" t="s">
        <v>41</v>
      </c>
      <c r="I109" s="13" t="n">
        <v>2</v>
      </c>
      <c r="J109" s="13" t="n">
        <v>0</v>
      </c>
      <c r="K109" s="13" t="s">
        <v>91</v>
      </c>
      <c r="L109" s="13" t="n">
        <v>4</v>
      </c>
      <c r="M109" s="13" t="n">
        <v>1047375.62</v>
      </c>
      <c r="N109" s="13" t="n">
        <v>261843.905</v>
      </c>
      <c r="O109" s="13" t="n">
        <v>874.6275</v>
      </c>
      <c r="P109" s="13" t="n">
        <v>1</v>
      </c>
      <c r="Q109" s="13" t="n">
        <v>3</v>
      </c>
      <c r="R109" s="13" t="s">
        <v>101</v>
      </c>
      <c r="S109" s="13" t="s">
        <v>107</v>
      </c>
      <c r="T109" s="13" t="n">
        <v>1</v>
      </c>
      <c r="U109" s="13" t="n">
        <f aca="false">IF(B109="Individual",1,0)</f>
        <v>1</v>
      </c>
      <c r="V109" s="13" t="n">
        <f aca="false">IF(B109="Company",1,0)</f>
        <v>0</v>
      </c>
      <c r="W109" s="13" t="n">
        <f aca="false">IF(H109="Home",1,0)</f>
        <v>1</v>
      </c>
      <c r="X109" s="13" t="n">
        <f aca="false">IF(H109="Investment",1,0)</f>
        <v>0</v>
      </c>
      <c r="Y109" s="13" t="n">
        <f aca="false">IF(K109="Website",1,0)</f>
        <v>0</v>
      </c>
      <c r="Z109" s="13" t="n">
        <f aca="false">IF(K109="Agency",1,0)</f>
        <v>1</v>
      </c>
      <c r="AA109" s="13" t="n">
        <f aca="false">IF(K109="Client",1,0)</f>
        <v>0</v>
      </c>
      <c r="AB109" s="13" t="n">
        <f aca="false">(D109-AVERAGE(D$2:D$2001))/STDEV(D$2:D$2001)</f>
        <v>0.222750065550728</v>
      </c>
      <c r="AC109" s="13" t="n">
        <f aca="false">(I109-AVERAGE(I$2:I$2001))/STDEV(I$2:I$2001)</f>
        <v>-0.727948160798201</v>
      </c>
      <c r="AD109" s="13" t="n">
        <f aca="false">(L109-AVERAGE(L$2:L$2001))/STDEV(L$2:L$2001)</f>
        <v>0.413838214490712</v>
      </c>
      <c r="AE109" s="13" t="n">
        <f aca="false">(M109-AVERAGE(M$2:M$2001))/STDEV(M$2:M$2001)</f>
        <v>-0.612366539119413</v>
      </c>
      <c r="AF109" s="13" t="n">
        <f aca="false">(N109-AVERAGE(N$2:N$2001))/STDEV(N$2:N$2001)</f>
        <v>-1.22265954404574</v>
      </c>
      <c r="AG109" s="13" t="n">
        <f aca="false">(O109-AVERAGE(O$2:O$2001))/STDEV(O$2:O$2001)</f>
        <v>-1.24067369234783</v>
      </c>
      <c r="AH109" s="0" t="str">
        <f aca="false">IF(B109="Company","C3 - Corporate Buyers",IF(AND(H109="Investment",M109&gt;'Segmentation Summary'!$C$1),"C1 - Global Investors",IF(AND(I109&gt;=4,M109&gt;'Segmentation Summary'!$C$1),"C4 - Luxury Investors",IF(AND(D109&lt;'Segmentation Summary'!$C$2,J109=1),"C2 - First-Time Buyers","C5 - Other Individual Buyers"))))</f>
        <v>C5 - Other Individual Buyers</v>
      </c>
    </row>
    <row r="110" customFormat="false" ht="15" hidden="false" customHeight="true" outlineLevel="0" collapsed="false">
      <c r="A110" s="13" t="s">
        <v>295</v>
      </c>
      <c r="B110" s="13" t="s">
        <v>34</v>
      </c>
      <c r="C110" s="13" t="s">
        <v>296</v>
      </c>
      <c r="D110" s="13" t="n">
        <v>34</v>
      </c>
      <c r="E110" s="13" t="s">
        <v>83</v>
      </c>
      <c r="F110" s="13" t="s">
        <v>35</v>
      </c>
      <c r="G110" s="13" t="s">
        <v>267</v>
      </c>
      <c r="H110" s="13" t="s">
        <v>43</v>
      </c>
      <c r="I110" s="13" t="n">
        <v>5</v>
      </c>
      <c r="J110" s="13" t="n">
        <v>1</v>
      </c>
      <c r="K110" s="13" t="s">
        <v>85</v>
      </c>
      <c r="L110" s="13" t="n">
        <v>4</v>
      </c>
      <c r="M110" s="13" t="n">
        <v>1344053.71</v>
      </c>
      <c r="N110" s="13" t="n">
        <v>336013.4275</v>
      </c>
      <c r="O110" s="13" t="n">
        <v>1128.1275</v>
      </c>
      <c r="P110" s="13" t="n">
        <v>0</v>
      </c>
      <c r="Q110" s="13" t="n">
        <v>4</v>
      </c>
      <c r="R110" s="13" t="s">
        <v>92</v>
      </c>
      <c r="S110" s="13" t="s">
        <v>87</v>
      </c>
      <c r="T110" s="13" t="n">
        <v>1</v>
      </c>
      <c r="U110" s="13" t="n">
        <f aca="false">IF(B110="Individual",1,0)</f>
        <v>1</v>
      </c>
      <c r="V110" s="13" t="n">
        <f aca="false">IF(B110="Company",1,0)</f>
        <v>0</v>
      </c>
      <c r="W110" s="13" t="n">
        <f aca="false">IF(H110="Home",1,0)</f>
        <v>0</v>
      </c>
      <c r="X110" s="13" t="n">
        <f aca="false">IF(H110="Investment",1,0)</f>
        <v>1</v>
      </c>
      <c r="Y110" s="13" t="n">
        <f aca="false">IF(K110="Website",1,0)</f>
        <v>1</v>
      </c>
      <c r="Z110" s="13" t="n">
        <f aca="false">IF(K110="Agency",1,0)</f>
        <v>0</v>
      </c>
      <c r="AA110" s="13" t="n">
        <f aca="false">IF(K110="Client",1,0)</f>
        <v>0</v>
      </c>
      <c r="AB110" s="13" t="n">
        <f aca="false">(D110-AVERAGE(D$2:D$2001))/STDEV(D$2:D$2001)</f>
        <v>-1.1611488661649</v>
      </c>
      <c r="AC110" s="13" t="n">
        <f aca="false">(I110-AVERAGE(I$2:I$2001))/STDEV(I$2:I$2001)</f>
        <v>1.39434968409451</v>
      </c>
      <c r="AD110" s="13" t="n">
        <f aca="false">(L110-AVERAGE(L$2:L$2001))/STDEV(L$2:L$2001)</f>
        <v>0.413838214490712</v>
      </c>
      <c r="AE110" s="13" t="n">
        <f aca="false">(M110-AVERAGE(M$2:M$2001))/STDEV(M$2:M$2001)</f>
        <v>0.240571743786611</v>
      </c>
      <c r="AF110" s="13" t="n">
        <f aca="false">(N110-AVERAGE(N$2:N$2001))/STDEV(N$2:N$2001)</f>
        <v>-0.158867454707093</v>
      </c>
      <c r="AG110" s="13" t="n">
        <f aca="false">(O110-AVERAGE(O$2:O$2001))/STDEV(O$2:O$2001)</f>
        <v>-0.0879953635586941</v>
      </c>
      <c r="AH110" s="0" t="str">
        <f aca="false">IF(B110="Company","C3 - Corporate Buyers",IF(AND(H110="Investment",M110&gt;'Segmentation Summary'!$C$1),"C1 - Global Investors",IF(AND(I110&gt;=4,M110&gt;'Segmentation Summary'!$C$1),"C4 - Luxury Investors",IF(AND(D110&lt;'Segmentation Summary'!$C$2,J110=1),"C2 - First-Time Buyers","C5 - Other Individual Buyers"))))</f>
        <v>C1 - Global Investors</v>
      </c>
    </row>
    <row r="111" customFormat="false" ht="15" hidden="false" customHeight="true" outlineLevel="0" collapsed="false">
      <c r="A111" s="13" t="s">
        <v>297</v>
      </c>
      <c r="B111" s="13" t="s">
        <v>34</v>
      </c>
      <c r="C111" s="13" t="s">
        <v>296</v>
      </c>
      <c r="D111" s="13" t="n">
        <v>53</v>
      </c>
      <c r="E111" s="13" t="s">
        <v>83</v>
      </c>
      <c r="F111" s="13" t="s">
        <v>33</v>
      </c>
      <c r="G111" s="13" t="s">
        <v>95</v>
      </c>
      <c r="H111" s="13" t="s">
        <v>43</v>
      </c>
      <c r="I111" s="13" t="n">
        <v>4</v>
      </c>
      <c r="J111" s="13" t="n">
        <v>1</v>
      </c>
      <c r="K111" s="13" t="s">
        <v>91</v>
      </c>
      <c r="L111" s="13" t="n">
        <v>3</v>
      </c>
      <c r="M111" s="13" t="n">
        <v>1064533.27</v>
      </c>
      <c r="N111" s="13" t="n">
        <v>354844.423333333</v>
      </c>
      <c r="O111" s="13" t="n">
        <v>1162.61666666667</v>
      </c>
      <c r="P111" s="13" t="n">
        <v>1</v>
      </c>
      <c r="Q111" s="13" t="n">
        <v>2</v>
      </c>
      <c r="R111" s="13" t="s">
        <v>93</v>
      </c>
      <c r="S111" s="13" t="s">
        <v>133</v>
      </c>
      <c r="T111" s="13" t="n">
        <v>1</v>
      </c>
      <c r="U111" s="13" t="n">
        <f aca="false">IF(B111="Individual",1,0)</f>
        <v>1</v>
      </c>
      <c r="V111" s="13" t="n">
        <f aca="false">IF(B111="Company",1,0)</f>
        <v>0</v>
      </c>
      <c r="W111" s="13" t="n">
        <f aca="false">IF(H111="Home",1,0)</f>
        <v>0</v>
      </c>
      <c r="X111" s="13" t="n">
        <f aca="false">IF(H111="Investment",1,0)</f>
        <v>1</v>
      </c>
      <c r="Y111" s="13" t="n">
        <f aca="false">IF(K111="Website",1,0)</f>
        <v>0</v>
      </c>
      <c r="Z111" s="13" t="n">
        <f aca="false">IF(K111="Agency",1,0)</f>
        <v>1</v>
      </c>
      <c r="AA111" s="13" t="n">
        <f aca="false">IF(K111="Client",1,0)</f>
        <v>0</v>
      </c>
      <c r="AB111" s="13" t="n">
        <f aca="false">(D111-AVERAGE(D$2:D$2001))/STDEV(D$2:D$2001)</f>
        <v>-0.065562211890028</v>
      </c>
      <c r="AC111" s="13" t="n">
        <f aca="false">(I111-AVERAGE(I$2:I$2001))/STDEV(I$2:I$2001)</f>
        <v>0.686917069130275</v>
      </c>
      <c r="AD111" s="13" t="n">
        <f aca="false">(L111-AVERAGE(L$2:L$2001))/STDEV(L$2:L$2001)</f>
        <v>-0.777063122173208</v>
      </c>
      <c r="AE111" s="13" t="n">
        <f aca="false">(M111-AVERAGE(M$2:M$2001))/STDEV(M$2:M$2001)</f>
        <v>-0.563038944588578</v>
      </c>
      <c r="AF111" s="13" t="n">
        <f aca="false">(N111-AVERAGE(N$2:N$2001))/STDEV(N$2:N$2001)</f>
        <v>0.111220092396485</v>
      </c>
      <c r="AG111" s="13" t="n">
        <f aca="false">(O111-AVERAGE(O$2:O$2001))/STDEV(O$2:O$2001)</f>
        <v>0.0688287587082367</v>
      </c>
      <c r="AH111" s="0" t="str">
        <f aca="false">IF(B111="Company","C3 - Corporate Buyers",IF(AND(H111="Investment",M111&gt;'Segmentation Summary'!$C$1),"C1 - Global Investors",IF(AND(I111&gt;=4,M111&gt;'Segmentation Summary'!$C$1),"C4 - Luxury Investors",IF(AND(D111&lt;'Segmentation Summary'!$C$2,J111=1),"C2 - First-Time Buyers","C5 - Other Individual Buyers"))))</f>
        <v>C2 - First-Time Buyers</v>
      </c>
    </row>
    <row r="112" customFormat="false" ht="15" hidden="false" customHeight="true" outlineLevel="0" collapsed="false">
      <c r="A112" s="13" t="s">
        <v>298</v>
      </c>
      <c r="B112" s="13" t="s">
        <v>34</v>
      </c>
      <c r="C112" s="13" t="s">
        <v>296</v>
      </c>
      <c r="D112" s="13" t="n">
        <v>43</v>
      </c>
      <c r="E112" s="13" t="s">
        <v>83</v>
      </c>
      <c r="F112" s="13" t="s">
        <v>33</v>
      </c>
      <c r="G112" s="13" t="s">
        <v>95</v>
      </c>
      <c r="H112" s="13" t="s">
        <v>41</v>
      </c>
      <c r="I112" s="13" t="n">
        <v>3</v>
      </c>
      <c r="J112" s="13" t="n">
        <v>0</v>
      </c>
      <c r="K112" s="13" t="s">
        <v>85</v>
      </c>
      <c r="L112" s="13" t="n">
        <v>4</v>
      </c>
      <c r="M112" s="13" t="n">
        <v>1650296.94</v>
      </c>
      <c r="N112" s="13" t="n">
        <v>412574.235</v>
      </c>
      <c r="O112" s="13" t="n">
        <v>1326.3725</v>
      </c>
      <c r="P112" s="13" t="n">
        <v>0</v>
      </c>
      <c r="Q112" s="13" t="n">
        <v>4</v>
      </c>
      <c r="R112" s="13" t="s">
        <v>92</v>
      </c>
      <c r="S112" s="13" t="s">
        <v>164</v>
      </c>
      <c r="T112" s="13" t="n">
        <v>1</v>
      </c>
      <c r="U112" s="13" t="n">
        <f aca="false">IF(B112="Individual",1,0)</f>
        <v>1</v>
      </c>
      <c r="V112" s="13" t="n">
        <f aca="false">IF(B112="Company",1,0)</f>
        <v>0</v>
      </c>
      <c r="W112" s="13" t="n">
        <f aca="false">IF(H112="Home",1,0)</f>
        <v>1</v>
      </c>
      <c r="X112" s="13" t="n">
        <f aca="false">IF(H112="Investment",1,0)</f>
        <v>0</v>
      </c>
      <c r="Y112" s="13" t="n">
        <f aca="false">IF(K112="Website",1,0)</f>
        <v>1</v>
      </c>
      <c r="Z112" s="13" t="n">
        <f aca="false">IF(K112="Agency",1,0)</f>
        <v>0</v>
      </c>
      <c r="AA112" s="13" t="n">
        <f aca="false">IF(K112="Client",1,0)</f>
        <v>0</v>
      </c>
      <c r="AB112" s="13" t="n">
        <f aca="false">(D112-AVERAGE(D$2:D$2001))/STDEV(D$2:D$2001)</f>
        <v>-0.64218676677154</v>
      </c>
      <c r="AC112" s="13" t="n">
        <f aca="false">(I112-AVERAGE(I$2:I$2001))/STDEV(I$2:I$2001)</f>
        <v>-0.0205155458339628</v>
      </c>
      <c r="AD112" s="13" t="n">
        <f aca="false">(L112-AVERAGE(L$2:L$2001))/STDEV(L$2:L$2001)</f>
        <v>0.413838214490712</v>
      </c>
      <c r="AE112" s="13" t="n">
        <f aca="false">(M112-AVERAGE(M$2:M$2001))/STDEV(M$2:M$2001)</f>
        <v>1.1210094422624</v>
      </c>
      <c r="AF112" s="13" t="n">
        <f aca="false">(N112-AVERAGE(N$2:N$2001))/STDEV(N$2:N$2001)</f>
        <v>0.939222146340006</v>
      </c>
      <c r="AG112" s="13" t="n">
        <f aca="false">(O112-AVERAGE(O$2:O$2001))/STDEV(O$2:O$2001)</f>
        <v>0.813435465990819</v>
      </c>
      <c r="AH112" s="0" t="str">
        <f aca="false">IF(B112="Company","C3 - Corporate Buyers",IF(AND(H112="Investment",M112&gt;'Segmentation Summary'!$C$1),"C1 - Global Investors",IF(AND(I112&gt;=4,M112&gt;'Segmentation Summary'!$C$1),"C4 - Luxury Investors",IF(AND(D112&lt;'Segmentation Summary'!$C$2,J112=1),"C2 - First-Time Buyers","C5 - Other Individual Buyers"))))</f>
        <v>C5 - Other Individual Buyers</v>
      </c>
    </row>
    <row r="113" customFormat="false" ht="15" hidden="false" customHeight="true" outlineLevel="0" collapsed="false">
      <c r="A113" s="13" t="s">
        <v>299</v>
      </c>
      <c r="B113" s="13" t="s">
        <v>34</v>
      </c>
      <c r="C113" s="13" t="s">
        <v>300</v>
      </c>
      <c r="D113" s="13" t="n">
        <v>47</v>
      </c>
      <c r="E113" s="13" t="s">
        <v>83</v>
      </c>
      <c r="F113" s="13" t="s">
        <v>33</v>
      </c>
      <c r="G113" s="13" t="s">
        <v>95</v>
      </c>
      <c r="H113" s="13" t="s">
        <v>41</v>
      </c>
      <c r="I113" s="13" t="n">
        <v>5</v>
      </c>
      <c r="J113" s="13" t="n">
        <v>1</v>
      </c>
      <c r="K113" s="13" t="s">
        <v>91</v>
      </c>
      <c r="L113" s="13" t="n">
        <v>3</v>
      </c>
      <c r="M113" s="13" t="n">
        <v>931646.38</v>
      </c>
      <c r="N113" s="13" t="n">
        <v>310548.793333333</v>
      </c>
      <c r="O113" s="13" t="n">
        <v>1078.78666666667</v>
      </c>
      <c r="P113" s="13" t="n">
        <v>1</v>
      </c>
      <c r="Q113" s="13" t="n">
        <v>2</v>
      </c>
      <c r="R113" s="13" t="s">
        <v>101</v>
      </c>
      <c r="S113" s="13" t="s">
        <v>141</v>
      </c>
      <c r="T113" s="13" t="n">
        <v>1</v>
      </c>
      <c r="U113" s="13" t="n">
        <f aca="false">IF(B113="Individual",1,0)</f>
        <v>1</v>
      </c>
      <c r="V113" s="13" t="n">
        <f aca="false">IF(B113="Company",1,0)</f>
        <v>0</v>
      </c>
      <c r="W113" s="13" t="n">
        <f aca="false">IF(H113="Home",1,0)</f>
        <v>1</v>
      </c>
      <c r="X113" s="13" t="n">
        <f aca="false">IF(H113="Investment",1,0)</f>
        <v>0</v>
      </c>
      <c r="Y113" s="13" t="n">
        <f aca="false">IF(K113="Website",1,0)</f>
        <v>0</v>
      </c>
      <c r="Z113" s="13" t="n">
        <f aca="false">IF(K113="Agency",1,0)</f>
        <v>1</v>
      </c>
      <c r="AA113" s="13" t="n">
        <f aca="false">IF(K113="Client",1,0)</f>
        <v>0</v>
      </c>
      <c r="AB113" s="13" t="n">
        <f aca="false">(D113-AVERAGE(D$2:D$2001))/STDEV(D$2:D$2001)</f>
        <v>-0.411536944818935</v>
      </c>
      <c r="AC113" s="13" t="n">
        <f aca="false">(I113-AVERAGE(I$2:I$2001))/STDEV(I$2:I$2001)</f>
        <v>1.39434968409451</v>
      </c>
      <c r="AD113" s="13" t="n">
        <f aca="false">(L113-AVERAGE(L$2:L$2001))/STDEV(L$2:L$2001)</f>
        <v>-0.777063122173208</v>
      </c>
      <c r="AE113" s="13" t="n">
        <f aca="false">(M113-AVERAGE(M$2:M$2001))/STDEV(M$2:M$2001)</f>
        <v>-0.945083725102439</v>
      </c>
      <c r="AF113" s="13" t="n">
        <f aca="false">(N113-AVERAGE(N$2:N$2001))/STDEV(N$2:N$2001)</f>
        <v>-0.524099364948971</v>
      </c>
      <c r="AG113" s="13" t="n">
        <f aca="false">(O113-AVERAGE(O$2:O$2001))/STDEV(O$2:O$2001)</f>
        <v>-0.312350824338678</v>
      </c>
      <c r="AH113" s="0" t="str">
        <f aca="false">IF(B113="Company","C3 - Corporate Buyers",IF(AND(H113="Investment",M113&gt;'Segmentation Summary'!$C$1),"C1 - Global Investors",IF(AND(I113&gt;=4,M113&gt;'Segmentation Summary'!$C$1),"C4 - Luxury Investors",IF(AND(D113&lt;'Segmentation Summary'!$C$2,J113=1),"C2 - First-Time Buyers","C5 - Other Individual Buyers"))))</f>
        <v>C2 - First-Time Buyers</v>
      </c>
    </row>
    <row r="114" customFormat="false" ht="15" hidden="false" customHeight="true" outlineLevel="0" collapsed="false">
      <c r="A114" s="13" t="s">
        <v>301</v>
      </c>
      <c r="B114" s="13" t="s">
        <v>34</v>
      </c>
      <c r="C114" s="13" t="s">
        <v>302</v>
      </c>
      <c r="D114" s="13" t="n">
        <v>50</v>
      </c>
      <c r="E114" s="13" t="s">
        <v>83</v>
      </c>
      <c r="F114" s="13" t="s">
        <v>33</v>
      </c>
      <c r="G114" s="13" t="s">
        <v>265</v>
      </c>
      <c r="H114" s="13" t="s">
        <v>43</v>
      </c>
      <c r="I114" s="13" t="n">
        <v>5</v>
      </c>
      <c r="J114" s="13" t="n">
        <v>0</v>
      </c>
      <c r="K114" s="13" t="s">
        <v>85</v>
      </c>
      <c r="L114" s="13" t="n">
        <v>4</v>
      </c>
      <c r="M114" s="13" t="n">
        <v>1246714.37</v>
      </c>
      <c r="N114" s="13" t="n">
        <v>311678.5925</v>
      </c>
      <c r="O114" s="13" t="n">
        <v>967</v>
      </c>
      <c r="P114" s="13" t="n">
        <v>2</v>
      </c>
      <c r="Q114" s="13" t="n">
        <v>2</v>
      </c>
      <c r="R114" s="13" t="s">
        <v>124</v>
      </c>
      <c r="S114" s="13" t="s">
        <v>164</v>
      </c>
      <c r="T114" s="13" t="n">
        <v>1</v>
      </c>
      <c r="U114" s="13" t="n">
        <f aca="false">IF(B114="Individual",1,0)</f>
        <v>1</v>
      </c>
      <c r="V114" s="13" t="n">
        <f aca="false">IF(B114="Company",1,0)</f>
        <v>0</v>
      </c>
      <c r="W114" s="13" t="n">
        <f aca="false">IF(H114="Home",1,0)</f>
        <v>0</v>
      </c>
      <c r="X114" s="13" t="n">
        <f aca="false">IF(H114="Investment",1,0)</f>
        <v>1</v>
      </c>
      <c r="Y114" s="13" t="n">
        <f aca="false">IF(K114="Website",1,0)</f>
        <v>1</v>
      </c>
      <c r="Z114" s="13" t="n">
        <f aca="false">IF(K114="Agency",1,0)</f>
        <v>0</v>
      </c>
      <c r="AA114" s="13" t="n">
        <f aca="false">IF(K114="Client",1,0)</f>
        <v>0</v>
      </c>
      <c r="AB114" s="13" t="n">
        <f aca="false">(D114-AVERAGE(D$2:D$2001))/STDEV(D$2:D$2001)</f>
        <v>-0.238549578354482</v>
      </c>
      <c r="AC114" s="13" t="n">
        <f aca="false">(I114-AVERAGE(I$2:I$2001))/STDEV(I$2:I$2001)</f>
        <v>1.39434968409451</v>
      </c>
      <c r="AD114" s="13" t="n">
        <f aca="false">(L114-AVERAGE(L$2:L$2001))/STDEV(L$2:L$2001)</f>
        <v>0.413838214490712</v>
      </c>
      <c r="AE114" s="13" t="n">
        <f aca="false">(M114-AVERAGE(M$2:M$2001))/STDEV(M$2:M$2001)</f>
        <v>-0.0392751755420308</v>
      </c>
      <c r="AF114" s="13" t="n">
        <f aca="false">(N114-AVERAGE(N$2:N$2001))/STDEV(N$2:N$2001)</f>
        <v>-0.507894981052043</v>
      </c>
      <c r="AG114" s="13" t="n">
        <f aca="false">(O114-AVERAGE(O$2:O$2001))/STDEV(O$2:O$2001)</f>
        <v>-0.820650895795267</v>
      </c>
      <c r="AH114" s="0" t="str">
        <f aca="false">IF(B114="Company","C3 - Corporate Buyers",IF(AND(H114="Investment",M114&gt;'Segmentation Summary'!$C$1),"C1 - Global Investors",IF(AND(I114&gt;=4,M114&gt;'Segmentation Summary'!$C$1),"C4 - Luxury Investors",IF(AND(D114&lt;'Segmentation Summary'!$C$2,J114=1),"C2 - First-Time Buyers","C5 - Other Individual Buyers"))))</f>
        <v>C1 - Global Investors</v>
      </c>
    </row>
    <row r="115" customFormat="false" ht="15" hidden="false" customHeight="true" outlineLevel="0" collapsed="false">
      <c r="A115" s="13" t="s">
        <v>303</v>
      </c>
      <c r="B115" s="13" t="s">
        <v>34</v>
      </c>
      <c r="C115" s="13" t="s">
        <v>304</v>
      </c>
      <c r="D115" s="13" t="n">
        <v>44</v>
      </c>
      <c r="E115" s="13" t="s">
        <v>83</v>
      </c>
      <c r="F115" s="13" t="s">
        <v>33</v>
      </c>
      <c r="G115" s="13" t="s">
        <v>157</v>
      </c>
      <c r="H115" s="13" t="s">
        <v>41</v>
      </c>
      <c r="I115" s="13" t="n">
        <v>1</v>
      </c>
      <c r="J115" s="13" t="n">
        <v>1</v>
      </c>
      <c r="K115" s="13" t="s">
        <v>85</v>
      </c>
      <c r="L115" s="13" t="n">
        <v>3</v>
      </c>
      <c r="M115" s="13" t="n">
        <v>805402.83</v>
      </c>
      <c r="N115" s="13" t="n">
        <v>268467.61</v>
      </c>
      <c r="O115" s="13" t="n">
        <v>900.46</v>
      </c>
      <c r="P115" s="13" t="n">
        <v>1</v>
      </c>
      <c r="Q115" s="13" t="n">
        <v>2</v>
      </c>
      <c r="R115" s="13" t="s">
        <v>92</v>
      </c>
      <c r="S115" s="13" t="s">
        <v>152</v>
      </c>
      <c r="T115" s="13" t="n">
        <v>1</v>
      </c>
      <c r="U115" s="13" t="n">
        <f aca="false">IF(B115="Individual",1,0)</f>
        <v>1</v>
      </c>
      <c r="V115" s="13" t="n">
        <f aca="false">IF(B115="Company",1,0)</f>
        <v>0</v>
      </c>
      <c r="W115" s="13" t="n">
        <f aca="false">IF(H115="Home",1,0)</f>
        <v>1</v>
      </c>
      <c r="X115" s="13" t="n">
        <f aca="false">IF(H115="Investment",1,0)</f>
        <v>0</v>
      </c>
      <c r="Y115" s="13" t="n">
        <f aca="false">IF(K115="Website",1,0)</f>
        <v>1</v>
      </c>
      <c r="Z115" s="13" t="n">
        <f aca="false">IF(K115="Agency",1,0)</f>
        <v>0</v>
      </c>
      <c r="AA115" s="13" t="n">
        <f aca="false">IF(K115="Client",1,0)</f>
        <v>0</v>
      </c>
      <c r="AB115" s="13" t="n">
        <f aca="false">(D115-AVERAGE(D$2:D$2001))/STDEV(D$2:D$2001)</f>
        <v>-0.584524311283389</v>
      </c>
      <c r="AC115" s="13" t="n">
        <f aca="false">(I115-AVERAGE(I$2:I$2001))/STDEV(I$2:I$2001)</f>
        <v>-1.43538077576244</v>
      </c>
      <c r="AD115" s="13" t="n">
        <f aca="false">(L115-AVERAGE(L$2:L$2001))/STDEV(L$2:L$2001)</f>
        <v>-0.777063122173208</v>
      </c>
      <c r="AE115" s="13" t="n">
        <f aca="false">(M115-AVERAGE(M$2:M$2001))/STDEV(M$2:M$2001)</f>
        <v>-1.3080291544901</v>
      </c>
      <c r="AF115" s="13" t="n">
        <f aca="false">(N115-AVERAGE(N$2:N$2001))/STDEV(N$2:N$2001)</f>
        <v>-1.12765765184517</v>
      </c>
      <c r="AG115" s="13" t="n">
        <f aca="false">(O115-AVERAGE(O$2:O$2001))/STDEV(O$2:O$2001)</f>
        <v>-1.12321190564785</v>
      </c>
      <c r="AH115" s="0" t="str">
        <f aca="false">IF(B115="Company","C3 - Corporate Buyers",IF(AND(H115="Investment",M115&gt;'Segmentation Summary'!$C$1),"C1 - Global Investors",IF(AND(I115&gt;=4,M115&gt;'Segmentation Summary'!$C$1),"C4 - Luxury Investors",IF(AND(D115&lt;'Segmentation Summary'!$C$2,J115=1),"C2 - First-Time Buyers","C5 - Other Individual Buyers"))))</f>
        <v>C2 - First-Time Buyers</v>
      </c>
    </row>
    <row r="116" customFormat="false" ht="15" hidden="false" customHeight="true" outlineLevel="0" collapsed="false">
      <c r="A116" s="13" t="s">
        <v>305</v>
      </c>
      <c r="B116" s="13" t="s">
        <v>34</v>
      </c>
      <c r="C116" s="13" t="s">
        <v>304</v>
      </c>
      <c r="D116" s="13" t="n">
        <v>51</v>
      </c>
      <c r="E116" s="13" t="s">
        <v>83</v>
      </c>
      <c r="F116" s="13" t="s">
        <v>33</v>
      </c>
      <c r="G116" s="13" t="s">
        <v>97</v>
      </c>
      <c r="H116" s="13" t="s">
        <v>41</v>
      </c>
      <c r="I116" s="13" t="n">
        <v>1</v>
      </c>
      <c r="J116" s="13" t="n">
        <v>1</v>
      </c>
      <c r="K116" s="13" t="s">
        <v>85</v>
      </c>
      <c r="L116" s="13" t="n">
        <v>3</v>
      </c>
      <c r="M116" s="13" t="n">
        <v>770609.62</v>
      </c>
      <c r="N116" s="13" t="n">
        <v>256869.873333333</v>
      </c>
      <c r="O116" s="13" t="n">
        <v>899.756666666667</v>
      </c>
      <c r="P116" s="13" t="n">
        <v>0</v>
      </c>
      <c r="Q116" s="13" t="n">
        <v>3</v>
      </c>
      <c r="R116" s="13" t="s">
        <v>117</v>
      </c>
      <c r="S116" s="13" t="s">
        <v>121</v>
      </c>
      <c r="T116" s="13" t="n">
        <v>1</v>
      </c>
      <c r="U116" s="13" t="n">
        <f aca="false">IF(B116="Individual",1,0)</f>
        <v>1</v>
      </c>
      <c r="V116" s="13" t="n">
        <f aca="false">IF(B116="Company",1,0)</f>
        <v>0</v>
      </c>
      <c r="W116" s="13" t="n">
        <f aca="false">IF(H116="Home",1,0)</f>
        <v>1</v>
      </c>
      <c r="X116" s="13" t="n">
        <f aca="false">IF(H116="Investment",1,0)</f>
        <v>0</v>
      </c>
      <c r="Y116" s="13" t="n">
        <f aca="false">IF(K116="Website",1,0)</f>
        <v>1</v>
      </c>
      <c r="Z116" s="13" t="n">
        <f aca="false">IF(K116="Agency",1,0)</f>
        <v>0</v>
      </c>
      <c r="AA116" s="13" t="n">
        <f aca="false">IF(K116="Client",1,0)</f>
        <v>0</v>
      </c>
      <c r="AB116" s="13" t="n">
        <f aca="false">(D116-AVERAGE(D$2:D$2001))/STDEV(D$2:D$2001)</f>
        <v>-0.18088712286633</v>
      </c>
      <c r="AC116" s="13" t="n">
        <f aca="false">(I116-AVERAGE(I$2:I$2001))/STDEV(I$2:I$2001)</f>
        <v>-1.43538077576244</v>
      </c>
      <c r="AD116" s="13" t="n">
        <f aca="false">(L116-AVERAGE(L$2:L$2001))/STDEV(L$2:L$2001)</f>
        <v>-0.777063122173208</v>
      </c>
      <c r="AE116" s="13" t="n">
        <f aca="false">(M116-AVERAGE(M$2:M$2001))/STDEV(M$2:M$2001)</f>
        <v>-1.40805831671839</v>
      </c>
      <c r="AF116" s="13" t="n">
        <f aca="false">(N116-AVERAGE(N$2:N$2001))/STDEV(N$2:N$2001)</f>
        <v>-1.29400064697815</v>
      </c>
      <c r="AG116" s="13" t="n">
        <f aca="false">(O116-AVERAGE(O$2:O$2001))/STDEV(O$2:O$2001)</f>
        <v>-1.12641000068236</v>
      </c>
      <c r="AH116" s="0" t="str">
        <f aca="false">IF(B116="Company","C3 - Corporate Buyers",IF(AND(H116="Investment",M116&gt;'Segmentation Summary'!$C$1),"C1 - Global Investors",IF(AND(I116&gt;=4,M116&gt;'Segmentation Summary'!$C$1),"C4 - Luxury Investors",IF(AND(D116&lt;'Segmentation Summary'!$C$2,J116=1),"C2 - First-Time Buyers","C5 - Other Individual Buyers"))))</f>
        <v>C2 - First-Time Buyers</v>
      </c>
    </row>
    <row r="117" customFormat="false" ht="15" hidden="false" customHeight="true" outlineLevel="0" collapsed="false">
      <c r="A117" s="13" t="s">
        <v>306</v>
      </c>
      <c r="B117" s="13" t="s">
        <v>34</v>
      </c>
      <c r="C117" s="13" t="s">
        <v>307</v>
      </c>
      <c r="D117" s="13" t="n">
        <v>58</v>
      </c>
      <c r="E117" s="13" t="s">
        <v>83</v>
      </c>
      <c r="F117" s="13" t="s">
        <v>33</v>
      </c>
      <c r="G117" s="13" t="s">
        <v>95</v>
      </c>
      <c r="H117" s="13" t="s">
        <v>41</v>
      </c>
      <c r="I117" s="13" t="n">
        <v>3</v>
      </c>
      <c r="J117" s="13" t="n">
        <v>0</v>
      </c>
      <c r="K117" s="13" t="s">
        <v>85</v>
      </c>
      <c r="L117" s="13" t="n">
        <v>4</v>
      </c>
      <c r="M117" s="13" t="n">
        <v>1549969.49</v>
      </c>
      <c r="N117" s="13" t="n">
        <v>387492.3725</v>
      </c>
      <c r="O117" s="13" t="n">
        <v>1458.93</v>
      </c>
      <c r="P117" s="13" t="n">
        <v>1</v>
      </c>
      <c r="Q117" s="13" t="n">
        <v>3</v>
      </c>
      <c r="R117" s="13" t="s">
        <v>101</v>
      </c>
      <c r="S117" s="13" t="s">
        <v>121</v>
      </c>
      <c r="T117" s="13" t="n">
        <v>1</v>
      </c>
      <c r="U117" s="13" t="n">
        <f aca="false">IF(B117="Individual",1,0)</f>
        <v>1</v>
      </c>
      <c r="V117" s="13" t="n">
        <f aca="false">IF(B117="Company",1,0)</f>
        <v>0</v>
      </c>
      <c r="W117" s="13" t="n">
        <f aca="false">IF(H117="Home",1,0)</f>
        <v>1</v>
      </c>
      <c r="X117" s="13" t="n">
        <f aca="false">IF(H117="Investment",1,0)</f>
        <v>0</v>
      </c>
      <c r="Y117" s="13" t="n">
        <f aca="false">IF(K117="Website",1,0)</f>
        <v>1</v>
      </c>
      <c r="Z117" s="13" t="n">
        <f aca="false">IF(K117="Agency",1,0)</f>
        <v>0</v>
      </c>
      <c r="AA117" s="13" t="n">
        <f aca="false">IF(K117="Client",1,0)</f>
        <v>0</v>
      </c>
      <c r="AB117" s="13" t="n">
        <f aca="false">(D117-AVERAGE(D$2:D$2001))/STDEV(D$2:D$2001)</f>
        <v>0.222750065550728</v>
      </c>
      <c r="AC117" s="13" t="n">
        <f aca="false">(I117-AVERAGE(I$2:I$2001))/STDEV(I$2:I$2001)</f>
        <v>-0.0205155458339628</v>
      </c>
      <c r="AD117" s="13" t="n">
        <f aca="false">(L117-AVERAGE(L$2:L$2001))/STDEV(L$2:L$2001)</f>
        <v>0.413838214490712</v>
      </c>
      <c r="AE117" s="13" t="n">
        <f aca="false">(M117-AVERAGE(M$2:M$2001))/STDEV(M$2:M$2001)</f>
        <v>0.832571819749263</v>
      </c>
      <c r="AF117" s="13" t="n">
        <f aca="false">(N117-AVERAGE(N$2:N$2001))/STDEV(N$2:N$2001)</f>
        <v>0.579480219817834</v>
      </c>
      <c r="AG117" s="13" t="n">
        <f aca="false">(O117-AVERAGE(O$2:O$2001))/STDEV(O$2:O$2001)</f>
        <v>1.41618164969285</v>
      </c>
      <c r="AH117" s="0" t="str">
        <f aca="false">IF(B117="Company","C3 - Corporate Buyers",IF(AND(H117="Investment",M117&gt;'Segmentation Summary'!$C$1),"C1 - Global Investors",IF(AND(I117&gt;=4,M117&gt;'Segmentation Summary'!$C$1),"C4 - Luxury Investors",IF(AND(D117&lt;'Segmentation Summary'!$C$2,J117=1),"C2 - First-Time Buyers","C5 - Other Individual Buyers"))))</f>
        <v>C5 - Other Individual Buyers</v>
      </c>
    </row>
    <row r="118" customFormat="false" ht="15" hidden="false" customHeight="true" outlineLevel="0" collapsed="false">
      <c r="A118" s="13" t="s">
        <v>308</v>
      </c>
      <c r="B118" s="13" t="s">
        <v>34</v>
      </c>
      <c r="C118" s="13" t="s">
        <v>309</v>
      </c>
      <c r="D118" s="13" t="n">
        <v>27</v>
      </c>
      <c r="E118" s="13" t="s">
        <v>83</v>
      </c>
      <c r="F118" s="13" t="s">
        <v>33</v>
      </c>
      <c r="G118" s="13" t="s">
        <v>95</v>
      </c>
      <c r="H118" s="13" t="s">
        <v>41</v>
      </c>
      <c r="I118" s="13" t="n">
        <v>2</v>
      </c>
      <c r="J118" s="13" t="n">
        <v>0</v>
      </c>
      <c r="K118" s="13" t="s">
        <v>85</v>
      </c>
      <c r="L118" s="13" t="n">
        <v>4</v>
      </c>
      <c r="M118" s="13" t="n">
        <v>1518476.47</v>
      </c>
      <c r="N118" s="13" t="n">
        <v>379619.1175</v>
      </c>
      <c r="O118" s="13" t="n">
        <v>1265.3825</v>
      </c>
      <c r="P118" s="13" t="n">
        <v>0</v>
      </c>
      <c r="Q118" s="13" t="n">
        <v>4</v>
      </c>
      <c r="R118" s="13" t="s">
        <v>101</v>
      </c>
      <c r="S118" s="13" t="s">
        <v>150</v>
      </c>
      <c r="T118" s="13" t="n">
        <v>1</v>
      </c>
      <c r="U118" s="13" t="n">
        <f aca="false">IF(B118="Individual",1,0)</f>
        <v>1</v>
      </c>
      <c r="V118" s="13" t="n">
        <f aca="false">IF(B118="Company",1,0)</f>
        <v>0</v>
      </c>
      <c r="W118" s="13" t="n">
        <f aca="false">IF(H118="Home",1,0)</f>
        <v>1</v>
      </c>
      <c r="X118" s="13" t="n">
        <f aca="false">IF(H118="Investment",1,0)</f>
        <v>0</v>
      </c>
      <c r="Y118" s="13" t="n">
        <f aca="false">IF(K118="Website",1,0)</f>
        <v>1</v>
      </c>
      <c r="Z118" s="13" t="n">
        <f aca="false">IF(K118="Agency",1,0)</f>
        <v>0</v>
      </c>
      <c r="AA118" s="13" t="n">
        <f aca="false">IF(K118="Client",1,0)</f>
        <v>0</v>
      </c>
      <c r="AB118" s="13" t="n">
        <f aca="false">(D118-AVERAGE(D$2:D$2001))/STDEV(D$2:D$2001)</f>
        <v>-1.56478605458196</v>
      </c>
      <c r="AC118" s="13" t="n">
        <f aca="false">(I118-AVERAGE(I$2:I$2001))/STDEV(I$2:I$2001)</f>
        <v>-0.727948160798201</v>
      </c>
      <c r="AD118" s="13" t="n">
        <f aca="false">(L118-AVERAGE(L$2:L$2001))/STDEV(L$2:L$2001)</f>
        <v>0.413838214490712</v>
      </c>
      <c r="AE118" s="13" t="n">
        <f aca="false">(M118-AVERAGE(M$2:M$2001))/STDEV(M$2:M$2001)</f>
        <v>0.742030578896846</v>
      </c>
      <c r="AF118" s="13" t="n">
        <f aca="false">(N118-AVERAGE(N$2:N$2001))/STDEV(N$2:N$2001)</f>
        <v>0.466556392023932</v>
      </c>
      <c r="AG118" s="13" t="n">
        <f aca="false">(O118-AVERAGE(O$2:O$2001))/STDEV(O$2:O$2001)</f>
        <v>0.536110608898712</v>
      </c>
      <c r="AH118" s="0" t="str">
        <f aca="false">IF(B118="Company","C3 - Corporate Buyers",IF(AND(H118="Investment",M118&gt;'Segmentation Summary'!$C$1),"C1 - Global Investors",IF(AND(I118&gt;=4,M118&gt;'Segmentation Summary'!$C$1),"C4 - Luxury Investors",IF(AND(D118&lt;'Segmentation Summary'!$C$2,J118=1),"C2 - First-Time Buyers","C5 - Other Individual Buyers"))))</f>
        <v>C5 - Other Individual Buyers</v>
      </c>
    </row>
    <row r="119" customFormat="false" ht="15" hidden="false" customHeight="true" outlineLevel="0" collapsed="false">
      <c r="A119" s="13" t="s">
        <v>310</v>
      </c>
      <c r="B119" s="13" t="s">
        <v>34</v>
      </c>
      <c r="C119" s="13" t="s">
        <v>311</v>
      </c>
      <c r="D119" s="13" t="n">
        <v>62</v>
      </c>
      <c r="E119" s="13" t="s">
        <v>83</v>
      </c>
      <c r="F119" s="13" t="s">
        <v>33</v>
      </c>
      <c r="G119" s="13" t="s">
        <v>95</v>
      </c>
      <c r="H119" s="13" t="s">
        <v>41</v>
      </c>
      <c r="I119" s="13" t="n">
        <v>4</v>
      </c>
      <c r="J119" s="13" t="n">
        <v>1</v>
      </c>
      <c r="K119" s="13" t="s">
        <v>85</v>
      </c>
      <c r="L119" s="13" t="n">
        <v>4</v>
      </c>
      <c r="M119" s="13" t="n">
        <v>1318838.26</v>
      </c>
      <c r="N119" s="13" t="n">
        <v>329709.565</v>
      </c>
      <c r="O119" s="13" t="n">
        <v>1150.2</v>
      </c>
      <c r="P119" s="13" t="n">
        <v>1</v>
      </c>
      <c r="Q119" s="13" t="n">
        <v>3</v>
      </c>
      <c r="R119" s="13" t="s">
        <v>117</v>
      </c>
      <c r="S119" s="13" t="s">
        <v>93</v>
      </c>
      <c r="T119" s="13" t="n">
        <v>1</v>
      </c>
      <c r="U119" s="13" t="n">
        <f aca="false">IF(B119="Individual",1,0)</f>
        <v>1</v>
      </c>
      <c r="V119" s="13" t="n">
        <f aca="false">IF(B119="Company",1,0)</f>
        <v>0</v>
      </c>
      <c r="W119" s="13" t="n">
        <f aca="false">IF(H119="Home",1,0)</f>
        <v>1</v>
      </c>
      <c r="X119" s="13" t="n">
        <f aca="false">IF(H119="Investment",1,0)</f>
        <v>0</v>
      </c>
      <c r="Y119" s="13" t="n">
        <f aca="false">IF(K119="Website",1,0)</f>
        <v>1</v>
      </c>
      <c r="Z119" s="13" t="n">
        <f aca="false">IF(K119="Agency",1,0)</f>
        <v>0</v>
      </c>
      <c r="AA119" s="13" t="n">
        <f aca="false">IF(K119="Client",1,0)</f>
        <v>0</v>
      </c>
      <c r="AB119" s="13" t="n">
        <f aca="false">(D119-AVERAGE(D$2:D$2001))/STDEV(D$2:D$2001)</f>
        <v>0.453399887503333</v>
      </c>
      <c r="AC119" s="13" t="n">
        <f aca="false">(I119-AVERAGE(I$2:I$2001))/STDEV(I$2:I$2001)</f>
        <v>0.686917069130275</v>
      </c>
      <c r="AD119" s="13" t="n">
        <f aca="false">(L119-AVERAGE(L$2:L$2001))/STDEV(L$2:L$2001)</f>
        <v>0.413838214490712</v>
      </c>
      <c r="AE119" s="13" t="n">
        <f aca="false">(M119-AVERAGE(M$2:M$2001))/STDEV(M$2:M$2001)</f>
        <v>0.168078279150572</v>
      </c>
      <c r="AF119" s="13" t="n">
        <f aca="false">(N119-AVERAGE(N$2:N$2001))/STDEV(N$2:N$2001)</f>
        <v>-0.249281938092482</v>
      </c>
      <c r="AG119" s="13" t="n">
        <f aca="false">(O119-AVERAGE(O$2:O$2001))/STDEV(O$2:O$2001)</f>
        <v>0.0123694980278863</v>
      </c>
      <c r="AH119" s="0" t="str">
        <f aca="false">IF(B119="Company","C3 - Corporate Buyers",IF(AND(H119="Investment",M119&gt;'Segmentation Summary'!$C$1),"C1 - Global Investors",IF(AND(I119&gt;=4,M119&gt;'Segmentation Summary'!$C$1),"C4 - Luxury Investors",IF(AND(D119&lt;'Segmentation Summary'!$C$2,J119=1),"C2 - First-Time Buyers","C5 - Other Individual Buyers"))))</f>
        <v>C4 - Luxury Investors</v>
      </c>
    </row>
    <row r="120" customFormat="false" ht="15" hidden="false" customHeight="true" outlineLevel="0" collapsed="false">
      <c r="A120" s="13" t="s">
        <v>312</v>
      </c>
      <c r="B120" s="13" t="s">
        <v>34</v>
      </c>
      <c r="C120" s="13" t="s">
        <v>313</v>
      </c>
      <c r="D120" s="13" t="n">
        <v>73</v>
      </c>
      <c r="E120" s="13" t="s">
        <v>83</v>
      </c>
      <c r="F120" s="13" t="s">
        <v>33</v>
      </c>
      <c r="G120" s="13" t="s">
        <v>157</v>
      </c>
      <c r="H120" s="13" t="s">
        <v>41</v>
      </c>
      <c r="I120" s="13" t="n">
        <v>2</v>
      </c>
      <c r="J120" s="13" t="n">
        <v>0</v>
      </c>
      <c r="K120" s="13" t="s">
        <v>85</v>
      </c>
      <c r="L120" s="13" t="n">
        <v>4</v>
      </c>
      <c r="M120" s="13" t="n">
        <v>1176910.13</v>
      </c>
      <c r="N120" s="13" t="n">
        <v>294227.5325</v>
      </c>
      <c r="O120" s="13" t="n">
        <v>1024.3375</v>
      </c>
      <c r="P120" s="13" t="n">
        <v>0</v>
      </c>
      <c r="Q120" s="13" t="n">
        <v>4</v>
      </c>
      <c r="R120" s="13" t="s">
        <v>86</v>
      </c>
      <c r="S120" s="13" t="s">
        <v>141</v>
      </c>
      <c r="T120" s="13" t="n">
        <v>1</v>
      </c>
      <c r="U120" s="13" t="n">
        <f aca="false">IF(B120="Individual",1,0)</f>
        <v>1</v>
      </c>
      <c r="V120" s="13" t="n">
        <f aca="false">IF(B120="Company",1,0)</f>
        <v>0</v>
      </c>
      <c r="W120" s="13" t="n">
        <f aca="false">IF(H120="Home",1,0)</f>
        <v>1</v>
      </c>
      <c r="X120" s="13" t="n">
        <f aca="false">IF(H120="Investment",1,0)</f>
        <v>0</v>
      </c>
      <c r="Y120" s="13" t="n">
        <f aca="false">IF(K120="Website",1,0)</f>
        <v>1</v>
      </c>
      <c r="Z120" s="13" t="n">
        <f aca="false">IF(K120="Agency",1,0)</f>
        <v>0</v>
      </c>
      <c r="AA120" s="13" t="n">
        <f aca="false">IF(K120="Client",1,0)</f>
        <v>0</v>
      </c>
      <c r="AB120" s="13" t="n">
        <f aca="false">(D120-AVERAGE(D$2:D$2001))/STDEV(D$2:D$2001)</f>
        <v>1.087686897873</v>
      </c>
      <c r="AC120" s="13" t="n">
        <f aca="false">(I120-AVERAGE(I$2:I$2001))/STDEV(I$2:I$2001)</f>
        <v>-0.727948160798201</v>
      </c>
      <c r="AD120" s="13" t="n">
        <f aca="false">(L120-AVERAGE(L$2:L$2001))/STDEV(L$2:L$2001)</f>
        <v>0.413838214490712</v>
      </c>
      <c r="AE120" s="13" t="n">
        <f aca="false">(M120-AVERAGE(M$2:M$2001))/STDEV(M$2:M$2001)</f>
        <v>-0.239959724256633</v>
      </c>
      <c r="AF120" s="13" t="n">
        <f aca="false">(N120-AVERAGE(N$2:N$2001))/STDEV(N$2:N$2001)</f>
        <v>-0.758190506125352</v>
      </c>
      <c r="AG120" s="13" t="n">
        <f aca="false">(O120-AVERAGE(O$2:O$2001))/STDEV(O$2:O$2001)</f>
        <v>-0.55993415545228</v>
      </c>
      <c r="AH120" s="0" t="str">
        <f aca="false">IF(B120="Company","C3 - Corporate Buyers",IF(AND(H120="Investment",M120&gt;'Segmentation Summary'!$C$1),"C1 - Global Investors",IF(AND(I120&gt;=4,M120&gt;'Segmentation Summary'!$C$1),"C4 - Luxury Investors",IF(AND(D120&lt;'Segmentation Summary'!$C$2,J120=1),"C2 - First-Time Buyers","C5 - Other Individual Buyers"))))</f>
        <v>C5 - Other Individual Buyers</v>
      </c>
    </row>
    <row r="121" customFormat="false" ht="15" hidden="false" customHeight="true" outlineLevel="0" collapsed="false">
      <c r="A121" s="13" t="s">
        <v>314</v>
      </c>
      <c r="B121" s="13" t="s">
        <v>34</v>
      </c>
      <c r="C121" s="13" t="s">
        <v>315</v>
      </c>
      <c r="D121" s="13" t="n">
        <v>24</v>
      </c>
      <c r="E121" s="13" t="s">
        <v>83</v>
      </c>
      <c r="F121" s="13" t="s">
        <v>33</v>
      </c>
      <c r="G121" s="13" t="s">
        <v>145</v>
      </c>
      <c r="H121" s="13" t="s">
        <v>41</v>
      </c>
      <c r="I121" s="13" t="n">
        <v>5</v>
      </c>
      <c r="J121" s="13" t="n">
        <v>0</v>
      </c>
      <c r="K121" s="13" t="s">
        <v>85</v>
      </c>
      <c r="L121" s="13" t="n">
        <v>4</v>
      </c>
      <c r="M121" s="13" t="n">
        <v>1111237.94</v>
      </c>
      <c r="N121" s="13" t="n">
        <v>277809.485</v>
      </c>
      <c r="O121" s="13" t="n">
        <v>941.135</v>
      </c>
      <c r="P121" s="13" t="n">
        <v>2</v>
      </c>
      <c r="Q121" s="13" t="n">
        <v>2</v>
      </c>
      <c r="R121" s="13" t="s">
        <v>121</v>
      </c>
      <c r="S121" s="13" t="s">
        <v>125</v>
      </c>
      <c r="T121" s="13" t="n">
        <v>1</v>
      </c>
      <c r="U121" s="13" t="n">
        <f aca="false">IF(B121="Individual",1,0)</f>
        <v>1</v>
      </c>
      <c r="V121" s="13" t="n">
        <f aca="false">IF(B121="Company",1,0)</f>
        <v>0</v>
      </c>
      <c r="W121" s="13" t="n">
        <f aca="false">IF(H121="Home",1,0)</f>
        <v>1</v>
      </c>
      <c r="X121" s="13" t="n">
        <f aca="false">IF(H121="Investment",1,0)</f>
        <v>0</v>
      </c>
      <c r="Y121" s="13" t="n">
        <f aca="false">IF(K121="Website",1,0)</f>
        <v>1</v>
      </c>
      <c r="Z121" s="13" t="n">
        <f aca="false">IF(K121="Agency",1,0)</f>
        <v>0</v>
      </c>
      <c r="AA121" s="13" t="n">
        <f aca="false">IF(K121="Client",1,0)</f>
        <v>0</v>
      </c>
      <c r="AB121" s="13" t="n">
        <f aca="false">(D121-AVERAGE(D$2:D$2001))/STDEV(D$2:D$2001)</f>
        <v>-1.73777342104641</v>
      </c>
      <c r="AC121" s="13" t="n">
        <f aca="false">(I121-AVERAGE(I$2:I$2001))/STDEV(I$2:I$2001)</f>
        <v>1.39434968409451</v>
      </c>
      <c r="AD121" s="13" t="n">
        <f aca="false">(L121-AVERAGE(L$2:L$2001))/STDEV(L$2:L$2001)</f>
        <v>0.413838214490712</v>
      </c>
      <c r="AE121" s="13" t="n">
        <f aca="false">(M121-AVERAGE(M$2:M$2001))/STDEV(M$2:M$2001)</f>
        <v>-0.42876478557167</v>
      </c>
      <c r="AF121" s="13" t="n">
        <f aca="false">(N121-AVERAGE(N$2:N$2001))/STDEV(N$2:N$2001)</f>
        <v>-0.993669830572751</v>
      </c>
      <c r="AG121" s="13" t="n">
        <f aca="false">(O121-AVERAGE(O$2:O$2001))/STDEV(O$2:O$2001)</f>
        <v>-0.93826046176817</v>
      </c>
      <c r="AH121" s="0" t="str">
        <f aca="false">IF(B121="Company","C3 - Corporate Buyers",IF(AND(H121="Investment",M121&gt;'Segmentation Summary'!$C$1),"C1 - Global Investors",IF(AND(I121&gt;=4,M121&gt;'Segmentation Summary'!$C$1),"C4 - Luxury Investors",IF(AND(D121&lt;'Segmentation Summary'!$C$2,J121=1),"C2 - First-Time Buyers","C5 - Other Individual Buyers"))))</f>
        <v>C5 - Other Individual Buyers</v>
      </c>
    </row>
    <row r="122" customFormat="false" ht="15" hidden="false" customHeight="true" outlineLevel="0" collapsed="false">
      <c r="A122" s="13" t="s">
        <v>316</v>
      </c>
      <c r="B122" s="13" t="s">
        <v>34</v>
      </c>
      <c r="C122" s="13" t="s">
        <v>317</v>
      </c>
      <c r="D122" s="13" t="n">
        <v>50</v>
      </c>
      <c r="E122" s="13" t="s">
        <v>83</v>
      </c>
      <c r="F122" s="13" t="s">
        <v>44</v>
      </c>
      <c r="G122" s="13" t="s">
        <v>318</v>
      </c>
      <c r="H122" s="13" t="s">
        <v>41</v>
      </c>
      <c r="I122" s="13" t="n">
        <v>2</v>
      </c>
      <c r="J122" s="13" t="n">
        <v>1</v>
      </c>
      <c r="K122" s="13" t="s">
        <v>85</v>
      </c>
      <c r="L122" s="13" t="n">
        <v>3</v>
      </c>
      <c r="M122" s="13" t="n">
        <v>1280976.9</v>
      </c>
      <c r="N122" s="13" t="n">
        <v>426992.3</v>
      </c>
      <c r="O122" s="13" t="n">
        <v>1336.61</v>
      </c>
      <c r="P122" s="13" t="n">
        <v>0</v>
      </c>
      <c r="Q122" s="13" t="n">
        <v>3</v>
      </c>
      <c r="R122" s="13" t="s">
        <v>101</v>
      </c>
      <c r="S122" s="13" t="s">
        <v>152</v>
      </c>
      <c r="T122" s="13" t="n">
        <v>1</v>
      </c>
      <c r="U122" s="13" t="n">
        <f aca="false">IF(B122="Individual",1,0)</f>
        <v>1</v>
      </c>
      <c r="V122" s="13" t="n">
        <f aca="false">IF(B122="Company",1,0)</f>
        <v>0</v>
      </c>
      <c r="W122" s="13" t="n">
        <f aca="false">IF(H122="Home",1,0)</f>
        <v>1</v>
      </c>
      <c r="X122" s="13" t="n">
        <f aca="false">IF(H122="Investment",1,0)</f>
        <v>0</v>
      </c>
      <c r="Y122" s="13" t="n">
        <f aca="false">IF(K122="Website",1,0)</f>
        <v>1</v>
      </c>
      <c r="Z122" s="13" t="n">
        <f aca="false">IF(K122="Agency",1,0)</f>
        <v>0</v>
      </c>
      <c r="AA122" s="13" t="n">
        <f aca="false">IF(K122="Client",1,0)</f>
        <v>0</v>
      </c>
      <c r="AB122" s="13" t="n">
        <f aca="false">(D122-AVERAGE(D$2:D$2001))/STDEV(D$2:D$2001)</f>
        <v>-0.238549578354482</v>
      </c>
      <c r="AC122" s="13" t="n">
        <f aca="false">(I122-AVERAGE(I$2:I$2001))/STDEV(I$2:I$2001)</f>
        <v>-0.727948160798201</v>
      </c>
      <c r="AD122" s="13" t="n">
        <f aca="false">(L122-AVERAGE(L$2:L$2001))/STDEV(L$2:L$2001)</f>
        <v>-0.777063122173208</v>
      </c>
      <c r="AE122" s="13" t="n">
        <f aca="false">(M122-AVERAGE(M$2:M$2001))/STDEV(M$2:M$2001)</f>
        <v>0.0592283017663742</v>
      </c>
      <c r="AF122" s="13" t="n">
        <f aca="false">(N122-AVERAGE(N$2:N$2001))/STDEV(N$2:N$2001)</f>
        <v>1.146016298083</v>
      </c>
      <c r="AG122" s="13" t="n">
        <f aca="false">(O122-AVERAGE(O$2:O$2001))/STDEV(O$2:O$2001)</f>
        <v>0.859985936961149</v>
      </c>
      <c r="AH122" s="0" t="str">
        <f aca="false">IF(B122="Company","C3 - Corporate Buyers",IF(AND(H122="Investment",M122&gt;'Segmentation Summary'!$C$1),"C1 - Global Investors",IF(AND(I122&gt;=4,M122&gt;'Segmentation Summary'!$C$1),"C4 - Luxury Investors",IF(AND(D122&lt;'Segmentation Summary'!$C$2,J122=1),"C2 - First-Time Buyers","C5 - Other Individual Buyers"))))</f>
        <v>C2 - First-Time Buyers</v>
      </c>
    </row>
    <row r="123" customFormat="false" ht="15" hidden="false" customHeight="true" outlineLevel="0" collapsed="false">
      <c r="A123" s="13" t="s">
        <v>319</v>
      </c>
      <c r="B123" s="13" t="s">
        <v>34</v>
      </c>
      <c r="C123" s="13" t="s">
        <v>320</v>
      </c>
      <c r="D123" s="13" t="n">
        <v>60</v>
      </c>
      <c r="E123" s="13" t="s">
        <v>83</v>
      </c>
      <c r="F123" s="13" t="s">
        <v>33</v>
      </c>
      <c r="G123" s="13" t="s">
        <v>97</v>
      </c>
      <c r="H123" s="13" t="s">
        <v>43</v>
      </c>
      <c r="I123" s="13" t="n">
        <v>3</v>
      </c>
      <c r="J123" s="13" t="n">
        <v>0</v>
      </c>
      <c r="K123" s="13" t="s">
        <v>91</v>
      </c>
      <c r="L123" s="13" t="n">
        <v>4</v>
      </c>
      <c r="M123" s="13" t="n">
        <v>1206585.87</v>
      </c>
      <c r="N123" s="13" t="n">
        <v>301646.4675</v>
      </c>
      <c r="O123" s="13" t="n">
        <v>1011.5875</v>
      </c>
      <c r="P123" s="13" t="n">
        <v>0</v>
      </c>
      <c r="Q123" s="13" t="n">
        <v>4</v>
      </c>
      <c r="R123" s="13" t="s">
        <v>86</v>
      </c>
      <c r="S123" s="13" t="s">
        <v>135</v>
      </c>
      <c r="T123" s="13" t="n">
        <v>1</v>
      </c>
      <c r="U123" s="13" t="n">
        <f aca="false">IF(B123="Individual",1,0)</f>
        <v>1</v>
      </c>
      <c r="V123" s="13" t="n">
        <f aca="false">IF(B123="Company",1,0)</f>
        <v>0</v>
      </c>
      <c r="W123" s="13" t="n">
        <f aca="false">IF(H123="Home",1,0)</f>
        <v>0</v>
      </c>
      <c r="X123" s="13" t="n">
        <f aca="false">IF(H123="Investment",1,0)</f>
        <v>1</v>
      </c>
      <c r="Y123" s="13" t="n">
        <f aca="false">IF(K123="Website",1,0)</f>
        <v>0</v>
      </c>
      <c r="Z123" s="13" t="n">
        <f aca="false">IF(K123="Agency",1,0)</f>
        <v>1</v>
      </c>
      <c r="AA123" s="13" t="n">
        <f aca="false">IF(K123="Client",1,0)</f>
        <v>0</v>
      </c>
      <c r="AB123" s="13" t="n">
        <f aca="false">(D123-AVERAGE(D$2:D$2001))/STDEV(D$2:D$2001)</f>
        <v>0.338074976527031</v>
      </c>
      <c r="AC123" s="13" t="n">
        <f aca="false">(I123-AVERAGE(I$2:I$2001))/STDEV(I$2:I$2001)</f>
        <v>-0.0205155458339628</v>
      </c>
      <c r="AD123" s="13" t="n">
        <f aca="false">(L123-AVERAGE(L$2:L$2001))/STDEV(L$2:L$2001)</f>
        <v>0.413838214490712</v>
      </c>
      <c r="AE123" s="13" t="n">
        <f aca="false">(M123-AVERAGE(M$2:M$2001))/STDEV(M$2:M$2001)</f>
        <v>-0.154643094641127</v>
      </c>
      <c r="AF123" s="13" t="n">
        <f aca="false">(N123-AVERAGE(N$2:N$2001))/STDEV(N$2:N$2001)</f>
        <v>-0.651782859179565</v>
      </c>
      <c r="AG123" s="13" t="n">
        <f aca="false">(O123-AVERAGE(O$2:O$2001))/STDEV(O$2:O$2001)</f>
        <v>-0.617909100983095</v>
      </c>
      <c r="AH123" s="0" t="str">
        <f aca="false">IF(B123="Company","C3 - Corporate Buyers",IF(AND(H123="Investment",M123&gt;'Segmentation Summary'!$C$1),"C1 - Global Investors",IF(AND(I123&gt;=4,M123&gt;'Segmentation Summary'!$C$1),"C4 - Luxury Investors",IF(AND(D123&lt;'Segmentation Summary'!$C$2,J123=1),"C2 - First-Time Buyers","C5 - Other Individual Buyers"))))</f>
        <v>C5 - Other Individual Buyers</v>
      </c>
    </row>
    <row r="124" customFormat="false" ht="15" hidden="false" customHeight="true" outlineLevel="0" collapsed="false">
      <c r="A124" s="13" t="s">
        <v>321</v>
      </c>
      <c r="B124" s="13" t="s">
        <v>34</v>
      </c>
      <c r="C124" s="13" t="s">
        <v>322</v>
      </c>
      <c r="D124" s="13" t="n">
        <v>82</v>
      </c>
      <c r="E124" s="13" t="s">
        <v>83</v>
      </c>
      <c r="F124" s="13" t="s">
        <v>33</v>
      </c>
      <c r="G124" s="13" t="s">
        <v>123</v>
      </c>
      <c r="H124" s="13" t="s">
        <v>41</v>
      </c>
      <c r="I124" s="13" t="n">
        <v>4</v>
      </c>
      <c r="J124" s="13" t="n">
        <v>0</v>
      </c>
      <c r="K124" s="13" t="s">
        <v>85</v>
      </c>
      <c r="L124" s="13" t="n">
        <v>3</v>
      </c>
      <c r="M124" s="13" t="n">
        <v>1280715.29</v>
      </c>
      <c r="N124" s="13" t="n">
        <v>426905.096666667</v>
      </c>
      <c r="O124" s="13" t="n">
        <v>1493.24333333333</v>
      </c>
      <c r="P124" s="13" t="n">
        <v>1</v>
      </c>
      <c r="Q124" s="13" t="n">
        <v>2</v>
      </c>
      <c r="R124" s="13" t="s">
        <v>98</v>
      </c>
      <c r="S124" s="13" t="s">
        <v>112</v>
      </c>
      <c r="T124" s="13" t="n">
        <v>1</v>
      </c>
      <c r="U124" s="13" t="n">
        <f aca="false">IF(B124="Individual",1,0)</f>
        <v>1</v>
      </c>
      <c r="V124" s="13" t="n">
        <f aca="false">IF(B124="Company",1,0)</f>
        <v>0</v>
      </c>
      <c r="W124" s="13" t="n">
        <f aca="false">IF(H124="Home",1,0)</f>
        <v>1</v>
      </c>
      <c r="X124" s="13" t="n">
        <f aca="false">IF(H124="Investment",1,0)</f>
        <v>0</v>
      </c>
      <c r="Y124" s="13" t="n">
        <f aca="false">IF(K124="Website",1,0)</f>
        <v>1</v>
      </c>
      <c r="Z124" s="13" t="n">
        <f aca="false">IF(K124="Agency",1,0)</f>
        <v>0</v>
      </c>
      <c r="AA124" s="13" t="n">
        <f aca="false">IF(K124="Client",1,0)</f>
        <v>0</v>
      </c>
      <c r="AB124" s="13" t="n">
        <f aca="false">(D124-AVERAGE(D$2:D$2001))/STDEV(D$2:D$2001)</f>
        <v>1.60664899726636</v>
      </c>
      <c r="AC124" s="13" t="n">
        <f aca="false">(I124-AVERAGE(I$2:I$2001))/STDEV(I$2:I$2001)</f>
        <v>0.686917069130275</v>
      </c>
      <c r="AD124" s="13" t="n">
        <f aca="false">(L124-AVERAGE(L$2:L$2001))/STDEV(L$2:L$2001)</f>
        <v>-0.777063122173208</v>
      </c>
      <c r="AE124" s="13" t="n">
        <f aca="false">(M124-AVERAGE(M$2:M$2001))/STDEV(M$2:M$2001)</f>
        <v>0.0584761829152958</v>
      </c>
      <c r="AF124" s="13" t="n">
        <f aca="false">(N124-AVERAGE(N$2:N$2001))/STDEV(N$2:N$2001)</f>
        <v>1.14476556580056</v>
      </c>
      <c r="AG124" s="13" t="n">
        <f aca="false">(O124-AVERAGE(O$2:O$2001))/STDEV(O$2:O$2001)</f>
        <v>1.57220624820113</v>
      </c>
      <c r="AH124" s="0" t="str">
        <f aca="false">IF(B124="Company","C3 - Corporate Buyers",IF(AND(H124="Investment",M124&gt;'Segmentation Summary'!$C$1),"C1 - Global Investors",IF(AND(I124&gt;=4,M124&gt;'Segmentation Summary'!$C$1),"C4 - Luxury Investors",IF(AND(D124&lt;'Segmentation Summary'!$C$2,J124=1),"C2 - First-Time Buyers","C5 - Other Individual Buyers"))))</f>
        <v>C4 - Luxury Investors</v>
      </c>
    </row>
    <row r="125" customFormat="false" ht="15" hidden="false" customHeight="true" outlineLevel="0" collapsed="false">
      <c r="A125" s="13" t="s">
        <v>323</v>
      </c>
      <c r="B125" s="13" t="s">
        <v>34</v>
      </c>
      <c r="C125" s="13" t="s">
        <v>324</v>
      </c>
      <c r="D125" s="13" t="n">
        <v>80</v>
      </c>
      <c r="E125" s="13" t="s">
        <v>83</v>
      </c>
      <c r="F125" s="13" t="s">
        <v>33</v>
      </c>
      <c r="G125" s="13" t="s">
        <v>84</v>
      </c>
      <c r="H125" s="13" t="s">
        <v>41</v>
      </c>
      <c r="I125" s="13" t="n">
        <v>5</v>
      </c>
      <c r="J125" s="13" t="n">
        <v>0</v>
      </c>
      <c r="K125" s="13" t="s">
        <v>85</v>
      </c>
      <c r="L125" s="13" t="n">
        <v>4</v>
      </c>
      <c r="M125" s="13" t="n">
        <v>1733692.62</v>
      </c>
      <c r="N125" s="13" t="n">
        <v>433423.155</v>
      </c>
      <c r="O125" s="13" t="n">
        <v>1244.805</v>
      </c>
      <c r="P125" s="13" t="n">
        <v>2</v>
      </c>
      <c r="Q125" s="13" t="n">
        <v>2</v>
      </c>
      <c r="R125" s="13" t="s">
        <v>121</v>
      </c>
      <c r="S125" s="13" t="s">
        <v>135</v>
      </c>
      <c r="T125" s="13" t="n">
        <v>1</v>
      </c>
      <c r="U125" s="13" t="n">
        <f aca="false">IF(B125="Individual",1,0)</f>
        <v>1</v>
      </c>
      <c r="V125" s="13" t="n">
        <f aca="false">IF(B125="Company",1,0)</f>
        <v>0</v>
      </c>
      <c r="W125" s="13" t="n">
        <f aca="false">IF(H125="Home",1,0)</f>
        <v>1</v>
      </c>
      <c r="X125" s="13" t="n">
        <f aca="false">IF(H125="Investment",1,0)</f>
        <v>0</v>
      </c>
      <c r="Y125" s="13" t="n">
        <f aca="false">IF(K125="Website",1,0)</f>
        <v>1</v>
      </c>
      <c r="Z125" s="13" t="n">
        <f aca="false">IF(K125="Agency",1,0)</f>
        <v>0</v>
      </c>
      <c r="AA125" s="13" t="n">
        <f aca="false">IF(K125="Client",1,0)</f>
        <v>0</v>
      </c>
      <c r="AB125" s="13" t="n">
        <f aca="false">(D125-AVERAGE(D$2:D$2001))/STDEV(D$2:D$2001)</f>
        <v>1.49132408629005</v>
      </c>
      <c r="AC125" s="13" t="n">
        <f aca="false">(I125-AVERAGE(I$2:I$2001))/STDEV(I$2:I$2001)</f>
        <v>1.39434968409451</v>
      </c>
      <c r="AD125" s="13" t="n">
        <f aca="false">(L125-AVERAGE(L$2:L$2001))/STDEV(L$2:L$2001)</f>
        <v>0.413838214490712</v>
      </c>
      <c r="AE125" s="13" t="n">
        <f aca="false">(M125-AVERAGE(M$2:M$2001))/STDEV(M$2:M$2001)</f>
        <v>1.36076886669776</v>
      </c>
      <c r="AF125" s="13" t="n">
        <f aca="false">(N125-AVERAGE(N$2:N$2001))/STDEV(N$2:N$2001)</f>
        <v>1.23825219830312</v>
      </c>
      <c r="AG125" s="13" t="n">
        <f aca="false">(O125-AVERAGE(O$2:O$2001))/STDEV(O$2:O$2001)</f>
        <v>0.442543593866529</v>
      </c>
      <c r="AH125" s="0" t="str">
        <f aca="false">IF(B125="Company","C3 - Corporate Buyers",IF(AND(H125="Investment",M125&gt;'Segmentation Summary'!$C$1),"C1 - Global Investors",IF(AND(I125&gt;=4,M125&gt;'Segmentation Summary'!$C$1),"C4 - Luxury Investors",IF(AND(D125&lt;'Segmentation Summary'!$C$2,J125=1),"C2 - First-Time Buyers","C5 - Other Individual Buyers"))))</f>
        <v>C4 - Luxury Investors</v>
      </c>
    </row>
    <row r="126" customFormat="false" ht="15" hidden="false" customHeight="true" outlineLevel="0" collapsed="false">
      <c r="A126" s="13" t="s">
        <v>325</v>
      </c>
      <c r="B126" s="13" t="s">
        <v>34</v>
      </c>
      <c r="C126" s="13" t="s">
        <v>326</v>
      </c>
      <c r="D126" s="13" t="n">
        <v>29</v>
      </c>
      <c r="E126" s="13" t="s">
        <v>83</v>
      </c>
      <c r="F126" s="13" t="s">
        <v>33</v>
      </c>
      <c r="G126" s="13" t="s">
        <v>95</v>
      </c>
      <c r="H126" s="13" t="s">
        <v>41</v>
      </c>
      <c r="I126" s="13" t="n">
        <v>1</v>
      </c>
      <c r="J126" s="13" t="n">
        <v>0</v>
      </c>
      <c r="K126" s="13" t="s">
        <v>85</v>
      </c>
      <c r="L126" s="13" t="n">
        <v>4</v>
      </c>
      <c r="M126" s="13" t="n">
        <v>1247095.22</v>
      </c>
      <c r="N126" s="13" t="n">
        <v>311773.805</v>
      </c>
      <c r="O126" s="13" t="n">
        <v>1102.2725</v>
      </c>
      <c r="P126" s="13" t="n">
        <v>1</v>
      </c>
      <c r="Q126" s="13" t="n">
        <v>3</v>
      </c>
      <c r="R126" s="13" t="s">
        <v>128</v>
      </c>
      <c r="S126" s="13" t="s">
        <v>87</v>
      </c>
      <c r="T126" s="13" t="n">
        <v>1</v>
      </c>
      <c r="U126" s="13" t="n">
        <f aca="false">IF(B126="Individual",1,0)</f>
        <v>1</v>
      </c>
      <c r="V126" s="13" t="n">
        <f aca="false">IF(B126="Company",1,0)</f>
        <v>0</v>
      </c>
      <c r="W126" s="13" t="n">
        <f aca="false">IF(H126="Home",1,0)</f>
        <v>1</v>
      </c>
      <c r="X126" s="13" t="n">
        <f aca="false">IF(H126="Investment",1,0)</f>
        <v>0</v>
      </c>
      <c r="Y126" s="13" t="n">
        <f aca="false">IF(K126="Website",1,0)</f>
        <v>1</v>
      </c>
      <c r="Z126" s="13" t="n">
        <f aca="false">IF(K126="Agency",1,0)</f>
        <v>0</v>
      </c>
      <c r="AA126" s="13" t="n">
        <f aca="false">IF(K126="Client",1,0)</f>
        <v>0</v>
      </c>
      <c r="AB126" s="13" t="n">
        <f aca="false">(D126-AVERAGE(D$2:D$2001))/STDEV(D$2:D$2001)</f>
        <v>-1.44946114360566</v>
      </c>
      <c r="AC126" s="13" t="n">
        <f aca="false">(I126-AVERAGE(I$2:I$2001))/STDEV(I$2:I$2001)</f>
        <v>-1.43538077576244</v>
      </c>
      <c r="AD126" s="13" t="n">
        <f aca="false">(L126-AVERAGE(L$2:L$2001))/STDEV(L$2:L$2001)</f>
        <v>0.413838214490712</v>
      </c>
      <c r="AE126" s="13" t="n">
        <f aca="false">(M126-AVERAGE(M$2:M$2001))/STDEV(M$2:M$2001)</f>
        <v>-0.0381802462028112</v>
      </c>
      <c r="AF126" s="13" t="n">
        <f aca="false">(N126-AVERAGE(N$2:N$2001))/STDEV(N$2:N$2001)</f>
        <v>-0.506529375599937</v>
      </c>
      <c r="AG126" s="13" t="n">
        <f aca="false">(O126-AVERAGE(O$2:O$2001))/STDEV(O$2:O$2001)</f>
        <v>-0.205559458986083</v>
      </c>
      <c r="AH126" s="0" t="str">
        <f aca="false">IF(B126="Company","C3 - Corporate Buyers",IF(AND(H126="Investment",M126&gt;'Segmentation Summary'!$C$1),"C1 - Global Investors",IF(AND(I126&gt;=4,M126&gt;'Segmentation Summary'!$C$1),"C4 - Luxury Investors",IF(AND(D126&lt;'Segmentation Summary'!$C$2,J126=1),"C2 - First-Time Buyers","C5 - Other Individual Buyers"))))</f>
        <v>C5 - Other Individual Buyers</v>
      </c>
    </row>
    <row r="127" customFormat="false" ht="15" hidden="false" customHeight="true" outlineLevel="0" collapsed="false">
      <c r="A127" s="13" t="s">
        <v>327</v>
      </c>
      <c r="B127" s="13" t="s">
        <v>34</v>
      </c>
      <c r="C127" s="13" t="s">
        <v>328</v>
      </c>
      <c r="D127" s="13" t="n">
        <v>52</v>
      </c>
      <c r="E127" s="13" t="s">
        <v>90</v>
      </c>
      <c r="F127" s="13" t="s">
        <v>33</v>
      </c>
      <c r="G127" s="13" t="s">
        <v>95</v>
      </c>
      <c r="H127" s="13" t="s">
        <v>43</v>
      </c>
      <c r="I127" s="13" t="n">
        <v>2</v>
      </c>
      <c r="J127" s="13" t="n">
        <v>0</v>
      </c>
      <c r="K127" s="13" t="s">
        <v>91</v>
      </c>
      <c r="L127" s="13" t="n">
        <v>5</v>
      </c>
      <c r="M127" s="13" t="n">
        <v>1319929.46</v>
      </c>
      <c r="N127" s="13" t="n">
        <v>263985.892</v>
      </c>
      <c r="O127" s="13" t="n">
        <v>850.052</v>
      </c>
      <c r="P127" s="13" t="n">
        <v>1</v>
      </c>
      <c r="Q127" s="13" t="n">
        <v>4</v>
      </c>
      <c r="R127" s="13" t="s">
        <v>98</v>
      </c>
      <c r="S127" s="13" t="s">
        <v>133</v>
      </c>
      <c r="T127" s="13" t="n">
        <v>1</v>
      </c>
      <c r="U127" s="13" t="n">
        <f aca="false">IF(B127="Individual",1,0)</f>
        <v>1</v>
      </c>
      <c r="V127" s="13" t="n">
        <f aca="false">IF(B127="Company",1,0)</f>
        <v>0</v>
      </c>
      <c r="W127" s="13" t="n">
        <f aca="false">IF(H127="Home",1,0)</f>
        <v>0</v>
      </c>
      <c r="X127" s="13" t="n">
        <f aca="false">IF(H127="Investment",1,0)</f>
        <v>1</v>
      </c>
      <c r="Y127" s="13" t="n">
        <f aca="false">IF(K127="Website",1,0)</f>
        <v>0</v>
      </c>
      <c r="Z127" s="13" t="n">
        <f aca="false">IF(K127="Agency",1,0)</f>
        <v>1</v>
      </c>
      <c r="AA127" s="13" t="n">
        <f aca="false">IF(K127="Client",1,0)</f>
        <v>0</v>
      </c>
      <c r="AB127" s="13" t="n">
        <f aca="false">(D127-AVERAGE(D$2:D$2001))/STDEV(D$2:D$2001)</f>
        <v>-0.123224667378179</v>
      </c>
      <c r="AC127" s="13" t="n">
        <f aca="false">(I127-AVERAGE(I$2:I$2001))/STDEV(I$2:I$2001)</f>
        <v>-0.727948160798201</v>
      </c>
      <c r="AD127" s="13" t="n">
        <f aca="false">(L127-AVERAGE(L$2:L$2001))/STDEV(L$2:L$2001)</f>
        <v>1.60473955115463</v>
      </c>
      <c r="AE127" s="13" t="n">
        <f aca="false">(M127-AVERAGE(M$2:M$2001))/STDEV(M$2:M$2001)</f>
        <v>0.171215437861237</v>
      </c>
      <c r="AF127" s="13" t="n">
        <f aca="false">(N127-AVERAGE(N$2:N$2001))/STDEV(N$2:N$2001)</f>
        <v>-1.1919376417163</v>
      </c>
      <c r="AG127" s="13" t="n">
        <f aca="false">(O127-AVERAGE(O$2:O$2001))/STDEV(O$2:O$2001)</f>
        <v>-1.35241983147665</v>
      </c>
      <c r="AH127" s="0" t="str">
        <f aca="false">IF(B127="Company","C3 - Corporate Buyers",IF(AND(H127="Investment",M127&gt;'Segmentation Summary'!$C$1),"C1 - Global Investors",IF(AND(I127&gt;=4,M127&gt;'Segmentation Summary'!$C$1),"C4 - Luxury Investors",IF(AND(D127&lt;'Segmentation Summary'!$C$2,J127=1),"C2 - First-Time Buyers","C5 - Other Individual Buyers"))))</f>
        <v>C1 - Global Investors</v>
      </c>
    </row>
    <row r="128" customFormat="false" ht="15" hidden="false" customHeight="true" outlineLevel="0" collapsed="false">
      <c r="A128" s="13" t="s">
        <v>329</v>
      </c>
      <c r="B128" s="13" t="s">
        <v>34</v>
      </c>
      <c r="C128" s="13" t="s">
        <v>330</v>
      </c>
      <c r="D128" s="13" t="n">
        <v>75</v>
      </c>
      <c r="E128" s="13" t="s">
        <v>90</v>
      </c>
      <c r="F128" s="13" t="s">
        <v>33</v>
      </c>
      <c r="G128" s="13" t="s">
        <v>95</v>
      </c>
      <c r="H128" s="13" t="s">
        <v>43</v>
      </c>
      <c r="I128" s="13" t="n">
        <v>3</v>
      </c>
      <c r="J128" s="13" t="n">
        <v>0</v>
      </c>
      <c r="K128" s="13" t="s">
        <v>85</v>
      </c>
      <c r="L128" s="13" t="n">
        <v>5</v>
      </c>
      <c r="M128" s="13" t="n">
        <v>1427531.56</v>
      </c>
      <c r="N128" s="13" t="n">
        <v>285506.312</v>
      </c>
      <c r="O128" s="13" t="n">
        <v>965.024</v>
      </c>
      <c r="P128" s="13" t="n">
        <v>0</v>
      </c>
      <c r="Q128" s="13" t="n">
        <v>5</v>
      </c>
      <c r="R128" s="13" t="s">
        <v>86</v>
      </c>
      <c r="S128" s="13" t="s">
        <v>154</v>
      </c>
      <c r="T128" s="13" t="n">
        <v>1</v>
      </c>
      <c r="U128" s="13" t="n">
        <f aca="false">IF(B128="Individual",1,0)</f>
        <v>1</v>
      </c>
      <c r="V128" s="13" t="n">
        <f aca="false">IF(B128="Company",1,0)</f>
        <v>0</v>
      </c>
      <c r="W128" s="13" t="n">
        <f aca="false">IF(H128="Home",1,0)</f>
        <v>0</v>
      </c>
      <c r="X128" s="13" t="n">
        <f aca="false">IF(H128="Investment",1,0)</f>
        <v>1</v>
      </c>
      <c r="Y128" s="13" t="n">
        <f aca="false">IF(K128="Website",1,0)</f>
        <v>1</v>
      </c>
      <c r="Z128" s="13" t="n">
        <f aca="false">IF(K128="Agency",1,0)</f>
        <v>0</v>
      </c>
      <c r="AA128" s="13" t="n">
        <f aca="false">IF(K128="Client",1,0)</f>
        <v>0</v>
      </c>
      <c r="AB128" s="13" t="n">
        <f aca="false">(D128-AVERAGE(D$2:D$2001))/STDEV(D$2:D$2001)</f>
        <v>1.2030118088493</v>
      </c>
      <c r="AC128" s="13" t="n">
        <f aca="false">(I128-AVERAGE(I$2:I$2001))/STDEV(I$2:I$2001)</f>
        <v>-0.0205155458339628</v>
      </c>
      <c r="AD128" s="13" t="n">
        <f aca="false">(L128-AVERAGE(L$2:L$2001))/STDEV(L$2:L$2001)</f>
        <v>1.60473955115463</v>
      </c>
      <c r="AE128" s="13" t="n">
        <f aca="false">(M128-AVERAGE(M$2:M$2001))/STDEV(M$2:M$2001)</f>
        <v>0.480567403862778</v>
      </c>
      <c r="AF128" s="13" t="n">
        <f aca="false">(N128-AVERAGE(N$2:N$2001))/STDEV(N$2:N$2001)</f>
        <v>-0.883276458745285</v>
      </c>
      <c r="AG128" s="13" t="n">
        <f aca="false">(O128-AVERAGE(O$2:O$2001))/STDEV(O$2:O$2001)</f>
        <v>-0.829635875588905</v>
      </c>
      <c r="AH128" s="0" t="str">
        <f aca="false">IF(B128="Company","C3 - Corporate Buyers",IF(AND(H128="Investment",M128&gt;'Segmentation Summary'!$C$1),"C1 - Global Investors",IF(AND(I128&gt;=4,M128&gt;'Segmentation Summary'!$C$1),"C4 - Luxury Investors",IF(AND(D128&lt;'Segmentation Summary'!$C$2,J128=1),"C2 - First-Time Buyers","C5 - Other Individual Buyers"))))</f>
        <v>C1 - Global Investors</v>
      </c>
    </row>
    <row r="129" customFormat="false" ht="15" hidden="false" customHeight="true" outlineLevel="0" collapsed="false">
      <c r="A129" s="13" t="s">
        <v>331</v>
      </c>
      <c r="B129" s="13" t="s">
        <v>34</v>
      </c>
      <c r="C129" s="13" t="s">
        <v>332</v>
      </c>
      <c r="D129" s="13" t="n">
        <v>72</v>
      </c>
      <c r="E129" s="13" t="s">
        <v>90</v>
      </c>
      <c r="F129" s="13" t="s">
        <v>33</v>
      </c>
      <c r="G129" s="13" t="s">
        <v>84</v>
      </c>
      <c r="H129" s="13" t="s">
        <v>41</v>
      </c>
      <c r="I129" s="13" t="n">
        <v>3</v>
      </c>
      <c r="J129" s="13" t="n">
        <v>0</v>
      </c>
      <c r="K129" s="13" t="s">
        <v>85</v>
      </c>
      <c r="L129" s="13" t="n">
        <v>4</v>
      </c>
      <c r="M129" s="13" t="n">
        <v>1547311.29</v>
      </c>
      <c r="N129" s="13" t="n">
        <v>386827.8225</v>
      </c>
      <c r="O129" s="13" t="n">
        <v>1279.3725</v>
      </c>
      <c r="P129" s="13" t="n">
        <v>0</v>
      </c>
      <c r="Q129" s="13" t="n">
        <v>4</v>
      </c>
      <c r="R129" s="13" t="s">
        <v>117</v>
      </c>
      <c r="S129" s="13" t="s">
        <v>114</v>
      </c>
      <c r="T129" s="13" t="n">
        <v>1</v>
      </c>
      <c r="U129" s="13" t="n">
        <f aca="false">IF(B129="Individual",1,0)</f>
        <v>1</v>
      </c>
      <c r="V129" s="13" t="n">
        <f aca="false">IF(B129="Company",1,0)</f>
        <v>0</v>
      </c>
      <c r="W129" s="13" t="n">
        <f aca="false">IF(H129="Home",1,0)</f>
        <v>1</v>
      </c>
      <c r="X129" s="13" t="n">
        <f aca="false">IF(H129="Investment",1,0)</f>
        <v>0</v>
      </c>
      <c r="Y129" s="13" t="n">
        <f aca="false">IF(K129="Website",1,0)</f>
        <v>1</v>
      </c>
      <c r="Z129" s="13" t="n">
        <f aca="false">IF(K129="Agency",1,0)</f>
        <v>0</v>
      </c>
      <c r="AA129" s="13" t="n">
        <f aca="false">IF(K129="Client",1,0)</f>
        <v>0</v>
      </c>
      <c r="AB129" s="13" t="n">
        <f aca="false">(D129-AVERAGE(D$2:D$2001))/STDEV(D$2:D$2001)</f>
        <v>1.03002444238485</v>
      </c>
      <c r="AC129" s="13" t="n">
        <f aca="false">(I129-AVERAGE(I$2:I$2001))/STDEV(I$2:I$2001)</f>
        <v>-0.0205155458339628</v>
      </c>
      <c r="AD129" s="13" t="n">
        <f aca="false">(L129-AVERAGE(L$2:L$2001))/STDEV(L$2:L$2001)</f>
        <v>0.413838214490712</v>
      </c>
      <c r="AE129" s="13" t="n">
        <f aca="false">(M129-AVERAGE(M$2:M$2001))/STDEV(M$2:M$2001)</f>
        <v>0.824929595331475</v>
      </c>
      <c r="AF129" s="13" t="n">
        <f aca="false">(N129-AVERAGE(N$2:N$2001))/STDEV(N$2:N$2001)</f>
        <v>0.569948770657298</v>
      </c>
      <c r="AG129" s="13" t="n">
        <f aca="false">(O129-AVERAGE(O$2:O$2001))/STDEV(O$2:O$2001)</f>
        <v>0.599723902073307</v>
      </c>
      <c r="AH129" s="0" t="str">
        <f aca="false">IF(B129="Company","C3 - Corporate Buyers",IF(AND(H129="Investment",M129&gt;'Segmentation Summary'!$C$1),"C1 - Global Investors",IF(AND(I129&gt;=4,M129&gt;'Segmentation Summary'!$C$1),"C4 - Luxury Investors",IF(AND(D129&lt;'Segmentation Summary'!$C$2,J129=1),"C2 - First-Time Buyers","C5 - Other Individual Buyers"))))</f>
        <v>C5 - Other Individual Buyers</v>
      </c>
    </row>
    <row r="130" customFormat="false" ht="15" hidden="false" customHeight="true" outlineLevel="0" collapsed="false">
      <c r="A130" s="13" t="s">
        <v>333</v>
      </c>
      <c r="B130" s="13" t="s">
        <v>34</v>
      </c>
      <c r="C130" s="13" t="s">
        <v>334</v>
      </c>
      <c r="D130" s="13" t="n">
        <v>71</v>
      </c>
      <c r="E130" s="13" t="s">
        <v>83</v>
      </c>
      <c r="F130" s="13" t="s">
        <v>38</v>
      </c>
      <c r="G130" s="13" t="s">
        <v>183</v>
      </c>
      <c r="H130" s="13" t="s">
        <v>41</v>
      </c>
      <c r="I130" s="13" t="n">
        <v>1</v>
      </c>
      <c r="J130" s="13" t="n">
        <v>1</v>
      </c>
      <c r="K130" s="13" t="s">
        <v>85</v>
      </c>
      <c r="L130" s="13" t="n">
        <v>3</v>
      </c>
      <c r="M130" s="13" t="n">
        <v>940964.73</v>
      </c>
      <c r="N130" s="13" t="n">
        <v>313654.91</v>
      </c>
      <c r="O130" s="13" t="n">
        <v>995.51</v>
      </c>
      <c r="P130" s="13" t="n">
        <v>0</v>
      </c>
      <c r="Q130" s="13" t="n">
        <v>3</v>
      </c>
      <c r="R130" s="13" t="s">
        <v>86</v>
      </c>
      <c r="S130" s="13" t="s">
        <v>215</v>
      </c>
      <c r="T130" s="13" t="n">
        <v>1</v>
      </c>
      <c r="U130" s="13" t="n">
        <f aca="false">IF(B130="Individual",1,0)</f>
        <v>1</v>
      </c>
      <c r="V130" s="13" t="n">
        <f aca="false">IF(B130="Company",1,0)</f>
        <v>0</v>
      </c>
      <c r="W130" s="13" t="n">
        <f aca="false">IF(H130="Home",1,0)</f>
        <v>1</v>
      </c>
      <c r="X130" s="13" t="n">
        <f aca="false">IF(H130="Investment",1,0)</f>
        <v>0</v>
      </c>
      <c r="Y130" s="13" t="n">
        <f aca="false">IF(K130="Website",1,0)</f>
        <v>1</v>
      </c>
      <c r="Z130" s="13" t="n">
        <f aca="false">IF(K130="Agency",1,0)</f>
        <v>0</v>
      </c>
      <c r="AA130" s="13" t="n">
        <f aca="false">IF(K130="Client",1,0)</f>
        <v>0</v>
      </c>
      <c r="AB130" s="13" t="n">
        <f aca="false">(D130-AVERAGE(D$2:D$2001))/STDEV(D$2:D$2001)</f>
        <v>0.972361986896694</v>
      </c>
      <c r="AC130" s="13" t="n">
        <f aca="false">(I130-AVERAGE(I$2:I$2001))/STDEV(I$2:I$2001)</f>
        <v>-1.43538077576244</v>
      </c>
      <c r="AD130" s="13" t="n">
        <f aca="false">(L130-AVERAGE(L$2:L$2001))/STDEV(L$2:L$2001)</f>
        <v>-0.777063122173208</v>
      </c>
      <c r="AE130" s="13" t="n">
        <f aca="false">(M130-AVERAGE(M$2:M$2001))/STDEV(M$2:M$2001)</f>
        <v>-0.918293821444514</v>
      </c>
      <c r="AF130" s="13" t="n">
        <f aca="false">(N130-AVERAGE(N$2:N$2001))/STDEV(N$2:N$2001)</f>
        <v>-0.479549228623592</v>
      </c>
      <c r="AG130" s="13" t="n">
        <f aca="false">(O130-AVERAGE(O$2:O$2001))/STDEV(O$2:O$2001)</f>
        <v>-0.691014370533814</v>
      </c>
      <c r="AH130" s="0" t="str">
        <f aca="false">IF(B130="Company","C3 - Corporate Buyers",IF(AND(H130="Investment",M130&gt;'Segmentation Summary'!$C$1),"C1 - Global Investors",IF(AND(I130&gt;=4,M130&gt;'Segmentation Summary'!$C$1),"C4 - Luxury Investors",IF(AND(D130&lt;'Segmentation Summary'!$C$2,J130=1),"C2 - First-Time Buyers","C5 - Other Individual Buyers"))))</f>
        <v>C5 - Other Individual Buyers</v>
      </c>
    </row>
    <row r="131" customFormat="false" ht="15" hidden="false" customHeight="true" outlineLevel="0" collapsed="false">
      <c r="A131" s="13" t="s">
        <v>335</v>
      </c>
      <c r="B131" s="13" t="s">
        <v>34</v>
      </c>
      <c r="C131" s="13" t="s">
        <v>336</v>
      </c>
      <c r="D131" s="13" t="n">
        <v>25</v>
      </c>
      <c r="E131" s="13" t="s">
        <v>83</v>
      </c>
      <c r="F131" s="13" t="s">
        <v>33</v>
      </c>
      <c r="G131" s="13" t="s">
        <v>110</v>
      </c>
      <c r="H131" s="13" t="s">
        <v>41</v>
      </c>
      <c r="I131" s="13" t="n">
        <v>1</v>
      </c>
      <c r="J131" s="13" t="n">
        <v>0</v>
      </c>
      <c r="K131" s="13" t="s">
        <v>85</v>
      </c>
      <c r="L131" s="13" t="n">
        <v>4</v>
      </c>
      <c r="M131" s="13" t="n">
        <v>1352642.34</v>
      </c>
      <c r="N131" s="13" t="n">
        <v>338160.585</v>
      </c>
      <c r="O131" s="13" t="n">
        <v>1063.04</v>
      </c>
      <c r="P131" s="13" t="n">
        <v>1</v>
      </c>
      <c r="Q131" s="13" t="n">
        <v>3</v>
      </c>
      <c r="R131" s="13" t="s">
        <v>98</v>
      </c>
      <c r="S131" s="13" t="s">
        <v>114</v>
      </c>
      <c r="T131" s="13" t="n">
        <v>1</v>
      </c>
      <c r="U131" s="13" t="n">
        <f aca="false">IF(B131="Individual",1,0)</f>
        <v>1</v>
      </c>
      <c r="V131" s="13" t="n">
        <f aca="false">IF(B131="Company",1,0)</f>
        <v>0</v>
      </c>
      <c r="W131" s="13" t="n">
        <f aca="false">IF(H131="Home",1,0)</f>
        <v>1</v>
      </c>
      <c r="X131" s="13" t="n">
        <f aca="false">IF(H131="Investment",1,0)</f>
        <v>0</v>
      </c>
      <c r="Y131" s="13" t="n">
        <f aca="false">IF(K131="Website",1,0)</f>
        <v>1</v>
      </c>
      <c r="Z131" s="13" t="n">
        <f aca="false">IF(K131="Agency",1,0)</f>
        <v>0</v>
      </c>
      <c r="AA131" s="13" t="n">
        <f aca="false">IF(K131="Client",1,0)</f>
        <v>0</v>
      </c>
      <c r="AB131" s="13" t="n">
        <f aca="false">(D131-AVERAGE(D$2:D$2001))/STDEV(D$2:D$2001)</f>
        <v>-1.68011096555826</v>
      </c>
      <c r="AC131" s="13" t="n">
        <f aca="false">(I131-AVERAGE(I$2:I$2001))/STDEV(I$2:I$2001)</f>
        <v>-1.43538077576244</v>
      </c>
      <c r="AD131" s="13" t="n">
        <f aca="false">(L131-AVERAGE(L$2:L$2001))/STDEV(L$2:L$2001)</f>
        <v>0.413838214490712</v>
      </c>
      <c r="AE131" s="13" t="n">
        <f aca="false">(M131-AVERAGE(M$2:M$2001))/STDEV(M$2:M$2001)</f>
        <v>0.265263730056022</v>
      </c>
      <c r="AF131" s="13" t="n">
        <f aca="false">(N131-AVERAGE(N$2:N$2001))/STDEV(N$2:N$2001)</f>
        <v>-0.128071393386027</v>
      </c>
      <c r="AG131" s="13" t="n">
        <f aca="false">(O131-AVERAGE(O$2:O$2001))/STDEV(O$2:O$2001)</f>
        <v>-0.383951776675313</v>
      </c>
      <c r="AH131" s="0" t="str">
        <f aca="false">IF(B131="Company","C3 - Corporate Buyers",IF(AND(H131="Investment",M131&gt;'Segmentation Summary'!$C$1),"C1 - Global Investors",IF(AND(I131&gt;=4,M131&gt;'Segmentation Summary'!$C$1),"C4 - Luxury Investors",IF(AND(D131&lt;'Segmentation Summary'!$C$2,J131=1),"C2 - First-Time Buyers","C5 - Other Individual Buyers"))))</f>
        <v>C5 - Other Individual Buyers</v>
      </c>
    </row>
    <row r="132" customFormat="false" ht="15" hidden="false" customHeight="true" outlineLevel="0" collapsed="false">
      <c r="A132" s="13" t="s">
        <v>337</v>
      </c>
      <c r="B132" s="13" t="s">
        <v>34</v>
      </c>
      <c r="C132" s="13" t="s">
        <v>338</v>
      </c>
      <c r="D132" s="13" t="n">
        <v>40</v>
      </c>
      <c r="E132" s="13" t="s">
        <v>83</v>
      </c>
      <c r="F132" s="13" t="s">
        <v>38</v>
      </c>
      <c r="G132" s="13" t="s">
        <v>339</v>
      </c>
      <c r="H132" s="13" t="s">
        <v>41</v>
      </c>
      <c r="I132" s="13" t="n">
        <v>4</v>
      </c>
      <c r="J132" s="13" t="n">
        <v>0</v>
      </c>
      <c r="K132" s="13" t="s">
        <v>91</v>
      </c>
      <c r="L132" s="13" t="n">
        <v>4</v>
      </c>
      <c r="M132" s="13" t="n">
        <v>905508.82</v>
      </c>
      <c r="N132" s="13" t="n">
        <v>226377.205</v>
      </c>
      <c r="O132" s="13" t="n">
        <v>748.33</v>
      </c>
      <c r="P132" s="13" t="n">
        <v>1</v>
      </c>
      <c r="Q132" s="13" t="n">
        <v>3</v>
      </c>
      <c r="R132" s="13" t="s">
        <v>117</v>
      </c>
      <c r="S132" s="13" t="s">
        <v>125</v>
      </c>
      <c r="T132" s="13" t="n">
        <v>1</v>
      </c>
      <c r="U132" s="13" t="n">
        <f aca="false">IF(B132="Individual",1,0)</f>
        <v>1</v>
      </c>
      <c r="V132" s="13" t="n">
        <f aca="false">IF(B132="Company",1,0)</f>
        <v>0</v>
      </c>
      <c r="W132" s="13" t="n">
        <f aca="false">IF(H132="Home",1,0)</f>
        <v>1</v>
      </c>
      <c r="X132" s="13" t="n">
        <f aca="false">IF(H132="Investment",1,0)</f>
        <v>0</v>
      </c>
      <c r="Y132" s="13" t="n">
        <f aca="false">IF(K132="Website",1,0)</f>
        <v>0</v>
      </c>
      <c r="Z132" s="13" t="n">
        <f aca="false">IF(K132="Agency",1,0)</f>
        <v>1</v>
      </c>
      <c r="AA132" s="13" t="n">
        <f aca="false">IF(K132="Client",1,0)</f>
        <v>0</v>
      </c>
      <c r="AB132" s="13" t="n">
        <f aca="false">(D132-AVERAGE(D$2:D$2001))/STDEV(D$2:D$2001)</f>
        <v>-0.815174133235994</v>
      </c>
      <c r="AC132" s="13" t="n">
        <f aca="false">(I132-AVERAGE(I$2:I$2001))/STDEV(I$2:I$2001)</f>
        <v>0.686917069130275</v>
      </c>
      <c r="AD132" s="13" t="n">
        <f aca="false">(L132-AVERAGE(L$2:L$2001))/STDEV(L$2:L$2001)</f>
        <v>0.413838214490712</v>
      </c>
      <c r="AE132" s="13" t="n">
        <f aca="false">(M132-AVERAGE(M$2:M$2001))/STDEV(M$2:M$2001)</f>
        <v>-1.02022822109725</v>
      </c>
      <c r="AF132" s="13" t="n">
        <f aca="false">(N132-AVERAGE(N$2:N$2001))/STDEV(N$2:N$2001)</f>
        <v>-1.73134820244915</v>
      </c>
      <c r="AG132" s="13" t="n">
        <f aca="false">(O132-AVERAGE(O$2:O$2001))/STDEV(O$2:O$2001)</f>
        <v>-1.81495531455787</v>
      </c>
      <c r="AH132" s="0" t="str">
        <f aca="false">IF(B132="Company","C3 - Corporate Buyers",IF(AND(H132="Investment",M132&gt;'Segmentation Summary'!$C$1),"C1 - Global Investors",IF(AND(I132&gt;=4,M132&gt;'Segmentation Summary'!$C$1),"C4 - Luxury Investors",IF(AND(D132&lt;'Segmentation Summary'!$C$2,J132=1),"C2 - First-Time Buyers","C5 - Other Individual Buyers"))))</f>
        <v>C5 - Other Individual Buyers</v>
      </c>
    </row>
    <row r="133" customFormat="false" ht="15" hidden="false" customHeight="true" outlineLevel="0" collapsed="false">
      <c r="A133" s="13" t="s">
        <v>340</v>
      </c>
      <c r="B133" s="13" t="s">
        <v>34</v>
      </c>
      <c r="C133" s="13" t="s">
        <v>341</v>
      </c>
      <c r="D133" s="13" t="n">
        <v>74</v>
      </c>
      <c r="E133" s="13" t="s">
        <v>83</v>
      </c>
      <c r="F133" s="13" t="s">
        <v>33</v>
      </c>
      <c r="G133" s="13" t="s">
        <v>95</v>
      </c>
      <c r="H133" s="13" t="s">
        <v>41</v>
      </c>
      <c r="I133" s="13" t="n">
        <v>4</v>
      </c>
      <c r="J133" s="13" t="n">
        <v>1</v>
      </c>
      <c r="K133" s="13" t="s">
        <v>85</v>
      </c>
      <c r="L133" s="13" t="n">
        <v>3</v>
      </c>
      <c r="M133" s="13" t="n">
        <v>1112272.46</v>
      </c>
      <c r="N133" s="13" t="n">
        <v>370757.486666667</v>
      </c>
      <c r="O133" s="13" t="n">
        <v>1274.52</v>
      </c>
      <c r="P133" s="13" t="n">
        <v>1</v>
      </c>
      <c r="Q133" s="13" t="n">
        <v>2</v>
      </c>
      <c r="R133" s="13" t="s">
        <v>121</v>
      </c>
      <c r="S133" s="13" t="s">
        <v>87</v>
      </c>
      <c r="T133" s="13" t="n">
        <v>1</v>
      </c>
      <c r="U133" s="13" t="n">
        <f aca="false">IF(B133="Individual",1,0)</f>
        <v>1</v>
      </c>
      <c r="V133" s="13" t="n">
        <f aca="false">IF(B133="Company",1,0)</f>
        <v>0</v>
      </c>
      <c r="W133" s="13" t="n">
        <f aca="false">IF(H133="Home",1,0)</f>
        <v>1</v>
      </c>
      <c r="X133" s="13" t="n">
        <f aca="false">IF(H133="Investment",1,0)</f>
        <v>0</v>
      </c>
      <c r="Y133" s="13" t="n">
        <f aca="false">IF(K133="Website",1,0)</f>
        <v>1</v>
      </c>
      <c r="Z133" s="13" t="n">
        <f aca="false">IF(K133="Agency",1,0)</f>
        <v>0</v>
      </c>
      <c r="AA133" s="13" t="n">
        <f aca="false">IF(K133="Client",1,0)</f>
        <v>0</v>
      </c>
      <c r="AB133" s="13" t="n">
        <f aca="false">(D133-AVERAGE(D$2:D$2001))/STDEV(D$2:D$2001)</f>
        <v>1.14534935336115</v>
      </c>
      <c r="AC133" s="13" t="n">
        <f aca="false">(I133-AVERAGE(I$2:I$2001))/STDEV(I$2:I$2001)</f>
        <v>0.686917069130275</v>
      </c>
      <c r="AD133" s="13" t="n">
        <f aca="false">(L133-AVERAGE(L$2:L$2001))/STDEV(L$2:L$2001)</f>
        <v>-0.777063122173208</v>
      </c>
      <c r="AE133" s="13" t="n">
        <f aca="false">(M133-AVERAGE(M$2:M$2001))/STDEV(M$2:M$2001)</f>
        <v>-0.42579057971632</v>
      </c>
      <c r="AF133" s="13" t="n">
        <f aca="false">(N133-AVERAGE(N$2:N$2001))/STDEV(N$2:N$2001)</f>
        <v>0.339456574452111</v>
      </c>
      <c r="AG133" s="13" t="n">
        <f aca="false">(O133-AVERAGE(O$2:O$2001))/STDEV(O$2:O$2001)</f>
        <v>0.577659319862462</v>
      </c>
      <c r="AH133" s="0" t="str">
        <f aca="false">IF(B133="Company","C3 - Corporate Buyers",IF(AND(H133="Investment",M133&gt;'Segmentation Summary'!$C$1),"C1 - Global Investors",IF(AND(I133&gt;=4,M133&gt;'Segmentation Summary'!$C$1),"C4 - Luxury Investors",IF(AND(D133&lt;'Segmentation Summary'!$C$2,J133=1),"C2 - First-Time Buyers","C5 - Other Individual Buyers"))))</f>
        <v>C5 - Other Individual Buyers</v>
      </c>
    </row>
    <row r="134" customFormat="false" ht="15" hidden="false" customHeight="true" outlineLevel="0" collapsed="false">
      <c r="A134" s="13" t="s">
        <v>342</v>
      </c>
      <c r="B134" s="13" t="s">
        <v>34</v>
      </c>
      <c r="C134" s="13" t="s">
        <v>343</v>
      </c>
      <c r="D134" s="13" t="n">
        <v>35</v>
      </c>
      <c r="E134" s="13" t="s">
        <v>83</v>
      </c>
      <c r="F134" s="13" t="s">
        <v>33</v>
      </c>
      <c r="G134" s="13" t="s">
        <v>95</v>
      </c>
      <c r="H134" s="13" t="s">
        <v>41</v>
      </c>
      <c r="I134" s="13" t="n">
        <v>1</v>
      </c>
      <c r="J134" s="13" t="n">
        <v>0</v>
      </c>
      <c r="K134" s="13" t="s">
        <v>85</v>
      </c>
      <c r="L134" s="13" t="n">
        <v>4</v>
      </c>
      <c r="M134" s="13" t="n">
        <v>1735376.55</v>
      </c>
      <c r="N134" s="13" t="n">
        <v>433844.1375</v>
      </c>
      <c r="O134" s="13" t="n">
        <v>1504.0975</v>
      </c>
      <c r="P134" s="13" t="n">
        <v>0</v>
      </c>
      <c r="Q134" s="13" t="n">
        <v>4</v>
      </c>
      <c r="R134" s="13" t="s">
        <v>117</v>
      </c>
      <c r="S134" s="13" t="s">
        <v>152</v>
      </c>
      <c r="T134" s="13" t="n">
        <v>1</v>
      </c>
      <c r="U134" s="13" t="n">
        <f aca="false">IF(B134="Individual",1,0)</f>
        <v>1</v>
      </c>
      <c r="V134" s="13" t="n">
        <f aca="false">IF(B134="Company",1,0)</f>
        <v>0</v>
      </c>
      <c r="W134" s="13" t="n">
        <f aca="false">IF(H134="Home",1,0)</f>
        <v>1</v>
      </c>
      <c r="X134" s="13" t="n">
        <f aca="false">IF(H134="Investment",1,0)</f>
        <v>0</v>
      </c>
      <c r="Y134" s="13" t="n">
        <f aca="false">IF(K134="Website",1,0)</f>
        <v>1</v>
      </c>
      <c r="Z134" s="13" t="n">
        <f aca="false">IF(K134="Agency",1,0)</f>
        <v>0</v>
      </c>
      <c r="AA134" s="13" t="n">
        <f aca="false">IF(K134="Client",1,0)</f>
        <v>0</v>
      </c>
      <c r="AB134" s="13" t="n">
        <f aca="false">(D134-AVERAGE(D$2:D$2001))/STDEV(D$2:D$2001)</f>
        <v>-1.10348641067675</v>
      </c>
      <c r="AC134" s="13" t="n">
        <f aca="false">(I134-AVERAGE(I$2:I$2001))/STDEV(I$2:I$2001)</f>
        <v>-1.43538077576244</v>
      </c>
      <c r="AD134" s="13" t="n">
        <f aca="false">(L134-AVERAGE(L$2:L$2001))/STDEV(L$2:L$2001)</f>
        <v>0.413838214490712</v>
      </c>
      <c r="AE134" s="13" t="n">
        <f aca="false">(M134-AVERAGE(M$2:M$2001))/STDEV(M$2:M$2001)</f>
        <v>1.36561010173043</v>
      </c>
      <c r="AF134" s="13" t="n">
        <f aca="false">(N134-AVERAGE(N$2:N$2001))/STDEV(N$2:N$2001)</f>
        <v>1.2442902289949</v>
      </c>
      <c r="AG134" s="13" t="n">
        <f aca="false">(O134-AVERAGE(O$2:O$2001))/STDEV(O$2:O$2001)</f>
        <v>1.62156073614486</v>
      </c>
      <c r="AH134" s="0" t="str">
        <f aca="false">IF(B134="Company","C3 - Corporate Buyers",IF(AND(H134="Investment",M134&gt;'Segmentation Summary'!$C$1),"C1 - Global Investors",IF(AND(I134&gt;=4,M134&gt;'Segmentation Summary'!$C$1),"C4 - Luxury Investors",IF(AND(D134&lt;'Segmentation Summary'!$C$2,J134=1),"C2 - First-Time Buyers","C5 - Other Individual Buyers"))))</f>
        <v>C5 - Other Individual Buyers</v>
      </c>
    </row>
    <row r="135" customFormat="false" ht="15" hidden="false" customHeight="true" outlineLevel="0" collapsed="false">
      <c r="A135" s="13" t="s">
        <v>344</v>
      </c>
      <c r="B135" s="13" t="s">
        <v>34</v>
      </c>
      <c r="C135" s="13" t="s">
        <v>343</v>
      </c>
      <c r="D135" s="13" t="n">
        <v>40</v>
      </c>
      <c r="E135" s="13" t="s">
        <v>83</v>
      </c>
      <c r="F135" s="13" t="s">
        <v>33</v>
      </c>
      <c r="G135" s="13" t="s">
        <v>95</v>
      </c>
      <c r="H135" s="13" t="s">
        <v>41</v>
      </c>
      <c r="I135" s="13" t="n">
        <v>4</v>
      </c>
      <c r="J135" s="13" t="n">
        <v>0</v>
      </c>
      <c r="K135" s="13" t="s">
        <v>91</v>
      </c>
      <c r="L135" s="13" t="n">
        <v>4</v>
      </c>
      <c r="M135" s="13" t="n">
        <v>1229057.49</v>
      </c>
      <c r="N135" s="13" t="n">
        <v>307264.3725</v>
      </c>
      <c r="O135" s="13" t="n">
        <v>1093.05</v>
      </c>
      <c r="P135" s="13" t="n">
        <v>1</v>
      </c>
      <c r="Q135" s="13" t="n">
        <v>3</v>
      </c>
      <c r="R135" s="13" t="s">
        <v>92</v>
      </c>
      <c r="S135" s="13" t="s">
        <v>107</v>
      </c>
      <c r="T135" s="13" t="n">
        <v>1</v>
      </c>
      <c r="U135" s="13" t="n">
        <f aca="false">IF(B135="Individual",1,0)</f>
        <v>1</v>
      </c>
      <c r="V135" s="13" t="n">
        <f aca="false">IF(B135="Company",1,0)</f>
        <v>0</v>
      </c>
      <c r="W135" s="13" t="n">
        <f aca="false">IF(H135="Home",1,0)</f>
        <v>1</v>
      </c>
      <c r="X135" s="13" t="n">
        <f aca="false">IF(H135="Investment",1,0)</f>
        <v>0</v>
      </c>
      <c r="Y135" s="13" t="n">
        <f aca="false">IF(K135="Website",1,0)</f>
        <v>0</v>
      </c>
      <c r="Z135" s="13" t="n">
        <f aca="false">IF(K135="Agency",1,0)</f>
        <v>1</v>
      </c>
      <c r="AA135" s="13" t="n">
        <f aca="false">IF(K135="Client",1,0)</f>
        <v>0</v>
      </c>
      <c r="AB135" s="13" t="n">
        <f aca="false">(D135-AVERAGE(D$2:D$2001))/STDEV(D$2:D$2001)</f>
        <v>-0.815174133235994</v>
      </c>
      <c r="AC135" s="13" t="n">
        <f aca="false">(I135-AVERAGE(I$2:I$2001))/STDEV(I$2:I$2001)</f>
        <v>0.686917069130275</v>
      </c>
      <c r="AD135" s="13" t="n">
        <f aca="false">(L135-AVERAGE(L$2:L$2001))/STDEV(L$2:L$2001)</f>
        <v>0.413838214490712</v>
      </c>
      <c r="AE135" s="13" t="n">
        <f aca="false">(M135-AVERAGE(M$2:M$2001))/STDEV(M$2:M$2001)</f>
        <v>-0.0900380374327684</v>
      </c>
      <c r="AF135" s="13" t="n">
        <f aca="false">(N135-AVERAGE(N$2:N$2001))/STDEV(N$2:N$2001)</f>
        <v>-0.57120686655866</v>
      </c>
      <c r="AG135" s="13" t="n">
        <f aca="false">(O135-AVERAGE(O$2:O$2001))/STDEV(O$2:O$2001)</f>
        <v>-0.247494669586706</v>
      </c>
      <c r="AH135" s="0" t="str">
        <f aca="false">IF(B135="Company","C3 - Corporate Buyers",IF(AND(H135="Investment",M135&gt;'Segmentation Summary'!$C$1),"C1 - Global Investors",IF(AND(I135&gt;=4,M135&gt;'Segmentation Summary'!$C$1),"C4 - Luxury Investors",IF(AND(D135&lt;'Segmentation Summary'!$C$2,J135=1),"C2 - First-Time Buyers","C5 - Other Individual Buyers"))))</f>
        <v>C4 - Luxury Investors</v>
      </c>
    </row>
    <row r="136" customFormat="false" ht="15" hidden="false" customHeight="true" outlineLevel="0" collapsed="false">
      <c r="A136" s="13" t="s">
        <v>345</v>
      </c>
      <c r="B136" s="13" t="s">
        <v>34</v>
      </c>
      <c r="C136" s="13" t="s">
        <v>346</v>
      </c>
      <c r="D136" s="13" t="n">
        <v>26</v>
      </c>
      <c r="E136" s="13" t="s">
        <v>83</v>
      </c>
      <c r="F136" s="13" t="s">
        <v>45</v>
      </c>
      <c r="G136" s="13" t="s">
        <v>347</v>
      </c>
      <c r="H136" s="13" t="s">
        <v>41</v>
      </c>
      <c r="I136" s="13" t="n">
        <v>3</v>
      </c>
      <c r="J136" s="13" t="n">
        <v>0</v>
      </c>
      <c r="K136" s="13" t="s">
        <v>116</v>
      </c>
      <c r="L136" s="13" t="n">
        <v>4</v>
      </c>
      <c r="M136" s="13" t="n">
        <v>1352274.53</v>
      </c>
      <c r="N136" s="13" t="n">
        <v>338068.6325</v>
      </c>
      <c r="O136" s="13" t="n">
        <v>1106.8725</v>
      </c>
      <c r="P136" s="13" t="n">
        <v>0</v>
      </c>
      <c r="Q136" s="13" t="n">
        <v>4</v>
      </c>
      <c r="R136" s="13" t="s">
        <v>117</v>
      </c>
      <c r="S136" s="13" t="s">
        <v>215</v>
      </c>
      <c r="T136" s="13" t="n">
        <v>1</v>
      </c>
      <c r="U136" s="13" t="n">
        <f aca="false">IF(B136="Individual",1,0)</f>
        <v>1</v>
      </c>
      <c r="V136" s="13" t="n">
        <f aca="false">IF(B136="Company",1,0)</f>
        <v>0</v>
      </c>
      <c r="W136" s="13" t="n">
        <f aca="false">IF(H136="Home",1,0)</f>
        <v>1</v>
      </c>
      <c r="X136" s="13" t="n">
        <f aca="false">IF(H136="Investment",1,0)</f>
        <v>0</v>
      </c>
      <c r="Y136" s="13" t="n">
        <f aca="false">IF(K136="Website",1,0)</f>
        <v>0</v>
      </c>
      <c r="Z136" s="13" t="n">
        <f aca="false">IF(K136="Agency",1,0)</f>
        <v>0</v>
      </c>
      <c r="AA136" s="13" t="n">
        <f aca="false">IF(K136="Client",1,0)</f>
        <v>1</v>
      </c>
      <c r="AB136" s="13" t="n">
        <f aca="false">(D136-AVERAGE(D$2:D$2001))/STDEV(D$2:D$2001)</f>
        <v>-1.62244851007011</v>
      </c>
      <c r="AC136" s="13" t="n">
        <f aca="false">(I136-AVERAGE(I$2:I$2001))/STDEV(I$2:I$2001)</f>
        <v>-0.0205155458339628</v>
      </c>
      <c r="AD136" s="13" t="n">
        <f aca="false">(L136-AVERAGE(L$2:L$2001))/STDEV(L$2:L$2001)</f>
        <v>0.413838214490712</v>
      </c>
      <c r="AE136" s="13" t="n">
        <f aca="false">(M136-AVERAGE(M$2:M$2001))/STDEV(M$2:M$2001)</f>
        <v>0.264206290223389</v>
      </c>
      <c r="AF136" s="13" t="n">
        <f aca="false">(N136-AVERAGE(N$2:N$2001))/STDEV(N$2:N$2001)</f>
        <v>-0.1293902415975</v>
      </c>
      <c r="AG136" s="13" t="n">
        <f aca="false">(O136-AVERAGE(O$2:O$2001))/STDEV(O$2:O$2001)</f>
        <v>-0.184643008049476</v>
      </c>
      <c r="AH136" s="0" t="str">
        <f aca="false">IF(B136="Company","C3 - Corporate Buyers",IF(AND(H136="Investment",M136&gt;'Segmentation Summary'!$C$1),"C1 - Global Investors",IF(AND(I136&gt;=4,M136&gt;'Segmentation Summary'!$C$1),"C4 - Luxury Investors",IF(AND(D136&lt;'Segmentation Summary'!$C$2,J136=1),"C2 - First-Time Buyers","C5 - Other Individual Buyers"))))</f>
        <v>C5 - Other Individual Buyers</v>
      </c>
    </row>
    <row r="137" customFormat="false" ht="15" hidden="false" customHeight="true" outlineLevel="0" collapsed="false">
      <c r="A137" s="13" t="s">
        <v>348</v>
      </c>
      <c r="B137" s="13" t="s">
        <v>34</v>
      </c>
      <c r="C137" s="13" t="s">
        <v>349</v>
      </c>
      <c r="D137" s="13" t="n">
        <v>57</v>
      </c>
      <c r="E137" s="13" t="s">
        <v>83</v>
      </c>
      <c r="F137" s="13" t="s">
        <v>33</v>
      </c>
      <c r="G137" s="13" t="s">
        <v>95</v>
      </c>
      <c r="H137" s="13" t="s">
        <v>41</v>
      </c>
      <c r="I137" s="13" t="n">
        <v>5</v>
      </c>
      <c r="J137" s="13" t="n">
        <v>0</v>
      </c>
      <c r="K137" s="13" t="s">
        <v>91</v>
      </c>
      <c r="L137" s="13" t="n">
        <v>3</v>
      </c>
      <c r="M137" s="13" t="n">
        <v>1122203.03</v>
      </c>
      <c r="N137" s="13" t="n">
        <v>374067.676666667</v>
      </c>
      <c r="O137" s="13" t="n">
        <v>1267.40666666667</v>
      </c>
      <c r="P137" s="13" t="n">
        <v>1</v>
      </c>
      <c r="Q137" s="13" t="n">
        <v>2</v>
      </c>
      <c r="R137" s="13" t="s">
        <v>128</v>
      </c>
      <c r="S137" s="13" t="s">
        <v>125</v>
      </c>
      <c r="T137" s="13" t="n">
        <v>1</v>
      </c>
      <c r="U137" s="13" t="n">
        <f aca="false">IF(B137="Individual",1,0)</f>
        <v>1</v>
      </c>
      <c r="V137" s="13" t="n">
        <f aca="false">IF(B137="Company",1,0)</f>
        <v>0</v>
      </c>
      <c r="W137" s="13" t="n">
        <f aca="false">IF(H137="Home",1,0)</f>
        <v>1</v>
      </c>
      <c r="X137" s="13" t="n">
        <f aca="false">IF(H137="Investment",1,0)</f>
        <v>0</v>
      </c>
      <c r="Y137" s="13" t="n">
        <f aca="false">IF(K137="Website",1,0)</f>
        <v>0</v>
      </c>
      <c r="Z137" s="13" t="n">
        <f aca="false">IF(K137="Agency",1,0)</f>
        <v>1</v>
      </c>
      <c r="AA137" s="13" t="n">
        <f aca="false">IF(K137="Client",1,0)</f>
        <v>0</v>
      </c>
      <c r="AB137" s="13" t="n">
        <f aca="false">(D137-AVERAGE(D$2:D$2001))/STDEV(D$2:D$2001)</f>
        <v>0.165087610062577</v>
      </c>
      <c r="AC137" s="13" t="n">
        <f aca="false">(I137-AVERAGE(I$2:I$2001))/STDEV(I$2:I$2001)</f>
        <v>1.39434968409451</v>
      </c>
      <c r="AD137" s="13" t="n">
        <f aca="false">(L137-AVERAGE(L$2:L$2001))/STDEV(L$2:L$2001)</f>
        <v>-0.777063122173208</v>
      </c>
      <c r="AE137" s="13" t="n">
        <f aca="false">(M137-AVERAGE(M$2:M$2001))/STDEV(M$2:M$2001)</f>
        <v>-0.397240566723861</v>
      </c>
      <c r="AF137" s="13" t="n">
        <f aca="false">(N137-AVERAGE(N$2:N$2001))/STDEV(N$2:N$2001)</f>
        <v>0.386933675793944</v>
      </c>
      <c r="AG137" s="13" t="n">
        <f aca="false">(O137-AVERAGE(O$2:O$2001))/STDEV(O$2:O$2001)</f>
        <v>0.545314605153259</v>
      </c>
      <c r="AH137" s="0" t="str">
        <f aca="false">IF(B137="Company","C3 - Corporate Buyers",IF(AND(H137="Investment",M137&gt;'Segmentation Summary'!$C$1),"C1 - Global Investors",IF(AND(I137&gt;=4,M137&gt;'Segmentation Summary'!$C$1),"C4 - Luxury Investors",IF(AND(D137&lt;'Segmentation Summary'!$C$2,J137=1),"C2 - First-Time Buyers","C5 - Other Individual Buyers"))))</f>
        <v>C5 - Other Individual Buyers</v>
      </c>
    </row>
    <row r="138" customFormat="false" ht="15" hidden="false" customHeight="true" outlineLevel="0" collapsed="false">
      <c r="A138" s="13" t="s">
        <v>350</v>
      </c>
      <c r="B138" s="13" t="s">
        <v>34</v>
      </c>
      <c r="C138" s="13" t="s">
        <v>351</v>
      </c>
      <c r="D138" s="13" t="n">
        <v>59</v>
      </c>
      <c r="E138" s="13" t="s">
        <v>83</v>
      </c>
      <c r="F138" s="13" t="s">
        <v>33</v>
      </c>
      <c r="G138" s="13" t="s">
        <v>95</v>
      </c>
      <c r="H138" s="13" t="s">
        <v>41</v>
      </c>
      <c r="I138" s="13" t="n">
        <v>2</v>
      </c>
      <c r="J138" s="13" t="n">
        <v>0</v>
      </c>
      <c r="K138" s="13" t="s">
        <v>91</v>
      </c>
      <c r="L138" s="13" t="n">
        <v>4</v>
      </c>
      <c r="M138" s="13" t="n">
        <v>1239915.48</v>
      </c>
      <c r="N138" s="13" t="n">
        <v>309978.87</v>
      </c>
      <c r="O138" s="13" t="n">
        <v>1096.12</v>
      </c>
      <c r="P138" s="13" t="n">
        <v>1</v>
      </c>
      <c r="Q138" s="13" t="n">
        <v>3</v>
      </c>
      <c r="R138" s="13" t="s">
        <v>111</v>
      </c>
      <c r="S138" s="13" t="s">
        <v>87</v>
      </c>
      <c r="T138" s="13" t="n">
        <v>1</v>
      </c>
      <c r="U138" s="13" t="n">
        <f aca="false">IF(B138="Individual",1,0)</f>
        <v>1</v>
      </c>
      <c r="V138" s="13" t="n">
        <f aca="false">IF(B138="Company",1,0)</f>
        <v>0</v>
      </c>
      <c r="W138" s="13" t="n">
        <f aca="false">IF(H138="Home",1,0)</f>
        <v>1</v>
      </c>
      <c r="X138" s="13" t="n">
        <f aca="false">IF(H138="Investment",1,0)</f>
        <v>0</v>
      </c>
      <c r="Y138" s="13" t="n">
        <f aca="false">IF(K138="Website",1,0)</f>
        <v>0</v>
      </c>
      <c r="Z138" s="13" t="n">
        <f aca="false">IF(K138="Agency",1,0)</f>
        <v>1</v>
      </c>
      <c r="AA138" s="13" t="n">
        <f aca="false">IF(K138="Client",1,0)</f>
        <v>0</v>
      </c>
      <c r="AB138" s="13" t="n">
        <f aca="false">(D138-AVERAGE(D$2:D$2001))/STDEV(D$2:D$2001)</f>
        <v>0.280412521038879</v>
      </c>
      <c r="AC138" s="13" t="n">
        <f aca="false">(I138-AVERAGE(I$2:I$2001))/STDEV(I$2:I$2001)</f>
        <v>-0.727948160798201</v>
      </c>
      <c r="AD138" s="13" t="n">
        <f aca="false">(L138-AVERAGE(L$2:L$2001))/STDEV(L$2:L$2001)</f>
        <v>0.413838214490712</v>
      </c>
      <c r="AE138" s="13" t="n">
        <f aca="false">(M138-AVERAGE(M$2:M$2001))/STDEV(M$2:M$2001)</f>
        <v>-0.0588217270324595</v>
      </c>
      <c r="AF138" s="13" t="n">
        <f aca="false">(N138-AVERAGE(N$2:N$2001))/STDEV(N$2:N$2001)</f>
        <v>-0.532273611096088</v>
      </c>
      <c r="AG138" s="13" t="n">
        <f aca="false">(O138-AVERAGE(O$2:O$2001))/STDEV(O$2:O$2001)</f>
        <v>-0.233535212113796</v>
      </c>
      <c r="AH138" s="0" t="str">
        <f aca="false">IF(B138="Company","C3 - Corporate Buyers",IF(AND(H138="Investment",M138&gt;'Segmentation Summary'!$C$1),"C1 - Global Investors",IF(AND(I138&gt;=4,M138&gt;'Segmentation Summary'!$C$1),"C4 - Luxury Investors",IF(AND(D138&lt;'Segmentation Summary'!$C$2,J138=1),"C2 - First-Time Buyers","C5 - Other Individual Buyers"))))</f>
        <v>C5 - Other Individual Buyers</v>
      </c>
    </row>
    <row r="139" customFormat="false" ht="15" hidden="false" customHeight="true" outlineLevel="0" collapsed="false">
      <c r="A139" s="13" t="s">
        <v>352</v>
      </c>
      <c r="B139" s="13" t="s">
        <v>34</v>
      </c>
      <c r="C139" s="13" t="s">
        <v>353</v>
      </c>
      <c r="D139" s="13" t="n">
        <v>29</v>
      </c>
      <c r="E139" s="13" t="s">
        <v>83</v>
      </c>
      <c r="F139" s="13" t="s">
        <v>33</v>
      </c>
      <c r="G139" s="13" t="s">
        <v>145</v>
      </c>
      <c r="H139" s="13" t="s">
        <v>41</v>
      </c>
      <c r="I139" s="13" t="n">
        <v>5</v>
      </c>
      <c r="J139" s="13" t="n">
        <v>0</v>
      </c>
      <c r="K139" s="13" t="s">
        <v>116</v>
      </c>
      <c r="L139" s="13" t="n">
        <v>4</v>
      </c>
      <c r="M139" s="13" t="n">
        <v>1146120.65</v>
      </c>
      <c r="N139" s="13" t="n">
        <v>286530.1625</v>
      </c>
      <c r="O139" s="13" t="n">
        <v>1030.29</v>
      </c>
      <c r="P139" s="13" t="n">
        <v>0</v>
      </c>
      <c r="Q139" s="13" t="n">
        <v>4</v>
      </c>
      <c r="R139" s="13" t="s">
        <v>121</v>
      </c>
      <c r="S139" s="13" t="s">
        <v>141</v>
      </c>
      <c r="T139" s="13" t="n">
        <v>1</v>
      </c>
      <c r="U139" s="13" t="n">
        <f aca="false">IF(B139="Individual",1,0)</f>
        <v>1</v>
      </c>
      <c r="V139" s="13" t="n">
        <f aca="false">IF(B139="Company",1,0)</f>
        <v>0</v>
      </c>
      <c r="W139" s="13" t="n">
        <f aca="false">IF(H139="Home",1,0)</f>
        <v>1</v>
      </c>
      <c r="X139" s="13" t="n">
        <f aca="false">IF(H139="Investment",1,0)</f>
        <v>0</v>
      </c>
      <c r="Y139" s="13" t="n">
        <f aca="false">IF(K139="Website",1,0)</f>
        <v>0</v>
      </c>
      <c r="Z139" s="13" t="n">
        <f aca="false">IF(K139="Agency",1,0)</f>
        <v>0</v>
      </c>
      <c r="AA139" s="13" t="n">
        <f aca="false">IF(K139="Client",1,0)</f>
        <v>1</v>
      </c>
      <c r="AB139" s="13" t="n">
        <f aca="false">(D139-AVERAGE(D$2:D$2001))/STDEV(D$2:D$2001)</f>
        <v>-1.44946114360566</v>
      </c>
      <c r="AC139" s="13" t="n">
        <f aca="false">(I139-AVERAGE(I$2:I$2001))/STDEV(I$2:I$2001)</f>
        <v>1.39434968409451</v>
      </c>
      <c r="AD139" s="13" t="n">
        <f aca="false">(L139-AVERAGE(L$2:L$2001))/STDEV(L$2:L$2001)</f>
        <v>0.413838214490712</v>
      </c>
      <c r="AE139" s="13" t="n">
        <f aca="false">(M139-AVERAGE(M$2:M$2001))/STDEV(M$2:M$2001)</f>
        <v>-0.328478314229925</v>
      </c>
      <c r="AF139" s="13" t="n">
        <f aca="false">(N139-AVERAGE(N$2:N$2001))/STDEV(N$2:N$2001)</f>
        <v>-0.868591666045353</v>
      </c>
      <c r="AG139" s="13" t="n">
        <f aca="false">(O139-AVERAGE(O$2:O$2001))/STDEV(O$2:O$2001)</f>
        <v>-0.532867813234856</v>
      </c>
      <c r="AH139" s="0" t="str">
        <f aca="false">IF(B139="Company","C3 - Corporate Buyers",IF(AND(H139="Investment",M139&gt;'Segmentation Summary'!$C$1),"C1 - Global Investors",IF(AND(I139&gt;=4,M139&gt;'Segmentation Summary'!$C$1),"C4 - Luxury Investors",IF(AND(D139&lt;'Segmentation Summary'!$C$2,J139=1),"C2 - First-Time Buyers","C5 - Other Individual Buyers"))))</f>
        <v>C5 - Other Individual Buyers</v>
      </c>
    </row>
    <row r="140" customFormat="false" ht="15" hidden="false" customHeight="true" outlineLevel="0" collapsed="false">
      <c r="A140" s="13" t="s">
        <v>354</v>
      </c>
      <c r="B140" s="13" t="s">
        <v>34</v>
      </c>
      <c r="C140" s="13" t="s">
        <v>355</v>
      </c>
      <c r="D140" s="13" t="n">
        <v>59</v>
      </c>
      <c r="E140" s="13" t="s">
        <v>90</v>
      </c>
      <c r="F140" s="13" t="s">
        <v>47</v>
      </c>
      <c r="G140" s="13" t="s">
        <v>356</v>
      </c>
      <c r="H140" s="13" t="s">
        <v>43</v>
      </c>
      <c r="I140" s="13" t="n">
        <v>1</v>
      </c>
      <c r="J140" s="13" t="n">
        <v>0</v>
      </c>
      <c r="K140" s="13" t="s">
        <v>91</v>
      </c>
      <c r="L140" s="13" t="n">
        <v>4</v>
      </c>
      <c r="M140" s="13" t="n">
        <v>1413902.33</v>
      </c>
      <c r="N140" s="13" t="n">
        <v>353475.5825</v>
      </c>
      <c r="O140" s="13" t="n">
        <v>1194.0325</v>
      </c>
      <c r="P140" s="13" t="n">
        <v>0</v>
      </c>
      <c r="Q140" s="13" t="n">
        <v>4</v>
      </c>
      <c r="R140" s="13" t="s">
        <v>98</v>
      </c>
      <c r="S140" s="13" t="s">
        <v>114</v>
      </c>
      <c r="T140" s="13" t="n">
        <v>1</v>
      </c>
      <c r="U140" s="13" t="n">
        <f aca="false">IF(B140="Individual",1,0)</f>
        <v>1</v>
      </c>
      <c r="V140" s="13" t="n">
        <f aca="false">IF(B140="Company",1,0)</f>
        <v>0</v>
      </c>
      <c r="W140" s="13" t="n">
        <f aca="false">IF(H140="Home",1,0)</f>
        <v>0</v>
      </c>
      <c r="X140" s="13" t="n">
        <f aca="false">IF(H140="Investment",1,0)</f>
        <v>1</v>
      </c>
      <c r="Y140" s="13" t="n">
        <f aca="false">IF(K140="Website",1,0)</f>
        <v>0</v>
      </c>
      <c r="Z140" s="13" t="n">
        <f aca="false">IF(K140="Agency",1,0)</f>
        <v>1</v>
      </c>
      <c r="AA140" s="13" t="n">
        <f aca="false">IF(K140="Client",1,0)</f>
        <v>0</v>
      </c>
      <c r="AB140" s="13" t="n">
        <f aca="false">(D140-AVERAGE(D$2:D$2001))/STDEV(D$2:D$2001)</f>
        <v>0.280412521038879</v>
      </c>
      <c r="AC140" s="13" t="n">
        <f aca="false">(I140-AVERAGE(I$2:I$2001))/STDEV(I$2:I$2001)</f>
        <v>-1.43538077576244</v>
      </c>
      <c r="AD140" s="13" t="n">
        <f aca="false">(L140-AVERAGE(L$2:L$2001))/STDEV(L$2:L$2001)</f>
        <v>0.413838214490712</v>
      </c>
      <c r="AE140" s="13" t="n">
        <f aca="false">(M140-AVERAGE(M$2:M$2001))/STDEV(M$2:M$2001)</f>
        <v>0.441383883321942</v>
      </c>
      <c r="AF140" s="13" t="n">
        <f aca="false">(N140-AVERAGE(N$2:N$2001))/STDEV(N$2:N$2001)</f>
        <v>0.0915872027542022</v>
      </c>
      <c r="AG140" s="13" t="n">
        <f aca="false">(O140-AVERAGE(O$2:O$2001))/STDEV(O$2:O$2001)</f>
        <v>0.211678266653723</v>
      </c>
      <c r="AH140" s="0" t="str">
        <f aca="false">IF(B140="Company","C3 - Corporate Buyers",IF(AND(H140="Investment",M140&gt;'Segmentation Summary'!$C$1),"C1 - Global Investors",IF(AND(I140&gt;=4,M140&gt;'Segmentation Summary'!$C$1),"C4 - Luxury Investors",IF(AND(D140&lt;'Segmentation Summary'!$C$2,J140=1),"C2 - First-Time Buyers","C5 - Other Individual Buyers"))))</f>
        <v>C1 - Global Investors</v>
      </c>
    </row>
    <row r="141" customFormat="false" ht="15" hidden="false" customHeight="true" outlineLevel="0" collapsed="false">
      <c r="A141" s="13" t="s">
        <v>357</v>
      </c>
      <c r="B141" s="13" t="s">
        <v>34</v>
      </c>
      <c r="C141" s="13" t="s">
        <v>358</v>
      </c>
      <c r="D141" s="13" t="n">
        <v>57</v>
      </c>
      <c r="E141" s="13" t="s">
        <v>90</v>
      </c>
      <c r="F141" s="13" t="s">
        <v>46</v>
      </c>
      <c r="G141" s="13" t="s">
        <v>359</v>
      </c>
      <c r="H141" s="13" t="s">
        <v>41</v>
      </c>
      <c r="I141" s="13" t="n">
        <v>1</v>
      </c>
      <c r="J141" s="13" t="n">
        <v>0</v>
      </c>
      <c r="K141" s="13" t="s">
        <v>91</v>
      </c>
      <c r="L141" s="13" t="n">
        <v>4</v>
      </c>
      <c r="M141" s="13" t="n">
        <v>1858527.54</v>
      </c>
      <c r="N141" s="13" t="n">
        <v>464631.885</v>
      </c>
      <c r="O141" s="13" t="n">
        <v>1365.68</v>
      </c>
      <c r="P141" s="13" t="n">
        <v>1</v>
      </c>
      <c r="Q141" s="13" t="n">
        <v>3</v>
      </c>
      <c r="R141" s="13" t="s">
        <v>101</v>
      </c>
      <c r="S141" s="13" t="s">
        <v>215</v>
      </c>
      <c r="T141" s="13" t="n">
        <v>1</v>
      </c>
      <c r="U141" s="13" t="n">
        <f aca="false">IF(B141="Individual",1,0)</f>
        <v>1</v>
      </c>
      <c r="V141" s="13" t="n">
        <f aca="false">IF(B141="Company",1,0)</f>
        <v>0</v>
      </c>
      <c r="W141" s="13" t="n">
        <f aca="false">IF(H141="Home",1,0)</f>
        <v>1</v>
      </c>
      <c r="X141" s="13" t="n">
        <f aca="false">IF(H141="Investment",1,0)</f>
        <v>0</v>
      </c>
      <c r="Y141" s="13" t="n">
        <f aca="false">IF(K141="Website",1,0)</f>
        <v>0</v>
      </c>
      <c r="Z141" s="13" t="n">
        <f aca="false">IF(K141="Agency",1,0)</f>
        <v>1</v>
      </c>
      <c r="AA141" s="13" t="n">
        <f aca="false">IF(K141="Client",1,0)</f>
        <v>0</v>
      </c>
      <c r="AB141" s="13" t="n">
        <f aca="false">(D141-AVERAGE(D$2:D$2001))/STDEV(D$2:D$2001)</f>
        <v>0.165087610062577</v>
      </c>
      <c r="AC141" s="13" t="n">
        <f aca="false">(I141-AVERAGE(I$2:I$2001))/STDEV(I$2:I$2001)</f>
        <v>-1.43538077576244</v>
      </c>
      <c r="AD141" s="13" t="n">
        <f aca="false">(L141-AVERAGE(L$2:L$2001))/STDEV(L$2:L$2001)</f>
        <v>0.413838214490712</v>
      </c>
      <c r="AE141" s="13" t="n">
        <f aca="false">(M141-AVERAGE(M$2:M$2001))/STDEV(M$2:M$2001)</f>
        <v>1.71966453813582</v>
      </c>
      <c r="AF141" s="13" t="n">
        <f aca="false">(N141-AVERAGE(N$2:N$2001))/STDEV(N$2:N$2001)</f>
        <v>1.68587001992663</v>
      </c>
      <c r="AG141" s="13" t="n">
        <f aca="false">(O141-AVERAGE(O$2:O$2001))/STDEV(O$2:O$2001)</f>
        <v>0.992168812771407</v>
      </c>
      <c r="AH141" s="0" t="str">
        <f aca="false">IF(B141="Company","C3 - Corporate Buyers",IF(AND(H141="Investment",M141&gt;'Segmentation Summary'!$C$1),"C1 - Global Investors",IF(AND(I141&gt;=4,M141&gt;'Segmentation Summary'!$C$1),"C4 - Luxury Investors",IF(AND(D141&lt;'Segmentation Summary'!$C$2,J141=1),"C2 - First-Time Buyers","C5 - Other Individual Buyers"))))</f>
        <v>C5 - Other Individual Buyers</v>
      </c>
    </row>
    <row r="142" customFormat="false" ht="15" hidden="false" customHeight="true" outlineLevel="0" collapsed="false">
      <c r="A142" s="13" t="s">
        <v>360</v>
      </c>
      <c r="B142" s="13" t="s">
        <v>34</v>
      </c>
      <c r="C142" s="13" t="s">
        <v>361</v>
      </c>
      <c r="D142" s="13" t="n">
        <v>45</v>
      </c>
      <c r="E142" s="13" t="s">
        <v>90</v>
      </c>
      <c r="F142" s="13" t="s">
        <v>33</v>
      </c>
      <c r="G142" s="13" t="s">
        <v>95</v>
      </c>
      <c r="H142" s="13" t="s">
        <v>41</v>
      </c>
      <c r="I142" s="13" t="n">
        <v>4</v>
      </c>
      <c r="J142" s="13" t="n">
        <v>0</v>
      </c>
      <c r="K142" s="13" t="s">
        <v>91</v>
      </c>
      <c r="L142" s="13" t="n">
        <v>4</v>
      </c>
      <c r="M142" s="13" t="n">
        <v>1681153.28</v>
      </c>
      <c r="N142" s="13" t="n">
        <v>420288.32</v>
      </c>
      <c r="O142" s="13" t="n">
        <v>1287.6625</v>
      </c>
      <c r="P142" s="13" t="n">
        <v>1</v>
      </c>
      <c r="Q142" s="13" t="n">
        <v>3</v>
      </c>
      <c r="R142" s="13" t="s">
        <v>150</v>
      </c>
      <c r="S142" s="13" t="s">
        <v>125</v>
      </c>
      <c r="T142" s="13" t="n">
        <v>1</v>
      </c>
      <c r="U142" s="13" t="n">
        <f aca="false">IF(B142="Individual",1,0)</f>
        <v>1</v>
      </c>
      <c r="V142" s="13" t="n">
        <f aca="false">IF(B142="Company",1,0)</f>
        <v>0</v>
      </c>
      <c r="W142" s="13" t="n">
        <f aca="false">IF(H142="Home",1,0)</f>
        <v>1</v>
      </c>
      <c r="X142" s="13" t="n">
        <f aca="false">IF(H142="Investment",1,0)</f>
        <v>0</v>
      </c>
      <c r="Y142" s="13" t="n">
        <f aca="false">IF(K142="Website",1,0)</f>
        <v>0</v>
      </c>
      <c r="Z142" s="13" t="n">
        <f aca="false">IF(K142="Agency",1,0)</f>
        <v>1</v>
      </c>
      <c r="AA142" s="13" t="n">
        <f aca="false">IF(K142="Client",1,0)</f>
        <v>0</v>
      </c>
      <c r="AB142" s="13" t="n">
        <f aca="false">(D142-AVERAGE(D$2:D$2001))/STDEV(D$2:D$2001)</f>
        <v>-0.526861855795238</v>
      </c>
      <c r="AC142" s="13" t="n">
        <f aca="false">(I142-AVERAGE(I$2:I$2001))/STDEV(I$2:I$2001)</f>
        <v>0.686917069130275</v>
      </c>
      <c r="AD142" s="13" t="n">
        <f aca="false">(L142-AVERAGE(L$2:L$2001))/STDEV(L$2:L$2001)</f>
        <v>0.413838214490712</v>
      </c>
      <c r="AE142" s="13" t="n">
        <f aca="false">(M142-AVERAGE(M$2:M$2001))/STDEV(M$2:M$2001)</f>
        <v>1.20972025220582</v>
      </c>
      <c r="AF142" s="13" t="n">
        <f aca="false">(N142-AVERAGE(N$2:N$2001))/STDEV(N$2:N$2001)</f>
        <v>1.0498630446886</v>
      </c>
      <c r="AG142" s="13" t="n">
        <f aca="false">(O142-AVERAGE(O$2:O$2001))/STDEV(O$2:O$2001)</f>
        <v>0.637418984304715</v>
      </c>
      <c r="AH142" s="0" t="str">
        <f aca="false">IF(B142="Company","C3 - Corporate Buyers",IF(AND(H142="Investment",M142&gt;'Segmentation Summary'!$C$1),"C1 - Global Investors",IF(AND(I142&gt;=4,M142&gt;'Segmentation Summary'!$C$1),"C4 - Luxury Investors",IF(AND(D142&lt;'Segmentation Summary'!$C$2,J142=1),"C2 - First-Time Buyers","C5 - Other Individual Buyers"))))</f>
        <v>C4 - Luxury Investors</v>
      </c>
    </row>
    <row r="143" customFormat="false" ht="15" hidden="false" customHeight="true" outlineLevel="0" collapsed="false">
      <c r="A143" s="13" t="s">
        <v>362</v>
      </c>
      <c r="B143" s="13" t="s">
        <v>34</v>
      </c>
      <c r="C143" s="13" t="s">
        <v>363</v>
      </c>
      <c r="D143" s="13" t="n">
        <v>67</v>
      </c>
      <c r="E143" s="13" t="s">
        <v>83</v>
      </c>
      <c r="F143" s="13" t="s">
        <v>33</v>
      </c>
      <c r="G143" s="13" t="s">
        <v>84</v>
      </c>
      <c r="H143" s="13" t="s">
        <v>43</v>
      </c>
      <c r="I143" s="13" t="n">
        <v>5</v>
      </c>
      <c r="J143" s="13" t="n">
        <v>0</v>
      </c>
      <c r="K143" s="13" t="s">
        <v>91</v>
      </c>
      <c r="L143" s="13" t="n">
        <v>6</v>
      </c>
      <c r="M143" s="13" t="n">
        <v>2611736.44</v>
      </c>
      <c r="N143" s="13" t="n">
        <v>435289.406666667</v>
      </c>
      <c r="O143" s="13" t="n">
        <v>1411.94666666667</v>
      </c>
      <c r="P143" s="13" t="n">
        <v>0</v>
      </c>
      <c r="Q143" s="13" t="n">
        <v>6</v>
      </c>
      <c r="R143" s="13" t="s">
        <v>101</v>
      </c>
      <c r="S143" s="13" t="s">
        <v>154</v>
      </c>
      <c r="T143" s="13" t="n">
        <v>1</v>
      </c>
      <c r="U143" s="13" t="n">
        <f aca="false">IF(B143="Individual",1,0)</f>
        <v>1</v>
      </c>
      <c r="V143" s="13" t="n">
        <f aca="false">IF(B143="Company",1,0)</f>
        <v>0</v>
      </c>
      <c r="W143" s="13" t="n">
        <f aca="false">IF(H143="Home",1,0)</f>
        <v>0</v>
      </c>
      <c r="X143" s="13" t="n">
        <f aca="false">IF(H143="Investment",1,0)</f>
        <v>1</v>
      </c>
      <c r="Y143" s="13" t="n">
        <f aca="false">IF(K143="Website",1,0)</f>
        <v>0</v>
      </c>
      <c r="Z143" s="13" t="n">
        <f aca="false">IF(K143="Agency",1,0)</f>
        <v>1</v>
      </c>
      <c r="AA143" s="13" t="n">
        <f aca="false">IF(K143="Client",1,0)</f>
        <v>0</v>
      </c>
      <c r="AB143" s="13" t="n">
        <f aca="false">(D143-AVERAGE(D$2:D$2001))/STDEV(D$2:D$2001)</f>
        <v>0.741712164944089</v>
      </c>
      <c r="AC143" s="13" t="n">
        <f aca="false">(I143-AVERAGE(I$2:I$2001))/STDEV(I$2:I$2001)</f>
        <v>1.39434968409451</v>
      </c>
      <c r="AD143" s="13" t="n">
        <f aca="false">(L143-AVERAGE(L$2:L$2001))/STDEV(L$2:L$2001)</f>
        <v>2.79564088781855</v>
      </c>
      <c r="AE143" s="13" t="n">
        <f aca="false">(M143-AVERAGE(M$2:M$2001))/STDEV(M$2:M$2001)</f>
        <v>3.88511162536607</v>
      </c>
      <c r="AF143" s="13" t="n">
        <f aca="false">(N143-AVERAGE(N$2:N$2001))/STDEV(N$2:N$2001)</f>
        <v>1.26501930819944</v>
      </c>
      <c r="AG143" s="13" t="n">
        <f aca="false">(O143-AVERAGE(O$2:O$2001))/STDEV(O$2:O$2001)</f>
        <v>1.20254587001788</v>
      </c>
      <c r="AH143" s="0" t="str">
        <f aca="false">IF(B143="Company","C3 - Corporate Buyers",IF(AND(H143="Investment",M143&gt;'Segmentation Summary'!$C$1),"C1 - Global Investors",IF(AND(I143&gt;=4,M143&gt;'Segmentation Summary'!$C$1),"C4 - Luxury Investors",IF(AND(D143&lt;'Segmentation Summary'!$C$2,J143=1),"C2 - First-Time Buyers","C5 - Other Individual Buyers"))))</f>
        <v>C1 - Global Investors</v>
      </c>
    </row>
    <row r="144" customFormat="false" ht="15" hidden="false" customHeight="true" outlineLevel="0" collapsed="false">
      <c r="A144" s="13" t="s">
        <v>364</v>
      </c>
      <c r="B144" s="13" t="s">
        <v>34</v>
      </c>
      <c r="C144" s="13" t="s">
        <v>365</v>
      </c>
      <c r="D144" s="13" t="n">
        <v>68</v>
      </c>
      <c r="E144" s="13" t="s">
        <v>83</v>
      </c>
      <c r="F144" s="13" t="s">
        <v>33</v>
      </c>
      <c r="G144" s="13" t="s">
        <v>95</v>
      </c>
      <c r="H144" s="13" t="s">
        <v>41</v>
      </c>
      <c r="I144" s="13" t="n">
        <v>2</v>
      </c>
      <c r="J144" s="13" t="n">
        <v>0</v>
      </c>
      <c r="K144" s="13" t="s">
        <v>91</v>
      </c>
      <c r="L144" s="13" t="n">
        <v>3</v>
      </c>
      <c r="M144" s="13" t="n">
        <v>1258111.32</v>
      </c>
      <c r="N144" s="13" t="n">
        <v>419370.44</v>
      </c>
      <c r="O144" s="13" t="n">
        <v>1338.14666666667</v>
      </c>
      <c r="P144" s="13" t="n">
        <v>0</v>
      </c>
      <c r="Q144" s="13" t="n">
        <v>3</v>
      </c>
      <c r="R144" s="13" t="s">
        <v>101</v>
      </c>
      <c r="S144" s="13" t="s">
        <v>125</v>
      </c>
      <c r="T144" s="13" t="n">
        <v>1</v>
      </c>
      <c r="U144" s="13" t="n">
        <f aca="false">IF(B144="Individual",1,0)</f>
        <v>1</v>
      </c>
      <c r="V144" s="13" t="n">
        <f aca="false">IF(B144="Company",1,0)</f>
        <v>0</v>
      </c>
      <c r="W144" s="13" t="n">
        <f aca="false">IF(H144="Home",1,0)</f>
        <v>1</v>
      </c>
      <c r="X144" s="13" t="n">
        <f aca="false">IF(H144="Investment",1,0)</f>
        <v>0</v>
      </c>
      <c r="Y144" s="13" t="n">
        <f aca="false">IF(K144="Website",1,0)</f>
        <v>0</v>
      </c>
      <c r="Z144" s="13" t="n">
        <f aca="false">IF(K144="Agency",1,0)</f>
        <v>1</v>
      </c>
      <c r="AA144" s="13" t="n">
        <f aca="false">IF(K144="Client",1,0)</f>
        <v>0</v>
      </c>
      <c r="AB144" s="13" t="n">
        <f aca="false">(D144-AVERAGE(D$2:D$2001))/STDEV(D$2:D$2001)</f>
        <v>0.79937462043224</v>
      </c>
      <c r="AC144" s="13" t="n">
        <f aca="false">(I144-AVERAGE(I$2:I$2001))/STDEV(I$2:I$2001)</f>
        <v>-0.727948160798201</v>
      </c>
      <c r="AD144" s="13" t="n">
        <f aca="false">(L144-AVERAGE(L$2:L$2001))/STDEV(L$2:L$2001)</f>
        <v>-0.777063122173208</v>
      </c>
      <c r="AE144" s="13" t="n">
        <f aca="false">(M144-AVERAGE(M$2:M$2001))/STDEV(M$2:M$2001)</f>
        <v>-0.006509375535142</v>
      </c>
      <c r="AF144" s="13" t="n">
        <f aca="false">(N144-AVERAGE(N$2:N$2001))/STDEV(N$2:N$2001)</f>
        <v>1.03669815633486</v>
      </c>
      <c r="AG144" s="13" t="n">
        <f aca="false">(O144-AVERAGE(O$2:O$2001))/STDEV(O$2:O$2001)</f>
        <v>0.866973244121872</v>
      </c>
      <c r="AH144" s="0" t="str">
        <f aca="false">IF(B144="Company","C3 - Corporate Buyers",IF(AND(H144="Investment",M144&gt;'Segmentation Summary'!$C$1),"C1 - Global Investors",IF(AND(I144&gt;=4,M144&gt;'Segmentation Summary'!$C$1),"C4 - Luxury Investors",IF(AND(D144&lt;'Segmentation Summary'!$C$2,J144=1),"C2 - First-Time Buyers","C5 - Other Individual Buyers"))))</f>
        <v>C5 - Other Individual Buyers</v>
      </c>
    </row>
    <row r="145" customFormat="false" ht="15" hidden="false" customHeight="true" outlineLevel="0" collapsed="false">
      <c r="A145" s="13" t="s">
        <v>366</v>
      </c>
      <c r="B145" s="13" t="s">
        <v>34</v>
      </c>
      <c r="C145" s="13" t="s">
        <v>367</v>
      </c>
      <c r="D145" s="13" t="n">
        <v>42</v>
      </c>
      <c r="E145" s="13" t="s">
        <v>83</v>
      </c>
      <c r="F145" s="13" t="s">
        <v>33</v>
      </c>
      <c r="G145" s="13" t="s">
        <v>157</v>
      </c>
      <c r="H145" s="13" t="s">
        <v>41</v>
      </c>
      <c r="I145" s="13" t="n">
        <v>3</v>
      </c>
      <c r="J145" s="13" t="n">
        <v>1</v>
      </c>
      <c r="K145" s="13" t="s">
        <v>85</v>
      </c>
      <c r="L145" s="13" t="n">
        <v>4</v>
      </c>
      <c r="M145" s="13" t="n">
        <v>1553467.66</v>
      </c>
      <c r="N145" s="13" t="n">
        <v>388366.915</v>
      </c>
      <c r="O145" s="13" t="n">
        <v>1254.045</v>
      </c>
      <c r="P145" s="13" t="n">
        <v>0</v>
      </c>
      <c r="Q145" s="13" t="n">
        <v>4</v>
      </c>
      <c r="R145" s="13" t="s">
        <v>111</v>
      </c>
      <c r="S145" s="13" t="s">
        <v>114</v>
      </c>
      <c r="T145" s="13" t="n">
        <v>1</v>
      </c>
      <c r="U145" s="13" t="n">
        <f aca="false">IF(B145="Individual",1,0)</f>
        <v>1</v>
      </c>
      <c r="V145" s="13" t="n">
        <f aca="false">IF(B145="Company",1,0)</f>
        <v>0</v>
      </c>
      <c r="W145" s="13" t="n">
        <f aca="false">IF(H145="Home",1,0)</f>
        <v>1</v>
      </c>
      <c r="X145" s="13" t="n">
        <f aca="false">IF(H145="Investment",1,0)</f>
        <v>0</v>
      </c>
      <c r="Y145" s="13" t="n">
        <f aca="false">IF(K145="Website",1,0)</f>
        <v>1</v>
      </c>
      <c r="Z145" s="13" t="n">
        <f aca="false">IF(K145="Agency",1,0)</f>
        <v>0</v>
      </c>
      <c r="AA145" s="13" t="n">
        <f aca="false">IF(K145="Client",1,0)</f>
        <v>0</v>
      </c>
      <c r="AB145" s="13" t="n">
        <f aca="false">(D145-AVERAGE(D$2:D$2001))/STDEV(D$2:D$2001)</f>
        <v>-0.699849222259691</v>
      </c>
      <c r="AC145" s="13" t="n">
        <f aca="false">(I145-AVERAGE(I$2:I$2001))/STDEV(I$2:I$2001)</f>
        <v>-0.0205155458339628</v>
      </c>
      <c r="AD145" s="13" t="n">
        <f aca="false">(L145-AVERAGE(L$2:L$2001))/STDEV(L$2:L$2001)</f>
        <v>0.413838214490712</v>
      </c>
      <c r="AE145" s="13" t="n">
        <f aca="false">(M145-AVERAGE(M$2:M$2001))/STDEV(M$2:M$2001)</f>
        <v>0.842628926133874</v>
      </c>
      <c r="AF145" s="13" t="n">
        <f aca="false">(N145-AVERAGE(N$2:N$2001))/STDEV(N$2:N$2001)</f>
        <v>0.592023530896726</v>
      </c>
      <c r="AG145" s="13" t="n">
        <f aca="false">(O145-AVERAGE(O$2:O$2001))/STDEV(O$2:O$2001)</f>
        <v>0.484558377921802</v>
      </c>
      <c r="AH145" s="0" t="str">
        <f aca="false">IF(B145="Company","C3 - Corporate Buyers",IF(AND(H145="Investment",M145&gt;'Segmentation Summary'!$C$1),"C1 - Global Investors",IF(AND(I145&gt;=4,M145&gt;'Segmentation Summary'!$C$1),"C4 - Luxury Investors",IF(AND(D145&lt;'Segmentation Summary'!$C$2,J145=1),"C2 - First-Time Buyers","C5 - Other Individual Buyers"))))</f>
        <v>C2 - First-Time Buyers</v>
      </c>
    </row>
    <row r="146" customFormat="false" ht="15" hidden="false" customHeight="true" outlineLevel="0" collapsed="false">
      <c r="A146" s="13" t="s">
        <v>368</v>
      </c>
      <c r="B146" s="13" t="s">
        <v>34</v>
      </c>
      <c r="C146" s="13" t="s">
        <v>369</v>
      </c>
      <c r="D146" s="13" t="n">
        <v>58</v>
      </c>
      <c r="E146" s="13" t="s">
        <v>83</v>
      </c>
      <c r="F146" s="13" t="s">
        <v>33</v>
      </c>
      <c r="G146" s="13" t="s">
        <v>95</v>
      </c>
      <c r="H146" s="13" t="s">
        <v>41</v>
      </c>
      <c r="I146" s="13" t="n">
        <v>5</v>
      </c>
      <c r="J146" s="13" t="n">
        <v>1</v>
      </c>
      <c r="K146" s="13" t="s">
        <v>85</v>
      </c>
      <c r="L146" s="13" t="n">
        <v>3</v>
      </c>
      <c r="M146" s="13" t="n">
        <v>926545.71</v>
      </c>
      <c r="N146" s="13" t="n">
        <v>308848.57</v>
      </c>
      <c r="O146" s="13" t="n">
        <v>1182.08</v>
      </c>
      <c r="P146" s="13" t="n">
        <v>0</v>
      </c>
      <c r="Q146" s="13" t="n">
        <v>3</v>
      </c>
      <c r="R146" s="13" t="s">
        <v>98</v>
      </c>
      <c r="S146" s="13" t="s">
        <v>135</v>
      </c>
      <c r="T146" s="13" t="n">
        <v>1</v>
      </c>
      <c r="U146" s="13" t="n">
        <f aca="false">IF(B146="Individual",1,0)</f>
        <v>1</v>
      </c>
      <c r="V146" s="13" t="n">
        <f aca="false">IF(B146="Company",1,0)</f>
        <v>0</v>
      </c>
      <c r="W146" s="13" t="n">
        <f aca="false">IF(H146="Home",1,0)</f>
        <v>1</v>
      </c>
      <c r="X146" s="13" t="n">
        <f aca="false">IF(H146="Investment",1,0)</f>
        <v>0</v>
      </c>
      <c r="Y146" s="13" t="n">
        <f aca="false">IF(K146="Website",1,0)</f>
        <v>1</v>
      </c>
      <c r="Z146" s="13" t="n">
        <f aca="false">IF(K146="Agency",1,0)</f>
        <v>0</v>
      </c>
      <c r="AA146" s="13" t="n">
        <f aca="false">IF(K146="Client",1,0)</f>
        <v>0</v>
      </c>
      <c r="AB146" s="13" t="n">
        <f aca="false">(D146-AVERAGE(D$2:D$2001))/STDEV(D$2:D$2001)</f>
        <v>0.222750065550728</v>
      </c>
      <c r="AC146" s="13" t="n">
        <f aca="false">(I146-AVERAGE(I$2:I$2001))/STDEV(I$2:I$2001)</f>
        <v>1.39434968409451</v>
      </c>
      <c r="AD146" s="13" t="n">
        <f aca="false">(L146-AVERAGE(L$2:L$2001))/STDEV(L$2:L$2001)</f>
        <v>-0.777063122173208</v>
      </c>
      <c r="AE146" s="13" t="n">
        <f aca="false">(M146-AVERAGE(M$2:M$2001))/STDEV(M$2:M$2001)</f>
        <v>-0.959747958350908</v>
      </c>
      <c r="AF146" s="13" t="n">
        <f aca="false">(N146-AVERAGE(N$2:N$2001))/STDEV(N$2:N$2001)</f>
        <v>-0.548485178301195</v>
      </c>
      <c r="AG146" s="13" t="n">
        <f aca="false">(O146-AVERAGE(O$2:O$2001))/STDEV(O$2:O$2001)</f>
        <v>0.157329597127679</v>
      </c>
      <c r="AH146" s="0" t="str">
        <f aca="false">IF(B146="Company","C3 - Corporate Buyers",IF(AND(H146="Investment",M146&gt;'Segmentation Summary'!$C$1),"C1 - Global Investors",IF(AND(I146&gt;=4,M146&gt;'Segmentation Summary'!$C$1),"C4 - Luxury Investors",IF(AND(D146&lt;'Segmentation Summary'!$C$2,J146=1),"C2 - First-Time Buyers","C5 - Other Individual Buyers"))))</f>
        <v>C5 - Other Individual Buyers</v>
      </c>
    </row>
    <row r="147" customFormat="false" ht="15" hidden="false" customHeight="true" outlineLevel="0" collapsed="false">
      <c r="A147" s="13" t="s">
        <v>370</v>
      </c>
      <c r="B147" s="13" t="s">
        <v>34</v>
      </c>
      <c r="C147" s="13" t="s">
        <v>371</v>
      </c>
      <c r="D147" s="13" t="n">
        <v>28</v>
      </c>
      <c r="E147" s="13" t="s">
        <v>83</v>
      </c>
      <c r="F147" s="13" t="s">
        <v>33</v>
      </c>
      <c r="G147" s="13" t="s">
        <v>110</v>
      </c>
      <c r="H147" s="13" t="s">
        <v>41</v>
      </c>
      <c r="I147" s="13" t="n">
        <v>1</v>
      </c>
      <c r="J147" s="13" t="n">
        <v>1</v>
      </c>
      <c r="K147" s="13" t="s">
        <v>85</v>
      </c>
      <c r="L147" s="13" t="n">
        <v>4</v>
      </c>
      <c r="M147" s="13" t="n">
        <v>1128864.17</v>
      </c>
      <c r="N147" s="13" t="n">
        <v>282216.0425</v>
      </c>
      <c r="O147" s="13" t="n">
        <v>972.335</v>
      </c>
      <c r="P147" s="13" t="n">
        <v>1</v>
      </c>
      <c r="Q147" s="13" t="n">
        <v>3</v>
      </c>
      <c r="R147" s="13" t="s">
        <v>117</v>
      </c>
      <c r="S147" s="13" t="s">
        <v>114</v>
      </c>
      <c r="T147" s="13" t="n">
        <v>1</v>
      </c>
      <c r="U147" s="13" t="n">
        <f aca="false">IF(B147="Individual",1,0)</f>
        <v>1</v>
      </c>
      <c r="V147" s="13" t="n">
        <f aca="false">IF(B147="Company",1,0)</f>
        <v>0</v>
      </c>
      <c r="W147" s="13" t="n">
        <f aca="false">IF(H147="Home",1,0)</f>
        <v>1</v>
      </c>
      <c r="X147" s="13" t="n">
        <f aca="false">IF(H147="Investment",1,0)</f>
        <v>0</v>
      </c>
      <c r="Y147" s="13" t="n">
        <f aca="false">IF(K147="Website",1,0)</f>
        <v>1</v>
      </c>
      <c r="Z147" s="13" t="n">
        <f aca="false">IF(K147="Agency",1,0)</f>
        <v>0</v>
      </c>
      <c r="AA147" s="13" t="n">
        <f aca="false">IF(K147="Client",1,0)</f>
        <v>0</v>
      </c>
      <c r="AB147" s="13" t="n">
        <f aca="false">(D147-AVERAGE(D$2:D$2001))/STDEV(D$2:D$2001)</f>
        <v>-1.50712359909381</v>
      </c>
      <c r="AC147" s="13" t="n">
        <f aca="false">(I147-AVERAGE(I$2:I$2001))/STDEV(I$2:I$2001)</f>
        <v>-1.43538077576244</v>
      </c>
      <c r="AD147" s="13" t="n">
        <f aca="false">(L147-AVERAGE(L$2:L$2001))/STDEV(L$2:L$2001)</f>
        <v>0.413838214490712</v>
      </c>
      <c r="AE147" s="13" t="n">
        <f aca="false">(M147-AVERAGE(M$2:M$2001))/STDEV(M$2:M$2001)</f>
        <v>-0.378090041271184</v>
      </c>
      <c r="AF147" s="13" t="n">
        <f aca="false">(N147-AVERAGE(N$2:N$2001))/STDEV(N$2:N$2001)</f>
        <v>-0.930467846095692</v>
      </c>
      <c r="AG147" s="13" t="n">
        <f aca="false">(O147-AVERAGE(O$2:O$2001))/STDEV(O$2:O$2001)</f>
        <v>-0.796392359763353</v>
      </c>
      <c r="AH147" s="0" t="str">
        <f aca="false">IF(B147="Company","C3 - Corporate Buyers",IF(AND(H147="Investment",M147&gt;'Segmentation Summary'!$C$1),"C1 - Global Investors",IF(AND(I147&gt;=4,M147&gt;'Segmentation Summary'!$C$1),"C4 - Luxury Investors",IF(AND(D147&lt;'Segmentation Summary'!$C$2,J147=1),"C2 - First-Time Buyers","C5 - Other Individual Buyers"))))</f>
        <v>C2 - First-Time Buyers</v>
      </c>
    </row>
    <row r="148" customFormat="false" ht="15" hidden="false" customHeight="true" outlineLevel="0" collapsed="false">
      <c r="A148" s="13" t="s">
        <v>372</v>
      </c>
      <c r="B148" s="13" t="s">
        <v>34</v>
      </c>
      <c r="C148" s="13" t="s">
        <v>373</v>
      </c>
      <c r="D148" s="13" t="n">
        <v>35</v>
      </c>
      <c r="E148" s="13" t="s">
        <v>83</v>
      </c>
      <c r="F148" s="13" t="s">
        <v>35</v>
      </c>
      <c r="G148" s="13" t="s">
        <v>374</v>
      </c>
      <c r="H148" s="13" t="s">
        <v>41</v>
      </c>
      <c r="I148" s="13" t="n">
        <v>1</v>
      </c>
      <c r="J148" s="13" t="n">
        <v>0</v>
      </c>
      <c r="K148" s="13" t="s">
        <v>85</v>
      </c>
      <c r="L148" s="13" t="n">
        <v>3</v>
      </c>
      <c r="M148" s="13" t="n">
        <v>1011333.2</v>
      </c>
      <c r="N148" s="13" t="n">
        <v>337111.066666667</v>
      </c>
      <c r="O148" s="13" t="n">
        <v>1088.58666666667</v>
      </c>
      <c r="P148" s="13" t="n">
        <v>1</v>
      </c>
      <c r="Q148" s="13" t="n">
        <v>2</v>
      </c>
      <c r="R148" s="13" t="s">
        <v>86</v>
      </c>
      <c r="S148" s="13" t="s">
        <v>111</v>
      </c>
      <c r="T148" s="13" t="n">
        <v>1</v>
      </c>
      <c r="U148" s="13" t="n">
        <f aca="false">IF(B148="Individual",1,0)</f>
        <v>1</v>
      </c>
      <c r="V148" s="13" t="n">
        <f aca="false">IF(B148="Company",1,0)</f>
        <v>0</v>
      </c>
      <c r="W148" s="13" t="n">
        <f aca="false">IF(H148="Home",1,0)</f>
        <v>1</v>
      </c>
      <c r="X148" s="13" t="n">
        <f aca="false">IF(H148="Investment",1,0)</f>
        <v>0</v>
      </c>
      <c r="Y148" s="13" t="n">
        <f aca="false">IF(K148="Website",1,0)</f>
        <v>1</v>
      </c>
      <c r="Z148" s="13" t="n">
        <f aca="false">IF(K148="Agency",1,0)</f>
        <v>0</v>
      </c>
      <c r="AA148" s="13" t="n">
        <f aca="false">IF(K148="Client",1,0)</f>
        <v>0</v>
      </c>
      <c r="AB148" s="13" t="n">
        <f aca="false">(D148-AVERAGE(D$2:D$2001))/STDEV(D$2:D$2001)</f>
        <v>-1.10348641067675</v>
      </c>
      <c r="AC148" s="13" t="n">
        <f aca="false">(I148-AVERAGE(I$2:I$2001))/STDEV(I$2:I$2001)</f>
        <v>-1.43538077576244</v>
      </c>
      <c r="AD148" s="13" t="n">
        <f aca="false">(L148-AVERAGE(L$2:L$2001))/STDEV(L$2:L$2001)</f>
        <v>-0.777063122173208</v>
      </c>
      <c r="AE148" s="13" t="n">
        <f aca="false">(M148-AVERAGE(M$2:M$2001))/STDEV(M$2:M$2001)</f>
        <v>-0.71598713282951</v>
      </c>
      <c r="AF148" s="13" t="n">
        <f aca="false">(N148-AVERAGE(N$2:N$2001))/STDEV(N$2:N$2001)</f>
        <v>-0.143124332423292</v>
      </c>
      <c r="AG148" s="13" t="n">
        <f aca="false">(O148-AVERAGE(O$2:O$2001))/STDEV(O$2:O$2001)</f>
        <v>-0.267789689734602</v>
      </c>
      <c r="AH148" s="0" t="str">
        <f aca="false">IF(B148="Company","C3 - Corporate Buyers",IF(AND(H148="Investment",M148&gt;'Segmentation Summary'!$C$1),"C1 - Global Investors",IF(AND(I148&gt;=4,M148&gt;'Segmentation Summary'!$C$1),"C4 - Luxury Investors",IF(AND(D148&lt;'Segmentation Summary'!$C$2,J148=1),"C2 - First-Time Buyers","C5 - Other Individual Buyers"))))</f>
        <v>C5 - Other Individual Buyers</v>
      </c>
    </row>
    <row r="149" customFormat="false" ht="15" hidden="false" customHeight="true" outlineLevel="0" collapsed="false">
      <c r="A149" s="13" t="s">
        <v>375</v>
      </c>
      <c r="B149" s="13" t="s">
        <v>34</v>
      </c>
      <c r="C149" s="13" t="s">
        <v>376</v>
      </c>
      <c r="D149" s="13" t="n">
        <v>37</v>
      </c>
      <c r="E149" s="13" t="s">
        <v>83</v>
      </c>
      <c r="F149" s="13" t="s">
        <v>33</v>
      </c>
      <c r="G149" s="13" t="s">
        <v>162</v>
      </c>
      <c r="H149" s="13" t="s">
        <v>41</v>
      </c>
      <c r="I149" s="13" t="n">
        <v>3</v>
      </c>
      <c r="J149" s="13" t="n">
        <v>1</v>
      </c>
      <c r="K149" s="13" t="s">
        <v>91</v>
      </c>
      <c r="L149" s="13" t="n">
        <v>4</v>
      </c>
      <c r="M149" s="13" t="n">
        <v>2151534.73</v>
      </c>
      <c r="N149" s="13" t="n">
        <v>537883.6825</v>
      </c>
      <c r="O149" s="13" t="n">
        <v>1676.3825</v>
      </c>
      <c r="P149" s="13" t="n">
        <v>0</v>
      </c>
      <c r="Q149" s="13" t="n">
        <v>4</v>
      </c>
      <c r="R149" s="13" t="s">
        <v>124</v>
      </c>
      <c r="S149" s="13" t="s">
        <v>215</v>
      </c>
      <c r="T149" s="13" t="n">
        <v>1</v>
      </c>
      <c r="U149" s="13" t="n">
        <f aca="false">IF(B149="Individual",1,0)</f>
        <v>1</v>
      </c>
      <c r="V149" s="13" t="n">
        <f aca="false">IF(B149="Company",1,0)</f>
        <v>0</v>
      </c>
      <c r="W149" s="13" t="n">
        <f aca="false">IF(H149="Home",1,0)</f>
        <v>1</v>
      </c>
      <c r="X149" s="13" t="n">
        <f aca="false">IF(H149="Investment",1,0)</f>
        <v>0</v>
      </c>
      <c r="Y149" s="13" t="n">
        <f aca="false">IF(K149="Website",1,0)</f>
        <v>0</v>
      </c>
      <c r="Z149" s="13" t="n">
        <f aca="false">IF(K149="Agency",1,0)</f>
        <v>1</v>
      </c>
      <c r="AA149" s="13" t="n">
        <f aca="false">IF(K149="Client",1,0)</f>
        <v>0</v>
      </c>
      <c r="AB149" s="13" t="n">
        <f aca="false">(D149-AVERAGE(D$2:D$2001))/STDEV(D$2:D$2001)</f>
        <v>-0.988161499700447</v>
      </c>
      <c r="AC149" s="13" t="n">
        <f aca="false">(I149-AVERAGE(I$2:I$2001))/STDEV(I$2:I$2001)</f>
        <v>-0.0205155458339628</v>
      </c>
      <c r="AD149" s="13" t="n">
        <f aca="false">(L149-AVERAGE(L$2:L$2001))/STDEV(L$2:L$2001)</f>
        <v>0.413838214490712</v>
      </c>
      <c r="AE149" s="13" t="n">
        <f aca="false">(M149-AVERAGE(M$2:M$2001))/STDEV(M$2:M$2001)</f>
        <v>2.56204912244307</v>
      </c>
      <c r="AF149" s="13" t="n">
        <f aca="false">(N149-AVERAGE(N$2:N$2001))/STDEV(N$2:N$2001)</f>
        <v>2.73649944403188</v>
      </c>
      <c r="AG149" s="13" t="n">
        <f aca="false">(O149-AVERAGE(O$2:O$2001))/STDEV(O$2:O$2001)</f>
        <v>2.40495002953908</v>
      </c>
      <c r="AH149" s="0" t="str">
        <f aca="false">IF(B149="Company","C3 - Corporate Buyers",IF(AND(H149="Investment",M149&gt;'Segmentation Summary'!$C$1),"C1 - Global Investors",IF(AND(I149&gt;=4,M149&gt;'Segmentation Summary'!$C$1),"C4 - Luxury Investors",IF(AND(D149&lt;'Segmentation Summary'!$C$2,J149=1),"C2 - First-Time Buyers","C5 - Other Individual Buyers"))))</f>
        <v>C2 - First-Time Buyers</v>
      </c>
    </row>
    <row r="150" customFormat="false" ht="15" hidden="false" customHeight="true" outlineLevel="0" collapsed="false">
      <c r="A150" s="13" t="s">
        <v>377</v>
      </c>
      <c r="B150" s="13" t="s">
        <v>34</v>
      </c>
      <c r="C150" s="13" t="s">
        <v>378</v>
      </c>
      <c r="D150" s="13" t="n">
        <v>84</v>
      </c>
      <c r="E150" s="13" t="s">
        <v>83</v>
      </c>
      <c r="F150" s="13" t="s">
        <v>33</v>
      </c>
      <c r="G150" s="13" t="s">
        <v>162</v>
      </c>
      <c r="H150" s="13" t="s">
        <v>43</v>
      </c>
      <c r="I150" s="13" t="n">
        <v>3</v>
      </c>
      <c r="J150" s="13" t="n">
        <v>1</v>
      </c>
      <c r="K150" s="13" t="s">
        <v>91</v>
      </c>
      <c r="L150" s="13" t="n">
        <v>3</v>
      </c>
      <c r="M150" s="13" t="n">
        <v>1440682.21</v>
      </c>
      <c r="N150" s="13" t="n">
        <v>480227.403333333</v>
      </c>
      <c r="O150" s="13" t="n">
        <v>1590.86333333333</v>
      </c>
      <c r="P150" s="13" t="n">
        <v>0</v>
      </c>
      <c r="Q150" s="13" t="n">
        <v>3</v>
      </c>
      <c r="R150" s="13" t="s">
        <v>92</v>
      </c>
      <c r="S150" s="13" t="s">
        <v>86</v>
      </c>
      <c r="T150" s="13" t="n">
        <v>1</v>
      </c>
      <c r="U150" s="13" t="n">
        <f aca="false">IF(B150="Individual",1,0)</f>
        <v>1</v>
      </c>
      <c r="V150" s="13" t="n">
        <f aca="false">IF(B150="Company",1,0)</f>
        <v>0</v>
      </c>
      <c r="W150" s="13" t="n">
        <f aca="false">IF(H150="Home",1,0)</f>
        <v>0</v>
      </c>
      <c r="X150" s="13" t="n">
        <f aca="false">IF(H150="Investment",1,0)</f>
        <v>1</v>
      </c>
      <c r="Y150" s="13" t="n">
        <f aca="false">IF(K150="Website",1,0)</f>
        <v>0</v>
      </c>
      <c r="Z150" s="13" t="n">
        <f aca="false">IF(K150="Agency",1,0)</f>
        <v>1</v>
      </c>
      <c r="AA150" s="13" t="n">
        <f aca="false">IF(K150="Client",1,0)</f>
        <v>0</v>
      </c>
      <c r="AB150" s="13" t="n">
        <f aca="false">(D150-AVERAGE(D$2:D$2001))/STDEV(D$2:D$2001)</f>
        <v>1.72197390824266</v>
      </c>
      <c r="AC150" s="13" t="n">
        <f aca="false">(I150-AVERAGE(I$2:I$2001))/STDEV(I$2:I$2001)</f>
        <v>-0.0205155458339628</v>
      </c>
      <c r="AD150" s="13" t="n">
        <f aca="false">(L150-AVERAGE(L$2:L$2001))/STDEV(L$2:L$2001)</f>
        <v>-0.777063122173208</v>
      </c>
      <c r="AE150" s="13" t="n">
        <f aca="false">(M150-AVERAGE(M$2:M$2001))/STDEV(M$2:M$2001)</f>
        <v>0.518375025012348</v>
      </c>
      <c r="AF150" s="13" t="n">
        <f aca="false">(N150-AVERAGE(N$2:N$2001))/STDEV(N$2:N$2001)</f>
        <v>1.90955204554753</v>
      </c>
      <c r="AG150" s="13" t="n">
        <f aca="false">(O150-AVERAGE(O$2:O$2001))/STDEV(O$2:O$2001)</f>
        <v>2.01608971351235</v>
      </c>
      <c r="AH150" s="0" t="str">
        <f aca="false">IF(B150="Company","C3 - Corporate Buyers",IF(AND(H150="Investment",M150&gt;'Segmentation Summary'!$C$1),"C1 - Global Investors",IF(AND(I150&gt;=4,M150&gt;'Segmentation Summary'!$C$1),"C4 - Luxury Investors",IF(AND(D150&lt;'Segmentation Summary'!$C$2,J150=1),"C2 - First-Time Buyers","C5 - Other Individual Buyers"))))</f>
        <v>C1 - Global Investors</v>
      </c>
    </row>
    <row r="151" customFormat="false" ht="15" hidden="false" customHeight="true" outlineLevel="0" collapsed="false">
      <c r="A151" s="13" t="s">
        <v>379</v>
      </c>
      <c r="B151" s="13" t="s">
        <v>34</v>
      </c>
      <c r="C151" s="13" t="s">
        <v>380</v>
      </c>
      <c r="D151" s="13" t="n">
        <v>48</v>
      </c>
      <c r="E151" s="13" t="s">
        <v>83</v>
      </c>
      <c r="F151" s="13" t="s">
        <v>33</v>
      </c>
      <c r="G151" s="13" t="s">
        <v>100</v>
      </c>
      <c r="H151" s="13" t="s">
        <v>41</v>
      </c>
      <c r="I151" s="13" t="n">
        <v>5</v>
      </c>
      <c r="J151" s="13" t="n">
        <v>0</v>
      </c>
      <c r="K151" s="13" t="s">
        <v>85</v>
      </c>
      <c r="L151" s="13" t="n">
        <v>4</v>
      </c>
      <c r="M151" s="13" t="n">
        <v>1310713.04</v>
      </c>
      <c r="N151" s="13" t="n">
        <v>327678.26</v>
      </c>
      <c r="O151" s="13" t="n">
        <v>1140.38</v>
      </c>
      <c r="P151" s="13" t="n">
        <v>1</v>
      </c>
      <c r="Q151" s="13" t="n">
        <v>3</v>
      </c>
      <c r="R151" s="13" t="s">
        <v>101</v>
      </c>
      <c r="S151" s="13" t="s">
        <v>128</v>
      </c>
      <c r="T151" s="13" t="n">
        <v>1</v>
      </c>
      <c r="U151" s="13" t="n">
        <f aca="false">IF(B151="Individual",1,0)</f>
        <v>1</v>
      </c>
      <c r="V151" s="13" t="n">
        <f aca="false">IF(B151="Company",1,0)</f>
        <v>0</v>
      </c>
      <c r="W151" s="13" t="n">
        <f aca="false">IF(H151="Home",1,0)</f>
        <v>1</v>
      </c>
      <c r="X151" s="13" t="n">
        <f aca="false">IF(H151="Investment",1,0)</f>
        <v>0</v>
      </c>
      <c r="Y151" s="13" t="n">
        <f aca="false">IF(K151="Website",1,0)</f>
        <v>1</v>
      </c>
      <c r="Z151" s="13" t="n">
        <f aca="false">IF(K151="Agency",1,0)</f>
        <v>0</v>
      </c>
      <c r="AA151" s="13" t="n">
        <f aca="false">IF(K151="Client",1,0)</f>
        <v>0</v>
      </c>
      <c r="AB151" s="13" t="n">
        <f aca="false">(D151-AVERAGE(D$2:D$2001))/STDEV(D$2:D$2001)</f>
        <v>-0.353874489330784</v>
      </c>
      <c r="AC151" s="13" t="n">
        <f aca="false">(I151-AVERAGE(I$2:I$2001))/STDEV(I$2:I$2001)</f>
        <v>1.39434968409451</v>
      </c>
      <c r="AD151" s="13" t="n">
        <f aca="false">(L151-AVERAGE(L$2:L$2001))/STDEV(L$2:L$2001)</f>
        <v>0.413838214490712</v>
      </c>
      <c r="AE151" s="13" t="n">
        <f aca="false">(M151-AVERAGE(M$2:M$2001))/STDEV(M$2:M$2001)</f>
        <v>0.144718579096437</v>
      </c>
      <c r="AF151" s="13" t="n">
        <f aca="false">(N151-AVERAGE(N$2:N$2001))/STDEV(N$2:N$2001)</f>
        <v>-0.278416360388838</v>
      </c>
      <c r="AG151" s="13" t="n">
        <f aca="false">(O151-AVERAGE(O$2:O$2001))/STDEV(O$2:O$2001)</f>
        <v>-0.0322825776672191</v>
      </c>
      <c r="AH151" s="0" t="str">
        <f aca="false">IF(B151="Company","C3 - Corporate Buyers",IF(AND(H151="Investment",M151&gt;'Segmentation Summary'!$C$1),"C1 - Global Investors",IF(AND(I151&gt;=4,M151&gt;'Segmentation Summary'!$C$1),"C4 - Luxury Investors",IF(AND(D151&lt;'Segmentation Summary'!$C$2,J151=1),"C2 - First-Time Buyers","C5 - Other Individual Buyers"))))</f>
        <v>C4 - Luxury Investors</v>
      </c>
    </row>
    <row r="152" customFormat="false" ht="15" hidden="false" customHeight="true" outlineLevel="0" collapsed="false">
      <c r="A152" s="13" t="s">
        <v>381</v>
      </c>
      <c r="B152" s="13" t="s">
        <v>34</v>
      </c>
      <c r="C152" s="13" t="s">
        <v>382</v>
      </c>
      <c r="D152" s="13" t="n">
        <v>61</v>
      </c>
      <c r="E152" s="13" t="s">
        <v>83</v>
      </c>
      <c r="F152" s="13" t="s">
        <v>33</v>
      </c>
      <c r="G152" s="13" t="s">
        <v>95</v>
      </c>
      <c r="H152" s="13" t="s">
        <v>43</v>
      </c>
      <c r="I152" s="13" t="n">
        <v>4</v>
      </c>
      <c r="J152" s="13" t="n">
        <v>0</v>
      </c>
      <c r="K152" s="13" t="s">
        <v>85</v>
      </c>
      <c r="L152" s="13" t="n">
        <v>6</v>
      </c>
      <c r="M152" s="13" t="n">
        <v>1884156.9</v>
      </c>
      <c r="N152" s="13" t="n">
        <v>314026.15</v>
      </c>
      <c r="O152" s="13" t="n">
        <v>1053.735</v>
      </c>
      <c r="P152" s="13" t="n">
        <v>0</v>
      </c>
      <c r="Q152" s="13" t="n">
        <v>6</v>
      </c>
      <c r="R152" s="13" t="s">
        <v>101</v>
      </c>
      <c r="S152" s="13" t="s">
        <v>154</v>
      </c>
      <c r="T152" s="13" t="n">
        <v>1</v>
      </c>
      <c r="U152" s="13" t="n">
        <f aca="false">IF(B152="Individual",1,0)</f>
        <v>1</v>
      </c>
      <c r="V152" s="13" t="n">
        <f aca="false">IF(B152="Company",1,0)</f>
        <v>0</v>
      </c>
      <c r="W152" s="13" t="n">
        <f aca="false">IF(H152="Home",1,0)</f>
        <v>0</v>
      </c>
      <c r="X152" s="13" t="n">
        <f aca="false">IF(H152="Investment",1,0)</f>
        <v>1</v>
      </c>
      <c r="Y152" s="13" t="n">
        <f aca="false">IF(K152="Website",1,0)</f>
        <v>1</v>
      </c>
      <c r="Z152" s="13" t="n">
        <f aca="false">IF(K152="Agency",1,0)</f>
        <v>0</v>
      </c>
      <c r="AA152" s="13" t="n">
        <f aca="false">IF(K152="Client",1,0)</f>
        <v>0</v>
      </c>
      <c r="AB152" s="13" t="n">
        <f aca="false">(D152-AVERAGE(D$2:D$2001))/STDEV(D$2:D$2001)</f>
        <v>0.395737432015182</v>
      </c>
      <c r="AC152" s="13" t="n">
        <f aca="false">(I152-AVERAGE(I$2:I$2001))/STDEV(I$2:I$2001)</f>
        <v>0.686917069130275</v>
      </c>
      <c r="AD152" s="13" t="n">
        <f aca="false">(L152-AVERAGE(L$2:L$2001))/STDEV(L$2:L$2001)</f>
        <v>2.79564088781855</v>
      </c>
      <c r="AE152" s="13" t="n">
        <f aca="false">(M152-AVERAGE(M$2:M$2001))/STDEV(M$2:M$2001)</f>
        <v>1.79334797836014</v>
      </c>
      <c r="AF152" s="13" t="n">
        <f aca="false">(N152-AVERAGE(N$2:N$2001))/STDEV(N$2:N$2001)</f>
        <v>-0.474224640276051</v>
      </c>
      <c r="AG152" s="13" t="n">
        <f aca="false">(O152-AVERAGE(O$2:O$2001))/STDEV(O$2:O$2001)</f>
        <v>-0.426262119276429</v>
      </c>
      <c r="AH152" s="0" t="str">
        <f aca="false">IF(B152="Company","C3 - Corporate Buyers",IF(AND(H152="Investment",M152&gt;'Segmentation Summary'!$C$1),"C1 - Global Investors",IF(AND(I152&gt;=4,M152&gt;'Segmentation Summary'!$C$1),"C4 - Luxury Investors",IF(AND(D152&lt;'Segmentation Summary'!$C$2,J152=1),"C2 - First-Time Buyers","C5 - Other Individual Buyers"))))</f>
        <v>C1 - Global Investors</v>
      </c>
    </row>
    <row r="153" customFormat="false" ht="15" hidden="false" customHeight="true" outlineLevel="0" collapsed="false">
      <c r="A153" s="13" t="s">
        <v>383</v>
      </c>
      <c r="B153" s="13" t="s">
        <v>34</v>
      </c>
      <c r="C153" s="13" t="s">
        <v>384</v>
      </c>
      <c r="D153" s="13" t="n">
        <v>60</v>
      </c>
      <c r="E153" s="13" t="s">
        <v>90</v>
      </c>
      <c r="F153" s="13" t="s">
        <v>33</v>
      </c>
      <c r="G153" s="13" t="s">
        <v>95</v>
      </c>
      <c r="H153" s="13" t="s">
        <v>43</v>
      </c>
      <c r="I153" s="13" t="n">
        <v>3</v>
      </c>
      <c r="J153" s="13" t="n">
        <v>0</v>
      </c>
      <c r="K153" s="13" t="s">
        <v>85</v>
      </c>
      <c r="L153" s="13" t="n">
        <v>4</v>
      </c>
      <c r="M153" s="13" t="n">
        <v>1288008.21</v>
      </c>
      <c r="N153" s="13" t="n">
        <v>322002.0525</v>
      </c>
      <c r="O153" s="13" t="n">
        <v>1133.69</v>
      </c>
      <c r="P153" s="13" t="n">
        <v>0</v>
      </c>
      <c r="Q153" s="13" t="n">
        <v>4</v>
      </c>
      <c r="R153" s="13" t="s">
        <v>92</v>
      </c>
      <c r="S153" s="13" t="s">
        <v>103</v>
      </c>
      <c r="T153" s="13" t="n">
        <v>1</v>
      </c>
      <c r="U153" s="13" t="n">
        <f aca="false">IF(B153="Individual",1,0)</f>
        <v>1</v>
      </c>
      <c r="V153" s="13" t="n">
        <f aca="false">IF(B153="Company",1,0)</f>
        <v>0</v>
      </c>
      <c r="W153" s="13" t="n">
        <f aca="false">IF(H153="Home",1,0)</f>
        <v>0</v>
      </c>
      <c r="X153" s="13" t="n">
        <f aca="false">IF(H153="Investment",1,0)</f>
        <v>1</v>
      </c>
      <c r="Y153" s="13" t="n">
        <f aca="false">IF(K153="Website",1,0)</f>
        <v>1</v>
      </c>
      <c r="Z153" s="13" t="n">
        <f aca="false">IF(K153="Agency",1,0)</f>
        <v>0</v>
      </c>
      <c r="AA153" s="13" t="n">
        <f aca="false">IF(K153="Client",1,0)</f>
        <v>0</v>
      </c>
      <c r="AB153" s="13" t="n">
        <f aca="false">(D153-AVERAGE(D$2:D$2001))/STDEV(D$2:D$2001)</f>
        <v>0.338074976527031</v>
      </c>
      <c r="AC153" s="13" t="n">
        <f aca="false">(I153-AVERAGE(I$2:I$2001))/STDEV(I$2:I$2001)</f>
        <v>-0.0205155458339628</v>
      </c>
      <c r="AD153" s="13" t="n">
        <f aca="false">(L153-AVERAGE(L$2:L$2001))/STDEV(L$2:L$2001)</f>
        <v>0.413838214490712</v>
      </c>
      <c r="AE153" s="13" t="n">
        <f aca="false">(M153-AVERAGE(M$2:M$2001))/STDEV(M$2:M$2001)</f>
        <v>0.0794430519623863</v>
      </c>
      <c r="AF153" s="13" t="n">
        <f aca="false">(N153-AVERAGE(N$2:N$2001))/STDEV(N$2:N$2001)</f>
        <v>-0.359828568967431</v>
      </c>
      <c r="AG153" s="13" t="n">
        <f aca="false">(O153-AVERAGE(O$2:O$2001))/STDEV(O$2:O$2001)</f>
        <v>-0.062702372616329</v>
      </c>
      <c r="AH153" s="0" t="str">
        <f aca="false">IF(B153="Company","C3 - Corporate Buyers",IF(AND(H153="Investment",M153&gt;'Segmentation Summary'!$C$1),"C1 - Global Investors",IF(AND(I153&gt;=4,M153&gt;'Segmentation Summary'!$C$1),"C4 - Luxury Investors",IF(AND(D153&lt;'Segmentation Summary'!$C$2,J153=1),"C2 - First-Time Buyers","C5 - Other Individual Buyers"))))</f>
        <v>C1 - Global Investors</v>
      </c>
    </row>
    <row r="154" customFormat="false" ht="15" hidden="false" customHeight="true" outlineLevel="0" collapsed="false">
      <c r="A154" s="13" t="s">
        <v>385</v>
      </c>
      <c r="B154" s="13" t="s">
        <v>34</v>
      </c>
      <c r="C154" s="13" t="s">
        <v>386</v>
      </c>
      <c r="D154" s="13" t="n">
        <v>37</v>
      </c>
      <c r="E154" s="13" t="s">
        <v>90</v>
      </c>
      <c r="F154" s="13" t="s">
        <v>33</v>
      </c>
      <c r="G154" s="13" t="s">
        <v>84</v>
      </c>
      <c r="H154" s="13" t="s">
        <v>41</v>
      </c>
      <c r="I154" s="13" t="n">
        <v>2</v>
      </c>
      <c r="J154" s="13" t="n">
        <v>0</v>
      </c>
      <c r="K154" s="13" t="s">
        <v>85</v>
      </c>
      <c r="L154" s="13" t="n">
        <v>4</v>
      </c>
      <c r="M154" s="13" t="n">
        <v>1469905.41</v>
      </c>
      <c r="N154" s="13" t="n">
        <v>367476.3525</v>
      </c>
      <c r="O154" s="13" t="n">
        <v>1257.0925</v>
      </c>
      <c r="P154" s="13" t="n">
        <v>0</v>
      </c>
      <c r="Q154" s="13" t="n">
        <v>4</v>
      </c>
      <c r="R154" s="13" t="s">
        <v>98</v>
      </c>
      <c r="S154" s="13" t="s">
        <v>125</v>
      </c>
      <c r="T154" s="13" t="n">
        <v>1</v>
      </c>
      <c r="U154" s="13" t="n">
        <f aca="false">IF(B154="Individual",1,0)</f>
        <v>1</v>
      </c>
      <c r="V154" s="13" t="n">
        <f aca="false">IF(B154="Company",1,0)</f>
        <v>0</v>
      </c>
      <c r="W154" s="13" t="n">
        <f aca="false">IF(H154="Home",1,0)</f>
        <v>1</v>
      </c>
      <c r="X154" s="13" t="n">
        <f aca="false">IF(H154="Investment",1,0)</f>
        <v>0</v>
      </c>
      <c r="Y154" s="13" t="n">
        <f aca="false">IF(K154="Website",1,0)</f>
        <v>1</v>
      </c>
      <c r="Z154" s="13" t="n">
        <f aca="false">IF(K154="Agency",1,0)</f>
        <v>0</v>
      </c>
      <c r="AA154" s="13" t="n">
        <f aca="false">IF(K154="Client",1,0)</f>
        <v>0</v>
      </c>
      <c r="AB154" s="13" t="n">
        <f aca="false">(D154-AVERAGE(D$2:D$2001))/STDEV(D$2:D$2001)</f>
        <v>-0.988161499700447</v>
      </c>
      <c r="AC154" s="13" t="n">
        <f aca="false">(I154-AVERAGE(I$2:I$2001))/STDEV(I$2:I$2001)</f>
        <v>-0.727948160798201</v>
      </c>
      <c r="AD154" s="13" t="n">
        <f aca="false">(L154-AVERAGE(L$2:L$2001))/STDEV(L$2:L$2001)</f>
        <v>0.413838214490712</v>
      </c>
      <c r="AE154" s="13" t="n">
        <f aca="false">(M154-AVERAGE(M$2:M$2001))/STDEV(M$2:M$2001)</f>
        <v>0.602390619251273</v>
      </c>
      <c r="AF154" s="13" t="n">
        <f aca="false">(N154-AVERAGE(N$2:N$2001))/STDEV(N$2:N$2001)</f>
        <v>0.292396212555361</v>
      </c>
      <c r="AG154" s="13" t="n">
        <f aca="false">(O154-AVERAGE(O$2:O$2001))/STDEV(O$2:O$2001)</f>
        <v>0.498415526667304</v>
      </c>
      <c r="AH154" s="0" t="str">
        <f aca="false">IF(B154="Company","C3 - Corporate Buyers",IF(AND(H154="Investment",M154&gt;'Segmentation Summary'!$C$1),"C1 - Global Investors",IF(AND(I154&gt;=4,M154&gt;'Segmentation Summary'!$C$1),"C4 - Luxury Investors",IF(AND(D154&lt;'Segmentation Summary'!$C$2,J154=1),"C2 - First-Time Buyers","C5 - Other Individual Buyers"))))</f>
        <v>C5 - Other Individual Buyers</v>
      </c>
    </row>
    <row r="155" customFormat="false" ht="15" hidden="false" customHeight="true" outlineLevel="0" collapsed="false">
      <c r="A155" s="13" t="s">
        <v>387</v>
      </c>
      <c r="B155" s="13" t="s">
        <v>34</v>
      </c>
      <c r="C155" s="13" t="s">
        <v>388</v>
      </c>
      <c r="D155" s="13" t="n">
        <v>34</v>
      </c>
      <c r="E155" s="13" t="s">
        <v>90</v>
      </c>
      <c r="F155" s="13" t="s">
        <v>33</v>
      </c>
      <c r="G155" s="13" t="s">
        <v>84</v>
      </c>
      <c r="H155" s="13" t="s">
        <v>41</v>
      </c>
      <c r="I155" s="13" t="n">
        <v>1</v>
      </c>
      <c r="J155" s="13" t="n">
        <v>1</v>
      </c>
      <c r="K155" s="13" t="s">
        <v>85</v>
      </c>
      <c r="L155" s="13" t="n">
        <v>4</v>
      </c>
      <c r="M155" s="13" t="n">
        <v>1165955.62</v>
      </c>
      <c r="N155" s="13" t="n">
        <v>291488.905</v>
      </c>
      <c r="O155" s="13" t="n">
        <v>1009.9325</v>
      </c>
      <c r="P155" s="13" t="n">
        <v>1</v>
      </c>
      <c r="Q155" s="13" t="n">
        <v>3</v>
      </c>
      <c r="R155" s="13" t="s">
        <v>98</v>
      </c>
      <c r="S155" s="13" t="s">
        <v>215</v>
      </c>
      <c r="T155" s="13" t="n">
        <v>1</v>
      </c>
      <c r="U155" s="13" t="n">
        <f aca="false">IF(B155="Individual",1,0)</f>
        <v>1</v>
      </c>
      <c r="V155" s="13" t="n">
        <f aca="false">IF(B155="Company",1,0)</f>
        <v>0</v>
      </c>
      <c r="W155" s="13" t="n">
        <f aca="false">IF(H155="Home",1,0)</f>
        <v>1</v>
      </c>
      <c r="X155" s="13" t="n">
        <f aca="false">IF(H155="Investment",1,0)</f>
        <v>0</v>
      </c>
      <c r="Y155" s="13" t="n">
        <f aca="false">IF(K155="Website",1,0)</f>
        <v>1</v>
      </c>
      <c r="Z155" s="13" t="n">
        <f aca="false">IF(K155="Agency",1,0)</f>
        <v>0</v>
      </c>
      <c r="AA155" s="13" t="n">
        <f aca="false">IF(K155="Client",1,0)</f>
        <v>0</v>
      </c>
      <c r="AB155" s="13" t="n">
        <f aca="false">(D155-AVERAGE(D$2:D$2001))/STDEV(D$2:D$2001)</f>
        <v>-1.1611488661649</v>
      </c>
      <c r="AC155" s="13" t="n">
        <f aca="false">(I155-AVERAGE(I$2:I$2001))/STDEV(I$2:I$2001)</f>
        <v>-1.43538077576244</v>
      </c>
      <c r="AD155" s="13" t="n">
        <f aca="false">(L155-AVERAGE(L$2:L$2001))/STDEV(L$2:L$2001)</f>
        <v>0.413838214490712</v>
      </c>
      <c r="AE155" s="13" t="n">
        <f aca="false">(M155-AVERAGE(M$2:M$2001))/STDEV(M$2:M$2001)</f>
        <v>-0.271453526004773</v>
      </c>
      <c r="AF155" s="13" t="n">
        <f aca="false">(N155-AVERAGE(N$2:N$2001))/STDEV(N$2:N$2001)</f>
        <v>-0.797469851224887</v>
      </c>
      <c r="AG155" s="13" t="n">
        <f aca="false">(O155-AVERAGE(O$2:O$2001))/STDEV(O$2:O$2001)</f>
        <v>-0.625434476265723</v>
      </c>
      <c r="AH155" s="0" t="str">
        <f aca="false">IF(B155="Company","C3 - Corporate Buyers",IF(AND(H155="Investment",M155&gt;'Segmentation Summary'!$C$1),"C1 - Global Investors",IF(AND(I155&gt;=4,M155&gt;'Segmentation Summary'!$C$1),"C4 - Luxury Investors",IF(AND(D155&lt;'Segmentation Summary'!$C$2,J155=1),"C2 - First-Time Buyers","C5 - Other Individual Buyers"))))</f>
        <v>C2 - First-Time Buyers</v>
      </c>
    </row>
    <row r="156" customFormat="false" ht="15" hidden="false" customHeight="true" outlineLevel="0" collapsed="false">
      <c r="A156" s="13" t="s">
        <v>389</v>
      </c>
      <c r="B156" s="13" t="s">
        <v>34</v>
      </c>
      <c r="C156" s="13" t="s">
        <v>390</v>
      </c>
      <c r="D156" s="13" t="n">
        <v>32</v>
      </c>
      <c r="E156" s="13" t="s">
        <v>90</v>
      </c>
      <c r="F156" s="13" t="s">
        <v>33</v>
      </c>
      <c r="G156" s="13" t="s">
        <v>100</v>
      </c>
      <c r="H156" s="13" t="s">
        <v>41</v>
      </c>
      <c r="I156" s="13" t="n">
        <v>1</v>
      </c>
      <c r="J156" s="13" t="n">
        <v>0</v>
      </c>
      <c r="K156" s="13" t="s">
        <v>85</v>
      </c>
      <c r="L156" s="13" t="n">
        <v>3</v>
      </c>
      <c r="M156" s="13" t="n">
        <v>1061349.03</v>
      </c>
      <c r="N156" s="13" t="n">
        <v>353783.01</v>
      </c>
      <c r="O156" s="13" t="n">
        <v>1078.78666666667</v>
      </c>
      <c r="P156" s="13" t="n">
        <v>1</v>
      </c>
      <c r="Q156" s="13" t="n">
        <v>2</v>
      </c>
      <c r="R156" s="13" t="s">
        <v>111</v>
      </c>
      <c r="S156" s="13" t="s">
        <v>164</v>
      </c>
      <c r="T156" s="13" t="n">
        <v>1</v>
      </c>
      <c r="U156" s="13" t="n">
        <f aca="false">IF(B156="Individual",1,0)</f>
        <v>1</v>
      </c>
      <c r="V156" s="13" t="n">
        <f aca="false">IF(B156="Company",1,0)</f>
        <v>0</v>
      </c>
      <c r="W156" s="13" t="n">
        <f aca="false">IF(H156="Home",1,0)</f>
        <v>1</v>
      </c>
      <c r="X156" s="13" t="n">
        <f aca="false">IF(H156="Investment",1,0)</f>
        <v>0</v>
      </c>
      <c r="Y156" s="13" t="n">
        <f aca="false">IF(K156="Website",1,0)</f>
        <v>1</v>
      </c>
      <c r="Z156" s="13" t="n">
        <f aca="false">IF(K156="Agency",1,0)</f>
        <v>0</v>
      </c>
      <c r="AA156" s="13" t="n">
        <f aca="false">IF(K156="Client",1,0)</f>
        <v>0</v>
      </c>
      <c r="AB156" s="13" t="n">
        <f aca="false">(D156-AVERAGE(D$2:D$2001))/STDEV(D$2:D$2001)</f>
        <v>-1.2764737771412</v>
      </c>
      <c r="AC156" s="13" t="n">
        <f aca="false">(I156-AVERAGE(I$2:I$2001))/STDEV(I$2:I$2001)</f>
        <v>-1.43538077576244</v>
      </c>
      <c r="AD156" s="13" t="n">
        <f aca="false">(L156-AVERAGE(L$2:L$2001))/STDEV(L$2:L$2001)</f>
        <v>-0.777063122173208</v>
      </c>
      <c r="AE156" s="13" t="n">
        <f aca="false">(M156-AVERAGE(M$2:M$2001))/STDEV(M$2:M$2001)</f>
        <v>-0.572193514101819</v>
      </c>
      <c r="AF156" s="13" t="n">
        <f aca="false">(N156-AVERAGE(N$2:N$2001))/STDEV(N$2:N$2001)</f>
        <v>0.0959965468017542</v>
      </c>
      <c r="AG156" s="13" t="n">
        <f aca="false">(O156-AVERAGE(O$2:O$2001))/STDEV(O$2:O$2001)</f>
        <v>-0.312350824338678</v>
      </c>
      <c r="AH156" s="0" t="str">
        <f aca="false">IF(B156="Company","C3 - Corporate Buyers",IF(AND(H156="Investment",M156&gt;'Segmentation Summary'!$C$1),"C1 - Global Investors",IF(AND(I156&gt;=4,M156&gt;'Segmentation Summary'!$C$1),"C4 - Luxury Investors",IF(AND(D156&lt;'Segmentation Summary'!$C$2,J156=1),"C2 - First-Time Buyers","C5 - Other Individual Buyers"))))</f>
        <v>C5 - Other Individual Buyers</v>
      </c>
    </row>
    <row r="157" customFormat="false" ht="15" hidden="false" customHeight="true" outlineLevel="0" collapsed="false">
      <c r="A157" s="13" t="s">
        <v>391</v>
      </c>
      <c r="B157" s="13" t="s">
        <v>34</v>
      </c>
      <c r="C157" s="13" t="s">
        <v>392</v>
      </c>
      <c r="D157" s="13" t="n">
        <v>28</v>
      </c>
      <c r="E157" s="13" t="s">
        <v>90</v>
      </c>
      <c r="F157" s="13" t="s">
        <v>33</v>
      </c>
      <c r="G157" s="13" t="s">
        <v>157</v>
      </c>
      <c r="H157" s="13" t="s">
        <v>41</v>
      </c>
      <c r="I157" s="13" t="n">
        <v>5</v>
      </c>
      <c r="J157" s="13" t="n">
        <v>0</v>
      </c>
      <c r="K157" s="13" t="s">
        <v>116</v>
      </c>
      <c r="L157" s="13" t="n">
        <v>3</v>
      </c>
      <c r="M157" s="13" t="n">
        <v>1314384.27</v>
      </c>
      <c r="N157" s="13" t="n">
        <v>438128.09</v>
      </c>
      <c r="O157" s="13" t="n">
        <v>1281.95666666667</v>
      </c>
      <c r="P157" s="13" t="n">
        <v>0</v>
      </c>
      <c r="Q157" s="13" t="n">
        <v>3</v>
      </c>
      <c r="R157" s="13" t="s">
        <v>101</v>
      </c>
      <c r="S157" s="13" t="s">
        <v>215</v>
      </c>
      <c r="T157" s="13" t="n">
        <v>1</v>
      </c>
      <c r="U157" s="13" t="n">
        <f aca="false">IF(B157="Individual",1,0)</f>
        <v>1</v>
      </c>
      <c r="V157" s="13" t="n">
        <f aca="false">IF(B157="Company",1,0)</f>
        <v>0</v>
      </c>
      <c r="W157" s="13" t="n">
        <f aca="false">IF(H157="Home",1,0)</f>
        <v>1</v>
      </c>
      <c r="X157" s="13" t="n">
        <f aca="false">IF(H157="Investment",1,0)</f>
        <v>0</v>
      </c>
      <c r="Y157" s="13" t="n">
        <f aca="false">IF(K157="Website",1,0)</f>
        <v>0</v>
      </c>
      <c r="Z157" s="13" t="n">
        <f aca="false">IF(K157="Agency",1,0)</f>
        <v>0</v>
      </c>
      <c r="AA157" s="13" t="n">
        <f aca="false">IF(K157="Client",1,0)</f>
        <v>1</v>
      </c>
      <c r="AB157" s="13" t="n">
        <f aca="false">(D157-AVERAGE(D$2:D$2001))/STDEV(D$2:D$2001)</f>
        <v>-1.50712359909381</v>
      </c>
      <c r="AC157" s="13" t="n">
        <f aca="false">(I157-AVERAGE(I$2:I$2001))/STDEV(I$2:I$2001)</f>
        <v>1.39434968409451</v>
      </c>
      <c r="AD157" s="13" t="n">
        <f aca="false">(L157-AVERAGE(L$2:L$2001))/STDEV(L$2:L$2001)</f>
        <v>-0.777063122173208</v>
      </c>
      <c r="AE157" s="13" t="n">
        <f aca="false">(M157-AVERAGE(M$2:M$2001))/STDEV(M$2:M$2001)</f>
        <v>0.155273226432723</v>
      </c>
      <c r="AF157" s="13" t="n">
        <f aca="false">(N157-AVERAGE(N$2:N$2001))/STDEV(N$2:N$2001)</f>
        <v>1.30573372528548</v>
      </c>
      <c r="AG157" s="13" t="n">
        <f aca="false">(O157-AVERAGE(O$2:O$2001))/STDEV(O$2:O$2001)</f>
        <v>0.611474248876659</v>
      </c>
      <c r="AH157" s="0" t="str">
        <f aca="false">IF(B157="Company","C3 - Corporate Buyers",IF(AND(H157="Investment",M157&gt;'Segmentation Summary'!$C$1),"C1 - Global Investors",IF(AND(I157&gt;=4,M157&gt;'Segmentation Summary'!$C$1),"C4 - Luxury Investors",IF(AND(D157&lt;'Segmentation Summary'!$C$2,J157=1),"C2 - First-Time Buyers","C5 - Other Individual Buyers"))))</f>
        <v>C4 - Luxury Investors</v>
      </c>
    </row>
    <row r="158" customFormat="false" ht="15" hidden="false" customHeight="true" outlineLevel="0" collapsed="false">
      <c r="A158" s="13" t="s">
        <v>393</v>
      </c>
      <c r="B158" s="13" t="s">
        <v>34</v>
      </c>
      <c r="C158" s="13" t="s">
        <v>394</v>
      </c>
      <c r="D158" s="13" t="n">
        <v>51</v>
      </c>
      <c r="E158" s="13" t="s">
        <v>90</v>
      </c>
      <c r="F158" s="13" t="s">
        <v>45</v>
      </c>
      <c r="G158" s="13" t="s">
        <v>225</v>
      </c>
      <c r="H158" s="13" t="s">
        <v>41</v>
      </c>
      <c r="I158" s="13" t="n">
        <v>4</v>
      </c>
      <c r="J158" s="13" t="n">
        <v>0</v>
      </c>
      <c r="K158" s="13" t="s">
        <v>85</v>
      </c>
      <c r="L158" s="13" t="n">
        <v>4</v>
      </c>
      <c r="M158" s="13" t="n">
        <v>1198702.15</v>
      </c>
      <c r="N158" s="13" t="n">
        <v>299675.5375</v>
      </c>
      <c r="O158" s="13" t="n">
        <v>1114.2125</v>
      </c>
      <c r="P158" s="13" t="n">
        <v>0</v>
      </c>
      <c r="Q158" s="13" t="n">
        <v>4</v>
      </c>
      <c r="R158" s="13" t="s">
        <v>98</v>
      </c>
      <c r="S158" s="13" t="s">
        <v>125</v>
      </c>
      <c r="T158" s="13" t="n">
        <v>1</v>
      </c>
      <c r="U158" s="13" t="n">
        <f aca="false">IF(B158="Individual",1,0)</f>
        <v>1</v>
      </c>
      <c r="V158" s="13" t="n">
        <f aca="false">IF(B158="Company",1,0)</f>
        <v>0</v>
      </c>
      <c r="W158" s="13" t="n">
        <f aca="false">IF(H158="Home",1,0)</f>
        <v>1</v>
      </c>
      <c r="X158" s="13" t="n">
        <f aca="false">IF(H158="Investment",1,0)</f>
        <v>0</v>
      </c>
      <c r="Y158" s="13" t="n">
        <f aca="false">IF(K158="Website",1,0)</f>
        <v>1</v>
      </c>
      <c r="Z158" s="13" t="n">
        <f aca="false">IF(K158="Agency",1,0)</f>
        <v>0</v>
      </c>
      <c r="AA158" s="13" t="n">
        <f aca="false">IF(K158="Client",1,0)</f>
        <v>0</v>
      </c>
      <c r="AB158" s="13" t="n">
        <f aca="false">(D158-AVERAGE(D$2:D$2001))/STDEV(D$2:D$2001)</f>
        <v>-0.18088712286633</v>
      </c>
      <c r="AC158" s="13" t="n">
        <f aca="false">(I158-AVERAGE(I$2:I$2001))/STDEV(I$2:I$2001)</f>
        <v>0.686917069130275</v>
      </c>
      <c r="AD158" s="13" t="n">
        <f aca="false">(L158-AVERAGE(L$2:L$2001))/STDEV(L$2:L$2001)</f>
        <v>0.413838214490712</v>
      </c>
      <c r="AE158" s="13" t="n">
        <f aca="false">(M158-AVERAGE(M$2:M$2001))/STDEV(M$2:M$2001)</f>
        <v>-0.177308491333252</v>
      </c>
      <c r="AF158" s="13" t="n">
        <f aca="false">(N158-AVERAGE(N$2:N$2001))/STDEV(N$2:N$2001)</f>
        <v>-0.680051340247921</v>
      </c>
      <c r="AG158" s="13" t="n">
        <f aca="false">(O158-AVERAGE(O$2:O$2001))/STDEV(O$2:O$2001)</f>
        <v>-0.151267627641932</v>
      </c>
      <c r="AH158" s="0" t="str">
        <f aca="false">IF(B158="Company","C3 - Corporate Buyers",IF(AND(H158="Investment",M158&gt;'Segmentation Summary'!$C$1),"C1 - Global Investors",IF(AND(I158&gt;=4,M158&gt;'Segmentation Summary'!$C$1),"C4 - Luxury Investors",IF(AND(D158&lt;'Segmentation Summary'!$C$2,J158=1),"C2 - First-Time Buyers","C5 - Other Individual Buyers"))))</f>
        <v>C5 - Other Individual Buyers</v>
      </c>
    </row>
    <row r="159" customFormat="false" ht="15" hidden="false" customHeight="true" outlineLevel="0" collapsed="false">
      <c r="A159" s="13" t="s">
        <v>395</v>
      </c>
      <c r="B159" s="13" t="s">
        <v>34</v>
      </c>
      <c r="C159" s="13" t="s">
        <v>396</v>
      </c>
      <c r="D159" s="13" t="n">
        <v>24</v>
      </c>
      <c r="E159" s="13" t="s">
        <v>90</v>
      </c>
      <c r="F159" s="13" t="s">
        <v>33</v>
      </c>
      <c r="G159" s="13" t="s">
        <v>97</v>
      </c>
      <c r="H159" s="13" t="s">
        <v>41</v>
      </c>
      <c r="I159" s="13" t="n">
        <v>4</v>
      </c>
      <c r="J159" s="13" t="n">
        <v>0</v>
      </c>
      <c r="K159" s="13" t="s">
        <v>91</v>
      </c>
      <c r="L159" s="13" t="n">
        <v>3</v>
      </c>
      <c r="M159" s="13" t="n">
        <v>1377127.37</v>
      </c>
      <c r="N159" s="13" t="n">
        <v>459042.456666667</v>
      </c>
      <c r="O159" s="13" t="n">
        <v>1500.72</v>
      </c>
      <c r="P159" s="13" t="n">
        <v>0</v>
      </c>
      <c r="Q159" s="13" t="n">
        <v>3</v>
      </c>
      <c r="R159" s="13" t="s">
        <v>117</v>
      </c>
      <c r="S159" s="13" t="s">
        <v>114</v>
      </c>
      <c r="T159" s="13" t="n">
        <v>1</v>
      </c>
      <c r="U159" s="13" t="n">
        <f aca="false">IF(B159="Individual",1,0)</f>
        <v>1</v>
      </c>
      <c r="V159" s="13" t="n">
        <f aca="false">IF(B159="Company",1,0)</f>
        <v>0</v>
      </c>
      <c r="W159" s="13" t="n">
        <f aca="false">IF(H159="Home",1,0)</f>
        <v>1</v>
      </c>
      <c r="X159" s="13" t="n">
        <f aca="false">IF(H159="Investment",1,0)</f>
        <v>0</v>
      </c>
      <c r="Y159" s="13" t="n">
        <f aca="false">IF(K159="Website",1,0)</f>
        <v>0</v>
      </c>
      <c r="Z159" s="13" t="n">
        <f aca="false">IF(K159="Agency",1,0)</f>
        <v>1</v>
      </c>
      <c r="AA159" s="13" t="n">
        <f aca="false">IF(K159="Client",1,0)</f>
        <v>0</v>
      </c>
      <c r="AB159" s="13" t="n">
        <f aca="false">(D159-AVERAGE(D$2:D$2001))/STDEV(D$2:D$2001)</f>
        <v>-1.73777342104641</v>
      </c>
      <c r="AC159" s="13" t="n">
        <f aca="false">(I159-AVERAGE(I$2:I$2001))/STDEV(I$2:I$2001)</f>
        <v>0.686917069130275</v>
      </c>
      <c r="AD159" s="13" t="n">
        <f aca="false">(L159-AVERAGE(L$2:L$2001))/STDEV(L$2:L$2001)</f>
        <v>-0.777063122173208</v>
      </c>
      <c r="AE159" s="13" t="n">
        <f aca="false">(M159-AVERAGE(M$2:M$2001))/STDEV(M$2:M$2001)</f>
        <v>0.335657264830035</v>
      </c>
      <c r="AF159" s="13" t="n">
        <f aca="false">(N159-AVERAGE(N$2:N$2001))/STDEV(N$2:N$2001)</f>
        <v>1.6057024599302</v>
      </c>
      <c r="AG159" s="13" t="n">
        <f aca="false">(O159-AVERAGE(O$2:O$2001))/STDEV(O$2:O$2001)</f>
        <v>1.60620305939738</v>
      </c>
      <c r="AH159" s="0" t="str">
        <f aca="false">IF(B159="Company","C3 - Corporate Buyers",IF(AND(H159="Investment",M159&gt;'Segmentation Summary'!$C$1),"C1 - Global Investors",IF(AND(I159&gt;=4,M159&gt;'Segmentation Summary'!$C$1),"C4 - Luxury Investors",IF(AND(D159&lt;'Segmentation Summary'!$C$2,J159=1),"C2 - First-Time Buyers","C5 - Other Individual Buyers"))))</f>
        <v>C4 - Luxury Investors</v>
      </c>
    </row>
    <row r="160" customFormat="false" ht="15" hidden="false" customHeight="true" outlineLevel="0" collapsed="false">
      <c r="A160" s="13" t="s">
        <v>397</v>
      </c>
      <c r="B160" s="13" t="s">
        <v>34</v>
      </c>
      <c r="C160" s="13" t="s">
        <v>398</v>
      </c>
      <c r="D160" s="13" t="n">
        <v>70</v>
      </c>
      <c r="E160" s="13" t="s">
        <v>90</v>
      </c>
      <c r="F160" s="13" t="s">
        <v>33</v>
      </c>
      <c r="G160" s="13" t="s">
        <v>110</v>
      </c>
      <c r="H160" s="13" t="s">
        <v>43</v>
      </c>
      <c r="I160" s="13" t="n">
        <v>1</v>
      </c>
      <c r="J160" s="13" t="n">
        <v>0</v>
      </c>
      <c r="K160" s="13" t="s">
        <v>85</v>
      </c>
      <c r="L160" s="13" t="n">
        <v>3</v>
      </c>
      <c r="M160" s="13" t="n">
        <v>863871.21</v>
      </c>
      <c r="N160" s="13" t="n">
        <v>287957.07</v>
      </c>
      <c r="O160" s="13" t="n">
        <v>952.073333333333</v>
      </c>
      <c r="P160" s="13" t="n">
        <v>2</v>
      </c>
      <c r="Q160" s="13" t="n">
        <v>1</v>
      </c>
      <c r="R160" s="13" t="s">
        <v>98</v>
      </c>
      <c r="S160" s="13" t="s">
        <v>112</v>
      </c>
      <c r="T160" s="13" t="n">
        <v>1</v>
      </c>
      <c r="U160" s="13" t="n">
        <f aca="false">IF(B160="Individual",1,0)</f>
        <v>1</v>
      </c>
      <c r="V160" s="13" t="n">
        <f aca="false">IF(B160="Company",1,0)</f>
        <v>0</v>
      </c>
      <c r="W160" s="13" t="n">
        <f aca="false">IF(H160="Home",1,0)</f>
        <v>0</v>
      </c>
      <c r="X160" s="13" t="n">
        <f aca="false">IF(H160="Investment",1,0)</f>
        <v>1</v>
      </c>
      <c r="Y160" s="13" t="n">
        <f aca="false">IF(K160="Website",1,0)</f>
        <v>1</v>
      </c>
      <c r="Z160" s="13" t="n">
        <f aca="false">IF(K160="Agency",1,0)</f>
        <v>0</v>
      </c>
      <c r="AA160" s="13" t="n">
        <f aca="false">IF(K160="Client",1,0)</f>
        <v>0</v>
      </c>
      <c r="AB160" s="13" t="n">
        <f aca="false">(D160-AVERAGE(D$2:D$2001))/STDEV(D$2:D$2001)</f>
        <v>0.914699531408543</v>
      </c>
      <c r="AC160" s="13" t="n">
        <f aca="false">(I160-AVERAGE(I$2:I$2001))/STDEV(I$2:I$2001)</f>
        <v>-1.43538077576244</v>
      </c>
      <c r="AD160" s="13" t="n">
        <f aca="false">(L160-AVERAGE(L$2:L$2001))/STDEV(L$2:L$2001)</f>
        <v>-0.777063122173208</v>
      </c>
      <c r="AE160" s="13" t="n">
        <f aca="false">(M160-AVERAGE(M$2:M$2001))/STDEV(M$2:M$2001)</f>
        <v>-1.13993477434394</v>
      </c>
      <c r="AF160" s="13" t="n">
        <f aca="false">(N160-AVERAGE(N$2:N$2001))/STDEV(N$2:N$2001)</f>
        <v>-0.848125942934921</v>
      </c>
      <c r="AG160" s="13" t="n">
        <f aca="false">(O160-AVERAGE(O$2:O$2001))/STDEV(O$2:O$2001)</f>
        <v>-0.888523263399709</v>
      </c>
      <c r="AH160" s="0" t="str">
        <f aca="false">IF(B160="Company","C3 - Corporate Buyers",IF(AND(H160="Investment",M160&gt;'Segmentation Summary'!$C$1),"C1 - Global Investors",IF(AND(I160&gt;=4,M160&gt;'Segmentation Summary'!$C$1),"C4 - Luxury Investors",IF(AND(D160&lt;'Segmentation Summary'!$C$2,J160=1),"C2 - First-Time Buyers","C5 - Other Individual Buyers"))))</f>
        <v>C5 - Other Individual Buyers</v>
      </c>
    </row>
    <row r="161" customFormat="false" ht="15" hidden="false" customHeight="true" outlineLevel="0" collapsed="false">
      <c r="A161" s="13" t="s">
        <v>399</v>
      </c>
      <c r="B161" s="13" t="s">
        <v>34</v>
      </c>
      <c r="C161" s="13" t="s">
        <v>400</v>
      </c>
      <c r="D161" s="13" t="n">
        <v>28</v>
      </c>
      <c r="E161" s="13" t="s">
        <v>90</v>
      </c>
      <c r="F161" s="13" t="s">
        <v>33</v>
      </c>
      <c r="G161" s="13" t="s">
        <v>97</v>
      </c>
      <c r="H161" s="13" t="s">
        <v>41</v>
      </c>
      <c r="I161" s="13" t="n">
        <v>1</v>
      </c>
      <c r="J161" s="13" t="n">
        <v>1</v>
      </c>
      <c r="K161" s="13" t="s">
        <v>91</v>
      </c>
      <c r="L161" s="13" t="n">
        <v>3</v>
      </c>
      <c r="M161" s="13" t="n">
        <v>913528.5</v>
      </c>
      <c r="N161" s="13" t="n">
        <v>304509.5</v>
      </c>
      <c r="O161" s="13" t="n">
        <v>1033.48333333333</v>
      </c>
      <c r="P161" s="13" t="n">
        <v>0</v>
      </c>
      <c r="Q161" s="13" t="n">
        <v>3</v>
      </c>
      <c r="R161" s="13" t="s">
        <v>86</v>
      </c>
      <c r="S161" s="13" t="s">
        <v>121</v>
      </c>
      <c r="T161" s="13" t="n">
        <v>1</v>
      </c>
      <c r="U161" s="13" t="n">
        <f aca="false">IF(B161="Individual",1,0)</f>
        <v>1</v>
      </c>
      <c r="V161" s="13" t="n">
        <f aca="false">IF(B161="Company",1,0)</f>
        <v>0</v>
      </c>
      <c r="W161" s="13" t="n">
        <f aca="false">IF(H161="Home",1,0)</f>
        <v>1</v>
      </c>
      <c r="X161" s="13" t="n">
        <f aca="false">IF(H161="Investment",1,0)</f>
        <v>0</v>
      </c>
      <c r="Y161" s="13" t="n">
        <f aca="false">IF(K161="Website",1,0)</f>
        <v>0</v>
      </c>
      <c r="Z161" s="13" t="n">
        <f aca="false">IF(K161="Agency",1,0)</f>
        <v>1</v>
      </c>
      <c r="AA161" s="13" t="n">
        <f aca="false">IF(K161="Client",1,0)</f>
        <v>0</v>
      </c>
      <c r="AB161" s="13" t="n">
        <f aca="false">(D161-AVERAGE(D$2:D$2001))/STDEV(D$2:D$2001)</f>
        <v>-1.50712359909381</v>
      </c>
      <c r="AC161" s="13" t="n">
        <f aca="false">(I161-AVERAGE(I$2:I$2001))/STDEV(I$2:I$2001)</f>
        <v>-1.43538077576244</v>
      </c>
      <c r="AD161" s="13" t="n">
        <f aca="false">(L161-AVERAGE(L$2:L$2001))/STDEV(L$2:L$2001)</f>
        <v>-0.777063122173208</v>
      </c>
      <c r="AE161" s="13" t="n">
        <f aca="false">(M161-AVERAGE(M$2:M$2001))/STDEV(M$2:M$2001)</f>
        <v>-0.997171944549643</v>
      </c>
      <c r="AF161" s="13" t="n">
        <f aca="false">(N161-AVERAGE(N$2:N$2001))/STDEV(N$2:N$2001)</f>
        <v>-0.610719209012214</v>
      </c>
      <c r="AG161" s="13" t="n">
        <f aca="false">(O161-AVERAGE(O$2:O$2001))/STDEV(O$2:O$2001)</f>
        <v>-0.518347552367284</v>
      </c>
      <c r="AH161" s="0" t="str">
        <f aca="false">IF(B161="Company","C3 - Corporate Buyers",IF(AND(H161="Investment",M161&gt;'Segmentation Summary'!$C$1),"C1 - Global Investors",IF(AND(I161&gt;=4,M161&gt;'Segmentation Summary'!$C$1),"C4 - Luxury Investors",IF(AND(D161&lt;'Segmentation Summary'!$C$2,J161=1),"C2 - First-Time Buyers","C5 - Other Individual Buyers"))))</f>
        <v>C2 - First-Time Buyers</v>
      </c>
    </row>
    <row r="162" customFormat="false" ht="15" hidden="false" customHeight="true" outlineLevel="0" collapsed="false">
      <c r="A162" s="13" t="s">
        <v>401</v>
      </c>
      <c r="B162" s="13" t="s">
        <v>34</v>
      </c>
      <c r="C162" s="13" t="s">
        <v>402</v>
      </c>
      <c r="D162" s="13" t="n">
        <v>43</v>
      </c>
      <c r="E162" s="13" t="s">
        <v>90</v>
      </c>
      <c r="F162" s="13" t="s">
        <v>33</v>
      </c>
      <c r="G162" s="13" t="s">
        <v>162</v>
      </c>
      <c r="H162" s="13" t="s">
        <v>43</v>
      </c>
      <c r="I162" s="13" t="n">
        <v>1</v>
      </c>
      <c r="J162" s="13" t="n">
        <v>0</v>
      </c>
      <c r="K162" s="13" t="s">
        <v>85</v>
      </c>
      <c r="L162" s="13" t="n">
        <v>3</v>
      </c>
      <c r="M162" s="13" t="n">
        <v>1354421.91</v>
      </c>
      <c r="N162" s="13" t="n">
        <v>451473.97</v>
      </c>
      <c r="O162" s="13" t="n">
        <v>1527.86333333333</v>
      </c>
      <c r="P162" s="13" t="n">
        <v>0</v>
      </c>
      <c r="Q162" s="13" t="n">
        <v>3</v>
      </c>
      <c r="R162" s="13" t="s">
        <v>93</v>
      </c>
      <c r="S162" s="13" t="s">
        <v>114</v>
      </c>
      <c r="T162" s="13" t="n">
        <v>1</v>
      </c>
      <c r="U162" s="13" t="n">
        <f aca="false">IF(B162="Individual",1,0)</f>
        <v>1</v>
      </c>
      <c r="V162" s="13" t="n">
        <f aca="false">IF(B162="Company",1,0)</f>
        <v>0</v>
      </c>
      <c r="W162" s="13" t="n">
        <f aca="false">IF(H162="Home",1,0)</f>
        <v>0</v>
      </c>
      <c r="X162" s="13" t="n">
        <f aca="false">IF(H162="Investment",1,0)</f>
        <v>1</v>
      </c>
      <c r="Y162" s="13" t="n">
        <f aca="false">IF(K162="Website",1,0)</f>
        <v>1</v>
      </c>
      <c r="Z162" s="13" t="n">
        <f aca="false">IF(K162="Agency",1,0)</f>
        <v>0</v>
      </c>
      <c r="AA162" s="13" t="n">
        <f aca="false">IF(K162="Client",1,0)</f>
        <v>0</v>
      </c>
      <c r="AB162" s="13" t="n">
        <f aca="false">(D162-AVERAGE(D$2:D$2001))/STDEV(D$2:D$2001)</f>
        <v>-0.64218676677154</v>
      </c>
      <c r="AC162" s="13" t="n">
        <f aca="false">(I162-AVERAGE(I$2:I$2001))/STDEV(I$2:I$2001)</f>
        <v>-1.43538077576244</v>
      </c>
      <c r="AD162" s="13" t="n">
        <f aca="false">(L162-AVERAGE(L$2:L$2001))/STDEV(L$2:L$2001)</f>
        <v>-0.777063122173208</v>
      </c>
      <c r="AE162" s="13" t="n">
        <f aca="false">(M162-AVERAGE(M$2:M$2001))/STDEV(M$2:M$2001)</f>
        <v>0.270379926469822</v>
      </c>
      <c r="AF162" s="13" t="n">
        <f aca="false">(N162-AVERAGE(N$2:N$2001))/STDEV(N$2:N$2001)</f>
        <v>1.49714983652258</v>
      </c>
      <c r="AG162" s="13" t="n">
        <f aca="false">(O162-AVERAGE(O$2:O$2001))/STDEV(O$2:O$2001)</f>
        <v>1.72962527677186</v>
      </c>
      <c r="AH162" s="0" t="str">
        <f aca="false">IF(B162="Company","C3 - Corporate Buyers",IF(AND(H162="Investment",M162&gt;'Segmentation Summary'!$C$1),"C1 - Global Investors",IF(AND(I162&gt;=4,M162&gt;'Segmentation Summary'!$C$1),"C4 - Luxury Investors",IF(AND(D162&lt;'Segmentation Summary'!$C$2,J162=1),"C2 - First-Time Buyers","C5 - Other Individual Buyers"))))</f>
        <v>C1 - Global Investors</v>
      </c>
    </row>
    <row r="163" customFormat="false" ht="15" hidden="false" customHeight="true" outlineLevel="0" collapsed="false">
      <c r="A163" s="13" t="s">
        <v>403</v>
      </c>
      <c r="B163" s="13" t="s">
        <v>34</v>
      </c>
      <c r="C163" s="13" t="s">
        <v>404</v>
      </c>
      <c r="D163" s="13" t="n">
        <v>75</v>
      </c>
      <c r="E163" s="13" t="s">
        <v>90</v>
      </c>
      <c r="F163" s="13" t="s">
        <v>45</v>
      </c>
      <c r="G163" s="13" t="s">
        <v>405</v>
      </c>
      <c r="H163" s="13" t="s">
        <v>41</v>
      </c>
      <c r="I163" s="13" t="n">
        <v>1</v>
      </c>
      <c r="J163" s="13" t="n">
        <v>1</v>
      </c>
      <c r="K163" s="13" t="s">
        <v>85</v>
      </c>
      <c r="L163" s="13" t="n">
        <v>3</v>
      </c>
      <c r="M163" s="13" t="n">
        <v>1004120.77</v>
      </c>
      <c r="N163" s="13" t="n">
        <v>334706.923333333</v>
      </c>
      <c r="O163" s="13" t="n">
        <v>1037.11</v>
      </c>
      <c r="P163" s="13" t="n">
        <v>1</v>
      </c>
      <c r="Q163" s="13" t="n">
        <v>2</v>
      </c>
      <c r="R163" s="13" t="s">
        <v>93</v>
      </c>
      <c r="S163" s="13" t="s">
        <v>87</v>
      </c>
      <c r="T163" s="13" t="n">
        <v>1</v>
      </c>
      <c r="U163" s="13" t="n">
        <f aca="false">IF(B163="Individual",1,0)</f>
        <v>1</v>
      </c>
      <c r="V163" s="13" t="n">
        <f aca="false">IF(B163="Company",1,0)</f>
        <v>0</v>
      </c>
      <c r="W163" s="13" t="n">
        <f aca="false">IF(H163="Home",1,0)</f>
        <v>1</v>
      </c>
      <c r="X163" s="13" t="n">
        <f aca="false">IF(H163="Investment",1,0)</f>
        <v>0</v>
      </c>
      <c r="Y163" s="13" t="n">
        <f aca="false">IF(K163="Website",1,0)</f>
        <v>1</v>
      </c>
      <c r="Z163" s="13" t="n">
        <f aca="false">IF(K163="Agency",1,0)</f>
        <v>0</v>
      </c>
      <c r="AA163" s="13" t="n">
        <f aca="false">IF(K163="Client",1,0)</f>
        <v>0</v>
      </c>
      <c r="AB163" s="13" t="n">
        <f aca="false">(D163-AVERAGE(D$2:D$2001))/STDEV(D$2:D$2001)</f>
        <v>1.2030118088493</v>
      </c>
      <c r="AC163" s="13" t="n">
        <f aca="false">(I163-AVERAGE(I$2:I$2001))/STDEV(I$2:I$2001)</f>
        <v>-1.43538077576244</v>
      </c>
      <c r="AD163" s="13" t="n">
        <f aca="false">(L163-AVERAGE(L$2:L$2001))/STDEV(L$2:L$2001)</f>
        <v>-0.777063122173208</v>
      </c>
      <c r="AE163" s="13" t="n">
        <f aca="false">(M163-AVERAGE(M$2:M$2001))/STDEV(M$2:M$2001)</f>
        <v>-0.736722596172219</v>
      </c>
      <c r="AF163" s="13" t="n">
        <f aca="false">(N163-AVERAGE(N$2:N$2001))/STDEV(N$2:N$2001)</f>
        <v>-0.177606267501638</v>
      </c>
      <c r="AG163" s="13" t="n">
        <f aca="false">(O163-AVERAGE(O$2:O$2001))/STDEV(O$2:O$2001)</f>
        <v>-0.50185690119406</v>
      </c>
      <c r="AH163" s="0" t="str">
        <f aca="false">IF(B163="Company","C3 - Corporate Buyers",IF(AND(H163="Investment",M163&gt;'Segmentation Summary'!$C$1),"C1 - Global Investors",IF(AND(I163&gt;=4,M163&gt;'Segmentation Summary'!$C$1),"C4 - Luxury Investors",IF(AND(D163&lt;'Segmentation Summary'!$C$2,J163=1),"C2 - First-Time Buyers","C5 - Other Individual Buyers"))))</f>
        <v>C5 - Other Individual Buyers</v>
      </c>
    </row>
    <row r="164" customFormat="false" ht="15" hidden="false" customHeight="true" outlineLevel="0" collapsed="false">
      <c r="A164" s="13" t="s">
        <v>406</v>
      </c>
      <c r="B164" s="13" t="s">
        <v>34</v>
      </c>
      <c r="C164" s="13" t="s">
        <v>407</v>
      </c>
      <c r="D164" s="13" t="n">
        <v>41</v>
      </c>
      <c r="E164" s="13" t="s">
        <v>90</v>
      </c>
      <c r="F164" s="13" t="s">
        <v>33</v>
      </c>
      <c r="G164" s="13" t="s">
        <v>95</v>
      </c>
      <c r="H164" s="13" t="s">
        <v>41</v>
      </c>
      <c r="I164" s="13" t="n">
        <v>2</v>
      </c>
      <c r="J164" s="13" t="n">
        <v>0</v>
      </c>
      <c r="K164" s="13" t="s">
        <v>85</v>
      </c>
      <c r="L164" s="13" t="n">
        <v>3</v>
      </c>
      <c r="M164" s="13" t="n">
        <v>896987.21</v>
      </c>
      <c r="N164" s="13" t="n">
        <v>298995.736666667</v>
      </c>
      <c r="O164" s="13" t="n">
        <v>883.746666666667</v>
      </c>
      <c r="P164" s="13" t="n">
        <v>2</v>
      </c>
      <c r="Q164" s="13" t="n">
        <v>1</v>
      </c>
      <c r="R164" s="13" t="s">
        <v>98</v>
      </c>
      <c r="S164" s="13" t="s">
        <v>121</v>
      </c>
      <c r="T164" s="13" t="n">
        <v>1</v>
      </c>
      <c r="U164" s="13" t="n">
        <f aca="false">IF(B164="Individual",1,0)</f>
        <v>1</v>
      </c>
      <c r="V164" s="13" t="n">
        <f aca="false">IF(B164="Company",1,0)</f>
        <v>0</v>
      </c>
      <c r="W164" s="13" t="n">
        <f aca="false">IF(H164="Home",1,0)</f>
        <v>1</v>
      </c>
      <c r="X164" s="13" t="n">
        <f aca="false">IF(H164="Investment",1,0)</f>
        <v>0</v>
      </c>
      <c r="Y164" s="13" t="n">
        <f aca="false">IF(K164="Website",1,0)</f>
        <v>1</v>
      </c>
      <c r="Z164" s="13" t="n">
        <f aca="false">IF(K164="Agency",1,0)</f>
        <v>0</v>
      </c>
      <c r="AA164" s="13" t="n">
        <f aca="false">IF(K164="Client",1,0)</f>
        <v>0</v>
      </c>
      <c r="AB164" s="13" t="n">
        <f aca="false">(D164-AVERAGE(D$2:D$2001))/STDEV(D$2:D$2001)</f>
        <v>-0.757511677747842</v>
      </c>
      <c r="AC164" s="13" t="n">
        <f aca="false">(I164-AVERAGE(I$2:I$2001))/STDEV(I$2:I$2001)</f>
        <v>-0.727948160798201</v>
      </c>
      <c r="AD164" s="13" t="n">
        <f aca="false">(L164-AVERAGE(L$2:L$2001))/STDEV(L$2:L$2001)</f>
        <v>-0.777063122173208</v>
      </c>
      <c r="AE164" s="13" t="n">
        <f aca="false">(M164-AVERAGE(M$2:M$2001))/STDEV(M$2:M$2001)</f>
        <v>-1.0447275274026</v>
      </c>
      <c r="AF164" s="13" t="n">
        <f aca="false">(N164-AVERAGE(N$2:N$2001))/STDEV(N$2:N$2001)</f>
        <v>-0.689801527716439</v>
      </c>
      <c r="AG164" s="13" t="n">
        <f aca="false">(O164-AVERAGE(O$2:O$2001))/STDEV(O$2:O$2001)</f>
        <v>-1.19920834405085</v>
      </c>
      <c r="AH164" s="0" t="str">
        <f aca="false">IF(B164="Company","C3 - Corporate Buyers",IF(AND(H164="Investment",M164&gt;'Segmentation Summary'!$C$1),"C1 - Global Investors",IF(AND(I164&gt;=4,M164&gt;'Segmentation Summary'!$C$1),"C4 - Luxury Investors",IF(AND(D164&lt;'Segmentation Summary'!$C$2,J164=1),"C2 - First-Time Buyers","C5 - Other Individual Buyers"))))</f>
        <v>C5 - Other Individual Buyers</v>
      </c>
    </row>
    <row r="165" customFormat="false" ht="15" hidden="false" customHeight="true" outlineLevel="0" collapsed="false">
      <c r="A165" s="13" t="s">
        <v>408</v>
      </c>
      <c r="B165" s="13" t="s">
        <v>34</v>
      </c>
      <c r="C165" s="13" t="s">
        <v>409</v>
      </c>
      <c r="D165" s="13" t="n">
        <v>78</v>
      </c>
      <c r="E165" s="13" t="s">
        <v>90</v>
      </c>
      <c r="F165" s="13" t="s">
        <v>33</v>
      </c>
      <c r="G165" s="13" t="s">
        <v>95</v>
      </c>
      <c r="H165" s="13" t="s">
        <v>41</v>
      </c>
      <c r="I165" s="13" t="n">
        <v>1</v>
      </c>
      <c r="J165" s="13" t="n">
        <v>0</v>
      </c>
      <c r="K165" s="13" t="s">
        <v>85</v>
      </c>
      <c r="L165" s="13" t="n">
        <v>4</v>
      </c>
      <c r="M165" s="13" t="n">
        <v>1175839.94</v>
      </c>
      <c r="N165" s="13" t="n">
        <v>293959.985</v>
      </c>
      <c r="O165" s="13" t="n">
        <v>1059.9375</v>
      </c>
      <c r="P165" s="13" t="n">
        <v>2</v>
      </c>
      <c r="Q165" s="13" t="n">
        <v>2</v>
      </c>
      <c r="R165" s="13" t="s">
        <v>103</v>
      </c>
      <c r="S165" s="13" t="s">
        <v>135</v>
      </c>
      <c r="T165" s="13" t="n">
        <v>1</v>
      </c>
      <c r="U165" s="13" t="n">
        <f aca="false">IF(B165="Individual",1,0)</f>
        <v>1</v>
      </c>
      <c r="V165" s="13" t="n">
        <f aca="false">IF(B165="Company",1,0)</f>
        <v>0</v>
      </c>
      <c r="W165" s="13" t="n">
        <f aca="false">IF(H165="Home",1,0)</f>
        <v>1</v>
      </c>
      <c r="X165" s="13" t="n">
        <f aca="false">IF(H165="Investment",1,0)</f>
        <v>0</v>
      </c>
      <c r="Y165" s="13" t="n">
        <f aca="false">IF(K165="Website",1,0)</f>
        <v>1</v>
      </c>
      <c r="Z165" s="13" t="n">
        <f aca="false">IF(K165="Agency",1,0)</f>
        <v>0</v>
      </c>
      <c r="AA165" s="13" t="n">
        <f aca="false">IF(K165="Client",1,0)</f>
        <v>0</v>
      </c>
      <c r="AB165" s="13" t="n">
        <f aca="false">(D165-AVERAGE(D$2:D$2001))/STDEV(D$2:D$2001)</f>
        <v>1.37599917531375</v>
      </c>
      <c r="AC165" s="13" t="n">
        <f aca="false">(I165-AVERAGE(I$2:I$2001))/STDEV(I$2:I$2001)</f>
        <v>-1.43538077576244</v>
      </c>
      <c r="AD165" s="13" t="n">
        <f aca="false">(L165-AVERAGE(L$2:L$2001))/STDEV(L$2:L$2001)</f>
        <v>0.413838214490712</v>
      </c>
      <c r="AE165" s="13" t="n">
        <f aca="false">(M165-AVERAGE(M$2:M$2001))/STDEV(M$2:M$2001)</f>
        <v>-0.243036480012284</v>
      </c>
      <c r="AF165" s="13" t="n">
        <f aca="false">(N165-AVERAGE(N$2:N$2001))/STDEV(N$2:N$2001)</f>
        <v>-0.762027862824289</v>
      </c>
      <c r="AG165" s="13" t="n">
        <f aca="false">(O165-AVERAGE(O$2:O$2001))/STDEV(O$2:O$2001)</f>
        <v>-0.398059013421144</v>
      </c>
      <c r="AH165" s="0" t="str">
        <f aca="false">IF(B165="Company","C3 - Corporate Buyers",IF(AND(H165="Investment",M165&gt;'Segmentation Summary'!$C$1),"C1 - Global Investors",IF(AND(I165&gt;=4,M165&gt;'Segmentation Summary'!$C$1),"C4 - Luxury Investors",IF(AND(D165&lt;'Segmentation Summary'!$C$2,J165=1),"C2 - First-Time Buyers","C5 - Other Individual Buyers"))))</f>
        <v>C5 - Other Individual Buyers</v>
      </c>
    </row>
    <row r="166" customFormat="false" ht="15" hidden="false" customHeight="true" outlineLevel="0" collapsed="false">
      <c r="A166" s="13" t="s">
        <v>410</v>
      </c>
      <c r="B166" s="13" t="s">
        <v>34</v>
      </c>
      <c r="C166" s="13" t="s">
        <v>411</v>
      </c>
      <c r="D166" s="13" t="n">
        <v>71</v>
      </c>
      <c r="E166" s="13" t="s">
        <v>90</v>
      </c>
      <c r="F166" s="13" t="s">
        <v>33</v>
      </c>
      <c r="G166" s="13" t="s">
        <v>120</v>
      </c>
      <c r="H166" s="13" t="s">
        <v>43</v>
      </c>
      <c r="I166" s="13" t="n">
        <v>4</v>
      </c>
      <c r="J166" s="13" t="n">
        <v>1</v>
      </c>
      <c r="K166" s="13" t="s">
        <v>85</v>
      </c>
      <c r="L166" s="13" t="n">
        <v>3</v>
      </c>
      <c r="M166" s="13" t="n">
        <v>1127680.6</v>
      </c>
      <c r="N166" s="13" t="n">
        <v>375893.533333333</v>
      </c>
      <c r="O166" s="13" t="n">
        <v>1280.28</v>
      </c>
      <c r="P166" s="13" t="n">
        <v>0</v>
      </c>
      <c r="Q166" s="13" t="n">
        <v>3</v>
      </c>
      <c r="R166" s="13" t="s">
        <v>92</v>
      </c>
      <c r="S166" s="13" t="s">
        <v>87</v>
      </c>
      <c r="T166" s="13" t="n">
        <v>1</v>
      </c>
      <c r="U166" s="13" t="n">
        <f aca="false">IF(B166="Individual",1,0)</f>
        <v>1</v>
      </c>
      <c r="V166" s="13" t="n">
        <f aca="false">IF(B166="Company",1,0)</f>
        <v>0</v>
      </c>
      <c r="W166" s="13" t="n">
        <f aca="false">IF(H166="Home",1,0)</f>
        <v>0</v>
      </c>
      <c r="X166" s="13" t="n">
        <f aca="false">IF(H166="Investment",1,0)</f>
        <v>1</v>
      </c>
      <c r="Y166" s="13" t="n">
        <f aca="false">IF(K166="Website",1,0)</f>
        <v>1</v>
      </c>
      <c r="Z166" s="13" t="n">
        <f aca="false">IF(K166="Agency",1,0)</f>
        <v>0</v>
      </c>
      <c r="AA166" s="13" t="n">
        <f aca="false">IF(K166="Client",1,0)</f>
        <v>0</v>
      </c>
      <c r="AB166" s="13" t="n">
        <f aca="false">(D166-AVERAGE(D$2:D$2001))/STDEV(D$2:D$2001)</f>
        <v>0.972361986896694</v>
      </c>
      <c r="AC166" s="13" t="n">
        <f aca="false">(I166-AVERAGE(I$2:I$2001))/STDEV(I$2:I$2001)</f>
        <v>0.686917069130275</v>
      </c>
      <c r="AD166" s="13" t="n">
        <f aca="false">(L166-AVERAGE(L$2:L$2001))/STDEV(L$2:L$2001)</f>
        <v>-0.777063122173208</v>
      </c>
      <c r="AE166" s="13" t="n">
        <f aca="false">(M166-AVERAGE(M$2:M$2001))/STDEV(M$2:M$2001)</f>
        <v>-0.38149276023671</v>
      </c>
      <c r="AF166" s="13" t="n">
        <f aca="false">(N166-AVERAGE(N$2:N$2001))/STDEV(N$2:N$2001)</f>
        <v>0.413121411845036</v>
      </c>
      <c r="AG166" s="13" t="n">
        <f aca="false">(O166-AVERAGE(O$2:O$2001))/STDEV(O$2:O$2001)</f>
        <v>0.603850354078736</v>
      </c>
      <c r="AH166" s="0" t="str">
        <f aca="false">IF(B166="Company","C3 - Corporate Buyers",IF(AND(H166="Investment",M166&gt;'Segmentation Summary'!$C$1),"C1 - Global Investors",IF(AND(I166&gt;=4,M166&gt;'Segmentation Summary'!$C$1),"C4 - Luxury Investors",IF(AND(D166&lt;'Segmentation Summary'!$C$2,J166=1),"C2 - First-Time Buyers","C5 - Other Individual Buyers"))))</f>
        <v>C5 - Other Individual Buyers</v>
      </c>
    </row>
    <row r="167" customFormat="false" ht="15" hidden="false" customHeight="true" outlineLevel="0" collapsed="false">
      <c r="A167" s="13" t="s">
        <v>412</v>
      </c>
      <c r="B167" s="13" t="s">
        <v>34</v>
      </c>
      <c r="C167" s="13" t="s">
        <v>413</v>
      </c>
      <c r="D167" s="13" t="n">
        <v>60</v>
      </c>
      <c r="E167" s="13" t="s">
        <v>90</v>
      </c>
      <c r="F167" s="13" t="s">
        <v>46</v>
      </c>
      <c r="G167" s="13" t="s">
        <v>414</v>
      </c>
      <c r="H167" s="13" t="s">
        <v>41</v>
      </c>
      <c r="I167" s="13" t="n">
        <v>5</v>
      </c>
      <c r="J167" s="13" t="n">
        <v>0</v>
      </c>
      <c r="K167" s="13" t="s">
        <v>85</v>
      </c>
      <c r="L167" s="13" t="n">
        <v>3</v>
      </c>
      <c r="M167" s="13" t="n">
        <v>1364889.24</v>
      </c>
      <c r="N167" s="13" t="n">
        <v>454963.08</v>
      </c>
      <c r="O167" s="13" t="n">
        <v>1445.55666666667</v>
      </c>
      <c r="P167" s="13" t="n">
        <v>0</v>
      </c>
      <c r="Q167" s="13" t="n">
        <v>3</v>
      </c>
      <c r="R167" s="13" t="s">
        <v>111</v>
      </c>
      <c r="S167" s="13" t="s">
        <v>125</v>
      </c>
      <c r="T167" s="13" t="n">
        <v>1</v>
      </c>
      <c r="U167" s="13" t="n">
        <f aca="false">IF(B167="Individual",1,0)</f>
        <v>1</v>
      </c>
      <c r="V167" s="13" t="n">
        <f aca="false">IF(B167="Company",1,0)</f>
        <v>0</v>
      </c>
      <c r="W167" s="13" t="n">
        <f aca="false">IF(H167="Home",1,0)</f>
        <v>1</v>
      </c>
      <c r="X167" s="13" t="n">
        <f aca="false">IF(H167="Investment",1,0)</f>
        <v>0</v>
      </c>
      <c r="Y167" s="13" t="n">
        <f aca="false">IF(K167="Website",1,0)</f>
        <v>1</v>
      </c>
      <c r="Z167" s="13" t="n">
        <f aca="false">IF(K167="Agency",1,0)</f>
        <v>0</v>
      </c>
      <c r="AA167" s="13" t="n">
        <f aca="false">IF(K167="Client",1,0)</f>
        <v>0</v>
      </c>
      <c r="AB167" s="13" t="n">
        <f aca="false">(D167-AVERAGE(D$2:D$2001))/STDEV(D$2:D$2001)</f>
        <v>0.338074976527031</v>
      </c>
      <c r="AC167" s="13" t="n">
        <f aca="false">(I167-AVERAGE(I$2:I$2001))/STDEV(I$2:I$2001)</f>
        <v>1.39434968409451</v>
      </c>
      <c r="AD167" s="13" t="n">
        <f aca="false">(L167-AVERAGE(L$2:L$2001))/STDEV(L$2:L$2001)</f>
        <v>-0.777063122173208</v>
      </c>
      <c r="AE167" s="13" t="n">
        <f aca="false">(M167-AVERAGE(M$2:M$2001))/STDEV(M$2:M$2001)</f>
        <v>0.300473104152107</v>
      </c>
      <c r="AF167" s="13" t="n">
        <f aca="false">(N167-AVERAGE(N$2:N$2001))/STDEV(N$2:N$2001)</f>
        <v>1.54719313586879</v>
      </c>
      <c r="AG167" s="13" t="n">
        <f aca="false">(O167-AVERAGE(O$2:O$2001))/STDEV(O$2:O$2001)</f>
        <v>1.35537237349166</v>
      </c>
      <c r="AH167" s="0" t="str">
        <f aca="false">IF(B167="Company","C3 - Corporate Buyers",IF(AND(H167="Investment",M167&gt;'Segmentation Summary'!$C$1),"C1 - Global Investors",IF(AND(I167&gt;=4,M167&gt;'Segmentation Summary'!$C$1),"C4 - Luxury Investors",IF(AND(D167&lt;'Segmentation Summary'!$C$2,J167=1),"C2 - First-Time Buyers","C5 - Other Individual Buyers"))))</f>
        <v>C4 - Luxury Investors</v>
      </c>
    </row>
    <row r="168" customFormat="false" ht="15" hidden="false" customHeight="true" outlineLevel="0" collapsed="false">
      <c r="A168" s="13" t="s">
        <v>415</v>
      </c>
      <c r="B168" s="13" t="s">
        <v>34</v>
      </c>
      <c r="C168" s="13" t="s">
        <v>416</v>
      </c>
      <c r="D168" s="13" t="n">
        <v>46</v>
      </c>
      <c r="E168" s="13" t="s">
        <v>90</v>
      </c>
      <c r="F168" s="13" t="s">
        <v>33</v>
      </c>
      <c r="G168" s="13" t="s">
        <v>95</v>
      </c>
      <c r="H168" s="13" t="s">
        <v>41</v>
      </c>
      <c r="I168" s="13" t="n">
        <v>5</v>
      </c>
      <c r="J168" s="13" t="n">
        <v>0</v>
      </c>
      <c r="K168" s="13" t="s">
        <v>91</v>
      </c>
      <c r="L168" s="13" t="n">
        <v>5</v>
      </c>
      <c r="M168" s="13" t="n">
        <v>1757354.59</v>
      </c>
      <c r="N168" s="13" t="n">
        <v>351470.918</v>
      </c>
      <c r="O168" s="13" t="n">
        <v>1143.692</v>
      </c>
      <c r="P168" s="13" t="n">
        <v>2</v>
      </c>
      <c r="Q168" s="13" t="n">
        <v>3</v>
      </c>
      <c r="R168" s="13" t="s">
        <v>98</v>
      </c>
      <c r="S168" s="13" t="s">
        <v>125</v>
      </c>
      <c r="T168" s="13" t="n">
        <v>1</v>
      </c>
      <c r="U168" s="13" t="n">
        <f aca="false">IF(B168="Individual",1,0)</f>
        <v>1</v>
      </c>
      <c r="V168" s="13" t="n">
        <f aca="false">IF(B168="Company",1,0)</f>
        <v>0</v>
      </c>
      <c r="W168" s="13" t="n">
        <f aca="false">IF(H168="Home",1,0)</f>
        <v>1</v>
      </c>
      <c r="X168" s="13" t="n">
        <f aca="false">IF(H168="Investment",1,0)</f>
        <v>0</v>
      </c>
      <c r="Y168" s="13" t="n">
        <f aca="false">IF(K168="Website",1,0)</f>
        <v>0</v>
      </c>
      <c r="Z168" s="13" t="n">
        <f aca="false">IF(K168="Agency",1,0)</f>
        <v>1</v>
      </c>
      <c r="AA168" s="13" t="n">
        <f aca="false">IF(K168="Client",1,0)</f>
        <v>0</v>
      </c>
      <c r="AB168" s="13" t="n">
        <f aca="false">(D168-AVERAGE(D$2:D$2001))/STDEV(D$2:D$2001)</f>
        <v>-0.469199400307086</v>
      </c>
      <c r="AC168" s="13" t="n">
        <f aca="false">(I168-AVERAGE(I$2:I$2001))/STDEV(I$2:I$2001)</f>
        <v>1.39434968409451</v>
      </c>
      <c r="AD168" s="13" t="n">
        <f aca="false">(L168-AVERAGE(L$2:L$2001))/STDEV(L$2:L$2001)</f>
        <v>1.60473955115463</v>
      </c>
      <c r="AE168" s="13" t="n">
        <f aca="false">(M168-AVERAGE(M$2:M$2001))/STDEV(M$2:M$2001)</f>
        <v>1.4287961351151</v>
      </c>
      <c r="AF168" s="13" t="n">
        <f aca="false">(N168-AVERAGE(N$2:N$2001))/STDEV(N$2:N$2001)</f>
        <v>0.0628348774729113</v>
      </c>
      <c r="AG168" s="13" t="n">
        <f aca="false">(O168-AVERAGE(O$2:O$2001))/STDEV(O$2:O$2001)</f>
        <v>-0.0172227329928621</v>
      </c>
      <c r="AH168" s="0" t="str">
        <f aca="false">IF(B168="Company","C3 - Corporate Buyers",IF(AND(H168="Investment",M168&gt;'Segmentation Summary'!$C$1),"C1 - Global Investors",IF(AND(I168&gt;=4,M168&gt;'Segmentation Summary'!$C$1),"C4 - Luxury Investors",IF(AND(D168&lt;'Segmentation Summary'!$C$2,J168=1),"C2 - First-Time Buyers","C5 - Other Individual Buyers"))))</f>
        <v>C4 - Luxury Investors</v>
      </c>
    </row>
    <row r="169" customFormat="false" ht="15" hidden="false" customHeight="true" outlineLevel="0" collapsed="false">
      <c r="A169" s="13" t="s">
        <v>417</v>
      </c>
      <c r="B169" s="13" t="s">
        <v>34</v>
      </c>
      <c r="C169" s="13" t="s">
        <v>418</v>
      </c>
      <c r="D169" s="13" t="n">
        <v>61</v>
      </c>
      <c r="E169" s="13" t="s">
        <v>90</v>
      </c>
      <c r="F169" s="13" t="s">
        <v>33</v>
      </c>
      <c r="G169" s="13" t="s">
        <v>123</v>
      </c>
      <c r="H169" s="13" t="s">
        <v>41</v>
      </c>
      <c r="I169" s="13" t="n">
        <v>5</v>
      </c>
      <c r="J169" s="13" t="n">
        <v>0</v>
      </c>
      <c r="K169" s="13" t="s">
        <v>85</v>
      </c>
      <c r="L169" s="13" t="n">
        <v>4</v>
      </c>
      <c r="M169" s="13" t="n">
        <v>1469638.4</v>
      </c>
      <c r="N169" s="13" t="n">
        <v>367409.6</v>
      </c>
      <c r="O169" s="13" t="n">
        <v>1333.5625</v>
      </c>
      <c r="P169" s="13" t="n">
        <v>0</v>
      </c>
      <c r="Q169" s="13" t="n">
        <v>4</v>
      </c>
      <c r="R169" s="13" t="s">
        <v>92</v>
      </c>
      <c r="S169" s="13" t="s">
        <v>98</v>
      </c>
      <c r="T169" s="13" t="n">
        <v>1</v>
      </c>
      <c r="U169" s="13" t="n">
        <f aca="false">IF(B169="Individual",1,0)</f>
        <v>1</v>
      </c>
      <c r="V169" s="13" t="n">
        <f aca="false">IF(B169="Company",1,0)</f>
        <v>0</v>
      </c>
      <c r="W169" s="13" t="n">
        <f aca="false">IF(H169="Home",1,0)</f>
        <v>1</v>
      </c>
      <c r="X169" s="13" t="n">
        <f aca="false">IF(H169="Investment",1,0)</f>
        <v>0</v>
      </c>
      <c r="Y169" s="13" t="n">
        <f aca="false">IF(K169="Website",1,0)</f>
        <v>1</v>
      </c>
      <c r="Z169" s="13" t="n">
        <f aca="false">IF(K169="Agency",1,0)</f>
        <v>0</v>
      </c>
      <c r="AA169" s="13" t="n">
        <f aca="false">IF(K169="Client",1,0)</f>
        <v>0</v>
      </c>
      <c r="AB169" s="13" t="n">
        <f aca="false">(D169-AVERAGE(D$2:D$2001))/STDEV(D$2:D$2001)</f>
        <v>0.395737432015182</v>
      </c>
      <c r="AC169" s="13" t="n">
        <f aca="false">(I169-AVERAGE(I$2:I$2001))/STDEV(I$2:I$2001)</f>
        <v>1.39434968409451</v>
      </c>
      <c r="AD169" s="13" t="n">
        <f aca="false">(L169-AVERAGE(L$2:L$2001))/STDEV(L$2:L$2001)</f>
        <v>0.413838214490712</v>
      </c>
      <c r="AE169" s="13" t="n">
        <f aca="false">(M169-AVERAGE(M$2:M$2001))/STDEV(M$2:M$2001)</f>
        <v>0.601622975604522</v>
      </c>
      <c r="AF169" s="13" t="n">
        <f aca="false">(N169-AVERAGE(N$2:N$2001))/STDEV(N$2:N$2001)</f>
        <v>0.291438800682532</v>
      </c>
      <c r="AG169" s="13" t="n">
        <f aca="false">(O169-AVERAGE(O$2:O$2001))/STDEV(O$2:O$2001)</f>
        <v>0.846128788215647</v>
      </c>
      <c r="AH169" s="0" t="str">
        <f aca="false">IF(B169="Company","C3 - Corporate Buyers",IF(AND(H169="Investment",M169&gt;'Segmentation Summary'!$C$1),"C1 - Global Investors",IF(AND(I169&gt;=4,M169&gt;'Segmentation Summary'!$C$1),"C4 - Luxury Investors",IF(AND(D169&lt;'Segmentation Summary'!$C$2,J169=1),"C2 - First-Time Buyers","C5 - Other Individual Buyers"))))</f>
        <v>C4 - Luxury Investors</v>
      </c>
    </row>
    <row r="170" customFormat="false" ht="15" hidden="false" customHeight="true" outlineLevel="0" collapsed="false">
      <c r="A170" s="13" t="s">
        <v>419</v>
      </c>
      <c r="B170" s="13" t="s">
        <v>34</v>
      </c>
      <c r="C170" s="13" t="s">
        <v>420</v>
      </c>
      <c r="D170" s="13" t="n">
        <v>47</v>
      </c>
      <c r="E170" s="13" t="s">
        <v>90</v>
      </c>
      <c r="F170" s="13" t="s">
        <v>33</v>
      </c>
      <c r="G170" s="13" t="s">
        <v>162</v>
      </c>
      <c r="H170" s="13" t="s">
        <v>41</v>
      </c>
      <c r="I170" s="13" t="n">
        <v>5</v>
      </c>
      <c r="J170" s="13" t="n">
        <v>0</v>
      </c>
      <c r="K170" s="13" t="s">
        <v>116</v>
      </c>
      <c r="L170" s="13" t="n">
        <v>4</v>
      </c>
      <c r="M170" s="13" t="n">
        <v>1288383.38</v>
      </c>
      <c r="N170" s="13" t="n">
        <v>322095.845</v>
      </c>
      <c r="O170" s="13" t="n">
        <v>1190.4075</v>
      </c>
      <c r="P170" s="13" t="n">
        <v>1</v>
      </c>
      <c r="Q170" s="13" t="n">
        <v>3</v>
      </c>
      <c r="R170" s="13" t="s">
        <v>101</v>
      </c>
      <c r="S170" s="13" t="s">
        <v>154</v>
      </c>
      <c r="T170" s="13" t="n">
        <v>1</v>
      </c>
      <c r="U170" s="13" t="n">
        <f aca="false">IF(B170="Individual",1,0)</f>
        <v>1</v>
      </c>
      <c r="V170" s="13" t="n">
        <f aca="false">IF(B170="Company",1,0)</f>
        <v>0</v>
      </c>
      <c r="W170" s="13" t="n">
        <f aca="false">IF(H170="Home",1,0)</f>
        <v>1</v>
      </c>
      <c r="X170" s="13" t="n">
        <f aca="false">IF(H170="Investment",1,0)</f>
        <v>0</v>
      </c>
      <c r="Y170" s="13" t="n">
        <f aca="false">IF(K170="Website",1,0)</f>
        <v>0</v>
      </c>
      <c r="Z170" s="13" t="n">
        <f aca="false">IF(K170="Agency",1,0)</f>
        <v>0</v>
      </c>
      <c r="AA170" s="13" t="n">
        <f aca="false">IF(K170="Client",1,0)</f>
        <v>1</v>
      </c>
      <c r="AB170" s="13" t="n">
        <f aca="false">(D170-AVERAGE(D$2:D$2001))/STDEV(D$2:D$2001)</f>
        <v>-0.411536944818935</v>
      </c>
      <c r="AC170" s="13" t="n">
        <f aca="false">(I170-AVERAGE(I$2:I$2001))/STDEV(I$2:I$2001)</f>
        <v>1.39434968409451</v>
      </c>
      <c r="AD170" s="13" t="n">
        <f aca="false">(L170-AVERAGE(L$2:L$2001))/STDEV(L$2:L$2001)</f>
        <v>0.413838214490712</v>
      </c>
      <c r="AE170" s="13" t="n">
        <f aca="false">(M170-AVERAGE(M$2:M$2001))/STDEV(M$2:M$2001)</f>
        <v>0.0805216515165286</v>
      </c>
      <c r="AF170" s="13" t="n">
        <f aca="false">(N170-AVERAGE(N$2:N$2001))/STDEV(N$2:N$2001)</f>
        <v>-0.358483330166153</v>
      </c>
      <c r="AG170" s="13" t="n">
        <f aca="false">(O170-AVERAGE(O$2:O$2001))/STDEV(O$2:O$2001)</f>
        <v>0.195195193904766</v>
      </c>
      <c r="AH170" s="0" t="str">
        <f aca="false">IF(B170="Company","C3 - Corporate Buyers",IF(AND(H170="Investment",M170&gt;'Segmentation Summary'!$C$1),"C1 - Global Investors",IF(AND(I170&gt;=4,M170&gt;'Segmentation Summary'!$C$1),"C4 - Luxury Investors",IF(AND(D170&lt;'Segmentation Summary'!$C$2,J170=1),"C2 - First-Time Buyers","C5 - Other Individual Buyers"))))</f>
        <v>C4 - Luxury Investors</v>
      </c>
    </row>
    <row r="171" customFormat="false" ht="15" hidden="false" customHeight="true" outlineLevel="0" collapsed="false">
      <c r="A171" s="13" t="s">
        <v>421</v>
      </c>
      <c r="B171" s="13" t="s">
        <v>34</v>
      </c>
      <c r="C171" s="13" t="s">
        <v>422</v>
      </c>
      <c r="D171" s="13" t="n">
        <v>78</v>
      </c>
      <c r="E171" s="13" t="s">
        <v>90</v>
      </c>
      <c r="F171" s="13" t="s">
        <v>33</v>
      </c>
      <c r="G171" s="13" t="s">
        <v>157</v>
      </c>
      <c r="H171" s="13" t="s">
        <v>41</v>
      </c>
      <c r="I171" s="13" t="n">
        <v>4</v>
      </c>
      <c r="J171" s="13" t="n">
        <v>0</v>
      </c>
      <c r="K171" s="13" t="s">
        <v>85</v>
      </c>
      <c r="L171" s="13" t="n">
        <v>4</v>
      </c>
      <c r="M171" s="13" t="n">
        <v>1129907.31</v>
      </c>
      <c r="N171" s="13" t="n">
        <v>282476.8275</v>
      </c>
      <c r="O171" s="13" t="n">
        <v>1035.1925</v>
      </c>
      <c r="P171" s="13" t="n">
        <v>1</v>
      </c>
      <c r="Q171" s="13" t="n">
        <v>3</v>
      </c>
      <c r="R171" s="13" t="s">
        <v>98</v>
      </c>
      <c r="S171" s="13" t="s">
        <v>215</v>
      </c>
      <c r="T171" s="13" t="n">
        <v>1</v>
      </c>
      <c r="U171" s="13" t="n">
        <f aca="false">IF(B171="Individual",1,0)</f>
        <v>1</v>
      </c>
      <c r="V171" s="13" t="n">
        <f aca="false">IF(B171="Company",1,0)</f>
        <v>0</v>
      </c>
      <c r="W171" s="13" t="n">
        <f aca="false">IF(H171="Home",1,0)</f>
        <v>1</v>
      </c>
      <c r="X171" s="13" t="n">
        <f aca="false">IF(H171="Investment",1,0)</f>
        <v>0</v>
      </c>
      <c r="Y171" s="13" t="n">
        <f aca="false">IF(K171="Website",1,0)</f>
        <v>1</v>
      </c>
      <c r="Z171" s="13" t="n">
        <f aca="false">IF(K171="Agency",1,0)</f>
        <v>0</v>
      </c>
      <c r="AA171" s="13" t="n">
        <f aca="false">IF(K171="Client",1,0)</f>
        <v>0</v>
      </c>
      <c r="AB171" s="13" t="n">
        <f aca="false">(D171-AVERAGE(D$2:D$2001))/STDEV(D$2:D$2001)</f>
        <v>1.37599917531375</v>
      </c>
      <c r="AC171" s="13" t="n">
        <f aca="false">(I171-AVERAGE(I$2:I$2001))/STDEV(I$2:I$2001)</f>
        <v>0.686917069130275</v>
      </c>
      <c r="AD171" s="13" t="n">
        <f aca="false">(L171-AVERAGE(L$2:L$2001))/STDEV(L$2:L$2001)</f>
        <v>0.413838214490712</v>
      </c>
      <c r="AE171" s="13" t="n">
        <f aca="false">(M171-AVERAGE(M$2:M$2001))/STDEV(M$2:M$2001)</f>
        <v>-0.375091053242002</v>
      </c>
      <c r="AF171" s="13" t="n">
        <f aca="false">(N171-AVERAGE(N$2:N$2001))/STDEV(N$2:N$2001)</f>
        <v>-0.926727481985646</v>
      </c>
      <c r="AG171" s="13" t="n">
        <f aca="false">(O171-AVERAGE(O$2:O$2001))/STDEV(O$2:O$2001)</f>
        <v>-0.510575878296438</v>
      </c>
      <c r="AH171" s="0" t="str">
        <f aca="false">IF(B171="Company","C3 - Corporate Buyers",IF(AND(H171="Investment",M171&gt;'Segmentation Summary'!$C$1),"C1 - Global Investors",IF(AND(I171&gt;=4,M171&gt;'Segmentation Summary'!$C$1),"C4 - Luxury Investors",IF(AND(D171&lt;'Segmentation Summary'!$C$2,J171=1),"C2 - First-Time Buyers","C5 - Other Individual Buyers"))))</f>
        <v>C5 - Other Individual Buyers</v>
      </c>
    </row>
    <row r="172" customFormat="false" ht="15" hidden="false" customHeight="true" outlineLevel="0" collapsed="false">
      <c r="A172" s="13" t="s">
        <v>423</v>
      </c>
      <c r="B172" s="13" t="s">
        <v>34</v>
      </c>
      <c r="C172" s="13" t="s">
        <v>424</v>
      </c>
      <c r="D172" s="13" t="n">
        <v>73</v>
      </c>
      <c r="E172" s="13" t="s">
        <v>90</v>
      </c>
      <c r="F172" s="13" t="s">
        <v>33</v>
      </c>
      <c r="G172" s="13" t="s">
        <v>123</v>
      </c>
      <c r="H172" s="13" t="s">
        <v>41</v>
      </c>
      <c r="I172" s="13" t="n">
        <v>4</v>
      </c>
      <c r="J172" s="13" t="n">
        <v>0</v>
      </c>
      <c r="K172" s="13" t="s">
        <v>85</v>
      </c>
      <c r="L172" s="13" t="n">
        <v>4</v>
      </c>
      <c r="M172" s="13" t="n">
        <v>1550820.49</v>
      </c>
      <c r="N172" s="13" t="n">
        <v>387705.1225</v>
      </c>
      <c r="O172" s="13" t="n">
        <v>1385.6475</v>
      </c>
      <c r="P172" s="13" t="n">
        <v>0</v>
      </c>
      <c r="Q172" s="13" t="n">
        <v>4</v>
      </c>
      <c r="R172" s="13" t="s">
        <v>92</v>
      </c>
      <c r="S172" s="13" t="s">
        <v>103</v>
      </c>
      <c r="T172" s="13" t="n">
        <v>1</v>
      </c>
      <c r="U172" s="13" t="n">
        <f aca="false">IF(B172="Individual",1,0)</f>
        <v>1</v>
      </c>
      <c r="V172" s="13" t="n">
        <f aca="false">IF(B172="Company",1,0)</f>
        <v>0</v>
      </c>
      <c r="W172" s="13" t="n">
        <f aca="false">IF(H172="Home",1,0)</f>
        <v>1</v>
      </c>
      <c r="X172" s="13" t="n">
        <f aca="false">IF(H172="Investment",1,0)</f>
        <v>0</v>
      </c>
      <c r="Y172" s="13" t="n">
        <f aca="false">IF(K172="Website",1,0)</f>
        <v>1</v>
      </c>
      <c r="Z172" s="13" t="n">
        <f aca="false">IF(K172="Agency",1,0)</f>
        <v>0</v>
      </c>
      <c r="AA172" s="13" t="n">
        <f aca="false">IF(K172="Client",1,0)</f>
        <v>0</v>
      </c>
      <c r="AB172" s="13" t="n">
        <f aca="false">(D172-AVERAGE(D$2:D$2001))/STDEV(D$2:D$2001)</f>
        <v>1.087686897873</v>
      </c>
      <c r="AC172" s="13" t="n">
        <f aca="false">(I172-AVERAGE(I$2:I$2001))/STDEV(I$2:I$2001)</f>
        <v>0.686917069130275</v>
      </c>
      <c r="AD172" s="13" t="n">
        <f aca="false">(L172-AVERAGE(L$2:L$2001))/STDEV(L$2:L$2001)</f>
        <v>0.413838214490712</v>
      </c>
      <c r="AE172" s="13" t="n">
        <f aca="false">(M172-AVERAGE(M$2:M$2001))/STDEV(M$2:M$2001)</f>
        <v>0.835018412548728</v>
      </c>
      <c r="AF172" s="13" t="n">
        <f aca="false">(N172-AVERAGE(N$2:N$2001))/STDEV(N$2:N$2001)</f>
        <v>0.58253163176412</v>
      </c>
      <c r="AG172" s="13" t="n">
        <f aca="false">(O172-AVERAGE(O$2:O$2001))/STDEV(O$2:O$2001)</f>
        <v>1.08296212452721</v>
      </c>
      <c r="AH172" s="0" t="str">
        <f aca="false">IF(B172="Company","C3 - Corporate Buyers",IF(AND(H172="Investment",M172&gt;'Segmentation Summary'!$C$1),"C1 - Global Investors",IF(AND(I172&gt;=4,M172&gt;'Segmentation Summary'!$C$1),"C4 - Luxury Investors",IF(AND(D172&lt;'Segmentation Summary'!$C$2,J172=1),"C2 - First-Time Buyers","C5 - Other Individual Buyers"))))</f>
        <v>C4 - Luxury Investors</v>
      </c>
    </row>
    <row r="173" customFormat="false" ht="15" hidden="false" customHeight="true" outlineLevel="0" collapsed="false">
      <c r="A173" s="13" t="s">
        <v>425</v>
      </c>
      <c r="B173" s="13" t="s">
        <v>34</v>
      </c>
      <c r="C173" s="13" t="s">
        <v>426</v>
      </c>
      <c r="D173" s="13" t="n">
        <v>25</v>
      </c>
      <c r="E173" s="13" t="s">
        <v>90</v>
      </c>
      <c r="F173" s="13" t="s">
        <v>33</v>
      </c>
      <c r="G173" s="13" t="s">
        <v>95</v>
      </c>
      <c r="H173" s="13" t="s">
        <v>43</v>
      </c>
      <c r="I173" s="13" t="n">
        <v>2</v>
      </c>
      <c r="J173" s="13" t="n">
        <v>1</v>
      </c>
      <c r="K173" s="13" t="s">
        <v>85</v>
      </c>
      <c r="L173" s="13" t="n">
        <v>3</v>
      </c>
      <c r="M173" s="13" t="n">
        <v>1248444.31</v>
      </c>
      <c r="N173" s="13" t="n">
        <v>416148.103333333</v>
      </c>
      <c r="O173" s="13" t="n">
        <v>1451.25333333333</v>
      </c>
      <c r="P173" s="13" t="n">
        <v>0</v>
      </c>
      <c r="Q173" s="13" t="n">
        <v>3</v>
      </c>
      <c r="R173" s="13" t="s">
        <v>101</v>
      </c>
      <c r="S173" s="13" t="s">
        <v>107</v>
      </c>
      <c r="T173" s="13" t="n">
        <v>1</v>
      </c>
      <c r="U173" s="13" t="n">
        <f aca="false">IF(B173="Individual",1,0)</f>
        <v>1</v>
      </c>
      <c r="V173" s="13" t="n">
        <f aca="false">IF(B173="Company",1,0)</f>
        <v>0</v>
      </c>
      <c r="W173" s="13" t="n">
        <f aca="false">IF(H173="Home",1,0)</f>
        <v>0</v>
      </c>
      <c r="X173" s="13" t="n">
        <f aca="false">IF(H173="Investment",1,0)</f>
        <v>1</v>
      </c>
      <c r="Y173" s="13" t="n">
        <f aca="false">IF(K173="Website",1,0)</f>
        <v>1</v>
      </c>
      <c r="Z173" s="13" t="n">
        <f aca="false">IF(K173="Agency",1,0)</f>
        <v>0</v>
      </c>
      <c r="AA173" s="13" t="n">
        <f aca="false">IF(K173="Client",1,0)</f>
        <v>0</v>
      </c>
      <c r="AB173" s="13" t="n">
        <f aca="false">(D173-AVERAGE(D$2:D$2001))/STDEV(D$2:D$2001)</f>
        <v>-1.68011096555826</v>
      </c>
      <c r="AC173" s="13" t="n">
        <f aca="false">(I173-AVERAGE(I$2:I$2001))/STDEV(I$2:I$2001)</f>
        <v>-0.727948160798201</v>
      </c>
      <c r="AD173" s="13" t="n">
        <f aca="false">(L173-AVERAGE(L$2:L$2001))/STDEV(L$2:L$2001)</f>
        <v>-0.777063122173208</v>
      </c>
      <c r="AE173" s="13" t="n">
        <f aca="false">(M173-AVERAGE(M$2:M$2001))/STDEV(M$2:M$2001)</f>
        <v>-0.0343016635003078</v>
      </c>
      <c r="AF173" s="13" t="n">
        <f aca="false">(N173-AVERAGE(N$2:N$2001))/STDEV(N$2:N$2001)</f>
        <v>0.990481110038169</v>
      </c>
      <c r="AG173" s="13" t="n">
        <f aca="false">(O173-AVERAGE(O$2:O$2001))/STDEV(O$2:O$2001)</f>
        <v>1.38127542758631</v>
      </c>
      <c r="AH173" s="0" t="str">
        <f aca="false">IF(B173="Company","C3 - Corporate Buyers",IF(AND(H173="Investment",M173&gt;'Segmentation Summary'!$C$1),"C1 - Global Investors",IF(AND(I173&gt;=4,M173&gt;'Segmentation Summary'!$C$1),"C4 - Luxury Investors",IF(AND(D173&lt;'Segmentation Summary'!$C$2,J173=1),"C2 - First-Time Buyers","C5 - Other Individual Buyers"))))</f>
        <v>C1 - Global Investors</v>
      </c>
    </row>
    <row r="174" customFormat="false" ht="15" hidden="false" customHeight="true" outlineLevel="0" collapsed="false">
      <c r="A174" s="13" t="s">
        <v>427</v>
      </c>
      <c r="B174" s="13" t="s">
        <v>34</v>
      </c>
      <c r="C174" s="13" t="s">
        <v>428</v>
      </c>
      <c r="D174" s="13" t="n">
        <v>55</v>
      </c>
      <c r="E174" s="13" t="s">
        <v>90</v>
      </c>
      <c r="F174" s="13" t="s">
        <v>33</v>
      </c>
      <c r="G174" s="13" t="s">
        <v>110</v>
      </c>
      <c r="H174" s="13" t="s">
        <v>43</v>
      </c>
      <c r="I174" s="13" t="n">
        <v>3</v>
      </c>
      <c r="J174" s="13" t="n">
        <v>0</v>
      </c>
      <c r="K174" s="13" t="s">
        <v>85</v>
      </c>
      <c r="L174" s="13" t="n">
        <v>3</v>
      </c>
      <c r="M174" s="13" t="n">
        <v>1139995.98</v>
      </c>
      <c r="N174" s="13" t="n">
        <v>379998.66</v>
      </c>
      <c r="O174" s="13" t="n">
        <v>1258.4</v>
      </c>
      <c r="P174" s="13" t="n">
        <v>0</v>
      </c>
      <c r="Q174" s="13" t="n">
        <v>3</v>
      </c>
      <c r="R174" s="13" t="s">
        <v>121</v>
      </c>
      <c r="S174" s="13" t="s">
        <v>125</v>
      </c>
      <c r="T174" s="13" t="n">
        <v>1</v>
      </c>
      <c r="U174" s="13" t="n">
        <f aca="false">IF(B174="Individual",1,0)</f>
        <v>1</v>
      </c>
      <c r="V174" s="13" t="n">
        <f aca="false">IF(B174="Company",1,0)</f>
        <v>0</v>
      </c>
      <c r="W174" s="13" t="n">
        <f aca="false">IF(H174="Home",1,0)</f>
        <v>0</v>
      </c>
      <c r="X174" s="13" t="n">
        <f aca="false">IF(H174="Investment",1,0)</f>
        <v>1</v>
      </c>
      <c r="Y174" s="13" t="n">
        <f aca="false">IF(K174="Website",1,0)</f>
        <v>1</v>
      </c>
      <c r="Z174" s="13" t="n">
        <f aca="false">IF(K174="Agency",1,0)</f>
        <v>0</v>
      </c>
      <c r="AA174" s="13" t="n">
        <f aca="false">IF(K174="Client",1,0)</f>
        <v>0</v>
      </c>
      <c r="AB174" s="13" t="n">
        <f aca="false">(D174-AVERAGE(D$2:D$2001))/STDEV(D$2:D$2001)</f>
        <v>0.0497626990862745</v>
      </c>
      <c r="AC174" s="13" t="n">
        <f aca="false">(I174-AVERAGE(I$2:I$2001))/STDEV(I$2:I$2001)</f>
        <v>-0.0205155458339628</v>
      </c>
      <c r="AD174" s="13" t="n">
        <f aca="false">(L174-AVERAGE(L$2:L$2001))/STDEV(L$2:L$2001)</f>
        <v>-0.777063122173208</v>
      </c>
      <c r="AE174" s="13" t="n">
        <f aca="false">(M174-AVERAGE(M$2:M$2001))/STDEV(M$2:M$2001)</f>
        <v>-0.346086508731804</v>
      </c>
      <c r="AF174" s="13" t="n">
        <f aca="false">(N174-AVERAGE(N$2:N$2001))/STDEV(N$2:N$2001)</f>
        <v>0.472000060736614</v>
      </c>
      <c r="AG174" s="13" t="n">
        <f aca="false">(O174-AVERAGE(O$2:O$2001))/STDEV(O$2:O$2001)</f>
        <v>0.504360800493308</v>
      </c>
      <c r="AH174" s="0" t="str">
        <f aca="false">IF(B174="Company","C3 - Corporate Buyers",IF(AND(H174="Investment",M174&gt;'Segmentation Summary'!$C$1),"C1 - Global Investors",IF(AND(I174&gt;=4,M174&gt;'Segmentation Summary'!$C$1),"C4 - Luxury Investors",IF(AND(D174&lt;'Segmentation Summary'!$C$2,J174=1),"C2 - First-Time Buyers","C5 - Other Individual Buyers"))))</f>
        <v>C5 - Other Individual Buyers</v>
      </c>
    </row>
    <row r="175" customFormat="false" ht="15" hidden="false" customHeight="true" outlineLevel="0" collapsed="false">
      <c r="A175" s="13" t="s">
        <v>429</v>
      </c>
      <c r="B175" s="13" t="s">
        <v>34</v>
      </c>
      <c r="C175" s="13" t="s">
        <v>430</v>
      </c>
      <c r="D175" s="13" t="n">
        <v>82</v>
      </c>
      <c r="E175" s="13" t="s">
        <v>90</v>
      </c>
      <c r="F175" s="13" t="s">
        <v>33</v>
      </c>
      <c r="G175" s="13" t="s">
        <v>162</v>
      </c>
      <c r="H175" s="13" t="s">
        <v>43</v>
      </c>
      <c r="I175" s="13" t="n">
        <v>3</v>
      </c>
      <c r="J175" s="13" t="n">
        <v>0</v>
      </c>
      <c r="K175" s="13" t="s">
        <v>85</v>
      </c>
      <c r="L175" s="13" t="n">
        <v>3</v>
      </c>
      <c r="M175" s="13" t="n">
        <v>935028.28</v>
      </c>
      <c r="N175" s="13" t="n">
        <v>311676.093333333</v>
      </c>
      <c r="O175" s="13" t="n">
        <v>1022.67</v>
      </c>
      <c r="P175" s="13" t="n">
        <v>2</v>
      </c>
      <c r="Q175" s="13" t="n">
        <v>1</v>
      </c>
      <c r="R175" s="13" t="s">
        <v>128</v>
      </c>
      <c r="S175" s="13" t="s">
        <v>87</v>
      </c>
      <c r="T175" s="13" t="n">
        <v>1</v>
      </c>
      <c r="U175" s="13" t="n">
        <f aca="false">IF(B175="Individual",1,0)</f>
        <v>1</v>
      </c>
      <c r="V175" s="13" t="n">
        <f aca="false">IF(B175="Company",1,0)</f>
        <v>0</v>
      </c>
      <c r="W175" s="13" t="n">
        <f aca="false">IF(H175="Home",1,0)</f>
        <v>0</v>
      </c>
      <c r="X175" s="13" t="n">
        <f aca="false">IF(H175="Investment",1,0)</f>
        <v>1</v>
      </c>
      <c r="Y175" s="13" t="n">
        <f aca="false">IF(K175="Website",1,0)</f>
        <v>1</v>
      </c>
      <c r="Z175" s="13" t="n">
        <f aca="false">IF(K175="Agency",1,0)</f>
        <v>0</v>
      </c>
      <c r="AA175" s="13" t="n">
        <f aca="false">IF(K175="Client",1,0)</f>
        <v>0</v>
      </c>
      <c r="AB175" s="13" t="n">
        <f aca="false">(D175-AVERAGE(D$2:D$2001))/STDEV(D$2:D$2001)</f>
        <v>1.60664899726636</v>
      </c>
      <c r="AC175" s="13" t="n">
        <f aca="false">(I175-AVERAGE(I$2:I$2001))/STDEV(I$2:I$2001)</f>
        <v>-0.0205155458339628</v>
      </c>
      <c r="AD175" s="13" t="n">
        <f aca="false">(L175-AVERAGE(L$2:L$2001))/STDEV(L$2:L$2001)</f>
        <v>-0.777063122173208</v>
      </c>
      <c r="AE175" s="13" t="n">
        <f aca="false">(M175-AVERAGE(M$2:M$2001))/STDEV(M$2:M$2001)</f>
        <v>-0.935360890568349</v>
      </c>
      <c r="AF175" s="13" t="n">
        <f aca="false">(N175-AVERAGE(N$2:N$2001))/STDEV(N$2:N$2001)</f>
        <v>-0.507930825879416</v>
      </c>
      <c r="AG175" s="13" t="n">
        <f aca="false">(O175-AVERAGE(O$2:O$2001))/STDEV(O$2:O$2001)</f>
        <v>-0.567516368916801</v>
      </c>
      <c r="AH175" s="0" t="str">
        <f aca="false">IF(B175="Company","C3 - Corporate Buyers",IF(AND(H175="Investment",M175&gt;'Segmentation Summary'!$C$1),"C1 - Global Investors",IF(AND(I175&gt;=4,M175&gt;'Segmentation Summary'!$C$1),"C4 - Luxury Investors",IF(AND(D175&lt;'Segmentation Summary'!$C$2,J175=1),"C2 - First-Time Buyers","C5 - Other Individual Buyers"))))</f>
        <v>C5 - Other Individual Buyers</v>
      </c>
    </row>
    <row r="176" customFormat="false" ht="15" hidden="false" customHeight="true" outlineLevel="0" collapsed="false">
      <c r="A176" s="13" t="s">
        <v>431</v>
      </c>
      <c r="B176" s="13" t="s">
        <v>34</v>
      </c>
      <c r="C176" s="13" t="s">
        <v>432</v>
      </c>
      <c r="D176" s="13" t="n">
        <v>42</v>
      </c>
      <c r="E176" s="13" t="s">
        <v>90</v>
      </c>
      <c r="F176" s="13" t="s">
        <v>33</v>
      </c>
      <c r="G176" s="13" t="s">
        <v>100</v>
      </c>
      <c r="H176" s="13" t="s">
        <v>41</v>
      </c>
      <c r="I176" s="13" t="n">
        <v>4</v>
      </c>
      <c r="J176" s="13" t="n">
        <v>1</v>
      </c>
      <c r="K176" s="13" t="s">
        <v>91</v>
      </c>
      <c r="L176" s="13" t="n">
        <v>3</v>
      </c>
      <c r="M176" s="13" t="n">
        <v>1125732.72</v>
      </c>
      <c r="N176" s="13" t="n">
        <v>375244.24</v>
      </c>
      <c r="O176" s="13" t="n">
        <v>1125.17</v>
      </c>
      <c r="P176" s="13" t="n">
        <v>0</v>
      </c>
      <c r="Q176" s="13" t="n">
        <v>3</v>
      </c>
      <c r="R176" s="13" t="s">
        <v>86</v>
      </c>
      <c r="S176" s="13" t="s">
        <v>93</v>
      </c>
      <c r="T176" s="13" t="n">
        <v>1</v>
      </c>
      <c r="U176" s="13" t="n">
        <f aca="false">IF(B176="Individual",1,0)</f>
        <v>1</v>
      </c>
      <c r="V176" s="13" t="n">
        <f aca="false">IF(B176="Company",1,0)</f>
        <v>0</v>
      </c>
      <c r="W176" s="13" t="n">
        <f aca="false">IF(H176="Home",1,0)</f>
        <v>1</v>
      </c>
      <c r="X176" s="13" t="n">
        <f aca="false">IF(H176="Investment",1,0)</f>
        <v>0</v>
      </c>
      <c r="Y176" s="13" t="n">
        <f aca="false">IF(K176="Website",1,0)</f>
        <v>0</v>
      </c>
      <c r="Z176" s="13" t="n">
        <f aca="false">IF(K176="Agency",1,0)</f>
        <v>1</v>
      </c>
      <c r="AA176" s="13" t="n">
        <f aca="false">IF(K176="Client",1,0)</f>
        <v>0</v>
      </c>
      <c r="AB176" s="13" t="n">
        <f aca="false">(D176-AVERAGE(D$2:D$2001))/STDEV(D$2:D$2001)</f>
        <v>-0.699849222259691</v>
      </c>
      <c r="AC176" s="13" t="n">
        <f aca="false">(I176-AVERAGE(I$2:I$2001))/STDEV(I$2:I$2001)</f>
        <v>0.686917069130275</v>
      </c>
      <c r="AD176" s="13" t="n">
        <f aca="false">(L176-AVERAGE(L$2:L$2001))/STDEV(L$2:L$2001)</f>
        <v>-0.777063122173208</v>
      </c>
      <c r="AE176" s="13" t="n">
        <f aca="false">(M176-AVERAGE(M$2:M$2001))/STDEV(M$2:M$2001)</f>
        <v>-0.387092841531918</v>
      </c>
      <c r="AF176" s="13" t="n">
        <f aca="false">(N176-AVERAGE(N$2:N$2001))/STDEV(N$2:N$2001)</f>
        <v>0.40380878465831</v>
      </c>
      <c r="AG176" s="13" t="n">
        <f aca="false">(O176-AVERAGE(O$2:O$2001))/STDEV(O$2:O$2001)</f>
        <v>-0.101443277394567</v>
      </c>
      <c r="AH176" s="0" t="str">
        <f aca="false">IF(B176="Company","C3 - Corporate Buyers",IF(AND(H176="Investment",M176&gt;'Segmentation Summary'!$C$1),"C1 - Global Investors",IF(AND(I176&gt;=4,M176&gt;'Segmentation Summary'!$C$1),"C4 - Luxury Investors",IF(AND(D176&lt;'Segmentation Summary'!$C$2,J176=1),"C2 - First-Time Buyers","C5 - Other Individual Buyers"))))</f>
        <v>C2 - First-Time Buyers</v>
      </c>
    </row>
    <row r="177" customFormat="false" ht="15" hidden="false" customHeight="true" outlineLevel="0" collapsed="false">
      <c r="A177" s="13" t="s">
        <v>433</v>
      </c>
      <c r="B177" s="13" t="s">
        <v>34</v>
      </c>
      <c r="C177" s="13" t="s">
        <v>432</v>
      </c>
      <c r="D177" s="13" t="n">
        <v>25</v>
      </c>
      <c r="E177" s="13" t="s">
        <v>90</v>
      </c>
      <c r="F177" s="13" t="s">
        <v>33</v>
      </c>
      <c r="G177" s="13" t="s">
        <v>157</v>
      </c>
      <c r="H177" s="13" t="s">
        <v>43</v>
      </c>
      <c r="I177" s="13" t="n">
        <v>1</v>
      </c>
      <c r="J177" s="13" t="n">
        <v>0</v>
      </c>
      <c r="K177" s="13" t="s">
        <v>116</v>
      </c>
      <c r="L177" s="13" t="n">
        <v>4</v>
      </c>
      <c r="M177" s="13" t="n">
        <v>1410114.6</v>
      </c>
      <c r="N177" s="13" t="n">
        <v>352528.65</v>
      </c>
      <c r="O177" s="13" t="n">
        <v>1144.74</v>
      </c>
      <c r="P177" s="13" t="n">
        <v>2</v>
      </c>
      <c r="Q177" s="13" t="n">
        <v>2</v>
      </c>
      <c r="R177" s="13" t="s">
        <v>135</v>
      </c>
      <c r="S177" s="13" t="s">
        <v>87</v>
      </c>
      <c r="T177" s="13" t="n">
        <v>1</v>
      </c>
      <c r="U177" s="13" t="n">
        <f aca="false">IF(B177="Individual",1,0)</f>
        <v>1</v>
      </c>
      <c r="V177" s="13" t="n">
        <f aca="false">IF(B177="Company",1,0)</f>
        <v>0</v>
      </c>
      <c r="W177" s="13" t="n">
        <f aca="false">IF(H177="Home",1,0)</f>
        <v>0</v>
      </c>
      <c r="X177" s="13" t="n">
        <f aca="false">IF(H177="Investment",1,0)</f>
        <v>1</v>
      </c>
      <c r="Y177" s="13" t="n">
        <f aca="false">IF(K177="Website",1,0)</f>
        <v>0</v>
      </c>
      <c r="Z177" s="13" t="n">
        <f aca="false">IF(K177="Agency",1,0)</f>
        <v>0</v>
      </c>
      <c r="AA177" s="13" t="n">
        <f aca="false">IF(K177="Client",1,0)</f>
        <v>1</v>
      </c>
      <c r="AB177" s="13" t="n">
        <f aca="false">(D177-AVERAGE(D$2:D$2001))/STDEV(D$2:D$2001)</f>
        <v>-1.68011096555826</v>
      </c>
      <c r="AC177" s="13" t="n">
        <f aca="false">(I177-AVERAGE(I$2:I$2001))/STDEV(I$2:I$2001)</f>
        <v>-1.43538077576244</v>
      </c>
      <c r="AD177" s="13" t="n">
        <f aca="false">(L177-AVERAGE(L$2:L$2001))/STDEV(L$2:L$2001)</f>
        <v>0.413838214490712</v>
      </c>
      <c r="AE177" s="13" t="n">
        <f aca="false">(M177-AVERAGE(M$2:M$2001))/STDEV(M$2:M$2001)</f>
        <v>0.430494302893836</v>
      </c>
      <c r="AF177" s="13" t="n">
        <f aca="false">(N177-AVERAGE(N$2:N$2001))/STDEV(N$2:N$2001)</f>
        <v>0.0780056227644205</v>
      </c>
      <c r="AG177" s="13" t="n">
        <f aca="false">(O177-AVERAGE(O$2:O$2001))/STDEV(O$2:O$2001)</f>
        <v>-0.0124574198229568</v>
      </c>
      <c r="AH177" s="0" t="str">
        <f aca="false">IF(B177="Company","C3 - Corporate Buyers",IF(AND(H177="Investment",M177&gt;'Segmentation Summary'!$C$1),"C1 - Global Investors",IF(AND(I177&gt;=4,M177&gt;'Segmentation Summary'!$C$1),"C4 - Luxury Investors",IF(AND(D177&lt;'Segmentation Summary'!$C$2,J177=1),"C2 - First-Time Buyers","C5 - Other Individual Buyers"))))</f>
        <v>C1 - Global Investors</v>
      </c>
    </row>
    <row r="178" customFormat="false" ht="15" hidden="false" customHeight="true" outlineLevel="0" collapsed="false">
      <c r="A178" s="13" t="s">
        <v>434</v>
      </c>
      <c r="B178" s="13" t="s">
        <v>34</v>
      </c>
      <c r="C178" s="13" t="s">
        <v>435</v>
      </c>
      <c r="D178" s="13" t="n">
        <v>48</v>
      </c>
      <c r="E178" s="13" t="s">
        <v>90</v>
      </c>
      <c r="F178" s="13" t="s">
        <v>46</v>
      </c>
      <c r="G178" s="13" t="s">
        <v>414</v>
      </c>
      <c r="H178" s="13" t="s">
        <v>43</v>
      </c>
      <c r="I178" s="13" t="n">
        <v>1</v>
      </c>
      <c r="J178" s="13" t="n">
        <v>1</v>
      </c>
      <c r="K178" s="13" t="s">
        <v>91</v>
      </c>
      <c r="L178" s="13" t="n">
        <v>3</v>
      </c>
      <c r="M178" s="13" t="n">
        <v>1118760.19</v>
      </c>
      <c r="N178" s="13" t="n">
        <v>372920.063333333</v>
      </c>
      <c r="O178" s="13" t="n">
        <v>1186.43666666667</v>
      </c>
      <c r="P178" s="13" t="n">
        <v>1</v>
      </c>
      <c r="Q178" s="13" t="n">
        <v>2</v>
      </c>
      <c r="R178" s="13" t="s">
        <v>124</v>
      </c>
      <c r="S178" s="13" t="s">
        <v>87</v>
      </c>
      <c r="T178" s="13" t="n">
        <v>1</v>
      </c>
      <c r="U178" s="13" t="n">
        <f aca="false">IF(B178="Individual",1,0)</f>
        <v>1</v>
      </c>
      <c r="V178" s="13" t="n">
        <f aca="false">IF(B178="Company",1,0)</f>
        <v>0</v>
      </c>
      <c r="W178" s="13" t="n">
        <f aca="false">IF(H178="Home",1,0)</f>
        <v>0</v>
      </c>
      <c r="X178" s="13" t="n">
        <f aca="false">IF(H178="Investment",1,0)</f>
        <v>1</v>
      </c>
      <c r="Y178" s="13" t="n">
        <f aca="false">IF(K178="Website",1,0)</f>
        <v>0</v>
      </c>
      <c r="Z178" s="13" t="n">
        <f aca="false">IF(K178="Agency",1,0)</f>
        <v>1</v>
      </c>
      <c r="AA178" s="13" t="n">
        <f aca="false">IF(K178="Client",1,0)</f>
        <v>0</v>
      </c>
      <c r="AB178" s="13" t="n">
        <f aca="false">(D178-AVERAGE(D$2:D$2001))/STDEV(D$2:D$2001)</f>
        <v>-0.353874489330784</v>
      </c>
      <c r="AC178" s="13" t="n">
        <f aca="false">(I178-AVERAGE(I$2:I$2001))/STDEV(I$2:I$2001)</f>
        <v>-1.43538077576244</v>
      </c>
      <c r="AD178" s="13" t="n">
        <f aca="false">(L178-AVERAGE(L$2:L$2001))/STDEV(L$2:L$2001)</f>
        <v>-0.777063122173208</v>
      </c>
      <c r="AE178" s="13" t="n">
        <f aca="false">(M178-AVERAGE(M$2:M$2001))/STDEV(M$2:M$2001)</f>
        <v>-0.407138601452075</v>
      </c>
      <c r="AF178" s="13" t="n">
        <f aca="false">(N178-AVERAGE(N$2:N$2001))/STDEV(N$2:N$2001)</f>
        <v>0.370473788437648</v>
      </c>
      <c r="AG178" s="13" t="n">
        <f aca="false">(O178-AVERAGE(O$2:O$2001))/STDEV(O$2:O$2001)</f>
        <v>0.177139598123452</v>
      </c>
      <c r="AH178" s="0" t="str">
        <f aca="false">IF(B178="Company","C3 - Corporate Buyers",IF(AND(H178="Investment",M178&gt;'Segmentation Summary'!$C$1),"C1 - Global Investors",IF(AND(I178&gt;=4,M178&gt;'Segmentation Summary'!$C$1),"C4 - Luxury Investors",IF(AND(D178&lt;'Segmentation Summary'!$C$2,J178=1),"C2 - First-Time Buyers","C5 - Other Individual Buyers"))))</f>
        <v>C2 - First-Time Buyers</v>
      </c>
    </row>
    <row r="179" customFormat="false" ht="15" hidden="false" customHeight="true" outlineLevel="0" collapsed="false">
      <c r="A179" s="13" t="s">
        <v>436</v>
      </c>
      <c r="B179" s="13" t="s">
        <v>34</v>
      </c>
      <c r="C179" s="13" t="s">
        <v>437</v>
      </c>
      <c r="D179" s="13" t="n">
        <v>57</v>
      </c>
      <c r="E179" s="13" t="s">
        <v>90</v>
      </c>
      <c r="F179" s="13" t="s">
        <v>33</v>
      </c>
      <c r="G179" s="13" t="s">
        <v>95</v>
      </c>
      <c r="H179" s="13" t="s">
        <v>41</v>
      </c>
      <c r="I179" s="13" t="n">
        <v>2</v>
      </c>
      <c r="J179" s="13" t="n">
        <v>0</v>
      </c>
      <c r="K179" s="13" t="s">
        <v>85</v>
      </c>
      <c r="L179" s="13" t="n">
        <v>3</v>
      </c>
      <c r="M179" s="13" t="n">
        <v>1301968.05</v>
      </c>
      <c r="N179" s="13" t="n">
        <v>433989.35</v>
      </c>
      <c r="O179" s="13" t="n">
        <v>1452.26333333333</v>
      </c>
      <c r="P179" s="13" t="n">
        <v>1</v>
      </c>
      <c r="Q179" s="13" t="n">
        <v>2</v>
      </c>
      <c r="R179" s="13" t="s">
        <v>128</v>
      </c>
      <c r="S179" s="13" t="s">
        <v>133</v>
      </c>
      <c r="T179" s="13" t="n">
        <v>1</v>
      </c>
      <c r="U179" s="13" t="n">
        <f aca="false">IF(B179="Individual",1,0)</f>
        <v>1</v>
      </c>
      <c r="V179" s="13" t="n">
        <f aca="false">IF(B179="Company",1,0)</f>
        <v>0</v>
      </c>
      <c r="W179" s="13" t="n">
        <f aca="false">IF(H179="Home",1,0)</f>
        <v>1</v>
      </c>
      <c r="X179" s="13" t="n">
        <f aca="false">IF(H179="Investment",1,0)</f>
        <v>0</v>
      </c>
      <c r="Y179" s="13" t="n">
        <f aca="false">IF(K179="Website",1,0)</f>
        <v>1</v>
      </c>
      <c r="Z179" s="13" t="n">
        <f aca="false">IF(K179="Agency",1,0)</f>
        <v>0</v>
      </c>
      <c r="AA179" s="13" t="n">
        <f aca="false">IF(K179="Client",1,0)</f>
        <v>0</v>
      </c>
      <c r="AB179" s="13" t="n">
        <f aca="false">(D179-AVERAGE(D$2:D$2001))/STDEV(D$2:D$2001)</f>
        <v>0.165087610062577</v>
      </c>
      <c r="AC179" s="13" t="n">
        <f aca="false">(I179-AVERAGE(I$2:I$2001))/STDEV(I$2:I$2001)</f>
        <v>-0.727948160798201</v>
      </c>
      <c r="AD179" s="13" t="n">
        <f aca="false">(L179-AVERAGE(L$2:L$2001))/STDEV(L$2:L$2001)</f>
        <v>-0.777063122173208</v>
      </c>
      <c r="AE179" s="13" t="n">
        <f aca="false">(M179-AVERAGE(M$2:M$2001))/STDEV(M$2:M$2001)</f>
        <v>0.119577063743448</v>
      </c>
      <c r="AF179" s="13" t="n">
        <f aca="false">(N179-AVERAGE(N$2:N$2001))/STDEV(N$2:N$2001)</f>
        <v>1.24637297003956</v>
      </c>
      <c r="AG179" s="13" t="n">
        <f aca="false">(O179-AVERAGE(O$2:O$2001))/STDEV(O$2:O$2001)</f>
        <v>1.38586795268326</v>
      </c>
      <c r="AH179" s="0" t="str">
        <f aca="false">IF(B179="Company","C3 - Corporate Buyers",IF(AND(H179="Investment",M179&gt;'Segmentation Summary'!$C$1),"C1 - Global Investors",IF(AND(I179&gt;=4,M179&gt;'Segmentation Summary'!$C$1),"C4 - Luxury Investors",IF(AND(D179&lt;'Segmentation Summary'!$C$2,J179=1),"C2 - First-Time Buyers","C5 - Other Individual Buyers"))))</f>
        <v>C5 - Other Individual Buyers</v>
      </c>
    </row>
    <row r="180" customFormat="false" ht="15" hidden="false" customHeight="true" outlineLevel="0" collapsed="false">
      <c r="A180" s="13" t="s">
        <v>438</v>
      </c>
      <c r="B180" s="13" t="s">
        <v>34</v>
      </c>
      <c r="C180" s="13" t="s">
        <v>439</v>
      </c>
      <c r="D180" s="13" t="n">
        <v>48</v>
      </c>
      <c r="E180" s="13" t="s">
        <v>90</v>
      </c>
      <c r="F180" s="13" t="s">
        <v>33</v>
      </c>
      <c r="G180" s="13" t="s">
        <v>120</v>
      </c>
      <c r="H180" s="13" t="s">
        <v>41</v>
      </c>
      <c r="I180" s="13" t="n">
        <v>5</v>
      </c>
      <c r="J180" s="13" t="n">
        <v>1</v>
      </c>
      <c r="K180" s="13" t="s">
        <v>91</v>
      </c>
      <c r="L180" s="13" t="n">
        <v>8</v>
      </c>
      <c r="M180" s="13" t="n">
        <v>2619968.43</v>
      </c>
      <c r="N180" s="13" t="n">
        <v>327496.05375</v>
      </c>
      <c r="O180" s="13" t="n">
        <v>1074.5925</v>
      </c>
      <c r="P180" s="13" t="n">
        <v>0</v>
      </c>
      <c r="Q180" s="13" t="n">
        <v>8</v>
      </c>
      <c r="R180" s="13" t="s">
        <v>92</v>
      </c>
      <c r="S180" s="13" t="s">
        <v>135</v>
      </c>
      <c r="T180" s="13" t="n">
        <v>1</v>
      </c>
      <c r="U180" s="13" t="n">
        <f aca="false">IF(B180="Individual",1,0)</f>
        <v>1</v>
      </c>
      <c r="V180" s="13" t="n">
        <f aca="false">IF(B180="Company",1,0)</f>
        <v>0</v>
      </c>
      <c r="W180" s="13" t="n">
        <f aca="false">IF(H180="Home",1,0)</f>
        <v>1</v>
      </c>
      <c r="X180" s="13" t="n">
        <f aca="false">IF(H180="Investment",1,0)</f>
        <v>0</v>
      </c>
      <c r="Y180" s="13" t="n">
        <f aca="false">IF(K180="Website",1,0)</f>
        <v>0</v>
      </c>
      <c r="Z180" s="13" t="n">
        <f aca="false">IF(K180="Agency",1,0)</f>
        <v>1</v>
      </c>
      <c r="AA180" s="13" t="n">
        <f aca="false">IF(K180="Client",1,0)</f>
        <v>0</v>
      </c>
      <c r="AB180" s="13" t="n">
        <f aca="false">(D180-AVERAGE(D$2:D$2001))/STDEV(D$2:D$2001)</f>
        <v>-0.353874489330784</v>
      </c>
      <c r="AC180" s="13" t="n">
        <f aca="false">(I180-AVERAGE(I$2:I$2001))/STDEV(I$2:I$2001)</f>
        <v>1.39434968409451</v>
      </c>
      <c r="AD180" s="13" t="n">
        <f aca="false">(L180-AVERAGE(L$2:L$2001))/STDEV(L$2:L$2001)</f>
        <v>5.17744356114639</v>
      </c>
      <c r="AE180" s="13" t="n">
        <f aca="false">(M180-AVERAGE(M$2:M$2001))/STDEV(M$2:M$2001)</f>
        <v>3.90877828513019</v>
      </c>
      <c r="AF180" s="13" t="n">
        <f aca="false">(N180-AVERAGE(N$2:N$2001))/STDEV(N$2:N$2001)</f>
        <v>-0.281029692130026</v>
      </c>
      <c r="AG180" s="13" t="n">
        <f aca="false">(O180-AVERAGE(O$2:O$2001))/STDEV(O$2:O$2001)</f>
        <v>-0.331421928969843</v>
      </c>
      <c r="AH180" s="0" t="str">
        <f aca="false">IF(B180="Company","C3 - Corporate Buyers",IF(AND(H180="Investment",M180&gt;'Segmentation Summary'!$C$1),"C1 - Global Investors",IF(AND(I180&gt;=4,M180&gt;'Segmentation Summary'!$C$1),"C4 - Luxury Investors",IF(AND(D180&lt;'Segmentation Summary'!$C$2,J180=1),"C2 - First-Time Buyers","C5 - Other Individual Buyers"))))</f>
        <v>C4 - Luxury Investors</v>
      </c>
    </row>
    <row r="181" customFormat="false" ht="15" hidden="false" customHeight="true" outlineLevel="0" collapsed="false">
      <c r="A181" s="13" t="s">
        <v>440</v>
      </c>
      <c r="B181" s="13" t="s">
        <v>34</v>
      </c>
      <c r="C181" s="13" t="s">
        <v>441</v>
      </c>
      <c r="D181" s="13" t="n">
        <v>25</v>
      </c>
      <c r="E181" s="13" t="s">
        <v>90</v>
      </c>
      <c r="F181" s="13" t="s">
        <v>33</v>
      </c>
      <c r="G181" s="13" t="s">
        <v>106</v>
      </c>
      <c r="H181" s="13" t="s">
        <v>41</v>
      </c>
      <c r="I181" s="13" t="n">
        <v>2</v>
      </c>
      <c r="J181" s="13" t="n">
        <v>0</v>
      </c>
      <c r="K181" s="13" t="s">
        <v>85</v>
      </c>
      <c r="L181" s="13" t="n">
        <v>4</v>
      </c>
      <c r="M181" s="13" t="n">
        <v>1251637</v>
      </c>
      <c r="N181" s="13" t="n">
        <v>312909.25</v>
      </c>
      <c r="O181" s="13" t="n">
        <v>1019.1225</v>
      </c>
      <c r="P181" s="13" t="n">
        <v>0</v>
      </c>
      <c r="Q181" s="13" t="n">
        <v>4</v>
      </c>
      <c r="R181" s="13" t="s">
        <v>101</v>
      </c>
      <c r="S181" s="13" t="s">
        <v>114</v>
      </c>
      <c r="T181" s="13" t="n">
        <v>1</v>
      </c>
      <c r="U181" s="13" t="n">
        <f aca="false">IF(B181="Individual",1,0)</f>
        <v>1</v>
      </c>
      <c r="V181" s="13" t="n">
        <f aca="false">IF(B181="Company",1,0)</f>
        <v>0</v>
      </c>
      <c r="W181" s="13" t="n">
        <f aca="false">IF(H181="Home",1,0)</f>
        <v>1</v>
      </c>
      <c r="X181" s="13" t="n">
        <f aca="false">IF(H181="Investment",1,0)</f>
        <v>0</v>
      </c>
      <c r="Y181" s="13" t="n">
        <f aca="false">IF(K181="Website",1,0)</f>
        <v>1</v>
      </c>
      <c r="Z181" s="13" t="n">
        <f aca="false">IF(K181="Agency",1,0)</f>
        <v>0</v>
      </c>
      <c r="AA181" s="13" t="n">
        <f aca="false">IF(K181="Client",1,0)</f>
        <v>0</v>
      </c>
      <c r="AB181" s="13" t="n">
        <f aca="false">(D181-AVERAGE(D$2:D$2001))/STDEV(D$2:D$2001)</f>
        <v>-1.68011096555826</v>
      </c>
      <c r="AC181" s="13" t="n">
        <f aca="false">(I181-AVERAGE(I$2:I$2001))/STDEV(I$2:I$2001)</f>
        <v>-0.727948160798201</v>
      </c>
      <c r="AD181" s="13" t="n">
        <f aca="false">(L181-AVERAGE(L$2:L$2001))/STDEV(L$2:L$2001)</f>
        <v>0.413838214490712</v>
      </c>
      <c r="AE181" s="13" t="n">
        <f aca="false">(M181-AVERAGE(M$2:M$2001))/STDEV(M$2:M$2001)</f>
        <v>-0.0251228005568016</v>
      </c>
      <c r="AF181" s="13" t="n">
        <f aca="false">(N181-AVERAGE(N$2:N$2001))/STDEV(N$2:N$2001)</f>
        <v>-0.490244015142357</v>
      </c>
      <c r="AG181" s="13" t="n">
        <f aca="false">(O181-AVERAGE(O$2:O$2001))/STDEV(O$2:O$2001)</f>
        <v>-0.583647044938022</v>
      </c>
      <c r="AH181" s="0" t="str">
        <f aca="false">IF(B181="Company","C3 - Corporate Buyers",IF(AND(H181="Investment",M181&gt;'Segmentation Summary'!$C$1),"C1 - Global Investors",IF(AND(I181&gt;=4,M181&gt;'Segmentation Summary'!$C$1),"C4 - Luxury Investors",IF(AND(D181&lt;'Segmentation Summary'!$C$2,J181=1),"C2 - First-Time Buyers","C5 - Other Individual Buyers"))))</f>
        <v>C5 - Other Individual Buyers</v>
      </c>
    </row>
    <row r="182" customFormat="false" ht="15" hidden="false" customHeight="true" outlineLevel="0" collapsed="false">
      <c r="A182" s="13" t="s">
        <v>442</v>
      </c>
      <c r="B182" s="13" t="s">
        <v>34</v>
      </c>
      <c r="C182" s="13" t="s">
        <v>443</v>
      </c>
      <c r="D182" s="13" t="n">
        <v>31</v>
      </c>
      <c r="E182" s="13" t="s">
        <v>90</v>
      </c>
      <c r="F182" s="13" t="s">
        <v>44</v>
      </c>
      <c r="G182" s="13" t="s">
        <v>209</v>
      </c>
      <c r="H182" s="13" t="s">
        <v>43</v>
      </c>
      <c r="I182" s="13" t="n">
        <v>5</v>
      </c>
      <c r="J182" s="13" t="n">
        <v>0</v>
      </c>
      <c r="K182" s="13" t="s">
        <v>85</v>
      </c>
      <c r="L182" s="13" t="n">
        <v>4</v>
      </c>
      <c r="M182" s="13" t="n">
        <v>1635419.92</v>
      </c>
      <c r="N182" s="13" t="n">
        <v>408854.98</v>
      </c>
      <c r="O182" s="13" t="n">
        <v>1412.375</v>
      </c>
      <c r="P182" s="13" t="n">
        <v>2</v>
      </c>
      <c r="Q182" s="13" t="n">
        <v>2</v>
      </c>
      <c r="R182" s="13" t="s">
        <v>92</v>
      </c>
      <c r="S182" s="13" t="s">
        <v>87</v>
      </c>
      <c r="T182" s="13" t="n">
        <v>1</v>
      </c>
      <c r="U182" s="13" t="n">
        <f aca="false">IF(B182="Individual",1,0)</f>
        <v>1</v>
      </c>
      <c r="V182" s="13" t="n">
        <f aca="false">IF(B182="Company",1,0)</f>
        <v>0</v>
      </c>
      <c r="W182" s="13" t="n">
        <f aca="false">IF(H182="Home",1,0)</f>
        <v>0</v>
      </c>
      <c r="X182" s="13" t="n">
        <f aca="false">IF(H182="Investment",1,0)</f>
        <v>1</v>
      </c>
      <c r="Y182" s="13" t="n">
        <f aca="false">IF(K182="Website",1,0)</f>
        <v>1</v>
      </c>
      <c r="Z182" s="13" t="n">
        <f aca="false">IF(K182="Agency",1,0)</f>
        <v>0</v>
      </c>
      <c r="AA182" s="13" t="n">
        <f aca="false">IF(K182="Client",1,0)</f>
        <v>0</v>
      </c>
      <c r="AB182" s="13" t="n">
        <f aca="false">(D182-AVERAGE(D$2:D$2001))/STDEV(D$2:D$2001)</f>
        <v>-1.33413623262935</v>
      </c>
      <c r="AC182" s="13" t="n">
        <f aca="false">(I182-AVERAGE(I$2:I$2001))/STDEV(I$2:I$2001)</f>
        <v>1.39434968409451</v>
      </c>
      <c r="AD182" s="13" t="n">
        <f aca="false">(L182-AVERAGE(L$2:L$2001))/STDEV(L$2:L$2001)</f>
        <v>0.413838214490712</v>
      </c>
      <c r="AE182" s="13" t="n">
        <f aca="false">(M182-AVERAGE(M$2:M$2001))/STDEV(M$2:M$2001)</f>
        <v>1.07823857268603</v>
      </c>
      <c r="AF182" s="13" t="n">
        <f aca="false">(N182-AVERAGE(N$2:N$2001))/STDEV(N$2:N$2001)</f>
        <v>0.885877943574872</v>
      </c>
      <c r="AG182" s="13" t="n">
        <f aca="false">(O182-AVERAGE(O$2:O$2001))/STDEV(O$2:O$2001)</f>
        <v>1.20449352505073</v>
      </c>
      <c r="AH182" s="0" t="str">
        <f aca="false">IF(B182="Company","C3 - Corporate Buyers",IF(AND(H182="Investment",M182&gt;'Segmentation Summary'!$C$1),"C1 - Global Investors",IF(AND(I182&gt;=4,M182&gt;'Segmentation Summary'!$C$1),"C4 - Luxury Investors",IF(AND(D182&lt;'Segmentation Summary'!$C$2,J182=1),"C2 - First-Time Buyers","C5 - Other Individual Buyers"))))</f>
        <v>C1 - Global Investors</v>
      </c>
    </row>
    <row r="183" customFormat="false" ht="15" hidden="false" customHeight="true" outlineLevel="0" collapsed="false">
      <c r="A183" s="13" t="s">
        <v>444</v>
      </c>
      <c r="B183" s="13" t="s">
        <v>34</v>
      </c>
      <c r="C183" s="13" t="s">
        <v>445</v>
      </c>
      <c r="D183" s="13" t="n">
        <v>52</v>
      </c>
      <c r="E183" s="13" t="s">
        <v>90</v>
      </c>
      <c r="F183" s="13" t="s">
        <v>33</v>
      </c>
      <c r="G183" s="13" t="s">
        <v>95</v>
      </c>
      <c r="H183" s="13" t="s">
        <v>41</v>
      </c>
      <c r="I183" s="13" t="n">
        <v>3</v>
      </c>
      <c r="J183" s="13" t="n">
        <v>0</v>
      </c>
      <c r="K183" s="13" t="s">
        <v>91</v>
      </c>
      <c r="L183" s="13" t="n">
        <v>4</v>
      </c>
      <c r="M183" s="13" t="n">
        <v>1254240.07</v>
      </c>
      <c r="N183" s="13" t="n">
        <v>313560.0175</v>
      </c>
      <c r="O183" s="13" t="n">
        <v>1053.27</v>
      </c>
      <c r="P183" s="13" t="n">
        <v>1</v>
      </c>
      <c r="Q183" s="13" t="n">
        <v>3</v>
      </c>
      <c r="R183" s="13" t="s">
        <v>121</v>
      </c>
      <c r="S183" s="13" t="s">
        <v>114</v>
      </c>
      <c r="T183" s="13" t="n">
        <v>1</v>
      </c>
      <c r="U183" s="13" t="n">
        <f aca="false">IF(B183="Individual",1,0)</f>
        <v>1</v>
      </c>
      <c r="V183" s="13" t="n">
        <f aca="false">IF(B183="Company",1,0)</f>
        <v>0</v>
      </c>
      <c r="W183" s="13" t="n">
        <f aca="false">IF(H183="Home",1,0)</f>
        <v>1</v>
      </c>
      <c r="X183" s="13" t="n">
        <f aca="false">IF(H183="Investment",1,0)</f>
        <v>0</v>
      </c>
      <c r="Y183" s="13" t="n">
        <f aca="false">IF(K183="Website",1,0)</f>
        <v>0</v>
      </c>
      <c r="Z183" s="13" t="n">
        <f aca="false">IF(K183="Agency",1,0)</f>
        <v>1</v>
      </c>
      <c r="AA183" s="13" t="n">
        <f aca="false">IF(K183="Client",1,0)</f>
        <v>0</v>
      </c>
      <c r="AB183" s="13" t="n">
        <f aca="false">(D183-AVERAGE(D$2:D$2001))/STDEV(D$2:D$2001)</f>
        <v>-0.123224667378179</v>
      </c>
      <c r="AC183" s="13" t="n">
        <f aca="false">(I183-AVERAGE(I$2:I$2001))/STDEV(I$2:I$2001)</f>
        <v>-0.0205155458339628</v>
      </c>
      <c r="AD183" s="13" t="n">
        <f aca="false">(L183-AVERAGE(L$2:L$2001))/STDEV(L$2:L$2001)</f>
        <v>0.413838214490712</v>
      </c>
      <c r="AE183" s="13" t="n">
        <f aca="false">(M183-AVERAGE(M$2:M$2001))/STDEV(M$2:M$2001)</f>
        <v>-0.0176390728029785</v>
      </c>
      <c r="AF183" s="13" t="n">
        <f aca="false">(N183-AVERAGE(N$2:N$2001))/STDEV(N$2:N$2001)</f>
        <v>-0.480910244407906</v>
      </c>
      <c r="AG183" s="13" t="n">
        <f aca="false">(O183-AVERAGE(O$2:O$2001))/STDEV(O$2:O$2001)</f>
        <v>-0.428376499642847</v>
      </c>
      <c r="AH183" s="0" t="str">
        <f aca="false">IF(B183="Company","C3 - Corporate Buyers",IF(AND(H183="Investment",M183&gt;'Segmentation Summary'!$C$1),"C1 - Global Investors",IF(AND(I183&gt;=4,M183&gt;'Segmentation Summary'!$C$1),"C4 - Luxury Investors",IF(AND(D183&lt;'Segmentation Summary'!$C$2,J183=1),"C2 - First-Time Buyers","C5 - Other Individual Buyers"))))</f>
        <v>C5 - Other Individual Buyers</v>
      </c>
    </row>
    <row r="184" customFormat="false" ht="15" hidden="false" customHeight="true" outlineLevel="0" collapsed="false">
      <c r="A184" s="13" t="s">
        <v>446</v>
      </c>
      <c r="B184" s="13" t="s">
        <v>34</v>
      </c>
      <c r="C184" s="13" t="s">
        <v>447</v>
      </c>
      <c r="D184" s="13" t="n">
        <v>66</v>
      </c>
      <c r="E184" s="13" t="s">
        <v>90</v>
      </c>
      <c r="F184" s="13" t="s">
        <v>33</v>
      </c>
      <c r="G184" s="13" t="s">
        <v>162</v>
      </c>
      <c r="H184" s="13" t="s">
        <v>41</v>
      </c>
      <c r="I184" s="13" t="n">
        <v>5</v>
      </c>
      <c r="J184" s="13" t="n">
        <v>0</v>
      </c>
      <c r="K184" s="13" t="s">
        <v>85</v>
      </c>
      <c r="L184" s="13" t="n">
        <v>3</v>
      </c>
      <c r="M184" s="13" t="n">
        <v>1161958.29</v>
      </c>
      <c r="N184" s="13" t="n">
        <v>387319.43</v>
      </c>
      <c r="O184" s="13" t="n">
        <v>1267.58666666667</v>
      </c>
      <c r="P184" s="13" t="n">
        <v>0</v>
      </c>
      <c r="Q184" s="13" t="n">
        <v>3</v>
      </c>
      <c r="R184" s="13" t="s">
        <v>98</v>
      </c>
      <c r="S184" s="13" t="s">
        <v>121</v>
      </c>
      <c r="T184" s="13" t="n">
        <v>1</v>
      </c>
      <c r="U184" s="13" t="n">
        <f aca="false">IF(B184="Individual",1,0)</f>
        <v>1</v>
      </c>
      <c r="V184" s="13" t="n">
        <f aca="false">IF(B184="Company",1,0)</f>
        <v>0</v>
      </c>
      <c r="W184" s="13" t="n">
        <f aca="false">IF(H184="Home",1,0)</f>
        <v>1</v>
      </c>
      <c r="X184" s="13" t="n">
        <f aca="false">IF(H184="Investment",1,0)</f>
        <v>0</v>
      </c>
      <c r="Y184" s="13" t="n">
        <f aca="false">IF(K184="Website",1,0)</f>
        <v>1</v>
      </c>
      <c r="Z184" s="13" t="n">
        <f aca="false">IF(K184="Agency",1,0)</f>
        <v>0</v>
      </c>
      <c r="AA184" s="13" t="n">
        <f aca="false">IF(K184="Client",1,0)</f>
        <v>0</v>
      </c>
      <c r="AB184" s="13" t="n">
        <f aca="false">(D184-AVERAGE(D$2:D$2001))/STDEV(D$2:D$2001)</f>
        <v>0.684049709455938</v>
      </c>
      <c r="AC184" s="13" t="n">
        <f aca="false">(I184-AVERAGE(I$2:I$2001))/STDEV(I$2:I$2001)</f>
        <v>1.39434968409451</v>
      </c>
      <c r="AD184" s="13" t="n">
        <f aca="false">(L184-AVERAGE(L$2:L$2001))/STDEV(L$2:L$2001)</f>
        <v>-0.777063122173208</v>
      </c>
      <c r="AE184" s="13" t="n">
        <f aca="false">(M184-AVERAGE(M$2:M$2001))/STDEV(M$2:M$2001)</f>
        <v>-0.282945698501935</v>
      </c>
      <c r="AF184" s="13" t="n">
        <f aca="false">(N184-AVERAGE(N$2:N$2001))/STDEV(N$2:N$2001)</f>
        <v>0.576999755373554</v>
      </c>
      <c r="AG184" s="13" t="n">
        <f aca="false">(O184-AVERAGE(O$2:O$2001))/STDEV(O$2:O$2001)</f>
        <v>0.546133074972518</v>
      </c>
      <c r="AH184" s="0" t="str">
        <f aca="false">IF(B184="Company","C3 - Corporate Buyers",IF(AND(H184="Investment",M184&gt;'Segmentation Summary'!$C$1),"C1 - Global Investors",IF(AND(I184&gt;=4,M184&gt;'Segmentation Summary'!$C$1),"C4 - Luxury Investors",IF(AND(D184&lt;'Segmentation Summary'!$C$2,J184=1),"C2 - First-Time Buyers","C5 - Other Individual Buyers"))))</f>
        <v>C5 - Other Individual Buyers</v>
      </c>
    </row>
    <row r="185" customFormat="false" ht="15" hidden="false" customHeight="true" outlineLevel="0" collapsed="false">
      <c r="A185" s="13" t="s">
        <v>448</v>
      </c>
      <c r="B185" s="13" t="s">
        <v>34</v>
      </c>
      <c r="C185" s="13" t="s">
        <v>449</v>
      </c>
      <c r="D185" s="13" t="n">
        <v>61</v>
      </c>
      <c r="E185" s="13" t="s">
        <v>90</v>
      </c>
      <c r="F185" s="13" t="s">
        <v>33</v>
      </c>
      <c r="G185" s="13" t="s">
        <v>95</v>
      </c>
      <c r="H185" s="13" t="s">
        <v>41</v>
      </c>
      <c r="I185" s="13" t="n">
        <v>5</v>
      </c>
      <c r="J185" s="13" t="n">
        <v>0</v>
      </c>
      <c r="K185" s="13" t="s">
        <v>91</v>
      </c>
      <c r="L185" s="13" t="n">
        <v>3</v>
      </c>
      <c r="M185" s="13" t="n">
        <v>1174812.86</v>
      </c>
      <c r="N185" s="13" t="n">
        <v>391604.286666667</v>
      </c>
      <c r="O185" s="13" t="n">
        <v>1271.67</v>
      </c>
      <c r="P185" s="13" t="n">
        <v>0</v>
      </c>
      <c r="Q185" s="13" t="n">
        <v>3</v>
      </c>
      <c r="R185" s="13" t="s">
        <v>98</v>
      </c>
      <c r="S185" s="13" t="s">
        <v>135</v>
      </c>
      <c r="T185" s="13" t="n">
        <v>1</v>
      </c>
      <c r="U185" s="13" t="n">
        <f aca="false">IF(B185="Individual",1,0)</f>
        <v>1</v>
      </c>
      <c r="V185" s="13" t="n">
        <f aca="false">IF(B185="Company",1,0)</f>
        <v>0</v>
      </c>
      <c r="W185" s="13" t="n">
        <f aca="false">IF(H185="Home",1,0)</f>
        <v>1</v>
      </c>
      <c r="X185" s="13" t="n">
        <f aca="false">IF(H185="Investment",1,0)</f>
        <v>0</v>
      </c>
      <c r="Y185" s="13" t="n">
        <f aca="false">IF(K185="Website",1,0)</f>
        <v>0</v>
      </c>
      <c r="Z185" s="13" t="n">
        <f aca="false">IF(K185="Agency",1,0)</f>
        <v>1</v>
      </c>
      <c r="AA185" s="13" t="n">
        <f aca="false">IF(K185="Client",1,0)</f>
        <v>0</v>
      </c>
      <c r="AB185" s="13" t="n">
        <f aca="false">(D185-AVERAGE(D$2:D$2001))/STDEV(D$2:D$2001)</f>
        <v>0.395737432015182</v>
      </c>
      <c r="AC185" s="13" t="n">
        <f aca="false">(I185-AVERAGE(I$2:I$2001))/STDEV(I$2:I$2001)</f>
        <v>1.39434968409451</v>
      </c>
      <c r="AD185" s="13" t="n">
        <f aca="false">(L185-AVERAGE(L$2:L$2001))/STDEV(L$2:L$2001)</f>
        <v>-0.777063122173208</v>
      </c>
      <c r="AE185" s="13" t="n">
        <f aca="false">(M185-AVERAGE(M$2:M$2001))/STDEV(M$2:M$2001)</f>
        <v>-0.245989296149152</v>
      </c>
      <c r="AF185" s="13" t="n">
        <f aca="false">(N185-AVERAGE(N$2:N$2001))/STDEV(N$2:N$2001)</f>
        <v>0.6384562198661</v>
      </c>
      <c r="AG185" s="13" t="n">
        <f aca="false">(O185-AVERAGE(O$2:O$2001))/STDEV(O$2:O$2001)</f>
        <v>0.564700214390869</v>
      </c>
      <c r="AH185" s="0" t="str">
        <f aca="false">IF(B185="Company","C3 - Corporate Buyers",IF(AND(H185="Investment",M185&gt;'Segmentation Summary'!$C$1),"C1 - Global Investors",IF(AND(I185&gt;=4,M185&gt;'Segmentation Summary'!$C$1),"C4 - Luxury Investors",IF(AND(D185&lt;'Segmentation Summary'!$C$2,J185=1),"C2 - First-Time Buyers","C5 - Other Individual Buyers"))))</f>
        <v>C5 - Other Individual Buyers</v>
      </c>
    </row>
    <row r="186" customFormat="false" ht="15" hidden="false" customHeight="true" outlineLevel="0" collapsed="false">
      <c r="A186" s="13" t="s">
        <v>450</v>
      </c>
      <c r="B186" s="13" t="s">
        <v>34</v>
      </c>
      <c r="C186" s="13" t="s">
        <v>451</v>
      </c>
      <c r="D186" s="13" t="n">
        <v>49</v>
      </c>
      <c r="E186" s="13" t="s">
        <v>90</v>
      </c>
      <c r="F186" s="13" t="s">
        <v>35</v>
      </c>
      <c r="G186" s="13" t="s">
        <v>374</v>
      </c>
      <c r="H186" s="13" t="s">
        <v>41</v>
      </c>
      <c r="I186" s="13" t="n">
        <v>1</v>
      </c>
      <c r="J186" s="13" t="n">
        <v>0</v>
      </c>
      <c r="K186" s="13" t="s">
        <v>85</v>
      </c>
      <c r="L186" s="13" t="n">
        <v>4</v>
      </c>
      <c r="M186" s="13" t="n">
        <v>946796.24</v>
      </c>
      <c r="N186" s="13" t="n">
        <v>236699.06</v>
      </c>
      <c r="O186" s="13" t="n">
        <v>716.4525</v>
      </c>
      <c r="P186" s="13" t="n">
        <v>2</v>
      </c>
      <c r="Q186" s="13" t="n">
        <v>2</v>
      </c>
      <c r="R186" s="13" t="s">
        <v>101</v>
      </c>
      <c r="S186" s="13" t="s">
        <v>107</v>
      </c>
      <c r="T186" s="13" t="n">
        <v>1</v>
      </c>
      <c r="U186" s="13" t="n">
        <f aca="false">IF(B186="Individual",1,0)</f>
        <v>1</v>
      </c>
      <c r="V186" s="13" t="n">
        <f aca="false">IF(B186="Company",1,0)</f>
        <v>0</v>
      </c>
      <c r="W186" s="13" t="n">
        <f aca="false">IF(H186="Home",1,0)</f>
        <v>1</v>
      </c>
      <c r="X186" s="13" t="n">
        <f aca="false">IF(H186="Investment",1,0)</f>
        <v>0</v>
      </c>
      <c r="Y186" s="13" t="n">
        <f aca="false">IF(K186="Website",1,0)</f>
        <v>1</v>
      </c>
      <c r="Z186" s="13" t="n">
        <f aca="false">IF(K186="Agency",1,0)</f>
        <v>0</v>
      </c>
      <c r="AA186" s="13" t="n">
        <f aca="false">IF(K186="Client",1,0)</f>
        <v>0</v>
      </c>
      <c r="AB186" s="13" t="n">
        <f aca="false">(D186-AVERAGE(D$2:D$2001))/STDEV(D$2:D$2001)</f>
        <v>-0.296212033842633</v>
      </c>
      <c r="AC186" s="13" t="n">
        <f aca="false">(I186-AVERAGE(I$2:I$2001))/STDEV(I$2:I$2001)</f>
        <v>-1.43538077576244</v>
      </c>
      <c r="AD186" s="13" t="n">
        <f aca="false">(L186-AVERAGE(L$2:L$2001))/STDEV(L$2:L$2001)</f>
        <v>0.413838214490712</v>
      </c>
      <c r="AE186" s="13" t="n">
        <f aca="false">(M186-AVERAGE(M$2:M$2001))/STDEV(M$2:M$2001)</f>
        <v>-0.90152845084991</v>
      </c>
      <c r="AF186" s="13" t="n">
        <f aca="false">(N186-AVERAGE(N$2:N$2001))/STDEV(N$2:N$2001)</f>
        <v>-1.58330481041706</v>
      </c>
      <c r="AG186" s="13" t="n">
        <f aca="false">(O186-AVERAGE(O$2:O$2001))/STDEV(O$2:O$2001)</f>
        <v>-1.95990404602128</v>
      </c>
      <c r="AH186" s="0" t="str">
        <f aca="false">IF(B186="Company","C3 - Corporate Buyers",IF(AND(H186="Investment",M186&gt;'Segmentation Summary'!$C$1),"C1 - Global Investors",IF(AND(I186&gt;=4,M186&gt;'Segmentation Summary'!$C$1),"C4 - Luxury Investors",IF(AND(D186&lt;'Segmentation Summary'!$C$2,J186=1),"C2 - First-Time Buyers","C5 - Other Individual Buyers"))))</f>
        <v>C5 - Other Individual Buyers</v>
      </c>
    </row>
    <row r="187" customFormat="false" ht="15" hidden="false" customHeight="true" outlineLevel="0" collapsed="false">
      <c r="A187" s="13" t="s">
        <v>452</v>
      </c>
      <c r="B187" s="13" t="s">
        <v>34</v>
      </c>
      <c r="C187" s="13" t="s">
        <v>453</v>
      </c>
      <c r="D187" s="13" t="n">
        <v>50</v>
      </c>
      <c r="E187" s="13" t="s">
        <v>90</v>
      </c>
      <c r="F187" s="13" t="s">
        <v>38</v>
      </c>
      <c r="G187" s="13" t="s">
        <v>183</v>
      </c>
      <c r="H187" s="13" t="s">
        <v>41</v>
      </c>
      <c r="I187" s="13" t="n">
        <v>5</v>
      </c>
      <c r="J187" s="13" t="n">
        <v>0</v>
      </c>
      <c r="K187" s="13" t="s">
        <v>85</v>
      </c>
      <c r="L187" s="13" t="n">
        <v>3</v>
      </c>
      <c r="M187" s="13" t="n">
        <v>871968.67</v>
      </c>
      <c r="N187" s="13" t="n">
        <v>290656.223333333</v>
      </c>
      <c r="O187" s="13" t="n">
        <v>927.606666666667</v>
      </c>
      <c r="P187" s="13" t="n">
        <v>0</v>
      </c>
      <c r="Q187" s="13" t="n">
        <v>3</v>
      </c>
      <c r="R187" s="13" t="s">
        <v>121</v>
      </c>
      <c r="S187" s="13" t="s">
        <v>150</v>
      </c>
      <c r="T187" s="13" t="n">
        <v>1</v>
      </c>
      <c r="U187" s="13" t="n">
        <f aca="false">IF(B187="Individual",1,0)</f>
        <v>1</v>
      </c>
      <c r="V187" s="13" t="n">
        <f aca="false">IF(B187="Company",1,0)</f>
        <v>0</v>
      </c>
      <c r="W187" s="13" t="n">
        <f aca="false">IF(H187="Home",1,0)</f>
        <v>1</v>
      </c>
      <c r="X187" s="13" t="n">
        <f aca="false">IF(H187="Investment",1,0)</f>
        <v>0</v>
      </c>
      <c r="Y187" s="13" t="n">
        <f aca="false">IF(K187="Website",1,0)</f>
        <v>1</v>
      </c>
      <c r="Z187" s="13" t="n">
        <f aca="false">IF(K187="Agency",1,0)</f>
        <v>0</v>
      </c>
      <c r="AA187" s="13" t="n">
        <f aca="false">IF(K187="Client",1,0)</f>
        <v>0</v>
      </c>
      <c r="AB187" s="13" t="n">
        <f aca="false">(D187-AVERAGE(D$2:D$2001))/STDEV(D$2:D$2001)</f>
        <v>-0.238549578354482</v>
      </c>
      <c r="AC187" s="13" t="n">
        <f aca="false">(I187-AVERAGE(I$2:I$2001))/STDEV(I$2:I$2001)</f>
        <v>1.39434968409451</v>
      </c>
      <c r="AD187" s="13" t="n">
        <f aca="false">(L187-AVERAGE(L$2:L$2001))/STDEV(L$2:L$2001)</f>
        <v>-0.777063122173208</v>
      </c>
      <c r="AE187" s="13" t="n">
        <f aca="false">(M187-AVERAGE(M$2:M$2001))/STDEV(M$2:M$2001)</f>
        <v>-1.11665488323941</v>
      </c>
      <c r="AF187" s="13" t="n">
        <f aca="false">(N187-AVERAGE(N$2:N$2001))/STDEV(N$2:N$2001)</f>
        <v>-0.809412764433446</v>
      </c>
      <c r="AG187" s="13" t="n">
        <f aca="false">(O187-AVERAGE(O$2:O$2001))/STDEV(O$2:O$2001)</f>
        <v>-0.999774531424851</v>
      </c>
      <c r="AH187" s="0" t="str">
        <f aca="false">IF(B187="Company","C3 - Corporate Buyers",IF(AND(H187="Investment",M187&gt;'Segmentation Summary'!$C$1),"C1 - Global Investors",IF(AND(I187&gt;=4,M187&gt;'Segmentation Summary'!$C$1),"C4 - Luxury Investors",IF(AND(D187&lt;'Segmentation Summary'!$C$2,J187=1),"C2 - First-Time Buyers","C5 - Other Individual Buyers"))))</f>
        <v>C5 - Other Individual Buyers</v>
      </c>
    </row>
    <row r="188" customFormat="false" ht="15" hidden="false" customHeight="true" outlineLevel="0" collapsed="false">
      <c r="A188" s="13" t="s">
        <v>454</v>
      </c>
      <c r="B188" s="13" t="s">
        <v>34</v>
      </c>
      <c r="C188" s="13" t="s">
        <v>455</v>
      </c>
      <c r="D188" s="13" t="n">
        <v>63</v>
      </c>
      <c r="E188" s="13" t="s">
        <v>90</v>
      </c>
      <c r="F188" s="13" t="s">
        <v>33</v>
      </c>
      <c r="G188" s="13" t="s">
        <v>265</v>
      </c>
      <c r="H188" s="13" t="s">
        <v>41</v>
      </c>
      <c r="I188" s="13" t="n">
        <v>1</v>
      </c>
      <c r="J188" s="13" t="n">
        <v>1</v>
      </c>
      <c r="K188" s="13" t="s">
        <v>85</v>
      </c>
      <c r="L188" s="13" t="n">
        <v>4</v>
      </c>
      <c r="M188" s="13" t="n">
        <v>1096466.77</v>
      </c>
      <c r="N188" s="13" t="n">
        <v>274116.6925</v>
      </c>
      <c r="O188" s="13" t="n">
        <v>1000.415</v>
      </c>
      <c r="P188" s="13" t="n">
        <v>1</v>
      </c>
      <c r="Q188" s="13" t="n">
        <v>3</v>
      </c>
      <c r="R188" s="13" t="s">
        <v>101</v>
      </c>
      <c r="S188" s="13" t="s">
        <v>87</v>
      </c>
      <c r="T188" s="13" t="n">
        <v>1</v>
      </c>
      <c r="U188" s="13" t="n">
        <f aca="false">IF(B188="Individual",1,0)</f>
        <v>1</v>
      </c>
      <c r="V188" s="13" t="n">
        <f aca="false">IF(B188="Company",1,0)</f>
        <v>0</v>
      </c>
      <c r="W188" s="13" t="n">
        <f aca="false">IF(H188="Home",1,0)</f>
        <v>1</v>
      </c>
      <c r="X188" s="13" t="n">
        <f aca="false">IF(H188="Investment",1,0)</f>
        <v>0</v>
      </c>
      <c r="Y188" s="13" t="n">
        <f aca="false">IF(K188="Website",1,0)</f>
        <v>1</v>
      </c>
      <c r="Z188" s="13" t="n">
        <f aca="false">IF(K188="Agency",1,0)</f>
        <v>0</v>
      </c>
      <c r="AA188" s="13" t="n">
        <f aca="false">IF(K188="Client",1,0)</f>
        <v>0</v>
      </c>
      <c r="AB188" s="13" t="n">
        <f aca="false">(D188-AVERAGE(D$2:D$2001))/STDEV(D$2:D$2001)</f>
        <v>0.511062342991484</v>
      </c>
      <c r="AC188" s="13" t="n">
        <f aca="false">(I188-AVERAGE(I$2:I$2001))/STDEV(I$2:I$2001)</f>
        <v>-1.43538077576244</v>
      </c>
      <c r="AD188" s="13" t="n">
        <f aca="false">(L188-AVERAGE(L$2:L$2001))/STDEV(L$2:L$2001)</f>
        <v>0.413838214490712</v>
      </c>
      <c r="AE188" s="13" t="n">
        <f aca="false">(M188-AVERAGE(M$2:M$2001))/STDEV(M$2:M$2001)</f>
        <v>-0.471231340403248</v>
      </c>
      <c r="AF188" s="13" t="n">
        <f aca="false">(N188-AVERAGE(N$2:N$2001))/STDEV(N$2:N$2001)</f>
        <v>-1.04663448932553</v>
      </c>
      <c r="AG188" s="13" t="n">
        <f aca="false">(O188-AVERAGE(O$2:O$2001))/STDEV(O$2:O$2001)</f>
        <v>-0.668711067959019</v>
      </c>
      <c r="AH188" s="0" t="str">
        <f aca="false">IF(B188="Company","C3 - Corporate Buyers",IF(AND(H188="Investment",M188&gt;'Segmentation Summary'!$C$1),"C1 - Global Investors",IF(AND(I188&gt;=4,M188&gt;'Segmentation Summary'!$C$1),"C4 - Luxury Investors",IF(AND(D188&lt;'Segmentation Summary'!$C$2,J188=1),"C2 - First-Time Buyers","C5 - Other Individual Buyers"))))</f>
        <v>C5 - Other Individual Buyers</v>
      </c>
    </row>
    <row r="189" customFormat="false" ht="15" hidden="false" customHeight="true" outlineLevel="0" collapsed="false">
      <c r="A189" s="13" t="s">
        <v>456</v>
      </c>
      <c r="B189" s="13" t="s">
        <v>34</v>
      </c>
      <c r="C189" s="13" t="s">
        <v>457</v>
      </c>
      <c r="D189" s="13" t="n">
        <v>80</v>
      </c>
      <c r="E189" s="13" t="s">
        <v>90</v>
      </c>
      <c r="F189" s="13" t="s">
        <v>33</v>
      </c>
      <c r="G189" s="13" t="s">
        <v>95</v>
      </c>
      <c r="H189" s="13" t="s">
        <v>41</v>
      </c>
      <c r="I189" s="13" t="n">
        <v>3</v>
      </c>
      <c r="J189" s="13" t="n">
        <v>1</v>
      </c>
      <c r="K189" s="13" t="s">
        <v>85</v>
      </c>
      <c r="L189" s="13" t="n">
        <v>3</v>
      </c>
      <c r="M189" s="13" t="n">
        <v>1010761.74</v>
      </c>
      <c r="N189" s="13" t="n">
        <v>336920.58</v>
      </c>
      <c r="O189" s="13" t="n">
        <v>1049.38</v>
      </c>
      <c r="P189" s="13" t="n">
        <v>0</v>
      </c>
      <c r="Q189" s="13" t="n">
        <v>3</v>
      </c>
      <c r="R189" s="13" t="s">
        <v>124</v>
      </c>
      <c r="S189" s="13" t="s">
        <v>87</v>
      </c>
      <c r="T189" s="13" t="n">
        <v>1</v>
      </c>
      <c r="U189" s="13" t="n">
        <f aca="false">IF(B189="Individual",1,0)</f>
        <v>1</v>
      </c>
      <c r="V189" s="13" t="n">
        <f aca="false">IF(B189="Company",1,0)</f>
        <v>0</v>
      </c>
      <c r="W189" s="13" t="n">
        <f aca="false">IF(H189="Home",1,0)</f>
        <v>1</v>
      </c>
      <c r="X189" s="13" t="n">
        <f aca="false">IF(H189="Investment",1,0)</f>
        <v>0</v>
      </c>
      <c r="Y189" s="13" t="n">
        <f aca="false">IF(K189="Website",1,0)</f>
        <v>1</v>
      </c>
      <c r="Z189" s="13" t="n">
        <f aca="false">IF(K189="Agency",1,0)</f>
        <v>0</v>
      </c>
      <c r="AA189" s="13" t="n">
        <f aca="false">IF(K189="Client",1,0)</f>
        <v>0</v>
      </c>
      <c r="AB189" s="13" t="n">
        <f aca="false">(D189-AVERAGE(D$2:D$2001))/STDEV(D$2:D$2001)</f>
        <v>1.49132408629005</v>
      </c>
      <c r="AC189" s="13" t="n">
        <f aca="false">(I189-AVERAGE(I$2:I$2001))/STDEV(I$2:I$2001)</f>
        <v>-0.0205155458339628</v>
      </c>
      <c r="AD189" s="13" t="n">
        <f aca="false">(L189-AVERAGE(L$2:L$2001))/STDEV(L$2:L$2001)</f>
        <v>-0.777063122173208</v>
      </c>
      <c r="AE189" s="13" t="n">
        <f aca="false">(M189-AVERAGE(M$2:M$2001))/STDEV(M$2:M$2001)</f>
        <v>-0.71763005870634</v>
      </c>
      <c r="AF189" s="13" t="n">
        <f aca="false">(N189-AVERAGE(N$2:N$2001))/STDEV(N$2:N$2001)</f>
        <v>-0.145856427794741</v>
      </c>
      <c r="AG189" s="13" t="n">
        <f aca="false">(O189-AVERAGE(O$2:O$2001))/STDEV(O$2:O$2001)</f>
        <v>-0.446064541847934</v>
      </c>
      <c r="AH189" s="0" t="str">
        <f aca="false">IF(B189="Company","C3 - Corporate Buyers",IF(AND(H189="Investment",M189&gt;'Segmentation Summary'!$C$1),"C1 - Global Investors",IF(AND(I189&gt;=4,M189&gt;'Segmentation Summary'!$C$1),"C4 - Luxury Investors",IF(AND(D189&lt;'Segmentation Summary'!$C$2,J189=1),"C2 - First-Time Buyers","C5 - Other Individual Buyers"))))</f>
        <v>C5 - Other Individual Buyers</v>
      </c>
    </row>
    <row r="190" customFormat="false" ht="15" hidden="false" customHeight="true" outlineLevel="0" collapsed="false">
      <c r="A190" s="13" t="s">
        <v>458</v>
      </c>
      <c r="B190" s="13" t="s">
        <v>34</v>
      </c>
      <c r="C190" s="13" t="s">
        <v>459</v>
      </c>
      <c r="D190" s="13" t="n">
        <v>67</v>
      </c>
      <c r="E190" s="13" t="s">
        <v>83</v>
      </c>
      <c r="F190" s="13" t="s">
        <v>33</v>
      </c>
      <c r="G190" s="13" t="s">
        <v>95</v>
      </c>
      <c r="H190" s="13" t="s">
        <v>41</v>
      </c>
      <c r="I190" s="13" t="n">
        <v>5</v>
      </c>
      <c r="J190" s="13" t="n">
        <v>1</v>
      </c>
      <c r="K190" s="13" t="s">
        <v>116</v>
      </c>
      <c r="L190" s="13" t="n">
        <v>4</v>
      </c>
      <c r="M190" s="13" t="n">
        <v>1773474.26</v>
      </c>
      <c r="N190" s="13" t="n">
        <v>443368.565</v>
      </c>
      <c r="O190" s="13" t="n">
        <v>1402.0425</v>
      </c>
      <c r="P190" s="13" t="n">
        <v>2</v>
      </c>
      <c r="Q190" s="13" t="n">
        <v>2</v>
      </c>
      <c r="R190" s="13" t="s">
        <v>101</v>
      </c>
      <c r="S190" s="13" t="s">
        <v>125</v>
      </c>
      <c r="T190" s="13" t="n">
        <v>1</v>
      </c>
      <c r="U190" s="13" t="n">
        <f aca="false">IF(B190="Individual",1,0)</f>
        <v>1</v>
      </c>
      <c r="V190" s="13" t="n">
        <f aca="false">IF(B190="Company",1,0)</f>
        <v>0</v>
      </c>
      <c r="W190" s="13" t="n">
        <f aca="false">IF(H190="Home",1,0)</f>
        <v>1</v>
      </c>
      <c r="X190" s="13" t="n">
        <f aca="false">IF(H190="Investment",1,0)</f>
        <v>0</v>
      </c>
      <c r="Y190" s="13" t="n">
        <f aca="false">IF(K190="Website",1,0)</f>
        <v>0</v>
      </c>
      <c r="Z190" s="13" t="n">
        <f aca="false">IF(K190="Agency",1,0)</f>
        <v>0</v>
      </c>
      <c r="AA190" s="13" t="n">
        <f aca="false">IF(K190="Client",1,0)</f>
        <v>1</v>
      </c>
      <c r="AB190" s="13" t="n">
        <f aca="false">(D190-AVERAGE(D$2:D$2001))/STDEV(D$2:D$2001)</f>
        <v>0.741712164944089</v>
      </c>
      <c r="AC190" s="13" t="n">
        <f aca="false">(I190-AVERAGE(I$2:I$2001))/STDEV(I$2:I$2001)</f>
        <v>1.39434968409451</v>
      </c>
      <c r="AD190" s="13" t="n">
        <f aca="false">(L190-AVERAGE(L$2:L$2001))/STDEV(L$2:L$2001)</f>
        <v>0.413838214490712</v>
      </c>
      <c r="AE190" s="13" t="n">
        <f aca="false">(M190-AVERAGE(M$2:M$2001))/STDEV(M$2:M$2001)</f>
        <v>1.47513957642151</v>
      </c>
      <c r="AF190" s="13" t="n">
        <f aca="false">(N190-AVERAGE(N$2:N$2001))/STDEV(N$2:N$2001)</f>
        <v>1.38089634817249</v>
      </c>
      <c r="AG190" s="13" t="n">
        <f aca="false">(O190-AVERAGE(O$2:O$2001))/STDEV(O$2:O$2001)</f>
        <v>1.15751108389801</v>
      </c>
      <c r="AH190" s="0" t="str">
        <f aca="false">IF(B190="Company","C3 - Corporate Buyers",IF(AND(H190="Investment",M190&gt;'Segmentation Summary'!$C$1),"C1 - Global Investors",IF(AND(I190&gt;=4,M190&gt;'Segmentation Summary'!$C$1),"C4 - Luxury Investors",IF(AND(D190&lt;'Segmentation Summary'!$C$2,J190=1),"C2 - First-Time Buyers","C5 - Other Individual Buyers"))))</f>
        <v>C4 - Luxury Investors</v>
      </c>
    </row>
    <row r="191" customFormat="false" ht="15" hidden="false" customHeight="true" outlineLevel="0" collapsed="false">
      <c r="A191" s="13" t="s">
        <v>460</v>
      </c>
      <c r="B191" s="13" t="s">
        <v>34</v>
      </c>
      <c r="C191" s="13" t="s">
        <v>461</v>
      </c>
      <c r="D191" s="13" t="n">
        <v>45</v>
      </c>
      <c r="E191" s="13" t="s">
        <v>90</v>
      </c>
      <c r="F191" s="13" t="s">
        <v>33</v>
      </c>
      <c r="G191" s="13" t="s">
        <v>207</v>
      </c>
      <c r="H191" s="13" t="s">
        <v>41</v>
      </c>
      <c r="I191" s="13" t="n">
        <v>1</v>
      </c>
      <c r="J191" s="13" t="n">
        <v>1</v>
      </c>
      <c r="K191" s="13" t="s">
        <v>85</v>
      </c>
      <c r="L191" s="13" t="n">
        <v>3</v>
      </c>
      <c r="M191" s="13" t="n">
        <v>839967.04</v>
      </c>
      <c r="N191" s="13" t="n">
        <v>279989.013333333</v>
      </c>
      <c r="O191" s="13" t="n">
        <v>973.09</v>
      </c>
      <c r="P191" s="13" t="n">
        <v>0</v>
      </c>
      <c r="Q191" s="13" t="n">
        <v>3</v>
      </c>
      <c r="R191" s="13" t="s">
        <v>141</v>
      </c>
      <c r="S191" s="13" t="s">
        <v>164</v>
      </c>
      <c r="T191" s="13" t="n">
        <v>1</v>
      </c>
      <c r="U191" s="13" t="n">
        <f aca="false">IF(B191="Individual",1,0)</f>
        <v>1</v>
      </c>
      <c r="V191" s="13" t="n">
        <f aca="false">IF(B191="Company",1,0)</f>
        <v>0</v>
      </c>
      <c r="W191" s="13" t="n">
        <f aca="false">IF(H191="Home",1,0)</f>
        <v>1</v>
      </c>
      <c r="X191" s="13" t="n">
        <f aca="false">IF(H191="Investment",1,0)</f>
        <v>0</v>
      </c>
      <c r="Y191" s="13" t="n">
        <f aca="false">IF(K191="Website",1,0)</f>
        <v>1</v>
      </c>
      <c r="Z191" s="13" t="n">
        <f aca="false">IF(K191="Agency",1,0)</f>
        <v>0</v>
      </c>
      <c r="AA191" s="13" t="n">
        <f aca="false">IF(K191="Client",1,0)</f>
        <v>0</v>
      </c>
      <c r="AB191" s="13" t="n">
        <f aca="false">(D191-AVERAGE(D$2:D$2001))/STDEV(D$2:D$2001)</f>
        <v>-0.526861855795238</v>
      </c>
      <c r="AC191" s="13" t="n">
        <f aca="false">(I191-AVERAGE(I$2:I$2001))/STDEV(I$2:I$2001)</f>
        <v>-1.43538077576244</v>
      </c>
      <c r="AD191" s="13" t="n">
        <f aca="false">(L191-AVERAGE(L$2:L$2001))/STDEV(L$2:L$2001)</f>
        <v>-0.777063122173208</v>
      </c>
      <c r="AE191" s="13" t="n">
        <f aca="false">(M191-AVERAGE(M$2:M$2001))/STDEV(M$2:M$2001)</f>
        <v>-1.2086583585968</v>
      </c>
      <c r="AF191" s="13" t="n">
        <f aca="false">(N191-AVERAGE(N$2:N$2001))/STDEV(N$2:N$2001)</f>
        <v>-0.962409483716815</v>
      </c>
      <c r="AG191" s="13" t="n">
        <f aca="false">(O191-AVERAGE(O$2:O$2001))/STDEV(O$2:O$2001)</f>
        <v>-0.792959333577019</v>
      </c>
      <c r="AH191" s="0" t="str">
        <f aca="false">IF(B191="Company","C3 - Corporate Buyers",IF(AND(H191="Investment",M191&gt;'Segmentation Summary'!$C$1),"C1 - Global Investors",IF(AND(I191&gt;=4,M191&gt;'Segmentation Summary'!$C$1),"C4 - Luxury Investors",IF(AND(D191&lt;'Segmentation Summary'!$C$2,J191=1),"C2 - First-Time Buyers","C5 - Other Individual Buyers"))))</f>
        <v>C2 - First-Time Buyers</v>
      </c>
    </row>
    <row r="192" customFormat="false" ht="15" hidden="false" customHeight="true" outlineLevel="0" collapsed="false">
      <c r="A192" s="13" t="s">
        <v>462</v>
      </c>
      <c r="B192" s="13" t="s">
        <v>34</v>
      </c>
      <c r="C192" s="13" t="s">
        <v>463</v>
      </c>
      <c r="D192" s="13" t="n">
        <v>48</v>
      </c>
      <c r="E192" s="13" t="s">
        <v>90</v>
      </c>
      <c r="F192" s="13" t="s">
        <v>33</v>
      </c>
      <c r="G192" s="13" t="s">
        <v>97</v>
      </c>
      <c r="H192" s="13" t="s">
        <v>41</v>
      </c>
      <c r="I192" s="13" t="n">
        <v>3</v>
      </c>
      <c r="J192" s="13" t="n">
        <v>0</v>
      </c>
      <c r="K192" s="13" t="s">
        <v>85</v>
      </c>
      <c r="L192" s="13" t="n">
        <v>4</v>
      </c>
      <c r="M192" s="13" t="n">
        <v>964351.9</v>
      </c>
      <c r="N192" s="13" t="n">
        <v>241087.975</v>
      </c>
      <c r="O192" s="13" t="n">
        <v>816.16</v>
      </c>
      <c r="P192" s="13" t="n">
        <v>0</v>
      </c>
      <c r="Q192" s="13" t="n">
        <v>4</v>
      </c>
      <c r="R192" s="13" t="s">
        <v>98</v>
      </c>
      <c r="S192" s="13" t="s">
        <v>125</v>
      </c>
      <c r="T192" s="13" t="n">
        <v>1</v>
      </c>
      <c r="U192" s="13" t="n">
        <f aca="false">IF(B192="Individual",1,0)</f>
        <v>1</v>
      </c>
      <c r="V192" s="13" t="n">
        <f aca="false">IF(B192="Company",1,0)</f>
        <v>0</v>
      </c>
      <c r="W192" s="13" t="n">
        <f aca="false">IF(H192="Home",1,0)</f>
        <v>1</v>
      </c>
      <c r="X192" s="13" t="n">
        <f aca="false">IF(H192="Investment",1,0)</f>
        <v>0</v>
      </c>
      <c r="Y192" s="13" t="n">
        <f aca="false">IF(K192="Website",1,0)</f>
        <v>1</v>
      </c>
      <c r="Z192" s="13" t="n">
        <f aca="false">IF(K192="Agency",1,0)</f>
        <v>0</v>
      </c>
      <c r="AA192" s="13" t="n">
        <f aca="false">IF(K192="Client",1,0)</f>
        <v>0</v>
      </c>
      <c r="AB192" s="13" t="n">
        <f aca="false">(D192-AVERAGE(D$2:D$2001))/STDEV(D$2:D$2001)</f>
        <v>-0.353874489330784</v>
      </c>
      <c r="AC192" s="13" t="n">
        <f aca="false">(I192-AVERAGE(I$2:I$2001))/STDEV(I$2:I$2001)</f>
        <v>-0.0205155458339628</v>
      </c>
      <c r="AD192" s="13" t="n">
        <f aca="false">(L192-AVERAGE(L$2:L$2001))/STDEV(L$2:L$2001)</f>
        <v>0.413838214490712</v>
      </c>
      <c r="AE192" s="13" t="n">
        <f aca="false">(M192-AVERAGE(M$2:M$2001))/STDEV(M$2:M$2001)</f>
        <v>-0.851056592629163</v>
      </c>
      <c r="AF192" s="13" t="n">
        <f aca="false">(N192-AVERAGE(N$2:N$2001))/STDEV(N$2:N$2001)</f>
        <v>-1.52035586723383</v>
      </c>
      <c r="AG192" s="13" t="n">
        <f aca="false">(O192-AVERAGE(O$2:O$2001))/STDEV(O$2:O$2001)</f>
        <v>-1.50652860433394</v>
      </c>
      <c r="AH192" s="0" t="str">
        <f aca="false">IF(B192="Company","C3 - Corporate Buyers",IF(AND(H192="Investment",M192&gt;'Segmentation Summary'!$C$1),"C1 - Global Investors",IF(AND(I192&gt;=4,M192&gt;'Segmentation Summary'!$C$1),"C4 - Luxury Investors",IF(AND(D192&lt;'Segmentation Summary'!$C$2,J192=1),"C2 - First-Time Buyers","C5 - Other Individual Buyers"))))</f>
        <v>C5 - Other Individual Buyers</v>
      </c>
    </row>
    <row r="193" customFormat="false" ht="15" hidden="false" customHeight="true" outlineLevel="0" collapsed="false">
      <c r="A193" s="13" t="s">
        <v>464</v>
      </c>
      <c r="B193" s="13" t="s">
        <v>34</v>
      </c>
      <c r="C193" s="13" t="s">
        <v>465</v>
      </c>
      <c r="D193" s="13" t="n">
        <v>48</v>
      </c>
      <c r="E193" s="13" t="s">
        <v>90</v>
      </c>
      <c r="F193" s="13" t="s">
        <v>33</v>
      </c>
      <c r="G193" s="13" t="s">
        <v>95</v>
      </c>
      <c r="H193" s="13" t="s">
        <v>41</v>
      </c>
      <c r="I193" s="13" t="n">
        <v>2</v>
      </c>
      <c r="J193" s="13" t="n">
        <v>0</v>
      </c>
      <c r="K193" s="13" t="s">
        <v>85</v>
      </c>
      <c r="L193" s="13" t="n">
        <v>4</v>
      </c>
      <c r="M193" s="13" t="n">
        <v>1543714.5</v>
      </c>
      <c r="N193" s="13" t="n">
        <v>385928.625</v>
      </c>
      <c r="O193" s="13" t="n">
        <v>1324.385</v>
      </c>
      <c r="P193" s="13" t="n">
        <v>1</v>
      </c>
      <c r="Q193" s="13" t="n">
        <v>3</v>
      </c>
      <c r="R193" s="13" t="s">
        <v>92</v>
      </c>
      <c r="S193" s="13" t="s">
        <v>107</v>
      </c>
      <c r="T193" s="13" t="n">
        <v>1</v>
      </c>
      <c r="U193" s="13" t="n">
        <f aca="false">IF(B193="Individual",1,0)</f>
        <v>1</v>
      </c>
      <c r="V193" s="13" t="n">
        <f aca="false">IF(B193="Company",1,0)</f>
        <v>0</v>
      </c>
      <c r="W193" s="13" t="n">
        <f aca="false">IF(H193="Home",1,0)</f>
        <v>1</v>
      </c>
      <c r="X193" s="13" t="n">
        <f aca="false">IF(H193="Investment",1,0)</f>
        <v>0</v>
      </c>
      <c r="Y193" s="13" t="n">
        <f aca="false">IF(K193="Website",1,0)</f>
        <v>1</v>
      </c>
      <c r="Z193" s="13" t="n">
        <f aca="false">IF(K193="Agency",1,0)</f>
        <v>0</v>
      </c>
      <c r="AA193" s="13" t="n">
        <f aca="false">IF(K193="Client",1,0)</f>
        <v>0</v>
      </c>
      <c r="AB193" s="13" t="n">
        <f aca="false">(D193-AVERAGE(D$2:D$2001))/STDEV(D$2:D$2001)</f>
        <v>-0.353874489330784</v>
      </c>
      <c r="AC193" s="13" t="n">
        <f aca="false">(I193-AVERAGE(I$2:I$2001))/STDEV(I$2:I$2001)</f>
        <v>-0.727948160798201</v>
      </c>
      <c r="AD193" s="13" t="n">
        <f aca="false">(L193-AVERAGE(L$2:L$2001))/STDEV(L$2:L$2001)</f>
        <v>0.413838214490712</v>
      </c>
      <c r="AE193" s="13" t="n">
        <f aca="false">(M193-AVERAGE(M$2:M$2001))/STDEV(M$2:M$2001)</f>
        <v>0.814588960178493</v>
      </c>
      <c r="AF193" s="13" t="n">
        <f aca="false">(N193-AVERAGE(N$2:N$2001))/STDEV(N$2:N$2001)</f>
        <v>0.55705184001772</v>
      </c>
      <c r="AG193" s="13" t="n">
        <f aca="false">(O193-AVERAGE(O$2:O$2001))/STDEV(O$2:O$2001)</f>
        <v>0.80439819506984</v>
      </c>
      <c r="AH193" s="0" t="str">
        <f aca="false">IF(B193="Company","C3 - Corporate Buyers",IF(AND(H193="Investment",M193&gt;'Segmentation Summary'!$C$1),"C1 - Global Investors",IF(AND(I193&gt;=4,M193&gt;'Segmentation Summary'!$C$1),"C4 - Luxury Investors",IF(AND(D193&lt;'Segmentation Summary'!$C$2,J193=1),"C2 - First-Time Buyers","C5 - Other Individual Buyers"))))</f>
        <v>C5 - Other Individual Buyers</v>
      </c>
    </row>
    <row r="194" customFormat="false" ht="15" hidden="false" customHeight="true" outlineLevel="0" collapsed="false">
      <c r="A194" s="13" t="s">
        <v>466</v>
      </c>
      <c r="B194" s="13" t="s">
        <v>34</v>
      </c>
      <c r="C194" s="13" t="s">
        <v>467</v>
      </c>
      <c r="D194" s="13" t="n">
        <v>79</v>
      </c>
      <c r="E194" s="13" t="s">
        <v>90</v>
      </c>
      <c r="F194" s="13" t="s">
        <v>33</v>
      </c>
      <c r="G194" s="13" t="s">
        <v>84</v>
      </c>
      <c r="H194" s="13" t="s">
        <v>41</v>
      </c>
      <c r="I194" s="13" t="n">
        <v>4</v>
      </c>
      <c r="J194" s="13" t="n">
        <v>1</v>
      </c>
      <c r="K194" s="13" t="s">
        <v>91</v>
      </c>
      <c r="L194" s="13" t="n">
        <v>7</v>
      </c>
      <c r="M194" s="13" t="n">
        <v>2491911.81</v>
      </c>
      <c r="N194" s="13" t="n">
        <v>355987.401428571</v>
      </c>
      <c r="O194" s="13" t="n">
        <v>1137.29428571429</v>
      </c>
      <c r="P194" s="13" t="n">
        <v>0</v>
      </c>
      <c r="Q194" s="13" t="n">
        <v>7</v>
      </c>
      <c r="R194" s="13" t="s">
        <v>117</v>
      </c>
      <c r="S194" s="13" t="s">
        <v>133</v>
      </c>
      <c r="T194" s="13" t="n">
        <v>1</v>
      </c>
      <c r="U194" s="13" t="n">
        <f aca="false">IF(B194="Individual",1,0)</f>
        <v>1</v>
      </c>
      <c r="V194" s="13" t="n">
        <f aca="false">IF(B194="Company",1,0)</f>
        <v>0</v>
      </c>
      <c r="W194" s="13" t="n">
        <f aca="false">IF(H194="Home",1,0)</f>
        <v>1</v>
      </c>
      <c r="X194" s="13" t="n">
        <f aca="false">IF(H194="Investment",1,0)</f>
        <v>0</v>
      </c>
      <c r="Y194" s="13" t="n">
        <f aca="false">IF(K194="Website",1,0)</f>
        <v>0</v>
      </c>
      <c r="Z194" s="13" t="n">
        <f aca="false">IF(K194="Agency",1,0)</f>
        <v>1</v>
      </c>
      <c r="AA194" s="13" t="n">
        <f aca="false">IF(K194="Client",1,0)</f>
        <v>0</v>
      </c>
      <c r="AB194" s="13" t="n">
        <f aca="false">(D194-AVERAGE(D$2:D$2001))/STDEV(D$2:D$2001)</f>
        <v>1.4336616308019</v>
      </c>
      <c r="AC194" s="13" t="n">
        <f aca="false">(I194-AVERAGE(I$2:I$2001))/STDEV(I$2:I$2001)</f>
        <v>0.686917069130275</v>
      </c>
      <c r="AD194" s="13" t="n">
        <f aca="false">(L194-AVERAGE(L$2:L$2001))/STDEV(L$2:L$2001)</f>
        <v>3.98654222448247</v>
      </c>
      <c r="AE194" s="13" t="n">
        <f aca="false">(M194-AVERAGE(M$2:M$2001))/STDEV(M$2:M$2001)</f>
        <v>3.54062034809632</v>
      </c>
      <c r="AF194" s="13" t="n">
        <f aca="false">(N194-AVERAGE(N$2:N$2001))/STDEV(N$2:N$2001)</f>
        <v>0.127613497868411</v>
      </c>
      <c r="AG194" s="13" t="n">
        <f aca="false">(O194-AVERAGE(O$2:O$2001))/STDEV(O$2:O$2001)</f>
        <v>-0.0463134888544895</v>
      </c>
      <c r="AH194" s="0" t="str">
        <f aca="false">IF(B194="Company","C3 - Corporate Buyers",IF(AND(H194="Investment",M194&gt;'Segmentation Summary'!$C$1),"C1 - Global Investors",IF(AND(I194&gt;=4,M194&gt;'Segmentation Summary'!$C$1),"C4 - Luxury Investors",IF(AND(D194&lt;'Segmentation Summary'!$C$2,J194=1),"C2 - First-Time Buyers","C5 - Other Individual Buyers"))))</f>
        <v>C4 - Luxury Investors</v>
      </c>
    </row>
    <row r="195" customFormat="false" ht="15" hidden="false" customHeight="true" outlineLevel="0" collapsed="false">
      <c r="A195" s="13" t="s">
        <v>468</v>
      </c>
      <c r="B195" s="13" t="s">
        <v>34</v>
      </c>
      <c r="C195" s="13" t="s">
        <v>469</v>
      </c>
      <c r="D195" s="13" t="n">
        <v>49</v>
      </c>
      <c r="E195" s="13" t="s">
        <v>90</v>
      </c>
      <c r="F195" s="13" t="s">
        <v>33</v>
      </c>
      <c r="G195" s="13" t="s">
        <v>120</v>
      </c>
      <c r="H195" s="13" t="s">
        <v>41</v>
      </c>
      <c r="I195" s="13" t="n">
        <v>1</v>
      </c>
      <c r="J195" s="13" t="n">
        <v>0</v>
      </c>
      <c r="K195" s="13" t="s">
        <v>91</v>
      </c>
      <c r="L195" s="13" t="n">
        <v>4</v>
      </c>
      <c r="M195" s="13" t="n">
        <v>1043608.37</v>
      </c>
      <c r="N195" s="13" t="n">
        <v>260902.0925</v>
      </c>
      <c r="O195" s="13" t="n">
        <v>900.39</v>
      </c>
      <c r="P195" s="13" t="n">
        <v>1</v>
      </c>
      <c r="Q195" s="13" t="n">
        <v>3</v>
      </c>
      <c r="R195" s="13" t="s">
        <v>112</v>
      </c>
      <c r="S195" s="13" t="s">
        <v>125</v>
      </c>
      <c r="T195" s="13" t="n">
        <v>1</v>
      </c>
      <c r="U195" s="13" t="n">
        <f aca="false">IF(B195="Individual",1,0)</f>
        <v>1</v>
      </c>
      <c r="V195" s="13" t="n">
        <f aca="false">IF(B195="Company",1,0)</f>
        <v>0</v>
      </c>
      <c r="W195" s="13" t="n">
        <f aca="false">IF(H195="Home",1,0)</f>
        <v>1</v>
      </c>
      <c r="X195" s="13" t="n">
        <f aca="false">IF(H195="Investment",1,0)</f>
        <v>0</v>
      </c>
      <c r="Y195" s="13" t="n">
        <f aca="false">IF(K195="Website",1,0)</f>
        <v>0</v>
      </c>
      <c r="Z195" s="13" t="n">
        <f aca="false">IF(K195="Agency",1,0)</f>
        <v>1</v>
      </c>
      <c r="AA195" s="13" t="n">
        <f aca="false">IF(K195="Client",1,0)</f>
        <v>0</v>
      </c>
      <c r="AB195" s="13" t="n">
        <f aca="false">(D195-AVERAGE(D$2:D$2001))/STDEV(D$2:D$2001)</f>
        <v>-0.296212033842633</v>
      </c>
      <c r="AC195" s="13" t="n">
        <f aca="false">(I195-AVERAGE(I$2:I$2001))/STDEV(I$2:I$2001)</f>
        <v>-1.43538077576244</v>
      </c>
      <c r="AD195" s="13" t="n">
        <f aca="false">(L195-AVERAGE(L$2:L$2001))/STDEV(L$2:L$2001)</f>
        <v>0.413838214490712</v>
      </c>
      <c r="AE195" s="13" t="n">
        <f aca="false">(M195-AVERAGE(M$2:M$2001))/STDEV(M$2:M$2001)</f>
        <v>-0.62319724032245</v>
      </c>
      <c r="AF195" s="13" t="n">
        <f aca="false">(N195-AVERAGE(N$2:N$2001))/STDEV(N$2:N$2001)</f>
        <v>-1.23616768935084</v>
      </c>
      <c r="AG195" s="13" t="n">
        <f aca="false">(O195-AVERAGE(O$2:O$2001))/STDEV(O$2:O$2001)</f>
        <v>-1.12353019946645</v>
      </c>
      <c r="AH195" s="0" t="str">
        <f aca="false">IF(B195="Company","C3 - Corporate Buyers",IF(AND(H195="Investment",M195&gt;'Segmentation Summary'!$C$1),"C1 - Global Investors",IF(AND(I195&gt;=4,M195&gt;'Segmentation Summary'!$C$1),"C4 - Luxury Investors",IF(AND(D195&lt;'Segmentation Summary'!$C$2,J195=1),"C2 - First-Time Buyers","C5 - Other Individual Buyers"))))</f>
        <v>C5 - Other Individual Buyers</v>
      </c>
    </row>
    <row r="196" customFormat="false" ht="15" hidden="false" customHeight="true" outlineLevel="0" collapsed="false">
      <c r="A196" s="13" t="s">
        <v>470</v>
      </c>
      <c r="B196" s="13" t="s">
        <v>34</v>
      </c>
      <c r="C196" s="13" t="s">
        <v>471</v>
      </c>
      <c r="D196" s="13" t="n">
        <v>26</v>
      </c>
      <c r="E196" s="13" t="s">
        <v>90</v>
      </c>
      <c r="F196" s="13" t="s">
        <v>33</v>
      </c>
      <c r="G196" s="13" t="s">
        <v>95</v>
      </c>
      <c r="H196" s="13" t="s">
        <v>43</v>
      </c>
      <c r="I196" s="13" t="n">
        <v>1</v>
      </c>
      <c r="J196" s="13" t="n">
        <v>0</v>
      </c>
      <c r="K196" s="13" t="s">
        <v>85</v>
      </c>
      <c r="L196" s="13" t="n">
        <v>4</v>
      </c>
      <c r="M196" s="13" t="n">
        <v>1201578.93</v>
      </c>
      <c r="N196" s="13" t="n">
        <v>300394.7325</v>
      </c>
      <c r="O196" s="13" t="n">
        <v>1120.62</v>
      </c>
      <c r="P196" s="13" t="n">
        <v>0</v>
      </c>
      <c r="Q196" s="13" t="n">
        <v>4</v>
      </c>
      <c r="R196" s="13" t="s">
        <v>92</v>
      </c>
      <c r="S196" s="13" t="s">
        <v>128</v>
      </c>
      <c r="T196" s="13" t="n">
        <v>1</v>
      </c>
      <c r="U196" s="13" t="n">
        <f aca="false">IF(B196="Individual",1,0)</f>
        <v>1</v>
      </c>
      <c r="V196" s="13" t="n">
        <f aca="false">IF(B196="Company",1,0)</f>
        <v>0</v>
      </c>
      <c r="W196" s="13" t="n">
        <f aca="false">IF(H196="Home",1,0)</f>
        <v>0</v>
      </c>
      <c r="X196" s="13" t="n">
        <f aca="false">IF(H196="Investment",1,0)</f>
        <v>1</v>
      </c>
      <c r="Y196" s="13" t="n">
        <f aca="false">IF(K196="Website",1,0)</f>
        <v>1</v>
      </c>
      <c r="Z196" s="13" t="n">
        <f aca="false">IF(K196="Agency",1,0)</f>
        <v>0</v>
      </c>
      <c r="AA196" s="13" t="n">
        <f aca="false">IF(K196="Client",1,0)</f>
        <v>0</v>
      </c>
      <c r="AB196" s="13" t="n">
        <f aca="false">(D196-AVERAGE(D$2:D$2001))/STDEV(D$2:D$2001)</f>
        <v>-1.62244851007011</v>
      </c>
      <c r="AC196" s="13" t="n">
        <f aca="false">(I196-AVERAGE(I$2:I$2001))/STDEV(I$2:I$2001)</f>
        <v>-1.43538077576244</v>
      </c>
      <c r="AD196" s="13" t="n">
        <f aca="false">(L196-AVERAGE(L$2:L$2001))/STDEV(L$2:L$2001)</f>
        <v>0.413838214490712</v>
      </c>
      <c r="AE196" s="13" t="n">
        <f aca="false">(M196-AVERAGE(M$2:M$2001))/STDEV(M$2:M$2001)</f>
        <v>-0.169037857686196</v>
      </c>
      <c r="AF196" s="13" t="n">
        <f aca="false">(N196-AVERAGE(N$2:N$2001))/STDEV(N$2:N$2001)</f>
        <v>-0.66973613359829</v>
      </c>
      <c r="AG196" s="13" t="n">
        <f aca="false">(O196-AVERAGE(O$2:O$2001))/STDEV(O$2:O$2001)</f>
        <v>-0.122132375603604</v>
      </c>
      <c r="AH196" s="0" t="str">
        <f aca="false">IF(B196="Company","C3 - Corporate Buyers",IF(AND(H196="Investment",M196&gt;'Segmentation Summary'!$C$1),"C1 - Global Investors",IF(AND(I196&gt;=4,M196&gt;'Segmentation Summary'!$C$1),"C4 - Luxury Investors",IF(AND(D196&lt;'Segmentation Summary'!$C$2,J196=1),"C2 - First-Time Buyers","C5 - Other Individual Buyers"))))</f>
        <v>C5 - Other Individual Buyers</v>
      </c>
    </row>
    <row r="197" customFormat="false" ht="15" hidden="false" customHeight="true" outlineLevel="0" collapsed="false">
      <c r="A197" s="13" t="s">
        <v>472</v>
      </c>
      <c r="B197" s="13" t="s">
        <v>34</v>
      </c>
      <c r="C197" s="13" t="s">
        <v>473</v>
      </c>
      <c r="D197" s="13" t="n">
        <v>48</v>
      </c>
      <c r="E197" s="13" t="s">
        <v>90</v>
      </c>
      <c r="F197" s="13" t="s">
        <v>33</v>
      </c>
      <c r="G197" s="13" t="s">
        <v>95</v>
      </c>
      <c r="H197" s="13" t="s">
        <v>41</v>
      </c>
      <c r="I197" s="13" t="n">
        <v>4</v>
      </c>
      <c r="J197" s="13" t="n">
        <v>1</v>
      </c>
      <c r="K197" s="13" t="s">
        <v>91</v>
      </c>
      <c r="L197" s="13" t="n">
        <v>4</v>
      </c>
      <c r="M197" s="13" t="n">
        <v>1542774.61</v>
      </c>
      <c r="N197" s="13" t="n">
        <v>385693.6525</v>
      </c>
      <c r="O197" s="13" t="n">
        <v>1214.5625</v>
      </c>
      <c r="P197" s="13" t="n">
        <v>1</v>
      </c>
      <c r="Q197" s="13" t="n">
        <v>3</v>
      </c>
      <c r="R197" s="13" t="s">
        <v>98</v>
      </c>
      <c r="S197" s="13" t="s">
        <v>93</v>
      </c>
      <c r="T197" s="13" t="n">
        <v>1</v>
      </c>
      <c r="U197" s="13" t="n">
        <f aca="false">IF(B197="Individual",1,0)</f>
        <v>1</v>
      </c>
      <c r="V197" s="13" t="n">
        <f aca="false">IF(B197="Company",1,0)</f>
        <v>0</v>
      </c>
      <c r="W197" s="13" t="n">
        <f aca="false">IF(H197="Home",1,0)</f>
        <v>1</v>
      </c>
      <c r="X197" s="13" t="n">
        <f aca="false">IF(H197="Investment",1,0)</f>
        <v>0</v>
      </c>
      <c r="Y197" s="13" t="n">
        <f aca="false">IF(K197="Website",1,0)</f>
        <v>0</v>
      </c>
      <c r="Z197" s="13" t="n">
        <f aca="false">IF(K197="Agency",1,0)</f>
        <v>1</v>
      </c>
      <c r="AA197" s="13" t="n">
        <f aca="false">IF(K197="Client",1,0)</f>
        <v>0</v>
      </c>
      <c r="AB197" s="13" t="n">
        <f aca="false">(D197-AVERAGE(D$2:D$2001))/STDEV(D$2:D$2001)</f>
        <v>-0.353874489330784</v>
      </c>
      <c r="AC197" s="13" t="n">
        <f aca="false">(I197-AVERAGE(I$2:I$2001))/STDEV(I$2:I$2001)</f>
        <v>0.686917069130275</v>
      </c>
      <c r="AD197" s="13" t="n">
        <f aca="false">(L197-AVERAGE(L$2:L$2001))/STDEV(L$2:L$2001)</f>
        <v>0.413838214490712</v>
      </c>
      <c r="AE197" s="13" t="n">
        <f aca="false">(M197-AVERAGE(M$2:M$2001))/STDEV(M$2:M$2001)</f>
        <v>0.811886811992489</v>
      </c>
      <c r="AF197" s="13" t="n">
        <f aca="false">(N197-AVERAGE(N$2:N$2001))/STDEV(N$2:N$2001)</f>
        <v>0.553681697157328</v>
      </c>
      <c r="AG197" s="13" t="n">
        <f aca="false">(O197-AVERAGE(O$2:O$2001))/STDEV(O$2:O$2001)</f>
        <v>0.305029296594713</v>
      </c>
      <c r="AH197" s="0" t="str">
        <f aca="false">IF(B197="Company","C3 - Corporate Buyers",IF(AND(H197="Investment",M197&gt;'Segmentation Summary'!$C$1),"C1 - Global Investors",IF(AND(I197&gt;=4,M197&gt;'Segmentation Summary'!$C$1),"C4 - Luxury Investors",IF(AND(D197&lt;'Segmentation Summary'!$C$2,J197=1),"C2 - First-Time Buyers","C5 - Other Individual Buyers"))))</f>
        <v>C4 - Luxury Investors</v>
      </c>
    </row>
    <row r="198" customFormat="false" ht="15" hidden="false" customHeight="true" outlineLevel="0" collapsed="false">
      <c r="A198" s="13" t="s">
        <v>474</v>
      </c>
      <c r="B198" s="13" t="s">
        <v>34</v>
      </c>
      <c r="C198" s="13" t="s">
        <v>473</v>
      </c>
      <c r="D198" s="13" t="n">
        <v>38</v>
      </c>
      <c r="E198" s="13" t="s">
        <v>90</v>
      </c>
      <c r="F198" s="13" t="s">
        <v>38</v>
      </c>
      <c r="G198" s="13" t="s">
        <v>475</v>
      </c>
      <c r="H198" s="13" t="s">
        <v>41</v>
      </c>
      <c r="I198" s="13" t="n">
        <v>1</v>
      </c>
      <c r="J198" s="13" t="n">
        <v>1</v>
      </c>
      <c r="K198" s="13" t="s">
        <v>91</v>
      </c>
      <c r="L198" s="13" t="n">
        <v>3</v>
      </c>
      <c r="M198" s="13" t="n">
        <v>854426.52</v>
      </c>
      <c r="N198" s="13" t="n">
        <v>284808.84</v>
      </c>
      <c r="O198" s="13" t="n">
        <v>897.31</v>
      </c>
      <c r="P198" s="13" t="n">
        <v>0</v>
      </c>
      <c r="Q198" s="13" t="n">
        <v>3</v>
      </c>
      <c r="R198" s="13" t="s">
        <v>121</v>
      </c>
      <c r="S198" s="13" t="s">
        <v>164</v>
      </c>
      <c r="T198" s="13" t="n">
        <v>1</v>
      </c>
      <c r="U198" s="13" t="n">
        <f aca="false">IF(B198="Individual",1,0)</f>
        <v>1</v>
      </c>
      <c r="V198" s="13" t="n">
        <f aca="false">IF(B198="Company",1,0)</f>
        <v>0</v>
      </c>
      <c r="W198" s="13" t="n">
        <f aca="false">IF(H198="Home",1,0)</f>
        <v>1</v>
      </c>
      <c r="X198" s="13" t="n">
        <f aca="false">IF(H198="Investment",1,0)</f>
        <v>0</v>
      </c>
      <c r="Y198" s="13" t="n">
        <f aca="false">IF(K198="Website",1,0)</f>
        <v>0</v>
      </c>
      <c r="Z198" s="13" t="n">
        <f aca="false">IF(K198="Agency",1,0)</f>
        <v>1</v>
      </c>
      <c r="AA198" s="13" t="n">
        <f aca="false">IF(K198="Client",1,0)</f>
        <v>0</v>
      </c>
      <c r="AB198" s="13" t="n">
        <f aca="false">(D198-AVERAGE(D$2:D$2001))/STDEV(D$2:D$2001)</f>
        <v>-0.930499044212296</v>
      </c>
      <c r="AC198" s="13" t="n">
        <f aca="false">(I198-AVERAGE(I$2:I$2001))/STDEV(I$2:I$2001)</f>
        <v>-1.43538077576244</v>
      </c>
      <c r="AD198" s="13" t="n">
        <f aca="false">(L198-AVERAGE(L$2:L$2001))/STDEV(L$2:L$2001)</f>
        <v>-0.777063122173208</v>
      </c>
      <c r="AE198" s="13" t="n">
        <f aca="false">(M198-AVERAGE(M$2:M$2001))/STDEV(M$2:M$2001)</f>
        <v>-1.16708790072135</v>
      </c>
      <c r="AF198" s="13" t="n">
        <f aca="false">(N198-AVERAGE(N$2:N$2001))/STDEV(N$2:N$2001)</f>
        <v>-0.893280098665377</v>
      </c>
      <c r="AG198" s="13" t="n">
        <f aca="false">(O198-AVERAGE(O$2:O$2001))/STDEV(O$2:O$2001)</f>
        <v>-1.13753512748487</v>
      </c>
      <c r="AH198" s="0" t="str">
        <f aca="false">IF(B198="Company","C3 - Corporate Buyers",IF(AND(H198="Investment",M198&gt;'Segmentation Summary'!$C$1),"C1 - Global Investors",IF(AND(I198&gt;=4,M198&gt;'Segmentation Summary'!$C$1),"C4 - Luxury Investors",IF(AND(D198&lt;'Segmentation Summary'!$C$2,J198=1),"C2 - First-Time Buyers","C5 - Other Individual Buyers"))))</f>
        <v>C2 - First-Time Buyers</v>
      </c>
    </row>
    <row r="199" customFormat="false" ht="15" hidden="false" customHeight="true" outlineLevel="0" collapsed="false">
      <c r="A199" s="13" t="s">
        <v>476</v>
      </c>
      <c r="B199" s="13" t="s">
        <v>34</v>
      </c>
      <c r="C199" s="13" t="s">
        <v>473</v>
      </c>
      <c r="D199" s="13" t="n">
        <v>45</v>
      </c>
      <c r="E199" s="13" t="s">
        <v>90</v>
      </c>
      <c r="F199" s="13" t="s">
        <v>33</v>
      </c>
      <c r="G199" s="13" t="s">
        <v>162</v>
      </c>
      <c r="H199" s="13" t="s">
        <v>41</v>
      </c>
      <c r="I199" s="13" t="n">
        <v>5</v>
      </c>
      <c r="J199" s="13" t="n">
        <v>0</v>
      </c>
      <c r="K199" s="13" t="s">
        <v>116</v>
      </c>
      <c r="L199" s="13" t="n">
        <v>4</v>
      </c>
      <c r="M199" s="13" t="n">
        <v>1200049.6</v>
      </c>
      <c r="N199" s="13" t="n">
        <v>300012.4</v>
      </c>
      <c r="O199" s="13" t="n">
        <v>970.375</v>
      </c>
      <c r="P199" s="13" t="n">
        <v>1</v>
      </c>
      <c r="Q199" s="13" t="n">
        <v>3</v>
      </c>
      <c r="R199" s="13" t="s">
        <v>121</v>
      </c>
      <c r="S199" s="13" t="s">
        <v>154</v>
      </c>
      <c r="T199" s="13" t="n">
        <v>1</v>
      </c>
      <c r="U199" s="13" t="n">
        <f aca="false">IF(B199="Individual",1,0)</f>
        <v>1</v>
      </c>
      <c r="V199" s="13" t="n">
        <f aca="false">IF(B199="Company",1,0)</f>
        <v>0</v>
      </c>
      <c r="W199" s="13" t="n">
        <f aca="false">IF(H199="Home",1,0)</f>
        <v>1</v>
      </c>
      <c r="X199" s="13" t="n">
        <f aca="false">IF(H199="Investment",1,0)</f>
        <v>0</v>
      </c>
      <c r="Y199" s="13" t="n">
        <f aca="false">IF(K199="Website",1,0)</f>
        <v>0</v>
      </c>
      <c r="Z199" s="13" t="n">
        <f aca="false">IF(K199="Agency",1,0)</f>
        <v>0</v>
      </c>
      <c r="AA199" s="13" t="n">
        <f aca="false">IF(K199="Client",1,0)</f>
        <v>1</v>
      </c>
      <c r="AB199" s="13" t="n">
        <f aca="false">(D199-AVERAGE(D$2:D$2001))/STDEV(D$2:D$2001)</f>
        <v>-0.526861855795238</v>
      </c>
      <c r="AC199" s="13" t="n">
        <f aca="false">(I199-AVERAGE(I$2:I$2001))/STDEV(I$2:I$2001)</f>
        <v>1.39434968409451</v>
      </c>
      <c r="AD199" s="13" t="n">
        <f aca="false">(L199-AVERAGE(L$2:L$2001))/STDEV(L$2:L$2001)</f>
        <v>0.413838214490712</v>
      </c>
      <c r="AE199" s="13" t="n">
        <f aca="false">(M199-AVERAGE(M$2:M$2001))/STDEV(M$2:M$2001)</f>
        <v>-0.173434623568693</v>
      </c>
      <c r="AF199" s="13" t="n">
        <f aca="false">(N199-AVERAGE(N$2:N$2001))/STDEV(N$2:N$2001)</f>
        <v>-0.675219818477036</v>
      </c>
      <c r="AG199" s="13" t="n">
        <f aca="false">(O199-AVERAGE(O$2:O$2001))/STDEV(O$2:O$2001)</f>
        <v>-0.805304586684169</v>
      </c>
      <c r="AH199" s="0" t="str">
        <f aca="false">IF(B199="Company","C3 - Corporate Buyers",IF(AND(H199="Investment",M199&gt;'Segmentation Summary'!$C$1),"C1 - Global Investors",IF(AND(I199&gt;=4,M199&gt;'Segmentation Summary'!$C$1),"C4 - Luxury Investors",IF(AND(D199&lt;'Segmentation Summary'!$C$2,J199=1),"C2 - First-Time Buyers","C5 - Other Individual Buyers"))))</f>
        <v>C5 - Other Individual Buyers</v>
      </c>
    </row>
    <row r="200" customFormat="false" ht="15" hidden="false" customHeight="true" outlineLevel="0" collapsed="false">
      <c r="A200" s="13" t="s">
        <v>477</v>
      </c>
      <c r="B200" s="13" t="s">
        <v>34</v>
      </c>
      <c r="C200" s="13" t="s">
        <v>478</v>
      </c>
      <c r="D200" s="13" t="n">
        <v>55</v>
      </c>
      <c r="E200" s="13" t="s">
        <v>90</v>
      </c>
      <c r="F200" s="13" t="s">
        <v>33</v>
      </c>
      <c r="G200" s="13" t="s">
        <v>265</v>
      </c>
      <c r="H200" s="13" t="s">
        <v>41</v>
      </c>
      <c r="I200" s="13" t="n">
        <v>5</v>
      </c>
      <c r="J200" s="13" t="n">
        <v>0</v>
      </c>
      <c r="K200" s="13" t="s">
        <v>85</v>
      </c>
      <c r="L200" s="13" t="n">
        <v>3</v>
      </c>
      <c r="M200" s="13" t="n">
        <v>1117159.17</v>
      </c>
      <c r="N200" s="13" t="n">
        <v>372386.39</v>
      </c>
      <c r="O200" s="13" t="n">
        <v>1113.29</v>
      </c>
      <c r="P200" s="13" t="n">
        <v>1</v>
      </c>
      <c r="Q200" s="13" t="n">
        <v>2</v>
      </c>
      <c r="R200" s="13" t="s">
        <v>111</v>
      </c>
      <c r="S200" s="13" t="s">
        <v>128</v>
      </c>
      <c r="T200" s="13" t="n">
        <v>1</v>
      </c>
      <c r="U200" s="13" t="n">
        <f aca="false">IF(B200="Individual",1,0)</f>
        <v>1</v>
      </c>
      <c r="V200" s="13" t="n">
        <f aca="false">IF(B200="Company",1,0)</f>
        <v>0</v>
      </c>
      <c r="W200" s="13" t="n">
        <f aca="false">IF(H200="Home",1,0)</f>
        <v>1</v>
      </c>
      <c r="X200" s="13" t="n">
        <f aca="false">IF(H200="Investment",1,0)</f>
        <v>0</v>
      </c>
      <c r="Y200" s="13" t="n">
        <f aca="false">IF(K200="Website",1,0)</f>
        <v>1</v>
      </c>
      <c r="Z200" s="13" t="n">
        <f aca="false">IF(K200="Agency",1,0)</f>
        <v>0</v>
      </c>
      <c r="AA200" s="13" t="n">
        <f aca="false">IF(K200="Client",1,0)</f>
        <v>0</v>
      </c>
      <c r="AB200" s="13" t="n">
        <f aca="false">(D200-AVERAGE(D$2:D$2001))/STDEV(D$2:D$2001)</f>
        <v>0.0497626990862745</v>
      </c>
      <c r="AC200" s="13" t="n">
        <f aca="false">(I200-AVERAGE(I$2:I$2001))/STDEV(I$2:I$2001)</f>
        <v>1.39434968409451</v>
      </c>
      <c r="AD200" s="13" t="n">
        <f aca="false">(L200-AVERAGE(L$2:L$2001))/STDEV(L$2:L$2001)</f>
        <v>-0.777063122173208</v>
      </c>
      <c r="AE200" s="13" t="n">
        <f aca="false">(M200-AVERAGE(M$2:M$2001))/STDEV(M$2:M$2001)</f>
        <v>-0.411741473371933</v>
      </c>
      <c r="AF200" s="13" t="n">
        <f aca="false">(N200-AVERAGE(N$2:N$2001))/STDEV(N$2:N$2001)</f>
        <v>0.362819465595127</v>
      </c>
      <c r="AG200" s="13" t="n">
        <f aca="false">(O200-AVERAGE(O$2:O$2001))/STDEV(O$2:O$2001)</f>
        <v>-0.155462285465632</v>
      </c>
      <c r="AH200" s="0" t="str">
        <f aca="false">IF(B200="Company","C3 - Corporate Buyers",IF(AND(H200="Investment",M200&gt;'Segmentation Summary'!$C$1),"C1 - Global Investors",IF(AND(I200&gt;=4,M200&gt;'Segmentation Summary'!$C$1),"C4 - Luxury Investors",IF(AND(D200&lt;'Segmentation Summary'!$C$2,J200=1),"C2 - First-Time Buyers","C5 - Other Individual Buyers"))))</f>
        <v>C5 - Other Individual Buyers</v>
      </c>
    </row>
    <row r="201" customFormat="false" ht="15" hidden="false" customHeight="true" outlineLevel="0" collapsed="false">
      <c r="A201" s="13" t="s">
        <v>479</v>
      </c>
      <c r="B201" s="13" t="s">
        <v>34</v>
      </c>
      <c r="C201" s="13" t="s">
        <v>480</v>
      </c>
      <c r="D201" s="13" t="n">
        <v>45</v>
      </c>
      <c r="E201" s="13" t="s">
        <v>83</v>
      </c>
      <c r="F201" s="13" t="s">
        <v>33</v>
      </c>
      <c r="G201" s="13" t="s">
        <v>95</v>
      </c>
      <c r="H201" s="13" t="s">
        <v>41</v>
      </c>
      <c r="I201" s="13" t="n">
        <v>2</v>
      </c>
      <c r="J201" s="13" t="n">
        <v>0</v>
      </c>
      <c r="K201" s="13" t="s">
        <v>85</v>
      </c>
      <c r="L201" s="13" t="n">
        <v>3</v>
      </c>
      <c r="M201" s="13" t="n">
        <v>1138099.7</v>
      </c>
      <c r="N201" s="13" t="n">
        <v>379366.566666667</v>
      </c>
      <c r="O201" s="13" t="n">
        <v>1299.53666666667</v>
      </c>
      <c r="P201" s="13" t="n">
        <v>0</v>
      </c>
      <c r="Q201" s="13" t="n">
        <v>3</v>
      </c>
      <c r="R201" s="13" t="s">
        <v>117</v>
      </c>
      <c r="S201" s="13" t="s">
        <v>150</v>
      </c>
      <c r="T201" s="13" t="n">
        <v>1</v>
      </c>
      <c r="U201" s="13" t="n">
        <f aca="false">IF(B201="Individual",1,0)</f>
        <v>1</v>
      </c>
      <c r="V201" s="13" t="n">
        <f aca="false">IF(B201="Company",1,0)</f>
        <v>0</v>
      </c>
      <c r="W201" s="13" t="n">
        <f aca="false">IF(H201="Home",1,0)</f>
        <v>1</v>
      </c>
      <c r="X201" s="13" t="n">
        <f aca="false">IF(H201="Investment",1,0)</f>
        <v>0</v>
      </c>
      <c r="Y201" s="13" t="n">
        <f aca="false">IF(K201="Website",1,0)</f>
        <v>1</v>
      </c>
      <c r="Z201" s="13" t="n">
        <f aca="false">IF(K201="Agency",1,0)</f>
        <v>0</v>
      </c>
      <c r="AA201" s="13" t="n">
        <f aca="false">IF(K201="Client",1,0)</f>
        <v>0</v>
      </c>
      <c r="AB201" s="13" t="n">
        <f aca="false">(D201-AVERAGE(D$2:D$2001))/STDEV(D$2:D$2001)</f>
        <v>-0.526861855795238</v>
      </c>
      <c r="AC201" s="13" t="n">
        <f aca="false">(I201-AVERAGE(I$2:I$2001))/STDEV(I$2:I$2001)</f>
        <v>-0.727948160798201</v>
      </c>
      <c r="AD201" s="13" t="n">
        <f aca="false">(L201-AVERAGE(L$2:L$2001))/STDEV(L$2:L$2001)</f>
        <v>-0.777063122173208</v>
      </c>
      <c r="AE201" s="13" t="n">
        <f aca="false">(M201-AVERAGE(M$2:M$2001))/STDEV(M$2:M$2001)</f>
        <v>-0.351538241979477</v>
      </c>
      <c r="AF201" s="13" t="n">
        <f aca="false">(N201-AVERAGE(N$2:N$2001))/STDEV(N$2:N$2001)</f>
        <v>0.462934128193724</v>
      </c>
      <c r="AG201" s="13" t="n">
        <f aca="false">(O201-AVERAGE(O$2:O$2001))/STDEV(O$2:O$2001)</f>
        <v>0.691411467890912</v>
      </c>
      <c r="AH201" s="0" t="str">
        <f aca="false">IF(B201="Company","C3 - Corporate Buyers",IF(AND(H201="Investment",M201&gt;'Segmentation Summary'!$C$1),"C1 - Global Investors",IF(AND(I201&gt;=4,M201&gt;'Segmentation Summary'!$C$1),"C4 - Luxury Investors",IF(AND(D201&lt;'Segmentation Summary'!$C$2,J201=1),"C2 - First-Time Buyers","C5 - Other Individual Buyers"))))</f>
        <v>C5 - Other Individual Buyers</v>
      </c>
    </row>
    <row r="202" customFormat="false" ht="15" hidden="false" customHeight="true" outlineLevel="0" collapsed="false">
      <c r="A202" s="13" t="s">
        <v>481</v>
      </c>
      <c r="B202" s="13" t="s">
        <v>34</v>
      </c>
      <c r="C202" s="13" t="s">
        <v>482</v>
      </c>
      <c r="D202" s="13" t="n">
        <v>69</v>
      </c>
      <c r="E202" s="13" t="s">
        <v>83</v>
      </c>
      <c r="F202" s="13" t="s">
        <v>33</v>
      </c>
      <c r="G202" s="13" t="s">
        <v>100</v>
      </c>
      <c r="H202" s="13" t="s">
        <v>43</v>
      </c>
      <c r="I202" s="13" t="n">
        <v>3</v>
      </c>
      <c r="J202" s="13" t="n">
        <v>0</v>
      </c>
      <c r="K202" s="13" t="s">
        <v>91</v>
      </c>
      <c r="L202" s="13" t="n">
        <v>3</v>
      </c>
      <c r="M202" s="13" t="n">
        <v>1158311</v>
      </c>
      <c r="N202" s="13" t="n">
        <v>386103.666666667</v>
      </c>
      <c r="O202" s="13" t="n">
        <v>1139.15333333333</v>
      </c>
      <c r="P202" s="13" t="n">
        <v>0</v>
      </c>
      <c r="Q202" s="13" t="n">
        <v>3</v>
      </c>
      <c r="R202" s="13" t="s">
        <v>98</v>
      </c>
      <c r="S202" s="13" t="s">
        <v>141</v>
      </c>
      <c r="T202" s="13" t="n">
        <v>1</v>
      </c>
      <c r="U202" s="13" t="n">
        <f aca="false">IF(B202="Individual",1,0)</f>
        <v>1</v>
      </c>
      <c r="V202" s="13" t="n">
        <f aca="false">IF(B202="Company",1,0)</f>
        <v>0</v>
      </c>
      <c r="W202" s="13" t="n">
        <f aca="false">IF(H202="Home",1,0)</f>
        <v>0</v>
      </c>
      <c r="X202" s="13" t="n">
        <f aca="false">IF(H202="Investment",1,0)</f>
        <v>1</v>
      </c>
      <c r="Y202" s="13" t="n">
        <f aca="false">IF(K202="Website",1,0)</f>
        <v>0</v>
      </c>
      <c r="Z202" s="13" t="n">
        <f aca="false">IF(K202="Agency",1,0)</f>
        <v>1</v>
      </c>
      <c r="AA202" s="13" t="n">
        <f aca="false">IF(K202="Client",1,0)</f>
        <v>0</v>
      </c>
      <c r="AB202" s="13" t="n">
        <f aca="false">(D202-AVERAGE(D$2:D$2001))/STDEV(D$2:D$2001)</f>
        <v>0.857037075920391</v>
      </c>
      <c r="AC202" s="13" t="n">
        <f aca="false">(I202-AVERAGE(I$2:I$2001))/STDEV(I$2:I$2001)</f>
        <v>-0.0205155458339628</v>
      </c>
      <c r="AD202" s="13" t="n">
        <f aca="false">(L202-AVERAGE(L$2:L$2001))/STDEV(L$2:L$2001)</f>
        <v>-0.777063122173208</v>
      </c>
      <c r="AE202" s="13" t="n">
        <f aca="false">(M202-AVERAGE(M$2:M$2001))/STDEV(M$2:M$2001)</f>
        <v>-0.293431519244075</v>
      </c>
      <c r="AF202" s="13" t="n">
        <f aca="false">(N202-AVERAGE(N$2:N$2001))/STDEV(N$2:N$2001)</f>
        <v>0.559562412204631</v>
      </c>
      <c r="AG202" s="13" t="n">
        <f aca="false">(O202-AVERAGE(O$2:O$2001))/STDEV(O$2:O$2001)</f>
        <v>-0.0378602979169967</v>
      </c>
      <c r="AH202" s="0" t="str">
        <f aca="false">IF(B202="Company","C3 - Corporate Buyers",IF(AND(H202="Investment",M202&gt;'Segmentation Summary'!$C$1),"C1 - Global Investors",IF(AND(I202&gt;=4,M202&gt;'Segmentation Summary'!$C$1),"C4 - Luxury Investors",IF(AND(D202&lt;'Segmentation Summary'!$C$2,J202=1),"C2 - First-Time Buyers","C5 - Other Individual Buyers"))))</f>
        <v>C5 - Other Individual Buyers</v>
      </c>
    </row>
    <row r="203" customFormat="false" ht="15" hidden="false" customHeight="true" outlineLevel="0" collapsed="false">
      <c r="A203" s="13" t="s">
        <v>483</v>
      </c>
      <c r="B203" s="13" t="s">
        <v>34</v>
      </c>
      <c r="C203" s="13" t="s">
        <v>484</v>
      </c>
      <c r="D203" s="13" t="n">
        <v>59</v>
      </c>
      <c r="E203" s="13" t="s">
        <v>83</v>
      </c>
      <c r="F203" s="13" t="s">
        <v>33</v>
      </c>
      <c r="G203" s="13" t="s">
        <v>110</v>
      </c>
      <c r="H203" s="13" t="s">
        <v>43</v>
      </c>
      <c r="I203" s="13" t="n">
        <v>2</v>
      </c>
      <c r="J203" s="13" t="n">
        <v>0</v>
      </c>
      <c r="K203" s="13" t="s">
        <v>91</v>
      </c>
      <c r="L203" s="13" t="n">
        <v>4</v>
      </c>
      <c r="M203" s="13" t="n">
        <v>1533727.71</v>
      </c>
      <c r="N203" s="13" t="n">
        <v>383431.9275</v>
      </c>
      <c r="O203" s="13" t="n">
        <v>1333.2775</v>
      </c>
      <c r="P203" s="13" t="n">
        <v>0</v>
      </c>
      <c r="Q203" s="13" t="n">
        <v>4</v>
      </c>
      <c r="R203" s="13" t="s">
        <v>117</v>
      </c>
      <c r="S203" s="13" t="s">
        <v>125</v>
      </c>
      <c r="T203" s="13" t="n">
        <v>1</v>
      </c>
      <c r="U203" s="13" t="n">
        <f aca="false">IF(B203="Individual",1,0)</f>
        <v>1</v>
      </c>
      <c r="V203" s="13" t="n">
        <f aca="false">IF(B203="Company",1,0)</f>
        <v>0</v>
      </c>
      <c r="W203" s="13" t="n">
        <f aca="false">IF(H203="Home",1,0)</f>
        <v>0</v>
      </c>
      <c r="X203" s="13" t="n">
        <f aca="false">IF(H203="Investment",1,0)</f>
        <v>1</v>
      </c>
      <c r="Y203" s="13" t="n">
        <f aca="false">IF(K203="Website",1,0)</f>
        <v>0</v>
      </c>
      <c r="Z203" s="13" t="n">
        <f aca="false">IF(K203="Agency",1,0)</f>
        <v>1</v>
      </c>
      <c r="AA203" s="13" t="n">
        <f aca="false">IF(K203="Client",1,0)</f>
        <v>0</v>
      </c>
      <c r="AB203" s="13" t="n">
        <f aca="false">(D203-AVERAGE(D$2:D$2001))/STDEV(D$2:D$2001)</f>
        <v>0.280412521038879</v>
      </c>
      <c r="AC203" s="13" t="n">
        <f aca="false">(I203-AVERAGE(I$2:I$2001))/STDEV(I$2:I$2001)</f>
        <v>-0.727948160798201</v>
      </c>
      <c r="AD203" s="13" t="n">
        <f aca="false">(L203-AVERAGE(L$2:L$2001))/STDEV(L$2:L$2001)</f>
        <v>0.413838214490712</v>
      </c>
      <c r="AE203" s="13" t="n">
        <f aca="false">(M203-AVERAGE(M$2:M$2001))/STDEV(M$2:M$2001)</f>
        <v>0.785877316813312</v>
      </c>
      <c r="AF203" s="13" t="n">
        <f aca="false">(N203-AVERAGE(N$2:N$2001))/STDEV(N$2:N$2001)</f>
        <v>0.52124242719628</v>
      </c>
      <c r="AG203" s="13" t="n">
        <f aca="false">(O203-AVERAGE(O$2:O$2001))/STDEV(O$2:O$2001)</f>
        <v>0.844832877668488</v>
      </c>
      <c r="AH203" s="0" t="str">
        <f aca="false">IF(B203="Company","C3 - Corporate Buyers",IF(AND(H203="Investment",M203&gt;'Segmentation Summary'!$C$1),"C1 - Global Investors",IF(AND(I203&gt;=4,M203&gt;'Segmentation Summary'!$C$1),"C4 - Luxury Investors",IF(AND(D203&lt;'Segmentation Summary'!$C$2,J203=1),"C2 - First-Time Buyers","C5 - Other Individual Buyers"))))</f>
        <v>C1 - Global Investors</v>
      </c>
    </row>
    <row r="204" customFormat="false" ht="15" hidden="false" customHeight="true" outlineLevel="0" collapsed="false">
      <c r="A204" s="13" t="s">
        <v>485</v>
      </c>
      <c r="B204" s="13" t="s">
        <v>34</v>
      </c>
      <c r="C204" s="13" t="s">
        <v>486</v>
      </c>
      <c r="D204" s="13" t="n">
        <v>74</v>
      </c>
      <c r="E204" s="13" t="s">
        <v>83</v>
      </c>
      <c r="F204" s="13" t="s">
        <v>33</v>
      </c>
      <c r="G204" s="13" t="s">
        <v>106</v>
      </c>
      <c r="H204" s="13" t="s">
        <v>41</v>
      </c>
      <c r="I204" s="13" t="n">
        <v>1</v>
      </c>
      <c r="J204" s="13" t="n">
        <v>0</v>
      </c>
      <c r="K204" s="13" t="s">
        <v>85</v>
      </c>
      <c r="L204" s="13" t="n">
        <v>3</v>
      </c>
      <c r="M204" s="13" t="n">
        <v>1405947.66</v>
      </c>
      <c r="N204" s="13" t="n">
        <v>468649.22</v>
      </c>
      <c r="O204" s="13" t="n">
        <v>1527.86333333333</v>
      </c>
      <c r="P204" s="13" t="n">
        <v>0</v>
      </c>
      <c r="Q204" s="13" t="n">
        <v>3</v>
      </c>
      <c r="R204" s="13" t="s">
        <v>117</v>
      </c>
      <c r="S204" s="13" t="s">
        <v>125</v>
      </c>
      <c r="T204" s="13" t="n">
        <v>1</v>
      </c>
      <c r="U204" s="13" t="n">
        <f aca="false">IF(B204="Individual",1,0)</f>
        <v>1</v>
      </c>
      <c r="V204" s="13" t="n">
        <f aca="false">IF(B204="Company",1,0)</f>
        <v>0</v>
      </c>
      <c r="W204" s="13" t="n">
        <f aca="false">IF(H204="Home",1,0)</f>
        <v>1</v>
      </c>
      <c r="X204" s="13" t="n">
        <f aca="false">IF(H204="Investment",1,0)</f>
        <v>0</v>
      </c>
      <c r="Y204" s="13" t="n">
        <f aca="false">IF(K204="Website",1,0)</f>
        <v>1</v>
      </c>
      <c r="Z204" s="13" t="n">
        <f aca="false">IF(K204="Agency",1,0)</f>
        <v>0</v>
      </c>
      <c r="AA204" s="13" t="n">
        <f aca="false">IF(K204="Client",1,0)</f>
        <v>0</v>
      </c>
      <c r="AB204" s="13" t="n">
        <f aca="false">(D204-AVERAGE(D$2:D$2001))/STDEV(D$2:D$2001)</f>
        <v>1.14534935336115</v>
      </c>
      <c r="AC204" s="13" t="n">
        <f aca="false">(I204-AVERAGE(I$2:I$2001))/STDEV(I$2:I$2001)</f>
        <v>-1.43538077576244</v>
      </c>
      <c r="AD204" s="13" t="n">
        <f aca="false">(L204-AVERAGE(L$2:L$2001))/STDEV(L$2:L$2001)</f>
        <v>-0.777063122173208</v>
      </c>
      <c r="AE204" s="13" t="n">
        <f aca="false">(M204-AVERAGE(M$2:M$2001))/STDEV(M$2:M$2001)</f>
        <v>0.418514508064456</v>
      </c>
      <c r="AF204" s="13" t="n">
        <f aca="false">(N204-AVERAGE(N$2:N$2001))/STDEV(N$2:N$2001)</f>
        <v>1.74348949824029</v>
      </c>
      <c r="AG204" s="13" t="n">
        <f aca="false">(O204-AVERAGE(O$2:O$2001))/STDEV(O$2:O$2001)</f>
        <v>1.72962527677186</v>
      </c>
      <c r="AH204" s="0" t="str">
        <f aca="false">IF(B204="Company","C3 - Corporate Buyers",IF(AND(H204="Investment",M204&gt;'Segmentation Summary'!$C$1),"C1 - Global Investors",IF(AND(I204&gt;=4,M204&gt;'Segmentation Summary'!$C$1),"C4 - Luxury Investors",IF(AND(D204&lt;'Segmentation Summary'!$C$2,J204=1),"C2 - First-Time Buyers","C5 - Other Individual Buyers"))))</f>
        <v>C5 - Other Individual Buyers</v>
      </c>
    </row>
    <row r="205" customFormat="false" ht="15" hidden="false" customHeight="true" outlineLevel="0" collapsed="false">
      <c r="A205" s="13" t="s">
        <v>487</v>
      </c>
      <c r="B205" s="13" t="s">
        <v>34</v>
      </c>
      <c r="C205" s="13" t="s">
        <v>488</v>
      </c>
      <c r="D205" s="13" t="n">
        <v>42</v>
      </c>
      <c r="E205" s="13" t="s">
        <v>83</v>
      </c>
      <c r="F205" s="13" t="s">
        <v>33</v>
      </c>
      <c r="G205" s="13" t="s">
        <v>106</v>
      </c>
      <c r="H205" s="13" t="s">
        <v>43</v>
      </c>
      <c r="I205" s="13" t="n">
        <v>4</v>
      </c>
      <c r="J205" s="13" t="n">
        <v>0</v>
      </c>
      <c r="K205" s="13" t="s">
        <v>91</v>
      </c>
      <c r="L205" s="13" t="n">
        <v>3</v>
      </c>
      <c r="M205" s="13" t="n">
        <v>1040795.02</v>
      </c>
      <c r="N205" s="13" t="n">
        <v>346931.673333333</v>
      </c>
      <c r="O205" s="13" t="n">
        <v>1138.42333333333</v>
      </c>
      <c r="P205" s="13" t="n">
        <v>1</v>
      </c>
      <c r="Q205" s="13" t="n">
        <v>2</v>
      </c>
      <c r="R205" s="13" t="s">
        <v>124</v>
      </c>
      <c r="S205" s="13" t="s">
        <v>215</v>
      </c>
      <c r="T205" s="13" t="n">
        <v>1</v>
      </c>
      <c r="U205" s="13" t="n">
        <f aca="false">IF(B205="Individual",1,0)</f>
        <v>1</v>
      </c>
      <c r="V205" s="13" t="n">
        <f aca="false">IF(B205="Company",1,0)</f>
        <v>0</v>
      </c>
      <c r="W205" s="13" t="n">
        <f aca="false">IF(H205="Home",1,0)</f>
        <v>0</v>
      </c>
      <c r="X205" s="13" t="n">
        <f aca="false">IF(H205="Investment",1,0)</f>
        <v>1</v>
      </c>
      <c r="Y205" s="13" t="n">
        <f aca="false">IF(K205="Website",1,0)</f>
        <v>0</v>
      </c>
      <c r="Z205" s="13" t="n">
        <f aca="false">IF(K205="Agency",1,0)</f>
        <v>1</v>
      </c>
      <c r="AA205" s="13" t="n">
        <f aca="false">IF(K205="Client",1,0)</f>
        <v>0</v>
      </c>
      <c r="AB205" s="13" t="n">
        <f aca="false">(D205-AVERAGE(D$2:D$2001))/STDEV(D$2:D$2001)</f>
        <v>-0.699849222259691</v>
      </c>
      <c r="AC205" s="13" t="n">
        <f aca="false">(I205-AVERAGE(I$2:I$2001))/STDEV(I$2:I$2001)</f>
        <v>0.686917069130275</v>
      </c>
      <c r="AD205" s="13" t="n">
        <f aca="false">(L205-AVERAGE(L$2:L$2001))/STDEV(L$2:L$2001)</f>
        <v>-0.777063122173208</v>
      </c>
      <c r="AE205" s="13" t="n">
        <f aca="false">(M205-AVERAGE(M$2:M$2001))/STDEV(M$2:M$2001)</f>
        <v>-0.6312855151196</v>
      </c>
      <c r="AF205" s="13" t="n">
        <f aca="false">(N205-AVERAGE(N$2:N$2001))/STDEV(N$2:N$2001)</f>
        <v>-0.00227020080196916</v>
      </c>
      <c r="AG205" s="13" t="n">
        <f aca="false">(O205-AVERAGE(O$2:O$2001))/STDEV(O$2:O$2001)</f>
        <v>-0.0411796477395454</v>
      </c>
      <c r="AH205" s="0" t="str">
        <f aca="false">IF(B205="Company","C3 - Corporate Buyers",IF(AND(H205="Investment",M205&gt;'Segmentation Summary'!$C$1),"C1 - Global Investors",IF(AND(I205&gt;=4,M205&gt;'Segmentation Summary'!$C$1),"C4 - Luxury Investors",IF(AND(D205&lt;'Segmentation Summary'!$C$2,J205=1),"C2 - First-Time Buyers","C5 - Other Individual Buyers"))))</f>
        <v>C5 - Other Individual Buyers</v>
      </c>
    </row>
    <row r="206" customFormat="false" ht="15" hidden="false" customHeight="true" outlineLevel="0" collapsed="false">
      <c r="A206" s="13" t="s">
        <v>489</v>
      </c>
      <c r="B206" s="13" t="s">
        <v>34</v>
      </c>
      <c r="C206" s="13" t="s">
        <v>490</v>
      </c>
      <c r="D206" s="13" t="n">
        <v>75</v>
      </c>
      <c r="E206" s="13" t="s">
        <v>83</v>
      </c>
      <c r="F206" s="13" t="s">
        <v>33</v>
      </c>
      <c r="G206" s="13" t="s">
        <v>120</v>
      </c>
      <c r="H206" s="13" t="s">
        <v>43</v>
      </c>
      <c r="I206" s="13" t="n">
        <v>3</v>
      </c>
      <c r="J206" s="13" t="n">
        <v>0</v>
      </c>
      <c r="K206" s="13" t="s">
        <v>91</v>
      </c>
      <c r="L206" s="13" t="n">
        <v>4</v>
      </c>
      <c r="M206" s="13" t="n">
        <v>1445655.93</v>
      </c>
      <c r="N206" s="13" t="n">
        <v>361413.9825</v>
      </c>
      <c r="O206" s="13" t="n">
        <v>1047.99</v>
      </c>
      <c r="P206" s="13" t="n">
        <v>2</v>
      </c>
      <c r="Q206" s="13" t="n">
        <v>2</v>
      </c>
      <c r="R206" s="13" t="s">
        <v>98</v>
      </c>
      <c r="S206" s="13" t="s">
        <v>215</v>
      </c>
      <c r="T206" s="13" t="n">
        <v>1</v>
      </c>
      <c r="U206" s="13" t="n">
        <f aca="false">IF(B206="Individual",1,0)</f>
        <v>1</v>
      </c>
      <c r="V206" s="13" t="n">
        <f aca="false">IF(B206="Company",1,0)</f>
        <v>0</v>
      </c>
      <c r="W206" s="13" t="n">
        <f aca="false">IF(H206="Home",1,0)</f>
        <v>0</v>
      </c>
      <c r="X206" s="13" t="n">
        <f aca="false">IF(H206="Investment",1,0)</f>
        <v>1</v>
      </c>
      <c r="Y206" s="13" t="n">
        <f aca="false">IF(K206="Website",1,0)</f>
        <v>0</v>
      </c>
      <c r="Z206" s="13" t="n">
        <f aca="false">IF(K206="Agency",1,0)</f>
        <v>1</v>
      </c>
      <c r="AA206" s="13" t="n">
        <f aca="false">IF(K206="Client",1,0)</f>
        <v>0</v>
      </c>
      <c r="AB206" s="13" t="n">
        <f aca="false">(D206-AVERAGE(D$2:D$2001))/STDEV(D$2:D$2001)</f>
        <v>1.2030118088493</v>
      </c>
      <c r="AC206" s="13" t="n">
        <f aca="false">(I206-AVERAGE(I$2:I$2001))/STDEV(I$2:I$2001)</f>
        <v>-0.0205155458339628</v>
      </c>
      <c r="AD206" s="13" t="n">
        <f aca="false">(L206-AVERAGE(L$2:L$2001))/STDEV(L$2:L$2001)</f>
        <v>0.413838214490712</v>
      </c>
      <c r="AE206" s="13" t="n">
        <f aca="false">(M206-AVERAGE(M$2:M$2001))/STDEV(M$2:M$2001)</f>
        <v>0.532674281814411</v>
      </c>
      <c r="AF206" s="13" t="n">
        <f aca="false">(N206-AVERAGE(N$2:N$2001))/STDEV(N$2:N$2001)</f>
        <v>0.205445386511633</v>
      </c>
      <c r="AG206" s="13" t="n">
        <f aca="false">(O206-AVERAGE(O$2:O$2001))/STDEV(O$2:O$2001)</f>
        <v>-0.452384947674431</v>
      </c>
      <c r="AH206" s="0" t="str">
        <f aca="false">IF(B206="Company","C3 - Corporate Buyers",IF(AND(H206="Investment",M206&gt;'Segmentation Summary'!$C$1),"C1 - Global Investors",IF(AND(I206&gt;=4,M206&gt;'Segmentation Summary'!$C$1),"C4 - Luxury Investors",IF(AND(D206&lt;'Segmentation Summary'!$C$2,J206=1),"C2 - First-Time Buyers","C5 - Other Individual Buyers"))))</f>
        <v>C1 - Global Investors</v>
      </c>
    </row>
    <row r="207" customFormat="false" ht="15" hidden="false" customHeight="true" outlineLevel="0" collapsed="false">
      <c r="A207" s="13" t="s">
        <v>491</v>
      </c>
      <c r="B207" s="13" t="s">
        <v>34</v>
      </c>
      <c r="C207" s="13" t="s">
        <v>492</v>
      </c>
      <c r="D207" s="13" t="n">
        <v>84</v>
      </c>
      <c r="E207" s="13" t="s">
        <v>90</v>
      </c>
      <c r="F207" s="13" t="s">
        <v>33</v>
      </c>
      <c r="G207" s="13" t="s">
        <v>97</v>
      </c>
      <c r="H207" s="13" t="s">
        <v>41</v>
      </c>
      <c r="I207" s="13" t="n">
        <v>4</v>
      </c>
      <c r="J207" s="13" t="n">
        <v>1</v>
      </c>
      <c r="K207" s="13" t="s">
        <v>91</v>
      </c>
      <c r="L207" s="13" t="n">
        <v>3</v>
      </c>
      <c r="M207" s="13" t="n">
        <v>1163931.67</v>
      </c>
      <c r="N207" s="13" t="n">
        <v>387977.223333333</v>
      </c>
      <c r="O207" s="13" t="n">
        <v>1310.39666666667</v>
      </c>
      <c r="P207" s="13" t="n">
        <v>0</v>
      </c>
      <c r="Q207" s="13" t="n">
        <v>3</v>
      </c>
      <c r="R207" s="13" t="s">
        <v>124</v>
      </c>
      <c r="S207" s="13" t="s">
        <v>154</v>
      </c>
      <c r="T207" s="13" t="n">
        <v>1</v>
      </c>
      <c r="U207" s="13" t="n">
        <f aca="false">IF(B207="Individual",1,0)</f>
        <v>1</v>
      </c>
      <c r="V207" s="13" t="n">
        <f aca="false">IF(B207="Company",1,0)</f>
        <v>0</v>
      </c>
      <c r="W207" s="13" t="n">
        <f aca="false">IF(H207="Home",1,0)</f>
        <v>1</v>
      </c>
      <c r="X207" s="13" t="n">
        <f aca="false">IF(H207="Investment",1,0)</f>
        <v>0</v>
      </c>
      <c r="Y207" s="13" t="n">
        <f aca="false">IF(K207="Website",1,0)</f>
        <v>0</v>
      </c>
      <c r="Z207" s="13" t="n">
        <f aca="false">IF(K207="Agency",1,0)</f>
        <v>1</v>
      </c>
      <c r="AA207" s="13" t="n">
        <f aca="false">IF(K207="Client",1,0)</f>
        <v>0</v>
      </c>
      <c r="AB207" s="13" t="n">
        <f aca="false">(D207-AVERAGE(D$2:D$2001))/STDEV(D$2:D$2001)</f>
        <v>1.72197390824266</v>
      </c>
      <c r="AC207" s="13" t="n">
        <f aca="false">(I207-AVERAGE(I$2:I$2001))/STDEV(I$2:I$2001)</f>
        <v>0.686917069130275</v>
      </c>
      <c r="AD207" s="13" t="n">
        <f aca="false">(L207-AVERAGE(L$2:L$2001))/STDEV(L$2:L$2001)</f>
        <v>-0.777063122173208</v>
      </c>
      <c r="AE207" s="13" t="n">
        <f aca="false">(M207-AVERAGE(M$2:M$2001))/STDEV(M$2:M$2001)</f>
        <v>-0.277272305671609</v>
      </c>
      <c r="AF207" s="13" t="n">
        <f aca="false">(N207-AVERAGE(N$2:N$2001))/STDEV(N$2:N$2001)</f>
        <v>0.586434295611013</v>
      </c>
      <c r="AG207" s="13" t="n">
        <f aca="false">(O207-AVERAGE(O$2:O$2001))/STDEV(O$2:O$2001)</f>
        <v>0.740792480319511</v>
      </c>
      <c r="AH207" s="0" t="str">
        <f aca="false">IF(B207="Company","C3 - Corporate Buyers",IF(AND(H207="Investment",M207&gt;'Segmentation Summary'!$C$1),"C1 - Global Investors",IF(AND(I207&gt;=4,M207&gt;'Segmentation Summary'!$C$1),"C4 - Luxury Investors",IF(AND(D207&lt;'Segmentation Summary'!$C$2,J207=1),"C2 - First-Time Buyers","C5 - Other Individual Buyers"))))</f>
        <v>C5 - Other Individual Buyers</v>
      </c>
    </row>
    <row r="208" customFormat="false" ht="15" hidden="false" customHeight="true" outlineLevel="0" collapsed="false">
      <c r="A208" s="13" t="s">
        <v>493</v>
      </c>
      <c r="B208" s="13" t="s">
        <v>34</v>
      </c>
      <c r="C208" s="13" t="s">
        <v>494</v>
      </c>
      <c r="D208" s="13" t="n">
        <v>67</v>
      </c>
      <c r="E208" s="13" t="s">
        <v>90</v>
      </c>
      <c r="F208" s="13" t="s">
        <v>40</v>
      </c>
      <c r="G208" s="13" t="s">
        <v>219</v>
      </c>
      <c r="H208" s="13" t="s">
        <v>41</v>
      </c>
      <c r="I208" s="13" t="n">
        <v>5</v>
      </c>
      <c r="J208" s="13" t="n">
        <v>0</v>
      </c>
      <c r="K208" s="13" t="s">
        <v>85</v>
      </c>
      <c r="L208" s="13" t="n">
        <v>3</v>
      </c>
      <c r="M208" s="13" t="n">
        <v>1520931.78</v>
      </c>
      <c r="N208" s="13" t="n">
        <v>506977.26</v>
      </c>
      <c r="O208" s="13" t="n">
        <v>1469.18</v>
      </c>
      <c r="P208" s="13" t="n">
        <v>1</v>
      </c>
      <c r="Q208" s="13" t="n">
        <v>2</v>
      </c>
      <c r="R208" s="13" t="s">
        <v>124</v>
      </c>
      <c r="S208" s="13" t="s">
        <v>87</v>
      </c>
      <c r="T208" s="13" t="n">
        <v>1</v>
      </c>
      <c r="U208" s="13" t="n">
        <f aca="false">IF(B208="Individual",1,0)</f>
        <v>1</v>
      </c>
      <c r="V208" s="13" t="n">
        <f aca="false">IF(B208="Company",1,0)</f>
        <v>0</v>
      </c>
      <c r="W208" s="13" t="n">
        <f aca="false">IF(H208="Home",1,0)</f>
        <v>1</v>
      </c>
      <c r="X208" s="13" t="n">
        <f aca="false">IF(H208="Investment",1,0)</f>
        <v>0</v>
      </c>
      <c r="Y208" s="13" t="n">
        <f aca="false">IF(K208="Website",1,0)</f>
        <v>1</v>
      </c>
      <c r="Z208" s="13" t="n">
        <f aca="false">IF(K208="Agency",1,0)</f>
        <v>0</v>
      </c>
      <c r="AA208" s="13" t="n">
        <f aca="false">IF(K208="Client",1,0)</f>
        <v>0</v>
      </c>
      <c r="AB208" s="13" t="n">
        <f aca="false">(D208-AVERAGE(D$2:D$2001))/STDEV(D$2:D$2001)</f>
        <v>0.741712164944089</v>
      </c>
      <c r="AC208" s="13" t="n">
        <f aca="false">(I208-AVERAGE(I$2:I$2001))/STDEV(I$2:I$2001)</f>
        <v>1.39434968409451</v>
      </c>
      <c r="AD208" s="13" t="n">
        <f aca="false">(L208-AVERAGE(L$2:L$2001))/STDEV(L$2:L$2001)</f>
        <v>-0.777063122173208</v>
      </c>
      <c r="AE208" s="13" t="n">
        <f aca="false">(M208-AVERAGE(M$2:M$2001))/STDEV(M$2:M$2001)</f>
        <v>0.749089502241681</v>
      </c>
      <c r="AF208" s="13" t="n">
        <f aca="false">(N208-AVERAGE(N$2:N$2001))/STDEV(N$2:N$2001)</f>
        <v>2.29321753177124</v>
      </c>
      <c r="AG208" s="13" t="n">
        <f aca="false">(O208-AVERAGE(O$2:O$2001))/STDEV(O$2:O$2001)</f>
        <v>1.46278895884508</v>
      </c>
      <c r="AH208" s="0" t="str">
        <f aca="false">IF(B208="Company","C3 - Corporate Buyers",IF(AND(H208="Investment",M208&gt;'Segmentation Summary'!$C$1),"C1 - Global Investors",IF(AND(I208&gt;=4,M208&gt;'Segmentation Summary'!$C$1),"C4 - Luxury Investors",IF(AND(D208&lt;'Segmentation Summary'!$C$2,J208=1),"C2 - First-Time Buyers","C5 - Other Individual Buyers"))))</f>
        <v>C4 - Luxury Investors</v>
      </c>
    </row>
    <row r="209" customFormat="false" ht="15" hidden="false" customHeight="true" outlineLevel="0" collapsed="false">
      <c r="A209" s="13" t="s">
        <v>495</v>
      </c>
      <c r="B209" s="13" t="s">
        <v>34</v>
      </c>
      <c r="C209" s="13" t="s">
        <v>496</v>
      </c>
      <c r="D209" s="13" t="n">
        <v>83</v>
      </c>
      <c r="E209" s="13" t="s">
        <v>90</v>
      </c>
      <c r="F209" s="13" t="s">
        <v>44</v>
      </c>
      <c r="G209" s="13" t="s">
        <v>497</v>
      </c>
      <c r="H209" s="13" t="s">
        <v>41</v>
      </c>
      <c r="I209" s="13" t="n">
        <v>1</v>
      </c>
      <c r="J209" s="13" t="n">
        <v>1</v>
      </c>
      <c r="K209" s="13" t="s">
        <v>91</v>
      </c>
      <c r="L209" s="13" t="n">
        <v>4</v>
      </c>
      <c r="M209" s="13" t="n">
        <v>1329874.96</v>
      </c>
      <c r="N209" s="13" t="n">
        <v>332468.74</v>
      </c>
      <c r="O209" s="13" t="n">
        <v>1127.175</v>
      </c>
      <c r="P209" s="13" t="n">
        <v>0</v>
      </c>
      <c r="Q209" s="13" t="n">
        <v>4</v>
      </c>
      <c r="R209" s="13" t="s">
        <v>101</v>
      </c>
      <c r="S209" s="13" t="s">
        <v>133</v>
      </c>
      <c r="T209" s="13" t="n">
        <v>1</v>
      </c>
      <c r="U209" s="13" t="n">
        <f aca="false">IF(B209="Individual",1,0)</f>
        <v>1</v>
      </c>
      <c r="V209" s="13" t="n">
        <f aca="false">IF(B209="Company",1,0)</f>
        <v>0</v>
      </c>
      <c r="W209" s="13" t="n">
        <f aca="false">IF(H209="Home",1,0)</f>
        <v>1</v>
      </c>
      <c r="X209" s="13" t="n">
        <f aca="false">IF(H209="Investment",1,0)</f>
        <v>0</v>
      </c>
      <c r="Y209" s="13" t="n">
        <f aca="false">IF(K209="Website",1,0)</f>
        <v>0</v>
      </c>
      <c r="Z209" s="13" t="n">
        <f aca="false">IF(K209="Agency",1,0)</f>
        <v>1</v>
      </c>
      <c r="AA209" s="13" t="n">
        <f aca="false">IF(K209="Client",1,0)</f>
        <v>0</v>
      </c>
      <c r="AB209" s="13" t="n">
        <f aca="false">(D209-AVERAGE(D$2:D$2001))/STDEV(D$2:D$2001)</f>
        <v>1.66431145275451</v>
      </c>
      <c r="AC209" s="13" t="n">
        <f aca="false">(I209-AVERAGE(I$2:I$2001))/STDEV(I$2:I$2001)</f>
        <v>-1.43538077576244</v>
      </c>
      <c r="AD209" s="13" t="n">
        <f aca="false">(L209-AVERAGE(L$2:L$2001))/STDEV(L$2:L$2001)</f>
        <v>0.413838214490712</v>
      </c>
      <c r="AE209" s="13" t="n">
        <f aca="false">(M209-AVERAGE(M$2:M$2001))/STDEV(M$2:M$2001)</f>
        <v>0.199808374038768</v>
      </c>
      <c r="AF209" s="13" t="n">
        <f aca="false">(N209-AVERAGE(N$2:N$2001))/STDEV(N$2:N$2001)</f>
        <v>-0.20970788612119</v>
      </c>
      <c r="AG209" s="13" t="n">
        <f aca="false">(O209-AVERAGE(O$2:O$2001))/STDEV(O$2:O$2001)</f>
        <v>-0.0923264330189378</v>
      </c>
      <c r="AH209" s="0" t="str">
        <f aca="false">IF(B209="Company","C3 - Corporate Buyers",IF(AND(H209="Investment",M209&gt;'Segmentation Summary'!$C$1),"C1 - Global Investors",IF(AND(I209&gt;=4,M209&gt;'Segmentation Summary'!$C$1),"C4 - Luxury Investors",IF(AND(D209&lt;'Segmentation Summary'!$C$2,J209=1),"C2 - First-Time Buyers","C5 - Other Individual Buyers"))))</f>
        <v>C5 - Other Individual Buyers</v>
      </c>
    </row>
    <row r="210" customFormat="false" ht="15" hidden="false" customHeight="true" outlineLevel="0" collapsed="false">
      <c r="A210" s="13" t="s">
        <v>498</v>
      </c>
      <c r="B210" s="13" t="s">
        <v>34</v>
      </c>
      <c r="C210" s="13" t="s">
        <v>499</v>
      </c>
      <c r="D210" s="13" t="n">
        <v>39</v>
      </c>
      <c r="E210" s="13" t="s">
        <v>90</v>
      </c>
      <c r="F210" s="13" t="s">
        <v>33</v>
      </c>
      <c r="G210" s="13" t="s">
        <v>95</v>
      </c>
      <c r="H210" s="13" t="s">
        <v>43</v>
      </c>
      <c r="I210" s="13" t="n">
        <v>1</v>
      </c>
      <c r="J210" s="13" t="n">
        <v>0</v>
      </c>
      <c r="K210" s="13" t="s">
        <v>85</v>
      </c>
      <c r="L210" s="13" t="n">
        <v>3</v>
      </c>
      <c r="M210" s="13" t="n">
        <v>965747.81</v>
      </c>
      <c r="N210" s="13" t="n">
        <v>321915.936666667</v>
      </c>
      <c r="O210" s="13" t="n">
        <v>1049.38</v>
      </c>
      <c r="P210" s="13" t="n">
        <v>0</v>
      </c>
      <c r="Q210" s="13" t="n">
        <v>3</v>
      </c>
      <c r="R210" s="13" t="s">
        <v>92</v>
      </c>
      <c r="S210" s="13" t="s">
        <v>141</v>
      </c>
      <c r="T210" s="13" t="n">
        <v>1</v>
      </c>
      <c r="U210" s="13" t="n">
        <f aca="false">IF(B210="Individual",1,0)</f>
        <v>1</v>
      </c>
      <c r="V210" s="13" t="n">
        <f aca="false">IF(B210="Company",1,0)</f>
        <v>0</v>
      </c>
      <c r="W210" s="13" t="n">
        <f aca="false">IF(H210="Home",1,0)</f>
        <v>0</v>
      </c>
      <c r="X210" s="13" t="n">
        <f aca="false">IF(H210="Investment",1,0)</f>
        <v>1</v>
      </c>
      <c r="Y210" s="13" t="n">
        <f aca="false">IF(K210="Website",1,0)</f>
        <v>1</v>
      </c>
      <c r="Z210" s="13" t="n">
        <f aca="false">IF(K210="Agency",1,0)</f>
        <v>0</v>
      </c>
      <c r="AA210" s="13" t="n">
        <f aca="false">IF(K210="Client",1,0)</f>
        <v>0</v>
      </c>
      <c r="AB210" s="13" t="n">
        <f aca="false">(D210-AVERAGE(D$2:D$2001))/STDEV(D$2:D$2001)</f>
        <v>-0.872836588724145</v>
      </c>
      <c r="AC210" s="13" t="n">
        <f aca="false">(I210-AVERAGE(I$2:I$2001))/STDEV(I$2:I$2001)</f>
        <v>-1.43538077576244</v>
      </c>
      <c r="AD210" s="13" t="n">
        <f aca="false">(L210-AVERAGE(L$2:L$2001))/STDEV(L$2:L$2001)</f>
        <v>-0.777063122173208</v>
      </c>
      <c r="AE210" s="13" t="n">
        <f aca="false">(M210-AVERAGE(M$2:M$2001))/STDEV(M$2:M$2001)</f>
        <v>-0.847043404198256</v>
      </c>
      <c r="AF210" s="13" t="n">
        <f aca="false">(N210-AVERAGE(N$2:N$2001))/STDEV(N$2:N$2001)</f>
        <v>-0.361063703550729</v>
      </c>
      <c r="AG210" s="13" t="n">
        <f aca="false">(O210-AVERAGE(O$2:O$2001))/STDEV(O$2:O$2001)</f>
        <v>-0.446064541847934</v>
      </c>
      <c r="AH210" s="0" t="str">
        <f aca="false">IF(B210="Company","C3 - Corporate Buyers",IF(AND(H210="Investment",M210&gt;'Segmentation Summary'!$C$1),"C1 - Global Investors",IF(AND(I210&gt;=4,M210&gt;'Segmentation Summary'!$C$1),"C4 - Luxury Investors",IF(AND(D210&lt;'Segmentation Summary'!$C$2,J210=1),"C2 - First-Time Buyers","C5 - Other Individual Buyers"))))</f>
        <v>C5 - Other Individual Buyers</v>
      </c>
    </row>
    <row r="211" customFormat="false" ht="15" hidden="false" customHeight="true" outlineLevel="0" collapsed="false">
      <c r="A211" s="13" t="s">
        <v>500</v>
      </c>
      <c r="B211" s="13" t="s">
        <v>34</v>
      </c>
      <c r="C211" s="13" t="s">
        <v>501</v>
      </c>
      <c r="D211" s="13" t="n">
        <v>33</v>
      </c>
      <c r="E211" s="13" t="s">
        <v>90</v>
      </c>
      <c r="F211" s="13" t="s">
        <v>33</v>
      </c>
      <c r="G211" s="13" t="s">
        <v>95</v>
      </c>
      <c r="H211" s="13" t="s">
        <v>41</v>
      </c>
      <c r="I211" s="13" t="n">
        <v>1</v>
      </c>
      <c r="J211" s="13" t="n">
        <v>1</v>
      </c>
      <c r="K211" s="13" t="s">
        <v>91</v>
      </c>
      <c r="L211" s="13" t="n">
        <v>3</v>
      </c>
      <c r="M211" s="13" t="n">
        <v>766951.95</v>
      </c>
      <c r="N211" s="13" t="n">
        <v>255650.65</v>
      </c>
      <c r="O211" s="13" t="n">
        <v>879.343333333333</v>
      </c>
      <c r="P211" s="13" t="n">
        <v>1</v>
      </c>
      <c r="Q211" s="13" t="n">
        <v>2</v>
      </c>
      <c r="R211" s="13" t="s">
        <v>98</v>
      </c>
      <c r="S211" s="13" t="s">
        <v>107</v>
      </c>
      <c r="T211" s="13" t="n">
        <v>1</v>
      </c>
      <c r="U211" s="13" t="n">
        <f aca="false">IF(B211="Individual",1,0)</f>
        <v>1</v>
      </c>
      <c r="V211" s="13" t="n">
        <f aca="false">IF(B211="Company",1,0)</f>
        <v>0</v>
      </c>
      <c r="W211" s="13" t="n">
        <f aca="false">IF(H211="Home",1,0)</f>
        <v>1</v>
      </c>
      <c r="X211" s="13" t="n">
        <f aca="false">IF(H211="Investment",1,0)</f>
        <v>0</v>
      </c>
      <c r="Y211" s="13" t="n">
        <f aca="false">IF(K211="Website",1,0)</f>
        <v>0</v>
      </c>
      <c r="Z211" s="13" t="n">
        <f aca="false">IF(K211="Agency",1,0)</f>
        <v>1</v>
      </c>
      <c r="AA211" s="13" t="n">
        <f aca="false">IF(K211="Client",1,0)</f>
        <v>0</v>
      </c>
      <c r="AB211" s="13" t="n">
        <f aca="false">(D211-AVERAGE(D$2:D$2001))/STDEV(D$2:D$2001)</f>
        <v>-1.21881132165305</v>
      </c>
      <c r="AC211" s="13" t="n">
        <f aca="false">(I211-AVERAGE(I$2:I$2001))/STDEV(I$2:I$2001)</f>
        <v>-1.43538077576244</v>
      </c>
      <c r="AD211" s="13" t="n">
        <f aca="false">(L211-AVERAGE(L$2:L$2001))/STDEV(L$2:L$2001)</f>
        <v>-0.777063122173208</v>
      </c>
      <c r="AE211" s="13" t="n">
        <f aca="false">(M211-AVERAGE(M$2:M$2001))/STDEV(M$2:M$2001)</f>
        <v>-1.41857397956776</v>
      </c>
      <c r="AF211" s="13" t="n">
        <f aca="false">(N211-AVERAGE(N$2:N$2001))/STDEV(N$2:N$2001)</f>
        <v>-1.31148761593008</v>
      </c>
      <c r="AG211" s="13" t="n">
        <f aca="false">(O211-AVERAGE(O$2:O$2001))/STDEV(O$2:O$2001)</f>
        <v>-1.21923054092568</v>
      </c>
      <c r="AH211" s="0" t="str">
        <f aca="false">IF(B211="Company","C3 - Corporate Buyers",IF(AND(H211="Investment",M211&gt;'Segmentation Summary'!$C$1),"C1 - Global Investors",IF(AND(I211&gt;=4,M211&gt;'Segmentation Summary'!$C$1),"C4 - Luxury Investors",IF(AND(D211&lt;'Segmentation Summary'!$C$2,J211=1),"C2 - First-Time Buyers","C5 - Other Individual Buyers"))))</f>
        <v>C2 - First-Time Buyers</v>
      </c>
    </row>
    <row r="212" customFormat="false" ht="15" hidden="false" customHeight="true" outlineLevel="0" collapsed="false">
      <c r="A212" s="13" t="s">
        <v>502</v>
      </c>
      <c r="B212" s="13" t="s">
        <v>34</v>
      </c>
      <c r="C212" s="13" t="s">
        <v>503</v>
      </c>
      <c r="D212" s="13" t="n">
        <v>53</v>
      </c>
      <c r="E212" s="13" t="s">
        <v>90</v>
      </c>
      <c r="F212" s="13" t="s">
        <v>45</v>
      </c>
      <c r="G212" s="13" t="s">
        <v>405</v>
      </c>
      <c r="H212" s="13" t="s">
        <v>41</v>
      </c>
      <c r="I212" s="13" t="n">
        <v>2</v>
      </c>
      <c r="J212" s="13" t="n">
        <v>0</v>
      </c>
      <c r="K212" s="13" t="s">
        <v>116</v>
      </c>
      <c r="L212" s="13" t="n">
        <v>4</v>
      </c>
      <c r="M212" s="13" t="n">
        <v>1007433.23</v>
      </c>
      <c r="N212" s="13" t="n">
        <v>251858.3075</v>
      </c>
      <c r="O212" s="13" t="n">
        <v>820.9225</v>
      </c>
      <c r="P212" s="13" t="n">
        <v>0</v>
      </c>
      <c r="Q212" s="13" t="n">
        <v>4</v>
      </c>
      <c r="R212" s="13" t="s">
        <v>215</v>
      </c>
      <c r="S212" s="13" t="s">
        <v>125</v>
      </c>
      <c r="T212" s="13" t="n">
        <v>1</v>
      </c>
      <c r="U212" s="13" t="n">
        <f aca="false">IF(B212="Individual",1,0)</f>
        <v>1</v>
      </c>
      <c r="V212" s="13" t="n">
        <f aca="false">IF(B212="Company",1,0)</f>
        <v>0</v>
      </c>
      <c r="W212" s="13" t="n">
        <f aca="false">IF(H212="Home",1,0)</f>
        <v>1</v>
      </c>
      <c r="X212" s="13" t="n">
        <f aca="false">IF(H212="Investment",1,0)</f>
        <v>0</v>
      </c>
      <c r="Y212" s="13" t="n">
        <f aca="false">IF(K212="Website",1,0)</f>
        <v>0</v>
      </c>
      <c r="Z212" s="13" t="n">
        <f aca="false">IF(K212="Agency",1,0)</f>
        <v>0</v>
      </c>
      <c r="AA212" s="13" t="n">
        <f aca="false">IF(K212="Client",1,0)</f>
        <v>1</v>
      </c>
      <c r="AB212" s="13" t="n">
        <f aca="false">(D212-AVERAGE(D$2:D$2001))/STDEV(D$2:D$2001)</f>
        <v>-0.065562211890028</v>
      </c>
      <c r="AC212" s="13" t="n">
        <f aca="false">(I212-AVERAGE(I$2:I$2001))/STDEV(I$2:I$2001)</f>
        <v>-0.727948160798201</v>
      </c>
      <c r="AD212" s="13" t="n">
        <f aca="false">(L212-AVERAGE(L$2:L$2001))/STDEV(L$2:L$2001)</f>
        <v>0.413838214490712</v>
      </c>
      <c r="AE212" s="13" t="n">
        <f aca="false">(M212-AVERAGE(M$2:M$2001))/STDEV(M$2:M$2001)</f>
        <v>-0.727199399010626</v>
      </c>
      <c r="AF212" s="13" t="n">
        <f aca="false">(N212-AVERAGE(N$2:N$2001))/STDEV(N$2:N$2001)</f>
        <v>-1.36588009164762</v>
      </c>
      <c r="AG212" s="13" t="n">
        <f aca="false">(O212-AVERAGE(O$2:O$2001))/STDEV(O$2:O$2001)</f>
        <v>-1.48487325703272</v>
      </c>
      <c r="AH212" s="0" t="str">
        <f aca="false">IF(B212="Company","C3 - Corporate Buyers",IF(AND(H212="Investment",M212&gt;'Segmentation Summary'!$C$1),"C1 - Global Investors",IF(AND(I212&gt;=4,M212&gt;'Segmentation Summary'!$C$1),"C4 - Luxury Investors",IF(AND(D212&lt;'Segmentation Summary'!$C$2,J212=1),"C2 - First-Time Buyers","C5 - Other Individual Buyers"))))</f>
        <v>C5 - Other Individual Buyers</v>
      </c>
    </row>
    <row r="213" customFormat="false" ht="15" hidden="false" customHeight="true" outlineLevel="0" collapsed="false">
      <c r="A213" s="13" t="s">
        <v>504</v>
      </c>
      <c r="B213" s="13" t="s">
        <v>34</v>
      </c>
      <c r="C213" s="13" t="s">
        <v>505</v>
      </c>
      <c r="D213" s="13" t="n">
        <v>64</v>
      </c>
      <c r="E213" s="13" t="s">
        <v>90</v>
      </c>
      <c r="F213" s="13" t="s">
        <v>33</v>
      </c>
      <c r="G213" s="13" t="s">
        <v>157</v>
      </c>
      <c r="H213" s="13" t="s">
        <v>41</v>
      </c>
      <c r="I213" s="13" t="n">
        <v>1</v>
      </c>
      <c r="J213" s="13" t="n">
        <v>1</v>
      </c>
      <c r="K213" s="13" t="s">
        <v>85</v>
      </c>
      <c r="L213" s="13" t="n">
        <v>3</v>
      </c>
      <c r="M213" s="13" t="n">
        <v>1054193.36</v>
      </c>
      <c r="N213" s="13" t="n">
        <v>351397.786666667</v>
      </c>
      <c r="O213" s="13" t="n">
        <v>1107.81</v>
      </c>
      <c r="P213" s="13" t="n">
        <v>0</v>
      </c>
      <c r="Q213" s="13" t="n">
        <v>3</v>
      </c>
      <c r="R213" s="13" t="s">
        <v>150</v>
      </c>
      <c r="S213" s="13" t="s">
        <v>112</v>
      </c>
      <c r="T213" s="13" t="n">
        <v>1</v>
      </c>
      <c r="U213" s="13" t="n">
        <f aca="false">IF(B213="Individual",1,0)</f>
        <v>1</v>
      </c>
      <c r="V213" s="13" t="n">
        <f aca="false">IF(B213="Company",1,0)</f>
        <v>0</v>
      </c>
      <c r="W213" s="13" t="n">
        <f aca="false">IF(H213="Home",1,0)</f>
        <v>1</v>
      </c>
      <c r="X213" s="13" t="n">
        <f aca="false">IF(H213="Investment",1,0)</f>
        <v>0</v>
      </c>
      <c r="Y213" s="13" t="n">
        <f aca="false">IF(K213="Website",1,0)</f>
        <v>1</v>
      </c>
      <c r="Z213" s="13" t="n">
        <f aca="false">IF(K213="Agency",1,0)</f>
        <v>0</v>
      </c>
      <c r="AA213" s="13" t="n">
        <f aca="false">IF(K213="Client",1,0)</f>
        <v>0</v>
      </c>
      <c r="AB213" s="13" t="n">
        <f aca="false">(D213-AVERAGE(D$2:D$2001))/STDEV(D$2:D$2001)</f>
        <v>0.568724798479635</v>
      </c>
      <c r="AC213" s="13" t="n">
        <f aca="false">(I213-AVERAGE(I$2:I$2001))/STDEV(I$2:I$2001)</f>
        <v>-1.43538077576244</v>
      </c>
      <c r="AD213" s="13" t="n">
        <f aca="false">(L213-AVERAGE(L$2:L$2001))/STDEV(L$2:L$2001)</f>
        <v>-0.777063122173208</v>
      </c>
      <c r="AE213" s="13" t="n">
        <f aca="false">(M213-AVERAGE(M$2:M$2001))/STDEV(M$2:M$2001)</f>
        <v>-0.592765794592239</v>
      </c>
      <c r="AF213" s="13" t="n">
        <f aca="false">(N213-AVERAGE(N$2:N$2001))/STDEV(N$2:N$2001)</f>
        <v>0.0617859758316412</v>
      </c>
      <c r="AG213" s="13" t="n">
        <f aca="false">(O213-AVERAGE(O$2:O$2001))/STDEV(O$2:O$2001)</f>
        <v>-0.180380144407504</v>
      </c>
      <c r="AH213" s="0" t="str">
        <f aca="false">IF(B213="Company","C3 - Corporate Buyers",IF(AND(H213="Investment",M213&gt;'Segmentation Summary'!$C$1),"C1 - Global Investors",IF(AND(I213&gt;=4,M213&gt;'Segmentation Summary'!$C$1),"C4 - Luxury Investors",IF(AND(D213&lt;'Segmentation Summary'!$C$2,J213=1),"C2 - First-Time Buyers","C5 - Other Individual Buyers"))))</f>
        <v>C5 - Other Individual Buyers</v>
      </c>
    </row>
    <row r="214" customFormat="false" ht="15" hidden="false" customHeight="true" outlineLevel="0" collapsed="false">
      <c r="A214" s="13" t="s">
        <v>506</v>
      </c>
      <c r="B214" s="13" t="s">
        <v>34</v>
      </c>
      <c r="C214" s="13" t="s">
        <v>507</v>
      </c>
      <c r="D214" s="13" t="n">
        <v>54</v>
      </c>
      <c r="E214" s="13" t="s">
        <v>90</v>
      </c>
      <c r="F214" s="13" t="s">
        <v>33</v>
      </c>
      <c r="G214" s="13" t="s">
        <v>157</v>
      </c>
      <c r="H214" s="13" t="s">
        <v>43</v>
      </c>
      <c r="I214" s="13" t="n">
        <v>1</v>
      </c>
      <c r="J214" s="13" t="n">
        <v>0</v>
      </c>
      <c r="K214" s="13" t="s">
        <v>91</v>
      </c>
      <c r="L214" s="13" t="n">
        <v>3</v>
      </c>
      <c r="M214" s="13" t="n">
        <v>1349339.41</v>
      </c>
      <c r="N214" s="13" t="n">
        <v>449779.803333333</v>
      </c>
      <c r="O214" s="13" t="n">
        <v>1439.25666666667</v>
      </c>
      <c r="P214" s="13" t="n">
        <v>1</v>
      </c>
      <c r="Q214" s="13" t="n">
        <v>2</v>
      </c>
      <c r="R214" s="13" t="s">
        <v>121</v>
      </c>
      <c r="S214" s="13" t="s">
        <v>103</v>
      </c>
      <c r="T214" s="13" t="n">
        <v>1</v>
      </c>
      <c r="U214" s="13" t="n">
        <f aca="false">IF(B214="Individual",1,0)</f>
        <v>1</v>
      </c>
      <c r="V214" s="13" t="n">
        <f aca="false">IF(B214="Company",1,0)</f>
        <v>0</v>
      </c>
      <c r="W214" s="13" t="n">
        <f aca="false">IF(H214="Home",1,0)</f>
        <v>0</v>
      </c>
      <c r="X214" s="13" t="n">
        <f aca="false">IF(H214="Investment",1,0)</f>
        <v>1</v>
      </c>
      <c r="Y214" s="13" t="n">
        <f aca="false">IF(K214="Website",1,0)</f>
        <v>0</v>
      </c>
      <c r="Z214" s="13" t="n">
        <f aca="false">IF(K214="Agency",1,0)</f>
        <v>1</v>
      </c>
      <c r="AA214" s="13" t="n">
        <f aca="false">IF(K214="Client",1,0)</f>
        <v>0</v>
      </c>
      <c r="AB214" s="13" t="n">
        <f aca="false">(D214-AVERAGE(D$2:D$2001))/STDEV(D$2:D$2001)</f>
        <v>-0.00789975640187674</v>
      </c>
      <c r="AC214" s="13" t="n">
        <f aca="false">(I214-AVERAGE(I$2:I$2001))/STDEV(I$2:I$2001)</f>
        <v>-1.43538077576244</v>
      </c>
      <c r="AD214" s="13" t="n">
        <f aca="false">(L214-AVERAGE(L$2:L$2001))/STDEV(L$2:L$2001)</f>
        <v>-0.777063122173208</v>
      </c>
      <c r="AE214" s="13" t="n">
        <f aca="false">(M214-AVERAGE(M$2:M$2001))/STDEV(M$2:M$2001)</f>
        <v>0.255767931283828</v>
      </c>
      <c r="AF214" s="13" t="n">
        <f aca="false">(N214-AVERAGE(N$2:N$2001))/STDEV(N$2:N$2001)</f>
        <v>1.47285089219513</v>
      </c>
      <c r="AG214" s="13" t="n">
        <f aca="false">(O214-AVERAGE(O$2:O$2001))/STDEV(O$2:O$2001)</f>
        <v>1.32672592981761</v>
      </c>
      <c r="AH214" s="0" t="str">
        <f aca="false">IF(B214="Company","C3 - Corporate Buyers",IF(AND(H214="Investment",M214&gt;'Segmentation Summary'!$C$1),"C1 - Global Investors",IF(AND(I214&gt;=4,M214&gt;'Segmentation Summary'!$C$1),"C4 - Luxury Investors",IF(AND(D214&lt;'Segmentation Summary'!$C$2,J214=1),"C2 - First-Time Buyers","C5 - Other Individual Buyers"))))</f>
        <v>C1 - Global Investors</v>
      </c>
    </row>
    <row r="215" customFormat="false" ht="15" hidden="false" customHeight="true" outlineLevel="0" collapsed="false">
      <c r="A215" s="13" t="s">
        <v>508</v>
      </c>
      <c r="B215" s="13" t="s">
        <v>34</v>
      </c>
      <c r="C215" s="13" t="s">
        <v>509</v>
      </c>
      <c r="D215" s="13" t="n">
        <v>54</v>
      </c>
      <c r="E215" s="13" t="s">
        <v>90</v>
      </c>
      <c r="F215" s="13" t="s">
        <v>33</v>
      </c>
      <c r="G215" s="13" t="s">
        <v>162</v>
      </c>
      <c r="H215" s="13" t="s">
        <v>41</v>
      </c>
      <c r="I215" s="13" t="n">
        <v>3</v>
      </c>
      <c r="J215" s="13" t="n">
        <v>1</v>
      </c>
      <c r="K215" s="13" t="s">
        <v>85</v>
      </c>
      <c r="L215" s="13" t="n">
        <v>4</v>
      </c>
      <c r="M215" s="13" t="n">
        <v>1356021.03</v>
      </c>
      <c r="N215" s="13" t="n">
        <v>339005.2575</v>
      </c>
      <c r="O215" s="13" t="n">
        <v>1076.59</v>
      </c>
      <c r="P215" s="13" t="n">
        <v>1</v>
      </c>
      <c r="Q215" s="13" t="n">
        <v>3</v>
      </c>
      <c r="R215" s="13" t="s">
        <v>117</v>
      </c>
      <c r="S215" s="13" t="s">
        <v>114</v>
      </c>
      <c r="T215" s="13" t="n">
        <v>1</v>
      </c>
      <c r="U215" s="13" t="n">
        <f aca="false">IF(B215="Individual",1,0)</f>
        <v>1</v>
      </c>
      <c r="V215" s="13" t="n">
        <f aca="false">IF(B215="Company",1,0)</f>
        <v>0</v>
      </c>
      <c r="W215" s="13" t="n">
        <f aca="false">IF(H215="Home",1,0)</f>
        <v>1</v>
      </c>
      <c r="X215" s="13" t="n">
        <f aca="false">IF(H215="Investment",1,0)</f>
        <v>0</v>
      </c>
      <c r="Y215" s="13" t="n">
        <f aca="false">IF(K215="Website",1,0)</f>
        <v>1</v>
      </c>
      <c r="Z215" s="13" t="n">
        <f aca="false">IF(K215="Agency",1,0)</f>
        <v>0</v>
      </c>
      <c r="AA215" s="13" t="n">
        <f aca="false">IF(K215="Client",1,0)</f>
        <v>0</v>
      </c>
      <c r="AB215" s="13" t="n">
        <f aca="false">(D215-AVERAGE(D$2:D$2001))/STDEV(D$2:D$2001)</f>
        <v>-0.00789975640187674</v>
      </c>
      <c r="AC215" s="13" t="n">
        <f aca="false">(I215-AVERAGE(I$2:I$2001))/STDEV(I$2:I$2001)</f>
        <v>-0.0205155458339628</v>
      </c>
      <c r="AD215" s="13" t="n">
        <f aca="false">(L215-AVERAGE(L$2:L$2001))/STDEV(L$2:L$2001)</f>
        <v>0.413838214490712</v>
      </c>
      <c r="AE215" s="13" t="n">
        <f aca="false">(M215-AVERAGE(M$2:M$2001))/STDEV(M$2:M$2001)</f>
        <v>0.274977335961574</v>
      </c>
      <c r="AF215" s="13" t="n">
        <f aca="false">(N215-AVERAGE(N$2:N$2001))/STDEV(N$2:N$2001)</f>
        <v>-0.115956499110121</v>
      </c>
      <c r="AG215" s="13" t="n">
        <f aca="false">(O215-AVERAGE(O$2:O$2001))/STDEV(O$2:O$2001)</f>
        <v>-0.322339187503349</v>
      </c>
      <c r="AH215" s="0" t="str">
        <f aca="false">IF(B215="Company","C3 - Corporate Buyers",IF(AND(H215="Investment",M215&gt;'Segmentation Summary'!$C$1),"C1 - Global Investors",IF(AND(I215&gt;=4,M215&gt;'Segmentation Summary'!$C$1),"C4 - Luxury Investors",IF(AND(D215&lt;'Segmentation Summary'!$C$2,J215=1),"C2 - First-Time Buyers","C5 - Other Individual Buyers"))))</f>
        <v>C2 - First-Time Buyers</v>
      </c>
    </row>
    <row r="216" customFormat="false" ht="15" hidden="false" customHeight="true" outlineLevel="0" collapsed="false">
      <c r="A216" s="13" t="s">
        <v>510</v>
      </c>
      <c r="B216" s="13" t="s">
        <v>34</v>
      </c>
      <c r="C216" s="13" t="s">
        <v>511</v>
      </c>
      <c r="D216" s="13" t="n">
        <v>60</v>
      </c>
      <c r="E216" s="13" t="s">
        <v>90</v>
      </c>
      <c r="F216" s="13" t="s">
        <v>33</v>
      </c>
      <c r="G216" s="13" t="s">
        <v>120</v>
      </c>
      <c r="H216" s="13" t="s">
        <v>43</v>
      </c>
      <c r="I216" s="13" t="n">
        <v>4</v>
      </c>
      <c r="J216" s="13" t="n">
        <v>0</v>
      </c>
      <c r="K216" s="13" t="s">
        <v>116</v>
      </c>
      <c r="L216" s="13" t="n">
        <v>3</v>
      </c>
      <c r="M216" s="13" t="n">
        <v>1015184.58</v>
      </c>
      <c r="N216" s="13" t="n">
        <v>338394.86</v>
      </c>
      <c r="O216" s="13" t="n">
        <v>1076.69</v>
      </c>
      <c r="P216" s="13" t="n">
        <v>1</v>
      </c>
      <c r="Q216" s="13" t="n">
        <v>2</v>
      </c>
      <c r="R216" s="13" t="s">
        <v>141</v>
      </c>
      <c r="S216" s="13" t="s">
        <v>125</v>
      </c>
      <c r="T216" s="13" t="n">
        <v>1</v>
      </c>
      <c r="U216" s="13" t="n">
        <f aca="false">IF(B216="Individual",1,0)</f>
        <v>1</v>
      </c>
      <c r="V216" s="13" t="n">
        <f aca="false">IF(B216="Company",1,0)</f>
        <v>0</v>
      </c>
      <c r="W216" s="13" t="n">
        <f aca="false">IF(H216="Home",1,0)</f>
        <v>0</v>
      </c>
      <c r="X216" s="13" t="n">
        <f aca="false">IF(H216="Investment",1,0)</f>
        <v>1</v>
      </c>
      <c r="Y216" s="13" t="n">
        <f aca="false">IF(K216="Website",1,0)</f>
        <v>0</v>
      </c>
      <c r="Z216" s="13" t="n">
        <f aca="false">IF(K216="Agency",1,0)</f>
        <v>0</v>
      </c>
      <c r="AA216" s="13" t="n">
        <f aca="false">IF(K216="Client",1,0)</f>
        <v>1</v>
      </c>
      <c r="AB216" s="13" t="n">
        <f aca="false">(D216-AVERAGE(D$2:D$2001))/STDEV(D$2:D$2001)</f>
        <v>0.338074976527031</v>
      </c>
      <c r="AC216" s="13" t="n">
        <f aca="false">(I216-AVERAGE(I$2:I$2001))/STDEV(I$2:I$2001)</f>
        <v>0.686917069130275</v>
      </c>
      <c r="AD216" s="13" t="n">
        <f aca="false">(L216-AVERAGE(L$2:L$2001))/STDEV(L$2:L$2001)</f>
        <v>-0.777063122173208</v>
      </c>
      <c r="AE216" s="13" t="n">
        <f aca="false">(M216-AVERAGE(M$2:M$2001))/STDEV(M$2:M$2001)</f>
        <v>-0.704914561059823</v>
      </c>
      <c r="AF216" s="13" t="n">
        <f aca="false">(N216-AVERAGE(N$2:N$2001))/STDEV(N$2:N$2001)</f>
        <v>-0.12471125456715</v>
      </c>
      <c r="AG216" s="13" t="n">
        <f aca="false">(O216-AVERAGE(O$2:O$2001))/STDEV(O$2:O$2001)</f>
        <v>-0.321884482048205</v>
      </c>
      <c r="AH216" s="0" t="str">
        <f aca="false">IF(B216="Company","C3 - Corporate Buyers",IF(AND(H216="Investment",M216&gt;'Segmentation Summary'!$C$1),"C1 - Global Investors",IF(AND(I216&gt;=4,M216&gt;'Segmentation Summary'!$C$1),"C4 - Luxury Investors",IF(AND(D216&lt;'Segmentation Summary'!$C$2,J216=1),"C2 - First-Time Buyers","C5 - Other Individual Buyers"))))</f>
        <v>C5 - Other Individual Buyers</v>
      </c>
    </row>
    <row r="217" customFormat="false" ht="15" hidden="false" customHeight="true" outlineLevel="0" collapsed="false">
      <c r="A217" s="13" t="s">
        <v>512</v>
      </c>
      <c r="B217" s="13" t="s">
        <v>34</v>
      </c>
      <c r="C217" s="13" t="s">
        <v>511</v>
      </c>
      <c r="D217" s="13" t="n">
        <v>78</v>
      </c>
      <c r="E217" s="13" t="s">
        <v>90</v>
      </c>
      <c r="F217" s="13" t="s">
        <v>33</v>
      </c>
      <c r="G217" s="13" t="s">
        <v>84</v>
      </c>
      <c r="H217" s="13" t="s">
        <v>43</v>
      </c>
      <c r="I217" s="13" t="n">
        <v>5</v>
      </c>
      <c r="J217" s="13" t="n">
        <v>0</v>
      </c>
      <c r="K217" s="13" t="s">
        <v>85</v>
      </c>
      <c r="L217" s="13" t="n">
        <v>4</v>
      </c>
      <c r="M217" s="13" t="n">
        <v>1433703.52</v>
      </c>
      <c r="N217" s="13" t="n">
        <v>358425.88</v>
      </c>
      <c r="O217" s="13" t="n">
        <v>1227.17</v>
      </c>
      <c r="P217" s="13" t="n">
        <v>1</v>
      </c>
      <c r="Q217" s="13" t="n">
        <v>3</v>
      </c>
      <c r="R217" s="13" t="s">
        <v>92</v>
      </c>
      <c r="S217" s="13" t="s">
        <v>164</v>
      </c>
      <c r="T217" s="13" t="n">
        <v>1</v>
      </c>
      <c r="U217" s="13" t="n">
        <f aca="false">IF(B217="Individual",1,0)</f>
        <v>1</v>
      </c>
      <c r="V217" s="13" t="n">
        <f aca="false">IF(B217="Company",1,0)</f>
        <v>0</v>
      </c>
      <c r="W217" s="13" t="n">
        <f aca="false">IF(H217="Home",1,0)</f>
        <v>0</v>
      </c>
      <c r="X217" s="13" t="n">
        <f aca="false">IF(H217="Investment",1,0)</f>
        <v>1</v>
      </c>
      <c r="Y217" s="13" t="n">
        <f aca="false">IF(K217="Website",1,0)</f>
        <v>1</v>
      </c>
      <c r="Z217" s="13" t="n">
        <f aca="false">IF(K217="Agency",1,0)</f>
        <v>0</v>
      </c>
      <c r="AA217" s="13" t="n">
        <f aca="false">IF(K217="Client",1,0)</f>
        <v>0</v>
      </c>
      <c r="AB217" s="13" t="n">
        <f aca="false">(D217-AVERAGE(D$2:D$2001))/STDEV(D$2:D$2001)</f>
        <v>1.37599917531375</v>
      </c>
      <c r="AC217" s="13" t="n">
        <f aca="false">(I217-AVERAGE(I$2:I$2001))/STDEV(I$2:I$2001)</f>
        <v>1.39434968409451</v>
      </c>
      <c r="AD217" s="13" t="n">
        <f aca="false">(L217-AVERAGE(L$2:L$2001))/STDEV(L$2:L$2001)</f>
        <v>0.413838214490712</v>
      </c>
      <c r="AE217" s="13" t="n">
        <f aca="false">(M217-AVERAGE(M$2:M$2001))/STDEV(M$2:M$2001)</f>
        <v>0.498311555325276</v>
      </c>
      <c r="AF217" s="13" t="n">
        <f aca="false">(N217-AVERAGE(N$2:N$2001))/STDEV(N$2:N$2001)</f>
        <v>0.162587893373086</v>
      </c>
      <c r="AG217" s="13" t="n">
        <f aca="false">(O217-AVERAGE(O$2:O$2001))/STDEV(O$2:O$2001)</f>
        <v>0.362356286851948</v>
      </c>
      <c r="AH217" s="0" t="str">
        <f aca="false">IF(B217="Company","C3 - Corporate Buyers",IF(AND(H217="Investment",M217&gt;'Segmentation Summary'!$C$1),"C1 - Global Investors",IF(AND(I217&gt;=4,M217&gt;'Segmentation Summary'!$C$1),"C4 - Luxury Investors",IF(AND(D217&lt;'Segmentation Summary'!$C$2,J217=1),"C2 - First-Time Buyers","C5 - Other Individual Buyers"))))</f>
        <v>C1 - Global Investors</v>
      </c>
    </row>
    <row r="218" customFormat="false" ht="15" hidden="false" customHeight="true" outlineLevel="0" collapsed="false">
      <c r="A218" s="13" t="s">
        <v>513</v>
      </c>
      <c r="B218" s="13" t="s">
        <v>34</v>
      </c>
      <c r="C218" s="13" t="s">
        <v>514</v>
      </c>
      <c r="D218" s="13" t="n">
        <v>73</v>
      </c>
      <c r="E218" s="13" t="s">
        <v>90</v>
      </c>
      <c r="F218" s="13" t="s">
        <v>33</v>
      </c>
      <c r="G218" s="13" t="s">
        <v>84</v>
      </c>
      <c r="H218" s="13" t="s">
        <v>41</v>
      </c>
      <c r="I218" s="13" t="n">
        <v>3</v>
      </c>
      <c r="J218" s="13" t="n">
        <v>0</v>
      </c>
      <c r="K218" s="13" t="s">
        <v>85</v>
      </c>
      <c r="L218" s="13" t="n">
        <v>4</v>
      </c>
      <c r="M218" s="13" t="n">
        <v>1125013.8</v>
      </c>
      <c r="N218" s="13" t="n">
        <v>281253.45</v>
      </c>
      <c r="O218" s="13" t="n">
        <v>874.345</v>
      </c>
      <c r="P218" s="13" t="n">
        <v>1</v>
      </c>
      <c r="Q218" s="13" t="n">
        <v>3</v>
      </c>
      <c r="R218" s="13" t="s">
        <v>93</v>
      </c>
      <c r="S218" s="13" t="s">
        <v>154</v>
      </c>
      <c r="T218" s="13" t="n">
        <v>1</v>
      </c>
      <c r="U218" s="13" t="n">
        <f aca="false">IF(B218="Individual",1,0)</f>
        <v>1</v>
      </c>
      <c r="V218" s="13" t="n">
        <f aca="false">IF(B218="Company",1,0)</f>
        <v>0</v>
      </c>
      <c r="W218" s="13" t="n">
        <f aca="false">IF(H218="Home",1,0)</f>
        <v>1</v>
      </c>
      <c r="X218" s="13" t="n">
        <f aca="false">IF(H218="Investment",1,0)</f>
        <v>0</v>
      </c>
      <c r="Y218" s="13" t="n">
        <f aca="false">IF(K218="Website",1,0)</f>
        <v>1</v>
      </c>
      <c r="Z218" s="13" t="n">
        <f aca="false">IF(K218="Agency",1,0)</f>
        <v>0</v>
      </c>
      <c r="AA218" s="13" t="n">
        <f aca="false">IF(K218="Client",1,0)</f>
        <v>0</v>
      </c>
      <c r="AB218" s="13" t="n">
        <f aca="false">(D218-AVERAGE(D$2:D$2001))/STDEV(D$2:D$2001)</f>
        <v>1.087686897873</v>
      </c>
      <c r="AC218" s="13" t="n">
        <f aca="false">(I218-AVERAGE(I$2:I$2001))/STDEV(I$2:I$2001)</f>
        <v>-0.0205155458339628</v>
      </c>
      <c r="AD218" s="13" t="n">
        <f aca="false">(L218-AVERAGE(L$2:L$2001))/STDEV(L$2:L$2001)</f>
        <v>0.413838214490712</v>
      </c>
      <c r="AE218" s="13" t="n">
        <f aca="false">(M218-AVERAGE(M$2:M$2001))/STDEV(M$2:M$2001)</f>
        <v>-0.389159709329087</v>
      </c>
      <c r="AF218" s="13" t="n">
        <f aca="false">(N218-AVERAGE(N$2:N$2001))/STDEV(N$2:N$2001)</f>
        <v>-0.944274032953059</v>
      </c>
      <c r="AG218" s="13" t="n">
        <f aca="false">(O218-AVERAGE(O$2:O$2001))/STDEV(O$2:O$2001)</f>
        <v>-1.24195823525861</v>
      </c>
      <c r="AH218" s="0" t="str">
        <f aca="false">IF(B218="Company","C3 - Corporate Buyers",IF(AND(H218="Investment",M218&gt;'Segmentation Summary'!$C$1),"C1 - Global Investors",IF(AND(I218&gt;=4,M218&gt;'Segmentation Summary'!$C$1),"C4 - Luxury Investors",IF(AND(D218&lt;'Segmentation Summary'!$C$2,J218=1),"C2 - First-Time Buyers","C5 - Other Individual Buyers"))))</f>
        <v>C5 - Other Individual Buyers</v>
      </c>
    </row>
    <row r="219" customFormat="false" ht="15" hidden="false" customHeight="true" outlineLevel="0" collapsed="false">
      <c r="A219" s="13" t="s">
        <v>515</v>
      </c>
      <c r="B219" s="13" t="s">
        <v>34</v>
      </c>
      <c r="C219" s="13" t="s">
        <v>516</v>
      </c>
      <c r="D219" s="13" t="n">
        <v>65</v>
      </c>
      <c r="E219" s="13" t="s">
        <v>90</v>
      </c>
      <c r="F219" s="13" t="s">
        <v>33</v>
      </c>
      <c r="G219" s="13" t="s">
        <v>95</v>
      </c>
      <c r="H219" s="13" t="s">
        <v>43</v>
      </c>
      <c r="I219" s="13" t="n">
        <v>2</v>
      </c>
      <c r="J219" s="13" t="n">
        <v>1</v>
      </c>
      <c r="K219" s="13" t="s">
        <v>85</v>
      </c>
      <c r="L219" s="13" t="n">
        <v>5</v>
      </c>
      <c r="M219" s="13" t="n">
        <v>1328084.36</v>
      </c>
      <c r="N219" s="13" t="n">
        <v>265616.872</v>
      </c>
      <c r="O219" s="13" t="n">
        <v>850.948</v>
      </c>
      <c r="P219" s="13" t="n">
        <v>2</v>
      </c>
      <c r="Q219" s="13" t="n">
        <v>3</v>
      </c>
      <c r="R219" s="13" t="s">
        <v>121</v>
      </c>
      <c r="S219" s="13" t="s">
        <v>154</v>
      </c>
      <c r="T219" s="13" t="n">
        <v>1</v>
      </c>
      <c r="U219" s="13" t="n">
        <f aca="false">IF(B219="Individual",1,0)</f>
        <v>1</v>
      </c>
      <c r="V219" s="13" t="n">
        <f aca="false">IF(B219="Company",1,0)</f>
        <v>0</v>
      </c>
      <c r="W219" s="13" t="n">
        <f aca="false">IF(H219="Home",1,0)</f>
        <v>0</v>
      </c>
      <c r="X219" s="13" t="n">
        <f aca="false">IF(H219="Investment",1,0)</f>
        <v>1</v>
      </c>
      <c r="Y219" s="13" t="n">
        <f aca="false">IF(K219="Website",1,0)</f>
        <v>1</v>
      </c>
      <c r="Z219" s="13" t="n">
        <f aca="false">IF(K219="Agency",1,0)</f>
        <v>0</v>
      </c>
      <c r="AA219" s="13" t="n">
        <f aca="false">IF(K219="Client",1,0)</f>
        <v>0</v>
      </c>
      <c r="AB219" s="13" t="n">
        <f aca="false">(D219-AVERAGE(D$2:D$2001))/STDEV(D$2:D$2001)</f>
        <v>0.626387253967787</v>
      </c>
      <c r="AC219" s="13" t="n">
        <f aca="false">(I219-AVERAGE(I$2:I$2001))/STDEV(I$2:I$2001)</f>
        <v>-0.727948160798201</v>
      </c>
      <c r="AD219" s="13" t="n">
        <f aca="false">(L219-AVERAGE(L$2:L$2001))/STDEV(L$2:L$2001)</f>
        <v>1.60473955115463</v>
      </c>
      <c r="AE219" s="13" t="n">
        <f aca="false">(M219-AVERAGE(M$2:M$2001))/STDEV(M$2:M$2001)</f>
        <v>0.194660466792327</v>
      </c>
      <c r="AF219" s="13" t="n">
        <f aca="false">(N219-AVERAGE(N$2:N$2001))/STDEV(N$2:N$2001)</f>
        <v>-1.16854496554167</v>
      </c>
      <c r="AG219" s="13" t="n">
        <f aca="false">(O219-AVERAGE(O$2:O$2001))/STDEV(O$2:O$2001)</f>
        <v>-1.34834567059857</v>
      </c>
      <c r="AH219" s="0" t="str">
        <f aca="false">IF(B219="Company","C3 - Corporate Buyers",IF(AND(H219="Investment",M219&gt;'Segmentation Summary'!$C$1),"C1 - Global Investors",IF(AND(I219&gt;=4,M219&gt;'Segmentation Summary'!$C$1),"C4 - Luxury Investors",IF(AND(D219&lt;'Segmentation Summary'!$C$2,J219=1),"C2 - First-Time Buyers","C5 - Other Individual Buyers"))))</f>
        <v>C1 - Global Investors</v>
      </c>
    </row>
    <row r="220" customFormat="false" ht="15" hidden="false" customHeight="true" outlineLevel="0" collapsed="false">
      <c r="A220" s="13" t="s">
        <v>517</v>
      </c>
      <c r="B220" s="13" t="s">
        <v>34</v>
      </c>
      <c r="C220" s="13" t="s">
        <v>518</v>
      </c>
      <c r="D220" s="13" t="n">
        <v>35</v>
      </c>
      <c r="E220" s="13" t="s">
        <v>90</v>
      </c>
      <c r="F220" s="13" t="s">
        <v>33</v>
      </c>
      <c r="G220" s="13" t="s">
        <v>95</v>
      </c>
      <c r="H220" s="13" t="s">
        <v>43</v>
      </c>
      <c r="I220" s="13" t="n">
        <v>4</v>
      </c>
      <c r="J220" s="13" t="n">
        <v>1</v>
      </c>
      <c r="K220" s="13" t="s">
        <v>85</v>
      </c>
      <c r="L220" s="13" t="n">
        <v>4</v>
      </c>
      <c r="M220" s="13" t="n">
        <v>1482243.88</v>
      </c>
      <c r="N220" s="13" t="n">
        <v>370560.97</v>
      </c>
      <c r="O220" s="13" t="n">
        <v>1122.0925</v>
      </c>
      <c r="P220" s="13" t="n">
        <v>0</v>
      </c>
      <c r="Q220" s="13" t="n">
        <v>4</v>
      </c>
      <c r="R220" s="13" t="s">
        <v>101</v>
      </c>
      <c r="S220" s="13" t="s">
        <v>215</v>
      </c>
      <c r="T220" s="13" t="n">
        <v>1</v>
      </c>
      <c r="U220" s="13" t="n">
        <f aca="false">IF(B220="Individual",1,0)</f>
        <v>1</v>
      </c>
      <c r="V220" s="13" t="n">
        <f aca="false">IF(B220="Company",1,0)</f>
        <v>0</v>
      </c>
      <c r="W220" s="13" t="n">
        <f aca="false">IF(H220="Home",1,0)</f>
        <v>0</v>
      </c>
      <c r="X220" s="13" t="n">
        <f aca="false">IF(H220="Investment",1,0)</f>
        <v>1</v>
      </c>
      <c r="Y220" s="13" t="n">
        <f aca="false">IF(K220="Website",1,0)</f>
        <v>1</v>
      </c>
      <c r="Z220" s="13" t="n">
        <f aca="false">IF(K220="Agency",1,0)</f>
        <v>0</v>
      </c>
      <c r="AA220" s="13" t="n">
        <f aca="false">IF(K220="Client",1,0)</f>
        <v>0</v>
      </c>
      <c r="AB220" s="13" t="n">
        <f aca="false">(D220-AVERAGE(D$2:D$2001))/STDEV(D$2:D$2001)</f>
        <v>-1.10348641067675</v>
      </c>
      <c r="AC220" s="13" t="n">
        <f aca="false">(I220-AVERAGE(I$2:I$2001))/STDEV(I$2:I$2001)</f>
        <v>0.686917069130275</v>
      </c>
      <c r="AD220" s="13" t="n">
        <f aca="false">(L220-AVERAGE(L$2:L$2001))/STDEV(L$2:L$2001)</f>
        <v>0.413838214490712</v>
      </c>
      <c r="AE220" s="13" t="n">
        <f aca="false">(M220-AVERAGE(M$2:M$2001))/STDEV(M$2:M$2001)</f>
        <v>0.637863253632489</v>
      </c>
      <c r="AF220" s="13" t="n">
        <f aca="false">(N220-AVERAGE(N$2:N$2001))/STDEV(N$2:N$2001)</f>
        <v>0.3366379925282</v>
      </c>
      <c r="AG220" s="13" t="n">
        <f aca="false">(O220-AVERAGE(O$2:O$2001))/STDEV(O$2:O$2001)</f>
        <v>-0.115436837776613</v>
      </c>
      <c r="AH220" s="0" t="str">
        <f aca="false">IF(B220="Company","C3 - Corporate Buyers",IF(AND(H220="Investment",M220&gt;'Segmentation Summary'!$C$1),"C1 - Global Investors",IF(AND(I220&gt;=4,M220&gt;'Segmentation Summary'!$C$1),"C4 - Luxury Investors",IF(AND(D220&lt;'Segmentation Summary'!$C$2,J220=1),"C2 - First-Time Buyers","C5 - Other Individual Buyers"))))</f>
        <v>C1 - Global Investors</v>
      </c>
    </row>
    <row r="221" customFormat="false" ht="15" hidden="false" customHeight="true" outlineLevel="0" collapsed="false">
      <c r="A221" s="13" t="s">
        <v>519</v>
      </c>
      <c r="B221" s="13" t="s">
        <v>34</v>
      </c>
      <c r="C221" s="13" t="s">
        <v>520</v>
      </c>
      <c r="D221" s="13" t="n">
        <v>81</v>
      </c>
      <c r="E221" s="13" t="s">
        <v>90</v>
      </c>
      <c r="F221" s="13" t="s">
        <v>35</v>
      </c>
      <c r="G221" s="13" t="s">
        <v>374</v>
      </c>
      <c r="H221" s="13" t="s">
        <v>43</v>
      </c>
      <c r="I221" s="13" t="n">
        <v>1</v>
      </c>
      <c r="J221" s="13" t="n">
        <v>0</v>
      </c>
      <c r="K221" s="13" t="s">
        <v>85</v>
      </c>
      <c r="L221" s="13" t="n">
        <v>3</v>
      </c>
      <c r="M221" s="13" t="n">
        <v>838728.4</v>
      </c>
      <c r="N221" s="13" t="n">
        <v>279576.133333333</v>
      </c>
      <c r="O221" s="13" t="n">
        <v>932.37</v>
      </c>
      <c r="P221" s="13" t="n">
        <v>1</v>
      </c>
      <c r="Q221" s="13" t="n">
        <v>2</v>
      </c>
      <c r="R221" s="13" t="s">
        <v>92</v>
      </c>
      <c r="S221" s="13" t="s">
        <v>114</v>
      </c>
      <c r="T221" s="13" t="n">
        <v>1</v>
      </c>
      <c r="U221" s="13" t="n">
        <f aca="false">IF(B221="Individual",1,0)</f>
        <v>1</v>
      </c>
      <c r="V221" s="13" t="n">
        <f aca="false">IF(B221="Company",1,0)</f>
        <v>0</v>
      </c>
      <c r="W221" s="13" t="n">
        <f aca="false">IF(H221="Home",1,0)</f>
        <v>0</v>
      </c>
      <c r="X221" s="13" t="n">
        <f aca="false">IF(H221="Investment",1,0)</f>
        <v>1</v>
      </c>
      <c r="Y221" s="13" t="n">
        <f aca="false">IF(K221="Website",1,0)</f>
        <v>1</v>
      </c>
      <c r="Z221" s="13" t="n">
        <f aca="false">IF(K221="Agency",1,0)</f>
        <v>0</v>
      </c>
      <c r="AA221" s="13" t="n">
        <f aca="false">IF(K221="Client",1,0)</f>
        <v>0</v>
      </c>
      <c r="AB221" s="13" t="n">
        <f aca="false">(D221-AVERAGE(D$2:D$2001))/STDEV(D$2:D$2001)</f>
        <v>1.54898654177821</v>
      </c>
      <c r="AC221" s="13" t="n">
        <f aca="false">(I221-AVERAGE(I$2:I$2001))/STDEV(I$2:I$2001)</f>
        <v>-1.43538077576244</v>
      </c>
      <c r="AD221" s="13" t="n">
        <f aca="false">(L221-AVERAGE(L$2:L$2001))/STDEV(L$2:L$2001)</f>
        <v>-0.777063122173208</v>
      </c>
      <c r="AE221" s="13" t="n">
        <f aca="false">(M221-AVERAGE(M$2:M$2001))/STDEV(M$2:M$2001)</f>
        <v>-1.21221940172856</v>
      </c>
      <c r="AF221" s="13" t="n">
        <f aca="false">(N221-AVERAGE(N$2:N$2001))/STDEV(N$2:N$2001)</f>
        <v>-0.968331302585828</v>
      </c>
      <c r="AG221" s="13" t="n">
        <f aca="false">(O221-AVERAGE(O$2:O$2001))/STDEV(O$2:O$2001)</f>
        <v>-0.97811539491151</v>
      </c>
      <c r="AH221" s="0" t="str">
        <f aca="false">IF(B221="Company","C3 - Corporate Buyers",IF(AND(H221="Investment",M221&gt;'Segmentation Summary'!$C$1),"C1 - Global Investors",IF(AND(I221&gt;=4,M221&gt;'Segmentation Summary'!$C$1),"C4 - Luxury Investors",IF(AND(D221&lt;'Segmentation Summary'!$C$2,J221=1),"C2 - First-Time Buyers","C5 - Other Individual Buyers"))))</f>
        <v>C5 - Other Individual Buyers</v>
      </c>
    </row>
    <row r="222" customFormat="false" ht="15" hidden="false" customHeight="true" outlineLevel="0" collapsed="false">
      <c r="A222" s="13" t="s">
        <v>521</v>
      </c>
      <c r="B222" s="13" t="s">
        <v>34</v>
      </c>
      <c r="C222" s="13" t="s">
        <v>522</v>
      </c>
      <c r="D222" s="13" t="n">
        <v>62</v>
      </c>
      <c r="E222" s="13" t="s">
        <v>90</v>
      </c>
      <c r="F222" s="13" t="s">
        <v>33</v>
      </c>
      <c r="G222" s="13" t="s">
        <v>106</v>
      </c>
      <c r="H222" s="13" t="s">
        <v>41</v>
      </c>
      <c r="I222" s="13" t="n">
        <v>1</v>
      </c>
      <c r="J222" s="13" t="n">
        <v>1</v>
      </c>
      <c r="K222" s="13" t="s">
        <v>85</v>
      </c>
      <c r="L222" s="13" t="n">
        <v>4</v>
      </c>
      <c r="M222" s="13" t="n">
        <v>1458732.84</v>
      </c>
      <c r="N222" s="13" t="n">
        <v>364683.21</v>
      </c>
      <c r="O222" s="13" t="n">
        <v>1146.015</v>
      </c>
      <c r="P222" s="13" t="n">
        <v>1</v>
      </c>
      <c r="Q222" s="13" t="n">
        <v>3</v>
      </c>
      <c r="R222" s="13" t="s">
        <v>141</v>
      </c>
      <c r="S222" s="13" t="s">
        <v>114</v>
      </c>
      <c r="T222" s="13" t="n">
        <v>1</v>
      </c>
      <c r="U222" s="13" t="n">
        <f aca="false">IF(B222="Individual",1,0)</f>
        <v>1</v>
      </c>
      <c r="V222" s="13" t="n">
        <f aca="false">IF(B222="Company",1,0)</f>
        <v>0</v>
      </c>
      <c r="W222" s="13" t="n">
        <f aca="false">IF(H222="Home",1,0)</f>
        <v>1</v>
      </c>
      <c r="X222" s="13" t="n">
        <f aca="false">IF(H222="Investment",1,0)</f>
        <v>0</v>
      </c>
      <c r="Y222" s="13" t="n">
        <f aca="false">IF(K222="Website",1,0)</f>
        <v>1</v>
      </c>
      <c r="Z222" s="13" t="n">
        <f aca="false">IF(K222="Agency",1,0)</f>
        <v>0</v>
      </c>
      <c r="AA222" s="13" t="n">
        <f aca="false">IF(K222="Client",1,0)</f>
        <v>0</v>
      </c>
      <c r="AB222" s="13" t="n">
        <f aca="false">(D222-AVERAGE(D$2:D$2001))/STDEV(D$2:D$2001)</f>
        <v>0.453399887503333</v>
      </c>
      <c r="AC222" s="13" t="n">
        <f aca="false">(I222-AVERAGE(I$2:I$2001))/STDEV(I$2:I$2001)</f>
        <v>-1.43538077576244</v>
      </c>
      <c r="AD222" s="13" t="n">
        <f aca="false">(L222-AVERAGE(L$2:L$2001))/STDEV(L$2:L$2001)</f>
        <v>0.413838214490712</v>
      </c>
      <c r="AE222" s="13" t="n">
        <f aca="false">(M222-AVERAGE(M$2:M$2001))/STDEV(M$2:M$2001)</f>
        <v>0.57026990325419</v>
      </c>
      <c r="AF222" s="13" t="n">
        <f aca="false">(N222-AVERAGE(N$2:N$2001))/STDEV(N$2:N$2001)</f>
        <v>0.252334974519273</v>
      </c>
      <c r="AG222" s="13" t="n">
        <f aca="false">(O222-AVERAGE(O$2:O$2001))/STDEV(O$2:O$2001)</f>
        <v>-0.0066599252698749</v>
      </c>
      <c r="AH222" s="0" t="str">
        <f aca="false">IF(B222="Company","C3 - Corporate Buyers",IF(AND(H222="Investment",M222&gt;'Segmentation Summary'!$C$1),"C1 - Global Investors",IF(AND(I222&gt;=4,M222&gt;'Segmentation Summary'!$C$1),"C4 - Luxury Investors",IF(AND(D222&lt;'Segmentation Summary'!$C$2,J222=1),"C2 - First-Time Buyers","C5 - Other Individual Buyers"))))</f>
        <v>C5 - Other Individual Buyers</v>
      </c>
    </row>
    <row r="223" customFormat="false" ht="15" hidden="false" customHeight="true" outlineLevel="0" collapsed="false">
      <c r="A223" s="13" t="s">
        <v>523</v>
      </c>
      <c r="B223" s="13" t="s">
        <v>34</v>
      </c>
      <c r="C223" s="13" t="s">
        <v>524</v>
      </c>
      <c r="D223" s="13" t="n">
        <v>53</v>
      </c>
      <c r="E223" s="13" t="s">
        <v>90</v>
      </c>
      <c r="F223" s="13" t="s">
        <v>45</v>
      </c>
      <c r="G223" s="13" t="s">
        <v>196</v>
      </c>
      <c r="H223" s="13" t="s">
        <v>41</v>
      </c>
      <c r="I223" s="13" t="n">
        <v>1</v>
      </c>
      <c r="J223" s="13" t="n">
        <v>0</v>
      </c>
      <c r="K223" s="13" t="s">
        <v>85</v>
      </c>
      <c r="L223" s="13" t="n">
        <v>3</v>
      </c>
      <c r="M223" s="13" t="n">
        <v>745691.65</v>
      </c>
      <c r="N223" s="13" t="n">
        <v>248563.883333333</v>
      </c>
      <c r="O223" s="13" t="n">
        <v>801.46</v>
      </c>
      <c r="P223" s="13" t="n">
        <v>0</v>
      </c>
      <c r="Q223" s="13" t="n">
        <v>3</v>
      </c>
      <c r="R223" s="13" t="s">
        <v>92</v>
      </c>
      <c r="S223" s="13" t="s">
        <v>98</v>
      </c>
      <c r="T223" s="13" t="n">
        <v>1</v>
      </c>
      <c r="U223" s="13" t="n">
        <f aca="false">IF(B223="Individual",1,0)</f>
        <v>1</v>
      </c>
      <c r="V223" s="13" t="n">
        <f aca="false">IF(B223="Company",1,0)</f>
        <v>0</v>
      </c>
      <c r="W223" s="13" t="n">
        <f aca="false">IF(H223="Home",1,0)</f>
        <v>1</v>
      </c>
      <c r="X223" s="13" t="n">
        <f aca="false">IF(H223="Investment",1,0)</f>
        <v>0</v>
      </c>
      <c r="Y223" s="13" t="n">
        <f aca="false">IF(K223="Website",1,0)</f>
        <v>1</v>
      </c>
      <c r="Z223" s="13" t="n">
        <f aca="false">IF(K223="Agency",1,0)</f>
        <v>0</v>
      </c>
      <c r="AA223" s="13" t="n">
        <f aca="false">IF(K223="Client",1,0)</f>
        <v>0</v>
      </c>
      <c r="AB223" s="13" t="n">
        <f aca="false">(D223-AVERAGE(D$2:D$2001))/STDEV(D$2:D$2001)</f>
        <v>-0.065562211890028</v>
      </c>
      <c r="AC223" s="13" t="n">
        <f aca="false">(I223-AVERAGE(I$2:I$2001))/STDEV(I$2:I$2001)</f>
        <v>-1.43538077576244</v>
      </c>
      <c r="AD223" s="13" t="n">
        <f aca="false">(L223-AVERAGE(L$2:L$2001))/STDEV(L$2:L$2001)</f>
        <v>-0.777063122173208</v>
      </c>
      <c r="AE223" s="13" t="n">
        <f aca="false">(M223-AVERAGE(M$2:M$2001))/STDEV(M$2:M$2001)</f>
        <v>-1.47969653761061</v>
      </c>
      <c r="AF223" s="13" t="n">
        <f aca="false">(N223-AVERAGE(N$2:N$2001))/STDEV(N$2:N$2001)</f>
        <v>-1.41313106818486</v>
      </c>
      <c r="AG223" s="13" t="n">
        <f aca="false">(O223-AVERAGE(O$2:O$2001))/STDEV(O$2:O$2001)</f>
        <v>-1.57337030624005</v>
      </c>
      <c r="AH223" s="0" t="str">
        <f aca="false">IF(B223="Company","C3 - Corporate Buyers",IF(AND(H223="Investment",M223&gt;'Segmentation Summary'!$C$1),"C1 - Global Investors",IF(AND(I223&gt;=4,M223&gt;'Segmentation Summary'!$C$1),"C4 - Luxury Investors",IF(AND(D223&lt;'Segmentation Summary'!$C$2,J223=1),"C2 - First-Time Buyers","C5 - Other Individual Buyers"))))</f>
        <v>C5 - Other Individual Buyers</v>
      </c>
    </row>
    <row r="224" customFormat="false" ht="15" hidden="false" customHeight="true" outlineLevel="0" collapsed="false">
      <c r="A224" s="13" t="s">
        <v>525</v>
      </c>
      <c r="B224" s="13" t="s">
        <v>34</v>
      </c>
      <c r="C224" s="13" t="s">
        <v>526</v>
      </c>
      <c r="D224" s="13" t="n">
        <v>25</v>
      </c>
      <c r="E224" s="13" t="s">
        <v>90</v>
      </c>
      <c r="F224" s="13" t="s">
        <v>38</v>
      </c>
      <c r="G224" s="13" t="s">
        <v>127</v>
      </c>
      <c r="H224" s="13" t="s">
        <v>41</v>
      </c>
      <c r="I224" s="13" t="n">
        <v>3</v>
      </c>
      <c r="J224" s="13" t="n">
        <v>1</v>
      </c>
      <c r="K224" s="13" t="s">
        <v>85</v>
      </c>
      <c r="L224" s="13" t="n">
        <v>3</v>
      </c>
      <c r="M224" s="13" t="n">
        <v>1554043.79</v>
      </c>
      <c r="N224" s="13" t="n">
        <v>518014.596666667</v>
      </c>
      <c r="O224" s="13" t="n">
        <v>1671.76666666667</v>
      </c>
      <c r="P224" s="13" t="n">
        <v>0</v>
      </c>
      <c r="Q224" s="13" t="n">
        <v>3</v>
      </c>
      <c r="R224" s="13" t="s">
        <v>128</v>
      </c>
      <c r="S224" s="13" t="s">
        <v>112</v>
      </c>
      <c r="T224" s="13" t="n">
        <v>1</v>
      </c>
      <c r="U224" s="13" t="n">
        <f aca="false">IF(B224="Individual",1,0)</f>
        <v>1</v>
      </c>
      <c r="V224" s="13" t="n">
        <f aca="false">IF(B224="Company",1,0)</f>
        <v>0</v>
      </c>
      <c r="W224" s="13" t="n">
        <f aca="false">IF(H224="Home",1,0)</f>
        <v>1</v>
      </c>
      <c r="X224" s="13" t="n">
        <f aca="false">IF(H224="Investment",1,0)</f>
        <v>0</v>
      </c>
      <c r="Y224" s="13" t="n">
        <f aca="false">IF(K224="Website",1,0)</f>
        <v>1</v>
      </c>
      <c r="Z224" s="13" t="n">
        <f aca="false">IF(K224="Agency",1,0)</f>
        <v>0</v>
      </c>
      <c r="AA224" s="13" t="n">
        <f aca="false">IF(K224="Client",1,0)</f>
        <v>0</v>
      </c>
      <c r="AB224" s="13" t="n">
        <f aca="false">(D224-AVERAGE(D$2:D$2001))/STDEV(D$2:D$2001)</f>
        <v>-1.68011096555826</v>
      </c>
      <c r="AC224" s="13" t="n">
        <f aca="false">(I224-AVERAGE(I$2:I$2001))/STDEV(I$2:I$2001)</f>
        <v>-0.0205155458339628</v>
      </c>
      <c r="AD224" s="13" t="n">
        <f aca="false">(L224-AVERAGE(L$2:L$2001))/STDEV(L$2:L$2001)</f>
        <v>-0.777063122173208</v>
      </c>
      <c r="AE224" s="13" t="n">
        <f aca="false">(M224-AVERAGE(M$2:M$2001))/STDEV(M$2:M$2001)</f>
        <v>0.844285278083999</v>
      </c>
      <c r="AF224" s="13" t="n">
        <f aca="false">(N224-AVERAGE(N$2:N$2001))/STDEV(N$2:N$2001)</f>
        <v>2.45152287118297</v>
      </c>
      <c r="AG224" s="13" t="n">
        <f aca="false">(O224-AVERAGE(O$2:O$2001))/STDEV(O$2:O$2001)</f>
        <v>2.38396158357209</v>
      </c>
      <c r="AH224" s="0" t="str">
        <f aca="false">IF(B224="Company","C3 - Corporate Buyers",IF(AND(H224="Investment",M224&gt;'Segmentation Summary'!$C$1),"C1 - Global Investors",IF(AND(I224&gt;=4,M224&gt;'Segmentation Summary'!$C$1),"C4 - Luxury Investors",IF(AND(D224&lt;'Segmentation Summary'!$C$2,J224=1),"C2 - First-Time Buyers","C5 - Other Individual Buyers"))))</f>
        <v>C2 - First-Time Buyers</v>
      </c>
    </row>
    <row r="225" customFormat="false" ht="15" hidden="false" customHeight="true" outlineLevel="0" collapsed="false">
      <c r="A225" s="13" t="s">
        <v>527</v>
      </c>
      <c r="B225" s="13" t="s">
        <v>34</v>
      </c>
      <c r="C225" s="13" t="s">
        <v>526</v>
      </c>
      <c r="D225" s="13" t="n">
        <v>35</v>
      </c>
      <c r="E225" s="13" t="s">
        <v>90</v>
      </c>
      <c r="F225" s="13" t="s">
        <v>40</v>
      </c>
      <c r="G225" s="13" t="s">
        <v>528</v>
      </c>
      <c r="H225" s="13" t="s">
        <v>41</v>
      </c>
      <c r="I225" s="13" t="n">
        <v>2</v>
      </c>
      <c r="J225" s="13" t="n">
        <v>1</v>
      </c>
      <c r="K225" s="13" t="s">
        <v>85</v>
      </c>
      <c r="L225" s="13" t="n">
        <v>3</v>
      </c>
      <c r="M225" s="13" t="n">
        <v>1093080.86</v>
      </c>
      <c r="N225" s="13" t="n">
        <v>364360.286666667</v>
      </c>
      <c r="O225" s="13" t="n">
        <v>1152.64666666667</v>
      </c>
      <c r="P225" s="13" t="n">
        <v>1</v>
      </c>
      <c r="Q225" s="13" t="n">
        <v>2</v>
      </c>
      <c r="R225" s="13" t="s">
        <v>121</v>
      </c>
      <c r="S225" s="13" t="s">
        <v>112</v>
      </c>
      <c r="T225" s="13" t="n">
        <v>1</v>
      </c>
      <c r="U225" s="13" t="n">
        <f aca="false">IF(B225="Individual",1,0)</f>
        <v>1</v>
      </c>
      <c r="V225" s="13" t="n">
        <f aca="false">IF(B225="Company",1,0)</f>
        <v>0</v>
      </c>
      <c r="W225" s="13" t="n">
        <f aca="false">IF(H225="Home",1,0)</f>
        <v>1</v>
      </c>
      <c r="X225" s="13" t="n">
        <f aca="false">IF(H225="Investment",1,0)</f>
        <v>0</v>
      </c>
      <c r="Y225" s="13" t="n">
        <f aca="false">IF(K225="Website",1,0)</f>
        <v>1</v>
      </c>
      <c r="Z225" s="13" t="n">
        <f aca="false">IF(K225="Agency",1,0)</f>
        <v>0</v>
      </c>
      <c r="AA225" s="13" t="n">
        <f aca="false">IF(K225="Client",1,0)</f>
        <v>0</v>
      </c>
      <c r="AB225" s="13" t="n">
        <f aca="false">(D225-AVERAGE(D$2:D$2001))/STDEV(D$2:D$2001)</f>
        <v>-1.10348641067675</v>
      </c>
      <c r="AC225" s="13" t="n">
        <f aca="false">(I225-AVERAGE(I$2:I$2001))/STDEV(I$2:I$2001)</f>
        <v>-0.727948160798201</v>
      </c>
      <c r="AD225" s="13" t="n">
        <f aca="false">(L225-AVERAGE(L$2:L$2001))/STDEV(L$2:L$2001)</f>
        <v>-0.777063122173208</v>
      </c>
      <c r="AE225" s="13" t="n">
        <f aca="false">(M225-AVERAGE(M$2:M$2001))/STDEV(M$2:M$2001)</f>
        <v>-0.480965703535606</v>
      </c>
      <c r="AF225" s="13" t="n">
        <f aca="false">(N225-AVERAGE(N$2:N$2001))/STDEV(N$2:N$2001)</f>
        <v>0.247703378199335</v>
      </c>
      <c r="AG225" s="13" t="n">
        <f aca="false">(O225-AVERAGE(O$2:O$2001))/STDEV(O$2:O$2001)</f>
        <v>0.0234946248304154</v>
      </c>
      <c r="AH225" s="0" t="str">
        <f aca="false">IF(B225="Company","C3 - Corporate Buyers",IF(AND(H225="Investment",M225&gt;'Segmentation Summary'!$C$1),"C1 - Global Investors",IF(AND(I225&gt;=4,M225&gt;'Segmentation Summary'!$C$1),"C4 - Luxury Investors",IF(AND(D225&lt;'Segmentation Summary'!$C$2,J225=1),"C2 - First-Time Buyers","C5 - Other Individual Buyers"))))</f>
        <v>C2 - First-Time Buyers</v>
      </c>
    </row>
    <row r="226" customFormat="false" ht="15" hidden="false" customHeight="true" outlineLevel="0" collapsed="false">
      <c r="A226" s="13" t="s">
        <v>529</v>
      </c>
      <c r="B226" s="13" t="s">
        <v>34</v>
      </c>
      <c r="C226" s="13" t="s">
        <v>530</v>
      </c>
      <c r="D226" s="13" t="n">
        <v>31</v>
      </c>
      <c r="E226" s="13" t="s">
        <v>90</v>
      </c>
      <c r="F226" s="13" t="s">
        <v>33</v>
      </c>
      <c r="G226" s="13" t="s">
        <v>95</v>
      </c>
      <c r="H226" s="13" t="s">
        <v>43</v>
      </c>
      <c r="I226" s="13" t="n">
        <v>5</v>
      </c>
      <c r="J226" s="13" t="n">
        <v>0</v>
      </c>
      <c r="K226" s="13" t="s">
        <v>85</v>
      </c>
      <c r="L226" s="13" t="n">
        <v>4</v>
      </c>
      <c r="M226" s="13" t="n">
        <v>1519677.44</v>
      </c>
      <c r="N226" s="13" t="n">
        <v>379919.36</v>
      </c>
      <c r="O226" s="13" t="n">
        <v>1228.8325</v>
      </c>
      <c r="P226" s="13" t="n">
        <v>0</v>
      </c>
      <c r="Q226" s="13" t="n">
        <v>4</v>
      </c>
      <c r="R226" s="13" t="s">
        <v>98</v>
      </c>
      <c r="S226" s="13" t="s">
        <v>141</v>
      </c>
      <c r="T226" s="13" t="n">
        <v>1</v>
      </c>
      <c r="U226" s="13" t="n">
        <f aca="false">IF(B226="Individual",1,0)</f>
        <v>1</v>
      </c>
      <c r="V226" s="13" t="n">
        <f aca="false">IF(B226="Company",1,0)</f>
        <v>0</v>
      </c>
      <c r="W226" s="13" t="n">
        <f aca="false">IF(H226="Home",1,0)</f>
        <v>0</v>
      </c>
      <c r="X226" s="13" t="n">
        <f aca="false">IF(H226="Investment",1,0)</f>
        <v>1</v>
      </c>
      <c r="Y226" s="13" t="n">
        <f aca="false">IF(K226="Website",1,0)</f>
        <v>1</v>
      </c>
      <c r="Z226" s="13" t="n">
        <f aca="false">IF(K226="Agency",1,0)</f>
        <v>0</v>
      </c>
      <c r="AA226" s="13" t="n">
        <f aca="false">IF(K226="Client",1,0)</f>
        <v>0</v>
      </c>
      <c r="AB226" s="13" t="n">
        <f aca="false">(D226-AVERAGE(D$2:D$2001))/STDEV(D$2:D$2001)</f>
        <v>-1.33413623262935</v>
      </c>
      <c r="AC226" s="13" t="n">
        <f aca="false">(I226-AVERAGE(I$2:I$2001))/STDEV(I$2:I$2001)</f>
        <v>1.39434968409451</v>
      </c>
      <c r="AD226" s="13" t="n">
        <f aca="false">(L226-AVERAGE(L$2:L$2001))/STDEV(L$2:L$2001)</f>
        <v>0.413838214490712</v>
      </c>
      <c r="AE226" s="13" t="n">
        <f aca="false">(M226-AVERAGE(M$2:M$2001))/STDEV(M$2:M$2001)</f>
        <v>0.745483322203983</v>
      </c>
      <c r="AF226" s="13" t="n">
        <f aca="false">(N226-AVERAGE(N$2:N$2001))/STDEV(N$2:N$2001)</f>
        <v>0.470862683686835</v>
      </c>
      <c r="AG226" s="13" t="n">
        <f aca="false">(O226-AVERAGE(O$2:O$2001))/STDEV(O$2:O$2001)</f>
        <v>0.369915765043711</v>
      </c>
      <c r="AH226" s="0" t="str">
        <f aca="false">IF(B226="Company","C3 - Corporate Buyers",IF(AND(H226="Investment",M226&gt;'Segmentation Summary'!$C$1),"C1 - Global Investors",IF(AND(I226&gt;=4,M226&gt;'Segmentation Summary'!$C$1),"C4 - Luxury Investors",IF(AND(D226&lt;'Segmentation Summary'!$C$2,J226=1),"C2 - First-Time Buyers","C5 - Other Individual Buyers"))))</f>
        <v>C1 - Global Investors</v>
      </c>
    </row>
    <row r="227" customFormat="false" ht="15" hidden="false" customHeight="true" outlineLevel="0" collapsed="false">
      <c r="A227" s="13" t="s">
        <v>531</v>
      </c>
      <c r="B227" s="13" t="s">
        <v>34</v>
      </c>
      <c r="C227" s="13" t="s">
        <v>532</v>
      </c>
      <c r="D227" s="13" t="n">
        <v>76</v>
      </c>
      <c r="E227" s="13" t="s">
        <v>90</v>
      </c>
      <c r="F227" s="13" t="s">
        <v>33</v>
      </c>
      <c r="G227" s="13" t="s">
        <v>95</v>
      </c>
      <c r="H227" s="13" t="s">
        <v>43</v>
      </c>
      <c r="I227" s="13" t="n">
        <v>1</v>
      </c>
      <c r="J227" s="13" t="n">
        <v>0</v>
      </c>
      <c r="K227" s="13" t="s">
        <v>116</v>
      </c>
      <c r="L227" s="13" t="n">
        <v>3</v>
      </c>
      <c r="M227" s="13" t="n">
        <v>1188825.44</v>
      </c>
      <c r="N227" s="13" t="n">
        <v>396275.146666667</v>
      </c>
      <c r="O227" s="13" t="n">
        <v>1321.50333333333</v>
      </c>
      <c r="P227" s="13" t="n">
        <v>0</v>
      </c>
      <c r="Q227" s="13" t="n">
        <v>3</v>
      </c>
      <c r="R227" s="13" t="s">
        <v>121</v>
      </c>
      <c r="S227" s="13" t="s">
        <v>150</v>
      </c>
      <c r="T227" s="13" t="n">
        <v>1</v>
      </c>
      <c r="U227" s="13" t="n">
        <f aca="false">IF(B227="Individual",1,0)</f>
        <v>1</v>
      </c>
      <c r="V227" s="13" t="n">
        <f aca="false">IF(B227="Company",1,0)</f>
        <v>0</v>
      </c>
      <c r="W227" s="13" t="n">
        <f aca="false">IF(H227="Home",1,0)</f>
        <v>0</v>
      </c>
      <c r="X227" s="13" t="n">
        <f aca="false">IF(H227="Investment",1,0)</f>
        <v>1</v>
      </c>
      <c r="Y227" s="13" t="n">
        <f aca="false">IF(K227="Website",1,0)</f>
        <v>0</v>
      </c>
      <c r="Z227" s="13" t="n">
        <f aca="false">IF(K227="Agency",1,0)</f>
        <v>0</v>
      </c>
      <c r="AA227" s="13" t="n">
        <f aca="false">IF(K227="Client",1,0)</f>
        <v>1</v>
      </c>
      <c r="AB227" s="13" t="n">
        <f aca="false">(D227-AVERAGE(D$2:D$2001))/STDEV(D$2:D$2001)</f>
        <v>1.26067426433745</v>
      </c>
      <c r="AC227" s="13" t="n">
        <f aca="false">(I227-AVERAGE(I$2:I$2001))/STDEV(I$2:I$2001)</f>
        <v>-1.43538077576244</v>
      </c>
      <c r="AD227" s="13" t="n">
        <f aca="false">(L227-AVERAGE(L$2:L$2001))/STDEV(L$2:L$2001)</f>
        <v>-0.777063122173208</v>
      </c>
      <c r="AE227" s="13" t="n">
        <f aca="false">(M227-AVERAGE(M$2:M$2001))/STDEV(M$2:M$2001)</f>
        <v>-0.205703658863691</v>
      </c>
      <c r="AF227" s="13" t="n">
        <f aca="false">(N227-AVERAGE(N$2:N$2001))/STDEV(N$2:N$2001)</f>
        <v>0.70544901894214</v>
      </c>
      <c r="AG227" s="13" t="n">
        <f aca="false">(O227-AVERAGE(O$2:O$2001))/STDEV(O$2:O$2001)</f>
        <v>0.791295099537435</v>
      </c>
      <c r="AH227" s="0" t="str">
        <f aca="false">IF(B227="Company","C3 - Corporate Buyers",IF(AND(H227="Investment",M227&gt;'Segmentation Summary'!$C$1),"C1 - Global Investors",IF(AND(I227&gt;=4,M227&gt;'Segmentation Summary'!$C$1),"C4 - Luxury Investors",IF(AND(D227&lt;'Segmentation Summary'!$C$2,J227=1),"C2 - First-Time Buyers","C5 - Other Individual Buyers"))))</f>
        <v>C5 - Other Individual Buyers</v>
      </c>
    </row>
    <row r="228" customFormat="false" ht="15" hidden="false" customHeight="true" outlineLevel="0" collapsed="false">
      <c r="A228" s="13" t="s">
        <v>533</v>
      </c>
      <c r="B228" s="13" t="s">
        <v>34</v>
      </c>
      <c r="C228" s="13" t="s">
        <v>534</v>
      </c>
      <c r="D228" s="13" t="n">
        <v>25</v>
      </c>
      <c r="E228" s="13" t="s">
        <v>90</v>
      </c>
      <c r="F228" s="13" t="s">
        <v>35</v>
      </c>
      <c r="G228" s="13" t="s">
        <v>374</v>
      </c>
      <c r="H228" s="13" t="s">
        <v>43</v>
      </c>
      <c r="I228" s="13" t="n">
        <v>1</v>
      </c>
      <c r="J228" s="13" t="n">
        <v>0</v>
      </c>
      <c r="K228" s="13" t="s">
        <v>85</v>
      </c>
      <c r="L228" s="13" t="n">
        <v>4</v>
      </c>
      <c r="M228" s="13" t="n">
        <v>897646.55</v>
      </c>
      <c r="N228" s="13" t="n">
        <v>224411.6375</v>
      </c>
      <c r="O228" s="13" t="n">
        <v>783.64</v>
      </c>
      <c r="P228" s="13" t="n">
        <v>0</v>
      </c>
      <c r="Q228" s="13" t="n">
        <v>4</v>
      </c>
      <c r="R228" s="13" t="s">
        <v>101</v>
      </c>
      <c r="S228" s="13" t="s">
        <v>112</v>
      </c>
      <c r="T228" s="13" t="n">
        <v>1</v>
      </c>
      <c r="U228" s="13" t="n">
        <f aca="false">IF(B228="Individual",1,0)</f>
        <v>1</v>
      </c>
      <c r="V228" s="13" t="n">
        <f aca="false">IF(B228="Company",1,0)</f>
        <v>0</v>
      </c>
      <c r="W228" s="13" t="n">
        <f aca="false">IF(H228="Home",1,0)</f>
        <v>0</v>
      </c>
      <c r="X228" s="13" t="n">
        <f aca="false">IF(H228="Investment",1,0)</f>
        <v>1</v>
      </c>
      <c r="Y228" s="13" t="n">
        <f aca="false">IF(K228="Website",1,0)</f>
        <v>1</v>
      </c>
      <c r="Z228" s="13" t="n">
        <f aca="false">IF(K228="Agency",1,0)</f>
        <v>0</v>
      </c>
      <c r="AA228" s="13" t="n">
        <f aca="false">IF(K228="Client",1,0)</f>
        <v>0</v>
      </c>
      <c r="AB228" s="13" t="n">
        <f aca="false">(D228-AVERAGE(D$2:D$2001))/STDEV(D$2:D$2001)</f>
        <v>-1.68011096555826</v>
      </c>
      <c r="AC228" s="13" t="n">
        <f aca="false">(I228-AVERAGE(I$2:I$2001))/STDEV(I$2:I$2001)</f>
        <v>-1.43538077576244</v>
      </c>
      <c r="AD228" s="13" t="n">
        <f aca="false">(L228-AVERAGE(L$2:L$2001))/STDEV(L$2:L$2001)</f>
        <v>0.413838214490712</v>
      </c>
      <c r="AE228" s="13" t="n">
        <f aca="false">(M228-AVERAGE(M$2:M$2001))/STDEV(M$2:M$2001)</f>
        <v>-1.04283194985101</v>
      </c>
      <c r="AF228" s="13" t="n">
        <f aca="false">(N228-AVERAGE(N$2:N$2001))/STDEV(N$2:N$2001)</f>
        <v>-1.75953977072521</v>
      </c>
      <c r="AG228" s="13" t="n">
        <f aca="false">(O228-AVERAGE(O$2:O$2001))/STDEV(O$2:O$2001)</f>
        <v>-1.65439881834665</v>
      </c>
      <c r="AH228" s="0" t="str">
        <f aca="false">IF(B228="Company","C3 - Corporate Buyers",IF(AND(H228="Investment",M228&gt;'Segmentation Summary'!$C$1),"C1 - Global Investors",IF(AND(I228&gt;=4,M228&gt;'Segmentation Summary'!$C$1),"C4 - Luxury Investors",IF(AND(D228&lt;'Segmentation Summary'!$C$2,J228=1),"C2 - First-Time Buyers","C5 - Other Individual Buyers"))))</f>
        <v>C5 - Other Individual Buyers</v>
      </c>
    </row>
    <row r="229" customFormat="false" ht="15" hidden="false" customHeight="true" outlineLevel="0" collapsed="false">
      <c r="A229" s="13" t="s">
        <v>535</v>
      </c>
      <c r="B229" s="13" t="s">
        <v>34</v>
      </c>
      <c r="C229" s="13" t="s">
        <v>536</v>
      </c>
      <c r="D229" s="13" t="n">
        <v>65</v>
      </c>
      <c r="E229" s="13" t="s">
        <v>90</v>
      </c>
      <c r="F229" s="13" t="s">
        <v>33</v>
      </c>
      <c r="G229" s="13" t="s">
        <v>157</v>
      </c>
      <c r="H229" s="13" t="s">
        <v>41</v>
      </c>
      <c r="I229" s="13" t="n">
        <v>5</v>
      </c>
      <c r="J229" s="13" t="n">
        <v>0</v>
      </c>
      <c r="K229" s="13" t="s">
        <v>85</v>
      </c>
      <c r="L229" s="13" t="n">
        <v>4</v>
      </c>
      <c r="M229" s="13" t="n">
        <v>1886501.93</v>
      </c>
      <c r="N229" s="13" t="n">
        <v>471625.4825</v>
      </c>
      <c r="O229" s="13" t="n">
        <v>1510.65</v>
      </c>
      <c r="P229" s="13" t="n">
        <v>1</v>
      </c>
      <c r="Q229" s="13" t="n">
        <v>3</v>
      </c>
      <c r="R229" s="13" t="s">
        <v>121</v>
      </c>
      <c r="S229" s="13" t="s">
        <v>87</v>
      </c>
      <c r="T229" s="13" t="n">
        <v>1</v>
      </c>
      <c r="U229" s="13" t="n">
        <f aca="false">IF(B229="Individual",1,0)</f>
        <v>1</v>
      </c>
      <c r="V229" s="13" t="n">
        <f aca="false">IF(B229="Company",1,0)</f>
        <v>0</v>
      </c>
      <c r="W229" s="13" t="n">
        <f aca="false">IF(H229="Home",1,0)</f>
        <v>1</v>
      </c>
      <c r="X229" s="13" t="n">
        <f aca="false">IF(H229="Investment",1,0)</f>
        <v>0</v>
      </c>
      <c r="Y229" s="13" t="n">
        <f aca="false">IF(K229="Website",1,0)</f>
        <v>1</v>
      </c>
      <c r="Z229" s="13" t="n">
        <f aca="false">IF(K229="Agency",1,0)</f>
        <v>0</v>
      </c>
      <c r="AA229" s="13" t="n">
        <f aca="false">IF(K229="Client",1,0)</f>
        <v>0</v>
      </c>
      <c r="AB229" s="13" t="n">
        <f aca="false">(D229-AVERAGE(D$2:D$2001))/STDEV(D$2:D$2001)</f>
        <v>0.626387253967787</v>
      </c>
      <c r="AC229" s="13" t="n">
        <f aca="false">(I229-AVERAGE(I$2:I$2001))/STDEV(I$2:I$2001)</f>
        <v>1.39434968409451</v>
      </c>
      <c r="AD229" s="13" t="n">
        <f aca="false">(L229-AVERAGE(L$2:L$2001))/STDEV(L$2:L$2001)</f>
        <v>0.413838214490712</v>
      </c>
      <c r="AE229" s="13" t="n">
        <f aca="false">(M229-AVERAGE(M$2:M$2001))/STDEV(M$2:M$2001)</f>
        <v>1.8000898508778</v>
      </c>
      <c r="AF229" s="13" t="n">
        <f aca="false">(N229-AVERAGE(N$2:N$2001))/STDEV(N$2:N$2001)</f>
        <v>1.78617717367052</v>
      </c>
      <c r="AG229" s="13" t="n">
        <f aca="false">(O229-AVERAGE(O$2:O$2001))/STDEV(O$2:O$2001)</f>
        <v>1.65135531109315</v>
      </c>
      <c r="AH229" s="0" t="str">
        <f aca="false">IF(B229="Company","C3 - Corporate Buyers",IF(AND(H229="Investment",M229&gt;'Segmentation Summary'!$C$1),"C1 - Global Investors",IF(AND(I229&gt;=4,M229&gt;'Segmentation Summary'!$C$1),"C4 - Luxury Investors",IF(AND(D229&lt;'Segmentation Summary'!$C$2,J229=1),"C2 - First-Time Buyers","C5 - Other Individual Buyers"))))</f>
        <v>C4 - Luxury Investors</v>
      </c>
    </row>
    <row r="230" customFormat="false" ht="15" hidden="false" customHeight="true" outlineLevel="0" collapsed="false">
      <c r="A230" s="13" t="s">
        <v>537</v>
      </c>
      <c r="B230" s="13" t="s">
        <v>34</v>
      </c>
      <c r="C230" s="13" t="s">
        <v>536</v>
      </c>
      <c r="D230" s="13" t="n">
        <v>40</v>
      </c>
      <c r="E230" s="13" t="s">
        <v>90</v>
      </c>
      <c r="F230" s="13" t="s">
        <v>33</v>
      </c>
      <c r="G230" s="13" t="s">
        <v>95</v>
      </c>
      <c r="H230" s="13" t="s">
        <v>43</v>
      </c>
      <c r="I230" s="13" t="n">
        <v>3</v>
      </c>
      <c r="J230" s="13" t="n">
        <v>0</v>
      </c>
      <c r="K230" s="13" t="s">
        <v>91</v>
      </c>
      <c r="L230" s="13" t="n">
        <v>4</v>
      </c>
      <c r="M230" s="13" t="n">
        <v>1546334.4</v>
      </c>
      <c r="N230" s="13" t="n">
        <v>386583.6</v>
      </c>
      <c r="O230" s="13" t="n">
        <v>1259.95</v>
      </c>
      <c r="P230" s="13" t="n">
        <v>1</v>
      </c>
      <c r="Q230" s="13" t="n">
        <v>3</v>
      </c>
      <c r="R230" s="13" t="s">
        <v>98</v>
      </c>
      <c r="S230" s="13" t="s">
        <v>152</v>
      </c>
      <c r="T230" s="13" t="n">
        <v>1</v>
      </c>
      <c r="U230" s="13" t="n">
        <f aca="false">IF(B230="Individual",1,0)</f>
        <v>1</v>
      </c>
      <c r="V230" s="13" t="n">
        <f aca="false">IF(B230="Company",1,0)</f>
        <v>0</v>
      </c>
      <c r="W230" s="13" t="n">
        <f aca="false">IF(H230="Home",1,0)</f>
        <v>0</v>
      </c>
      <c r="X230" s="13" t="n">
        <f aca="false">IF(H230="Investment",1,0)</f>
        <v>1</v>
      </c>
      <c r="Y230" s="13" t="n">
        <f aca="false">IF(K230="Website",1,0)</f>
        <v>0</v>
      </c>
      <c r="Z230" s="13" t="n">
        <f aca="false">IF(K230="Agency",1,0)</f>
        <v>1</v>
      </c>
      <c r="AA230" s="13" t="n">
        <f aca="false">IF(K230="Client",1,0)</f>
        <v>0</v>
      </c>
      <c r="AB230" s="13" t="n">
        <f aca="false">(D230-AVERAGE(D$2:D$2001))/STDEV(D$2:D$2001)</f>
        <v>-0.815174133235994</v>
      </c>
      <c r="AC230" s="13" t="n">
        <f aca="false">(I230-AVERAGE(I$2:I$2001))/STDEV(I$2:I$2001)</f>
        <v>-0.0205155458339628</v>
      </c>
      <c r="AD230" s="13" t="n">
        <f aca="false">(L230-AVERAGE(L$2:L$2001))/STDEV(L$2:L$2001)</f>
        <v>0.413838214490712</v>
      </c>
      <c r="AE230" s="13" t="n">
        <f aca="false">(M230-AVERAGE(M$2:M$2001))/STDEV(M$2:M$2001)</f>
        <v>0.822121073545494</v>
      </c>
      <c r="AF230" s="13" t="n">
        <f aca="false">(N230-AVERAGE(N$2:N$2001))/STDEV(N$2:N$2001)</f>
        <v>0.566445957712283</v>
      </c>
      <c r="AG230" s="13" t="n">
        <f aca="false">(O230-AVERAGE(O$2:O$2001))/STDEV(O$2:O$2001)</f>
        <v>0.511408735048034</v>
      </c>
      <c r="AH230" s="0" t="str">
        <f aca="false">IF(B230="Company","C3 - Corporate Buyers",IF(AND(H230="Investment",M230&gt;'Segmentation Summary'!$C$1),"C1 - Global Investors",IF(AND(I230&gt;=4,M230&gt;'Segmentation Summary'!$C$1),"C4 - Luxury Investors",IF(AND(D230&lt;'Segmentation Summary'!$C$2,J230=1),"C2 - First-Time Buyers","C5 - Other Individual Buyers"))))</f>
        <v>C1 - Global Investors</v>
      </c>
    </row>
    <row r="231" customFormat="false" ht="15" hidden="false" customHeight="true" outlineLevel="0" collapsed="false">
      <c r="A231" s="13" t="s">
        <v>538</v>
      </c>
      <c r="B231" s="13" t="s">
        <v>34</v>
      </c>
      <c r="C231" s="13" t="s">
        <v>539</v>
      </c>
      <c r="D231" s="13" t="n">
        <v>54</v>
      </c>
      <c r="E231" s="13" t="s">
        <v>90</v>
      </c>
      <c r="F231" s="13" t="s">
        <v>33</v>
      </c>
      <c r="G231" s="13" t="s">
        <v>95</v>
      </c>
      <c r="H231" s="13" t="s">
        <v>43</v>
      </c>
      <c r="I231" s="13" t="n">
        <v>4</v>
      </c>
      <c r="J231" s="13" t="n">
        <v>0</v>
      </c>
      <c r="K231" s="13" t="s">
        <v>85</v>
      </c>
      <c r="L231" s="13" t="n">
        <v>3</v>
      </c>
      <c r="M231" s="13" t="n">
        <v>1178597.68</v>
      </c>
      <c r="N231" s="13" t="n">
        <v>392865.893333333</v>
      </c>
      <c r="O231" s="13" t="n">
        <v>1339.73</v>
      </c>
      <c r="P231" s="13" t="n">
        <v>0</v>
      </c>
      <c r="Q231" s="13" t="n">
        <v>3</v>
      </c>
      <c r="R231" s="13" t="s">
        <v>101</v>
      </c>
      <c r="S231" s="13" t="s">
        <v>154</v>
      </c>
      <c r="T231" s="13" t="n">
        <v>1</v>
      </c>
      <c r="U231" s="13" t="n">
        <f aca="false">IF(B231="Individual",1,0)</f>
        <v>1</v>
      </c>
      <c r="V231" s="13" t="n">
        <f aca="false">IF(B231="Company",1,0)</f>
        <v>0</v>
      </c>
      <c r="W231" s="13" t="n">
        <f aca="false">IF(H231="Home",1,0)</f>
        <v>0</v>
      </c>
      <c r="X231" s="13" t="n">
        <f aca="false">IF(H231="Investment",1,0)</f>
        <v>1</v>
      </c>
      <c r="Y231" s="13" t="n">
        <f aca="false">IF(K231="Website",1,0)</f>
        <v>1</v>
      </c>
      <c r="Z231" s="13" t="n">
        <f aca="false">IF(K231="Agency",1,0)</f>
        <v>0</v>
      </c>
      <c r="AA231" s="13" t="n">
        <f aca="false">IF(K231="Client",1,0)</f>
        <v>0</v>
      </c>
      <c r="AB231" s="13" t="n">
        <f aca="false">(D231-AVERAGE(D$2:D$2001))/STDEV(D$2:D$2001)</f>
        <v>-0.00789975640187674</v>
      </c>
      <c r="AC231" s="13" t="n">
        <f aca="false">(I231-AVERAGE(I$2:I$2001))/STDEV(I$2:I$2001)</f>
        <v>0.686917069130275</v>
      </c>
      <c r="AD231" s="13" t="n">
        <f aca="false">(L231-AVERAGE(L$2:L$2001))/STDEV(L$2:L$2001)</f>
        <v>-0.777063122173208</v>
      </c>
      <c r="AE231" s="13" t="n">
        <f aca="false">(M231-AVERAGE(M$2:M$2001))/STDEV(M$2:M$2001)</f>
        <v>-0.235108081860937</v>
      </c>
      <c r="AF231" s="13" t="n">
        <f aca="false">(N231-AVERAGE(N$2:N$2001))/STDEV(N$2:N$2001)</f>
        <v>0.656551080755304</v>
      </c>
      <c r="AG231" s="13" t="n">
        <f aca="false">(O231-AVERAGE(O$2:O$2001))/STDEV(O$2:O$2001)</f>
        <v>0.874172747161632</v>
      </c>
      <c r="AH231" s="0" t="str">
        <f aca="false">IF(B231="Company","C3 - Corporate Buyers",IF(AND(H231="Investment",M231&gt;'Segmentation Summary'!$C$1),"C1 - Global Investors",IF(AND(I231&gt;=4,M231&gt;'Segmentation Summary'!$C$1),"C4 - Luxury Investors",IF(AND(D231&lt;'Segmentation Summary'!$C$2,J231=1),"C2 - First-Time Buyers","C5 - Other Individual Buyers"))))</f>
        <v>C5 - Other Individual Buyers</v>
      </c>
    </row>
    <row r="232" customFormat="false" ht="15" hidden="false" customHeight="true" outlineLevel="0" collapsed="false">
      <c r="A232" s="13" t="s">
        <v>540</v>
      </c>
      <c r="B232" s="13" t="s">
        <v>34</v>
      </c>
      <c r="C232" s="13" t="s">
        <v>539</v>
      </c>
      <c r="D232" s="13" t="n">
        <v>83</v>
      </c>
      <c r="E232" s="13" t="s">
        <v>90</v>
      </c>
      <c r="F232" s="13" t="s">
        <v>33</v>
      </c>
      <c r="G232" s="13" t="s">
        <v>84</v>
      </c>
      <c r="H232" s="13" t="s">
        <v>41</v>
      </c>
      <c r="I232" s="13" t="n">
        <v>3</v>
      </c>
      <c r="J232" s="13" t="n">
        <v>0</v>
      </c>
      <c r="K232" s="13" t="s">
        <v>91</v>
      </c>
      <c r="L232" s="13" t="n">
        <v>4</v>
      </c>
      <c r="M232" s="13" t="n">
        <v>1207516.26</v>
      </c>
      <c r="N232" s="13" t="n">
        <v>301879.065</v>
      </c>
      <c r="O232" s="13" t="n">
        <v>928.745</v>
      </c>
      <c r="P232" s="13" t="n">
        <v>0</v>
      </c>
      <c r="Q232" s="13" t="n">
        <v>4</v>
      </c>
      <c r="R232" s="13" t="s">
        <v>101</v>
      </c>
      <c r="S232" s="13" t="s">
        <v>114</v>
      </c>
      <c r="T232" s="13" t="n">
        <v>1</v>
      </c>
      <c r="U232" s="13" t="n">
        <f aca="false">IF(B232="Individual",1,0)</f>
        <v>1</v>
      </c>
      <c r="V232" s="13" t="n">
        <f aca="false">IF(B232="Company",1,0)</f>
        <v>0</v>
      </c>
      <c r="W232" s="13" t="n">
        <f aca="false">IF(H232="Home",1,0)</f>
        <v>1</v>
      </c>
      <c r="X232" s="13" t="n">
        <f aca="false">IF(H232="Investment",1,0)</f>
        <v>0</v>
      </c>
      <c r="Y232" s="13" t="n">
        <f aca="false">IF(K232="Website",1,0)</f>
        <v>0</v>
      </c>
      <c r="Z232" s="13" t="n">
        <f aca="false">IF(K232="Agency",1,0)</f>
        <v>1</v>
      </c>
      <c r="AA232" s="13" t="n">
        <f aca="false">IF(K232="Client",1,0)</f>
        <v>0</v>
      </c>
      <c r="AB232" s="13" t="n">
        <f aca="false">(D232-AVERAGE(D$2:D$2001))/STDEV(D$2:D$2001)</f>
        <v>1.66431145275451</v>
      </c>
      <c r="AC232" s="13" t="n">
        <f aca="false">(I232-AVERAGE(I$2:I$2001))/STDEV(I$2:I$2001)</f>
        <v>-0.0205155458339628</v>
      </c>
      <c r="AD232" s="13" t="n">
        <f aca="false">(L232-AVERAGE(L$2:L$2001))/STDEV(L$2:L$2001)</f>
        <v>0.413838214490712</v>
      </c>
      <c r="AE232" s="13" t="n">
        <f aca="false">(M232-AVERAGE(M$2:M$2001))/STDEV(M$2:M$2001)</f>
        <v>-0.151968258595658</v>
      </c>
      <c r="AF232" s="13" t="n">
        <f aca="false">(N232-AVERAGE(N$2:N$2001))/STDEV(N$2:N$2001)</f>
        <v>-0.648446780259818</v>
      </c>
      <c r="AG232" s="13" t="n">
        <f aca="false">(O232-AVERAGE(O$2:O$2001))/STDEV(O$2:O$2001)</f>
        <v>-0.994598467660467</v>
      </c>
      <c r="AH232" s="0" t="str">
        <f aca="false">IF(B232="Company","C3 - Corporate Buyers",IF(AND(H232="Investment",M232&gt;'Segmentation Summary'!$C$1),"C1 - Global Investors",IF(AND(I232&gt;=4,M232&gt;'Segmentation Summary'!$C$1),"C4 - Luxury Investors",IF(AND(D232&lt;'Segmentation Summary'!$C$2,J232=1),"C2 - First-Time Buyers","C5 - Other Individual Buyers"))))</f>
        <v>C5 - Other Individual Buyers</v>
      </c>
    </row>
    <row r="233" customFormat="false" ht="15" hidden="false" customHeight="true" outlineLevel="0" collapsed="false">
      <c r="A233" s="13" t="s">
        <v>541</v>
      </c>
      <c r="B233" s="13" t="s">
        <v>34</v>
      </c>
      <c r="C233" s="13" t="s">
        <v>542</v>
      </c>
      <c r="D233" s="13" t="n">
        <v>69</v>
      </c>
      <c r="E233" s="13" t="s">
        <v>90</v>
      </c>
      <c r="F233" s="13" t="s">
        <v>33</v>
      </c>
      <c r="G233" s="13" t="s">
        <v>207</v>
      </c>
      <c r="H233" s="13" t="s">
        <v>41</v>
      </c>
      <c r="I233" s="13" t="n">
        <v>5</v>
      </c>
      <c r="J233" s="13" t="n">
        <v>0</v>
      </c>
      <c r="K233" s="13" t="s">
        <v>91</v>
      </c>
      <c r="L233" s="13" t="n">
        <v>4</v>
      </c>
      <c r="M233" s="13" t="n">
        <v>1244334.14</v>
      </c>
      <c r="N233" s="13" t="n">
        <v>311083.535</v>
      </c>
      <c r="O233" s="13" t="n">
        <v>1077.195</v>
      </c>
      <c r="P233" s="13" t="n">
        <v>0</v>
      </c>
      <c r="Q233" s="13" t="n">
        <v>4</v>
      </c>
      <c r="R233" s="13" t="s">
        <v>92</v>
      </c>
      <c r="S233" s="13" t="s">
        <v>215</v>
      </c>
      <c r="T233" s="13" t="n">
        <v>1</v>
      </c>
      <c r="U233" s="13" t="n">
        <f aca="false">IF(B233="Individual",1,0)</f>
        <v>1</v>
      </c>
      <c r="V233" s="13" t="n">
        <f aca="false">IF(B233="Company",1,0)</f>
        <v>0</v>
      </c>
      <c r="W233" s="13" t="n">
        <f aca="false">IF(H233="Home",1,0)</f>
        <v>1</v>
      </c>
      <c r="X233" s="13" t="n">
        <f aca="false">IF(H233="Investment",1,0)</f>
        <v>0</v>
      </c>
      <c r="Y233" s="13" t="n">
        <f aca="false">IF(K233="Website",1,0)</f>
        <v>0</v>
      </c>
      <c r="Z233" s="13" t="n">
        <f aca="false">IF(K233="Agency",1,0)</f>
        <v>1</v>
      </c>
      <c r="AA233" s="13" t="n">
        <f aca="false">IF(K233="Client",1,0)</f>
        <v>0</v>
      </c>
      <c r="AB233" s="13" t="n">
        <f aca="false">(D233-AVERAGE(D$2:D$2001))/STDEV(D$2:D$2001)</f>
        <v>0.857037075920391</v>
      </c>
      <c r="AC233" s="13" t="n">
        <f aca="false">(I233-AVERAGE(I$2:I$2001))/STDEV(I$2:I$2001)</f>
        <v>1.39434968409451</v>
      </c>
      <c r="AD233" s="13" t="n">
        <f aca="false">(L233-AVERAGE(L$2:L$2001))/STDEV(L$2:L$2001)</f>
        <v>0.413838214490712</v>
      </c>
      <c r="AE233" s="13" t="n">
        <f aca="false">(M233-AVERAGE(M$2:M$2001))/STDEV(M$2:M$2001)</f>
        <v>-0.0461182467277783</v>
      </c>
      <c r="AF233" s="13" t="n">
        <f aca="false">(N233-AVERAGE(N$2:N$2001))/STDEV(N$2:N$2001)</f>
        <v>-0.516429719309279</v>
      </c>
      <c r="AG233" s="13" t="n">
        <f aca="false">(O233-AVERAGE(O$2:O$2001))/STDEV(O$2:O$2001)</f>
        <v>-0.31958821949973</v>
      </c>
      <c r="AH233" s="0" t="str">
        <f aca="false">IF(B233="Company","C3 - Corporate Buyers",IF(AND(H233="Investment",M233&gt;'Segmentation Summary'!$C$1),"C1 - Global Investors",IF(AND(I233&gt;=4,M233&gt;'Segmentation Summary'!$C$1),"C4 - Luxury Investors",IF(AND(D233&lt;'Segmentation Summary'!$C$2,J233=1),"C2 - First-Time Buyers","C5 - Other Individual Buyers"))))</f>
        <v>C4 - Luxury Investors</v>
      </c>
    </row>
    <row r="234" customFormat="false" ht="15" hidden="false" customHeight="true" outlineLevel="0" collapsed="false">
      <c r="A234" s="13" t="s">
        <v>543</v>
      </c>
      <c r="B234" s="13" t="s">
        <v>34</v>
      </c>
      <c r="C234" s="13" t="s">
        <v>544</v>
      </c>
      <c r="D234" s="13" t="n">
        <v>48</v>
      </c>
      <c r="E234" s="13" t="s">
        <v>90</v>
      </c>
      <c r="F234" s="13" t="s">
        <v>33</v>
      </c>
      <c r="G234" s="13" t="s">
        <v>95</v>
      </c>
      <c r="H234" s="13" t="s">
        <v>41</v>
      </c>
      <c r="I234" s="13" t="n">
        <v>1</v>
      </c>
      <c r="J234" s="13" t="n">
        <v>0</v>
      </c>
      <c r="K234" s="13" t="s">
        <v>85</v>
      </c>
      <c r="L234" s="13" t="n">
        <v>3</v>
      </c>
      <c r="M234" s="13" t="n">
        <v>1261495.5</v>
      </c>
      <c r="N234" s="13" t="n">
        <v>420498.5</v>
      </c>
      <c r="O234" s="13" t="n">
        <v>1487.66</v>
      </c>
      <c r="P234" s="13" t="n">
        <v>0</v>
      </c>
      <c r="Q234" s="13" t="n">
        <v>3</v>
      </c>
      <c r="R234" s="13" t="s">
        <v>98</v>
      </c>
      <c r="S234" s="13" t="s">
        <v>114</v>
      </c>
      <c r="T234" s="13" t="n">
        <v>1</v>
      </c>
      <c r="U234" s="13" t="n">
        <f aca="false">IF(B234="Individual",1,0)</f>
        <v>1</v>
      </c>
      <c r="V234" s="13" t="n">
        <f aca="false">IF(B234="Company",1,0)</f>
        <v>0</v>
      </c>
      <c r="W234" s="13" t="n">
        <f aca="false">IF(H234="Home",1,0)</f>
        <v>1</v>
      </c>
      <c r="X234" s="13" t="n">
        <f aca="false">IF(H234="Investment",1,0)</f>
        <v>0</v>
      </c>
      <c r="Y234" s="13" t="n">
        <f aca="false">IF(K234="Website",1,0)</f>
        <v>1</v>
      </c>
      <c r="Z234" s="13" t="n">
        <f aca="false">IF(K234="Agency",1,0)</f>
        <v>0</v>
      </c>
      <c r="AA234" s="13" t="n">
        <f aca="false">IF(K234="Client",1,0)</f>
        <v>0</v>
      </c>
      <c r="AB234" s="13" t="n">
        <f aca="false">(D234-AVERAGE(D$2:D$2001))/STDEV(D$2:D$2001)</f>
        <v>-0.353874489330784</v>
      </c>
      <c r="AC234" s="13" t="n">
        <f aca="false">(I234-AVERAGE(I$2:I$2001))/STDEV(I$2:I$2001)</f>
        <v>-1.43538077576244</v>
      </c>
      <c r="AD234" s="13" t="n">
        <f aca="false">(L234-AVERAGE(L$2:L$2001))/STDEV(L$2:L$2001)</f>
        <v>-0.777063122173208</v>
      </c>
      <c r="AE234" s="13" t="n">
        <f aca="false">(M234-AVERAGE(M$2:M$2001))/STDEV(M$2:M$2001)</f>
        <v>0.00322001391267618</v>
      </c>
      <c r="AF234" s="13" t="n">
        <f aca="false">(N234-AVERAGE(N$2:N$2001))/STDEV(N$2:N$2001)</f>
        <v>1.05287759586542</v>
      </c>
      <c r="AG234" s="13" t="n">
        <f aca="false">(O234-AVERAGE(O$2:O$2001))/STDEV(O$2:O$2001)</f>
        <v>1.54681852695562</v>
      </c>
      <c r="AH234" s="0" t="str">
        <f aca="false">IF(B234="Company","C3 - Corporate Buyers",IF(AND(H234="Investment",M234&gt;'Segmentation Summary'!$C$1),"C1 - Global Investors",IF(AND(I234&gt;=4,M234&gt;'Segmentation Summary'!$C$1),"C4 - Luxury Investors",IF(AND(D234&lt;'Segmentation Summary'!$C$2,J234=1),"C2 - First-Time Buyers","C5 - Other Individual Buyers"))))</f>
        <v>C5 - Other Individual Buyers</v>
      </c>
    </row>
    <row r="235" customFormat="false" ht="15" hidden="false" customHeight="true" outlineLevel="0" collapsed="false">
      <c r="A235" s="13" t="s">
        <v>545</v>
      </c>
      <c r="B235" s="13" t="s">
        <v>34</v>
      </c>
      <c r="C235" s="13" t="s">
        <v>546</v>
      </c>
      <c r="D235" s="13" t="n">
        <v>26</v>
      </c>
      <c r="E235" s="13" t="s">
        <v>90</v>
      </c>
      <c r="F235" s="13" t="s">
        <v>33</v>
      </c>
      <c r="G235" s="13" t="s">
        <v>95</v>
      </c>
      <c r="H235" s="13" t="s">
        <v>41</v>
      </c>
      <c r="I235" s="13" t="n">
        <v>4</v>
      </c>
      <c r="J235" s="13" t="n">
        <v>0</v>
      </c>
      <c r="K235" s="13" t="s">
        <v>85</v>
      </c>
      <c r="L235" s="13" t="n">
        <v>3</v>
      </c>
      <c r="M235" s="13" t="n">
        <v>1051259.37</v>
      </c>
      <c r="N235" s="13" t="n">
        <v>350419.79</v>
      </c>
      <c r="O235" s="13" t="n">
        <v>1186.05</v>
      </c>
      <c r="P235" s="13" t="n">
        <v>1</v>
      </c>
      <c r="Q235" s="13" t="n">
        <v>2</v>
      </c>
      <c r="R235" s="13" t="s">
        <v>135</v>
      </c>
      <c r="S235" s="13" t="s">
        <v>125</v>
      </c>
      <c r="T235" s="13" t="n">
        <v>1</v>
      </c>
      <c r="U235" s="13" t="n">
        <f aca="false">IF(B235="Individual",1,0)</f>
        <v>1</v>
      </c>
      <c r="V235" s="13" t="n">
        <f aca="false">IF(B235="Company",1,0)</f>
        <v>0</v>
      </c>
      <c r="W235" s="13" t="n">
        <f aca="false">IF(H235="Home",1,0)</f>
        <v>1</v>
      </c>
      <c r="X235" s="13" t="n">
        <f aca="false">IF(H235="Investment",1,0)</f>
        <v>0</v>
      </c>
      <c r="Y235" s="13" t="n">
        <f aca="false">IF(K235="Website",1,0)</f>
        <v>1</v>
      </c>
      <c r="Z235" s="13" t="n">
        <f aca="false">IF(K235="Agency",1,0)</f>
        <v>0</v>
      </c>
      <c r="AA235" s="13" t="n">
        <f aca="false">IF(K235="Client",1,0)</f>
        <v>0</v>
      </c>
      <c r="AB235" s="13" t="n">
        <f aca="false">(D235-AVERAGE(D$2:D$2001))/STDEV(D$2:D$2001)</f>
        <v>-1.62244851007011</v>
      </c>
      <c r="AC235" s="13" t="n">
        <f aca="false">(I235-AVERAGE(I$2:I$2001))/STDEV(I$2:I$2001)</f>
        <v>0.686917069130275</v>
      </c>
      <c r="AD235" s="13" t="n">
        <f aca="false">(L235-AVERAGE(L$2:L$2001))/STDEV(L$2:L$2001)</f>
        <v>-0.777063122173208</v>
      </c>
      <c r="AE235" s="13" t="n">
        <f aca="false">(M235-AVERAGE(M$2:M$2001))/STDEV(M$2:M$2001)</f>
        <v>-0.601200904824557</v>
      </c>
      <c r="AF235" s="13" t="n">
        <f aca="false">(N235-AVERAGE(N$2:N$2001))/STDEV(N$2:N$2001)</f>
        <v>0.0477588514504655</v>
      </c>
      <c r="AG235" s="13" t="n">
        <f aca="false">(O235-AVERAGE(O$2:O$2001))/STDEV(O$2:O$2001)</f>
        <v>0.175381403696882</v>
      </c>
      <c r="AH235" s="0" t="str">
        <f aca="false">IF(B235="Company","C3 - Corporate Buyers",IF(AND(H235="Investment",M235&gt;'Segmentation Summary'!$C$1),"C1 - Global Investors",IF(AND(I235&gt;=4,M235&gt;'Segmentation Summary'!$C$1),"C4 - Luxury Investors",IF(AND(D235&lt;'Segmentation Summary'!$C$2,J235=1),"C2 - First-Time Buyers","C5 - Other Individual Buyers"))))</f>
        <v>C5 - Other Individual Buyers</v>
      </c>
    </row>
    <row r="236" customFormat="false" ht="15" hidden="false" customHeight="true" outlineLevel="0" collapsed="false">
      <c r="A236" s="13" t="s">
        <v>547</v>
      </c>
      <c r="B236" s="13" t="s">
        <v>34</v>
      </c>
      <c r="C236" s="13" t="s">
        <v>548</v>
      </c>
      <c r="D236" s="13" t="n">
        <v>66</v>
      </c>
      <c r="E236" s="13" t="s">
        <v>90</v>
      </c>
      <c r="F236" s="13" t="s">
        <v>33</v>
      </c>
      <c r="G236" s="13" t="s">
        <v>95</v>
      </c>
      <c r="H236" s="13" t="s">
        <v>41</v>
      </c>
      <c r="I236" s="13" t="n">
        <v>2</v>
      </c>
      <c r="J236" s="13" t="n">
        <v>0</v>
      </c>
      <c r="K236" s="13" t="s">
        <v>91</v>
      </c>
      <c r="L236" s="13" t="n">
        <v>7</v>
      </c>
      <c r="M236" s="13" t="n">
        <v>2209659.42</v>
      </c>
      <c r="N236" s="13" t="n">
        <v>315665.631428571</v>
      </c>
      <c r="O236" s="13" t="n">
        <v>1024.68571428571</v>
      </c>
      <c r="P236" s="13" t="n">
        <v>1</v>
      </c>
      <c r="Q236" s="13" t="n">
        <v>6</v>
      </c>
      <c r="R236" s="13" t="s">
        <v>124</v>
      </c>
      <c r="S236" s="13" t="s">
        <v>112</v>
      </c>
      <c r="T236" s="13" t="n">
        <v>1</v>
      </c>
      <c r="U236" s="13" t="n">
        <f aca="false">IF(B236="Individual",1,0)</f>
        <v>1</v>
      </c>
      <c r="V236" s="13" t="n">
        <f aca="false">IF(B236="Company",1,0)</f>
        <v>0</v>
      </c>
      <c r="W236" s="13" t="n">
        <f aca="false">IF(H236="Home",1,0)</f>
        <v>1</v>
      </c>
      <c r="X236" s="13" t="n">
        <f aca="false">IF(H236="Investment",1,0)</f>
        <v>0</v>
      </c>
      <c r="Y236" s="13" t="n">
        <f aca="false">IF(K236="Website",1,0)</f>
        <v>0</v>
      </c>
      <c r="Z236" s="13" t="n">
        <f aca="false">IF(K236="Agency",1,0)</f>
        <v>1</v>
      </c>
      <c r="AA236" s="13" t="n">
        <f aca="false">IF(K236="Client",1,0)</f>
        <v>0</v>
      </c>
      <c r="AB236" s="13" t="n">
        <f aca="false">(D236-AVERAGE(D$2:D$2001))/STDEV(D$2:D$2001)</f>
        <v>0.684049709455938</v>
      </c>
      <c r="AC236" s="13" t="n">
        <f aca="false">(I236-AVERAGE(I$2:I$2001))/STDEV(I$2:I$2001)</f>
        <v>-0.727948160798201</v>
      </c>
      <c r="AD236" s="13" t="n">
        <f aca="false">(L236-AVERAGE(L$2:L$2001))/STDEV(L$2:L$2001)</f>
        <v>3.98654222448247</v>
      </c>
      <c r="AE236" s="13" t="n">
        <f aca="false">(M236-AVERAGE(M$2:M$2001))/STDEV(M$2:M$2001)</f>
        <v>2.72915540684393</v>
      </c>
      <c r="AF236" s="13" t="n">
        <f aca="false">(N236-AVERAGE(N$2:N$2001))/STDEV(N$2:N$2001)</f>
        <v>-0.450710030561105</v>
      </c>
      <c r="AG236" s="13" t="n">
        <f aca="false">(O236-AVERAGE(O$2:O$2001))/STDEV(O$2:O$2001)</f>
        <v>-0.558350806099568</v>
      </c>
      <c r="AH236" s="0" t="str">
        <f aca="false">IF(B236="Company","C3 - Corporate Buyers",IF(AND(H236="Investment",M236&gt;'Segmentation Summary'!$C$1),"C1 - Global Investors",IF(AND(I236&gt;=4,M236&gt;'Segmentation Summary'!$C$1),"C4 - Luxury Investors",IF(AND(D236&lt;'Segmentation Summary'!$C$2,J236=1),"C2 - First-Time Buyers","C5 - Other Individual Buyers"))))</f>
        <v>C5 - Other Individual Buyers</v>
      </c>
    </row>
    <row r="237" customFormat="false" ht="15" hidden="false" customHeight="true" outlineLevel="0" collapsed="false">
      <c r="A237" s="13" t="s">
        <v>549</v>
      </c>
      <c r="B237" s="13" t="s">
        <v>34</v>
      </c>
      <c r="C237" s="13" t="s">
        <v>550</v>
      </c>
      <c r="D237" s="13" t="n">
        <v>46</v>
      </c>
      <c r="E237" s="13" t="s">
        <v>90</v>
      </c>
      <c r="F237" s="13" t="s">
        <v>42</v>
      </c>
      <c r="G237" s="13" t="s">
        <v>551</v>
      </c>
      <c r="H237" s="13" t="s">
        <v>43</v>
      </c>
      <c r="I237" s="13" t="n">
        <v>1</v>
      </c>
      <c r="J237" s="13" t="n">
        <v>0</v>
      </c>
      <c r="K237" s="13" t="s">
        <v>85</v>
      </c>
      <c r="L237" s="13" t="n">
        <v>4</v>
      </c>
      <c r="M237" s="13" t="n">
        <v>1190833.68</v>
      </c>
      <c r="N237" s="13" t="n">
        <v>297708.42</v>
      </c>
      <c r="O237" s="13" t="n">
        <v>996.3625</v>
      </c>
      <c r="P237" s="13" t="n">
        <v>0</v>
      </c>
      <c r="Q237" s="13" t="n">
        <v>4</v>
      </c>
      <c r="R237" s="13" t="s">
        <v>150</v>
      </c>
      <c r="S237" s="13" t="s">
        <v>125</v>
      </c>
      <c r="T237" s="13" t="n">
        <v>1</v>
      </c>
      <c r="U237" s="13" t="n">
        <f aca="false">IF(B237="Individual",1,0)</f>
        <v>1</v>
      </c>
      <c r="V237" s="13" t="n">
        <f aca="false">IF(B237="Company",1,0)</f>
        <v>0</v>
      </c>
      <c r="W237" s="13" t="n">
        <f aca="false">IF(H237="Home",1,0)</f>
        <v>0</v>
      </c>
      <c r="X237" s="13" t="n">
        <f aca="false">IF(H237="Investment",1,0)</f>
        <v>1</v>
      </c>
      <c r="Y237" s="13" t="n">
        <f aca="false">IF(K237="Website",1,0)</f>
        <v>1</v>
      </c>
      <c r="Z237" s="13" t="n">
        <f aca="false">IF(K237="Agency",1,0)</f>
        <v>0</v>
      </c>
      <c r="AA237" s="13" t="n">
        <f aca="false">IF(K237="Client",1,0)</f>
        <v>0</v>
      </c>
      <c r="AB237" s="13" t="n">
        <f aca="false">(D237-AVERAGE(D$2:D$2001))/STDEV(D$2:D$2001)</f>
        <v>-0.469199400307086</v>
      </c>
      <c r="AC237" s="13" t="n">
        <f aca="false">(I237-AVERAGE(I$2:I$2001))/STDEV(I$2:I$2001)</f>
        <v>-1.43538077576244</v>
      </c>
      <c r="AD237" s="13" t="n">
        <f aca="false">(L237-AVERAGE(L$2:L$2001))/STDEV(L$2:L$2001)</f>
        <v>0.413838214490712</v>
      </c>
      <c r="AE237" s="13" t="n">
        <f aca="false">(M237-AVERAGE(M$2:M$2001))/STDEV(M$2:M$2001)</f>
        <v>-0.199930044852413</v>
      </c>
      <c r="AF237" s="13" t="n">
        <f aca="false">(N237-AVERAGE(N$2:N$2001))/STDEV(N$2:N$2001)</f>
        <v>-0.708265139727345</v>
      </c>
      <c r="AG237" s="13" t="n">
        <f aca="false">(O237-AVERAGE(O$2:O$2001))/STDEV(O$2:O$2001)</f>
        <v>-0.687138006528715</v>
      </c>
      <c r="AH237" s="0" t="str">
        <f aca="false">IF(B237="Company","C3 - Corporate Buyers",IF(AND(H237="Investment",M237&gt;'Segmentation Summary'!$C$1),"C1 - Global Investors",IF(AND(I237&gt;=4,M237&gt;'Segmentation Summary'!$C$1),"C4 - Luxury Investors",IF(AND(D237&lt;'Segmentation Summary'!$C$2,J237=1),"C2 - First-Time Buyers","C5 - Other Individual Buyers"))))</f>
        <v>C5 - Other Individual Buyers</v>
      </c>
    </row>
    <row r="238" customFormat="false" ht="15" hidden="false" customHeight="true" outlineLevel="0" collapsed="false">
      <c r="A238" s="13" t="s">
        <v>552</v>
      </c>
      <c r="B238" s="13" t="s">
        <v>34</v>
      </c>
      <c r="C238" s="13" t="s">
        <v>553</v>
      </c>
      <c r="D238" s="13" t="n">
        <v>32</v>
      </c>
      <c r="E238" s="13" t="s">
        <v>90</v>
      </c>
      <c r="F238" s="13" t="s">
        <v>33</v>
      </c>
      <c r="G238" s="13" t="s">
        <v>95</v>
      </c>
      <c r="H238" s="13" t="s">
        <v>43</v>
      </c>
      <c r="I238" s="13" t="n">
        <v>1</v>
      </c>
      <c r="J238" s="13" t="n">
        <v>1</v>
      </c>
      <c r="K238" s="13" t="s">
        <v>85</v>
      </c>
      <c r="L238" s="13" t="n">
        <v>4</v>
      </c>
      <c r="M238" s="13" t="n">
        <v>1478836.57</v>
      </c>
      <c r="N238" s="13" t="n">
        <v>369709.1425</v>
      </c>
      <c r="O238" s="13" t="n">
        <v>1202.265</v>
      </c>
      <c r="P238" s="13" t="n">
        <v>0</v>
      </c>
      <c r="Q238" s="13" t="n">
        <v>4</v>
      </c>
      <c r="R238" s="13" t="s">
        <v>101</v>
      </c>
      <c r="S238" s="13" t="s">
        <v>121</v>
      </c>
      <c r="T238" s="13" t="n">
        <v>1</v>
      </c>
      <c r="U238" s="13" t="n">
        <f aca="false">IF(B238="Individual",1,0)</f>
        <v>1</v>
      </c>
      <c r="V238" s="13" t="n">
        <f aca="false">IF(B238="Company",1,0)</f>
        <v>0</v>
      </c>
      <c r="W238" s="13" t="n">
        <f aca="false">IF(H238="Home",1,0)</f>
        <v>0</v>
      </c>
      <c r="X238" s="13" t="n">
        <f aca="false">IF(H238="Investment",1,0)</f>
        <v>1</v>
      </c>
      <c r="Y238" s="13" t="n">
        <f aca="false">IF(K238="Website",1,0)</f>
        <v>1</v>
      </c>
      <c r="Z238" s="13" t="n">
        <f aca="false">IF(K238="Agency",1,0)</f>
        <v>0</v>
      </c>
      <c r="AA238" s="13" t="n">
        <f aca="false">IF(K238="Client",1,0)</f>
        <v>0</v>
      </c>
      <c r="AB238" s="13" t="n">
        <f aca="false">(D238-AVERAGE(D$2:D$2001))/STDEV(D$2:D$2001)</f>
        <v>-1.2764737771412</v>
      </c>
      <c r="AC238" s="13" t="n">
        <f aca="false">(I238-AVERAGE(I$2:I$2001))/STDEV(I$2:I$2001)</f>
        <v>-1.43538077576244</v>
      </c>
      <c r="AD238" s="13" t="n">
        <f aca="false">(L238-AVERAGE(L$2:L$2001))/STDEV(L$2:L$2001)</f>
        <v>0.413838214490712</v>
      </c>
      <c r="AE238" s="13" t="n">
        <f aca="false">(M238-AVERAGE(M$2:M$2001))/STDEV(M$2:M$2001)</f>
        <v>0.628067366309875</v>
      </c>
      <c r="AF238" s="13" t="n">
        <f aca="false">(N238-AVERAGE(N$2:N$2001))/STDEV(N$2:N$2001)</f>
        <v>0.324420476149002</v>
      </c>
      <c r="AG238" s="13" t="n">
        <f aca="false">(O238-AVERAGE(O$2:O$2001))/STDEV(O$2:O$2001)</f>
        <v>0.249111893248424</v>
      </c>
      <c r="AH238" s="0" t="str">
        <f aca="false">IF(B238="Company","C3 - Corporate Buyers",IF(AND(H238="Investment",M238&gt;'Segmentation Summary'!$C$1),"C1 - Global Investors",IF(AND(I238&gt;=4,M238&gt;'Segmentation Summary'!$C$1),"C4 - Luxury Investors",IF(AND(D238&lt;'Segmentation Summary'!$C$2,J238=1),"C2 - First-Time Buyers","C5 - Other Individual Buyers"))))</f>
        <v>C1 - Global Investors</v>
      </c>
    </row>
    <row r="239" customFormat="false" ht="15" hidden="false" customHeight="true" outlineLevel="0" collapsed="false">
      <c r="A239" s="13" t="s">
        <v>554</v>
      </c>
      <c r="B239" s="13" t="s">
        <v>34</v>
      </c>
      <c r="C239" s="13" t="s">
        <v>555</v>
      </c>
      <c r="D239" s="13" t="n">
        <v>27</v>
      </c>
      <c r="E239" s="13" t="s">
        <v>90</v>
      </c>
      <c r="F239" s="13" t="s">
        <v>33</v>
      </c>
      <c r="G239" s="13" t="s">
        <v>207</v>
      </c>
      <c r="H239" s="13" t="s">
        <v>41</v>
      </c>
      <c r="I239" s="13" t="n">
        <v>3</v>
      </c>
      <c r="J239" s="13" t="n">
        <v>0</v>
      </c>
      <c r="K239" s="13" t="s">
        <v>91</v>
      </c>
      <c r="L239" s="13" t="n">
        <v>3</v>
      </c>
      <c r="M239" s="13" t="n">
        <v>494173.31</v>
      </c>
      <c r="N239" s="13" t="n">
        <v>164724.436666667</v>
      </c>
      <c r="O239" s="13" t="n">
        <v>577.243333333333</v>
      </c>
      <c r="P239" s="13" t="n">
        <v>1</v>
      </c>
      <c r="Q239" s="13" t="n">
        <v>2</v>
      </c>
      <c r="R239" s="13" t="s">
        <v>86</v>
      </c>
      <c r="S239" s="13" t="s">
        <v>125</v>
      </c>
      <c r="T239" s="13" t="n">
        <v>1</v>
      </c>
      <c r="U239" s="13" t="n">
        <f aca="false">IF(B239="Individual",1,0)</f>
        <v>1</v>
      </c>
      <c r="V239" s="13" t="n">
        <f aca="false">IF(B239="Company",1,0)</f>
        <v>0</v>
      </c>
      <c r="W239" s="13" t="n">
        <f aca="false">IF(H239="Home",1,0)</f>
        <v>1</v>
      </c>
      <c r="X239" s="13" t="n">
        <f aca="false">IF(H239="Investment",1,0)</f>
        <v>0</v>
      </c>
      <c r="Y239" s="13" t="n">
        <f aca="false">IF(K239="Website",1,0)</f>
        <v>0</v>
      </c>
      <c r="Z239" s="13" t="n">
        <f aca="false">IF(K239="Agency",1,0)</f>
        <v>1</v>
      </c>
      <c r="AA239" s="13" t="n">
        <f aca="false">IF(K239="Client",1,0)</f>
        <v>0</v>
      </c>
      <c r="AB239" s="13" t="n">
        <f aca="false">(D239-AVERAGE(D$2:D$2001))/STDEV(D$2:D$2001)</f>
        <v>-1.56478605458196</v>
      </c>
      <c r="AC239" s="13" t="n">
        <f aca="false">(I239-AVERAGE(I$2:I$2001))/STDEV(I$2:I$2001)</f>
        <v>-0.0205155458339628</v>
      </c>
      <c r="AD239" s="13" t="n">
        <f aca="false">(L239-AVERAGE(L$2:L$2001))/STDEV(L$2:L$2001)</f>
        <v>-0.777063122173208</v>
      </c>
      <c r="AE239" s="13" t="n">
        <f aca="false">(M239-AVERAGE(M$2:M$2001))/STDEV(M$2:M$2001)</f>
        <v>-2.20280224804233</v>
      </c>
      <c r="AF239" s="13" t="n">
        <f aca="false">(N239-AVERAGE(N$2:N$2001))/STDEV(N$2:N$2001)</f>
        <v>-2.61561609346635</v>
      </c>
      <c r="AG239" s="13" t="n">
        <f aca="false">(O239-AVERAGE(O$2:O$2001))/STDEV(O$2:O$2001)</f>
        <v>-2.59289572091462</v>
      </c>
      <c r="AH239" s="0" t="str">
        <f aca="false">IF(B239="Company","C3 - Corporate Buyers",IF(AND(H239="Investment",M239&gt;'Segmentation Summary'!$C$1),"C1 - Global Investors",IF(AND(I239&gt;=4,M239&gt;'Segmentation Summary'!$C$1),"C4 - Luxury Investors",IF(AND(D239&lt;'Segmentation Summary'!$C$2,J239=1),"C2 - First-Time Buyers","C5 - Other Individual Buyers"))))</f>
        <v>C5 - Other Individual Buyers</v>
      </c>
    </row>
    <row r="240" customFormat="false" ht="15" hidden="false" customHeight="true" outlineLevel="0" collapsed="false">
      <c r="A240" s="13" t="s">
        <v>556</v>
      </c>
      <c r="B240" s="13" t="s">
        <v>34</v>
      </c>
      <c r="C240" s="13" t="s">
        <v>557</v>
      </c>
      <c r="D240" s="13" t="n">
        <v>58</v>
      </c>
      <c r="E240" s="13" t="s">
        <v>90</v>
      </c>
      <c r="F240" s="13" t="s">
        <v>33</v>
      </c>
      <c r="G240" s="13" t="s">
        <v>110</v>
      </c>
      <c r="H240" s="13" t="s">
        <v>41</v>
      </c>
      <c r="I240" s="13" t="n">
        <v>3</v>
      </c>
      <c r="J240" s="13" t="n">
        <v>0</v>
      </c>
      <c r="K240" s="13" t="s">
        <v>91</v>
      </c>
      <c r="L240" s="13" t="n">
        <v>3</v>
      </c>
      <c r="M240" s="13" t="n">
        <v>914304.97</v>
      </c>
      <c r="N240" s="13" t="n">
        <v>304768.323333333</v>
      </c>
      <c r="O240" s="13" t="n">
        <v>934.433333333333</v>
      </c>
      <c r="P240" s="13" t="n">
        <v>1</v>
      </c>
      <c r="Q240" s="13" t="n">
        <v>2</v>
      </c>
      <c r="R240" s="13" t="s">
        <v>121</v>
      </c>
      <c r="S240" s="13" t="s">
        <v>141</v>
      </c>
      <c r="T240" s="13" t="n">
        <v>1</v>
      </c>
      <c r="U240" s="13" t="n">
        <f aca="false">IF(B240="Individual",1,0)</f>
        <v>1</v>
      </c>
      <c r="V240" s="13" t="n">
        <f aca="false">IF(B240="Company",1,0)</f>
        <v>0</v>
      </c>
      <c r="W240" s="13" t="n">
        <f aca="false">IF(H240="Home",1,0)</f>
        <v>1</v>
      </c>
      <c r="X240" s="13" t="n">
        <f aca="false">IF(H240="Investment",1,0)</f>
        <v>0</v>
      </c>
      <c r="Y240" s="13" t="n">
        <f aca="false">IF(K240="Website",1,0)</f>
        <v>0</v>
      </c>
      <c r="Z240" s="13" t="n">
        <f aca="false">IF(K240="Agency",1,0)</f>
        <v>1</v>
      </c>
      <c r="AA240" s="13" t="n">
        <f aca="false">IF(K240="Client",1,0)</f>
        <v>0</v>
      </c>
      <c r="AB240" s="13" t="n">
        <f aca="false">(D240-AVERAGE(D$2:D$2001))/STDEV(D$2:D$2001)</f>
        <v>0.222750065550728</v>
      </c>
      <c r="AC240" s="13" t="n">
        <f aca="false">(I240-AVERAGE(I$2:I$2001))/STDEV(I$2:I$2001)</f>
        <v>-0.0205155458339628</v>
      </c>
      <c r="AD240" s="13" t="n">
        <f aca="false">(L240-AVERAGE(L$2:L$2001))/STDEV(L$2:L$2001)</f>
        <v>-0.777063122173208</v>
      </c>
      <c r="AE240" s="13" t="n">
        <f aca="false">(M240-AVERAGE(M$2:M$2001))/STDEV(M$2:M$2001)</f>
        <v>-0.994939622680077</v>
      </c>
      <c r="AF240" s="13" t="n">
        <f aca="false">(N240-AVERAGE(N$2:N$2001))/STDEV(N$2:N$2001)</f>
        <v>-0.607006980521922</v>
      </c>
      <c r="AG240" s="13" t="n">
        <f aca="false">(O240-AVERAGE(O$2:O$2001))/STDEV(O$2:O$2001)</f>
        <v>-0.968733305687048</v>
      </c>
      <c r="AH240" s="0" t="str">
        <f aca="false">IF(B240="Company","C3 - Corporate Buyers",IF(AND(H240="Investment",M240&gt;'Segmentation Summary'!$C$1),"C1 - Global Investors",IF(AND(I240&gt;=4,M240&gt;'Segmentation Summary'!$C$1),"C4 - Luxury Investors",IF(AND(D240&lt;'Segmentation Summary'!$C$2,J240=1),"C2 - First-Time Buyers","C5 - Other Individual Buyers"))))</f>
        <v>C5 - Other Individual Buyers</v>
      </c>
    </row>
    <row r="241" customFormat="false" ht="15" hidden="false" customHeight="true" outlineLevel="0" collapsed="false">
      <c r="A241" s="13" t="s">
        <v>558</v>
      </c>
      <c r="B241" s="13" t="s">
        <v>34</v>
      </c>
      <c r="C241" s="13" t="s">
        <v>557</v>
      </c>
      <c r="D241" s="13" t="n">
        <v>60</v>
      </c>
      <c r="E241" s="13" t="s">
        <v>90</v>
      </c>
      <c r="F241" s="13" t="s">
        <v>33</v>
      </c>
      <c r="G241" s="13" t="s">
        <v>120</v>
      </c>
      <c r="H241" s="13" t="s">
        <v>41</v>
      </c>
      <c r="I241" s="13" t="n">
        <v>2</v>
      </c>
      <c r="J241" s="13" t="n">
        <v>0</v>
      </c>
      <c r="K241" s="13" t="s">
        <v>91</v>
      </c>
      <c r="L241" s="13" t="n">
        <v>3</v>
      </c>
      <c r="M241" s="13" t="n">
        <v>889855.16</v>
      </c>
      <c r="N241" s="13" t="n">
        <v>296618.386666667</v>
      </c>
      <c r="O241" s="13" t="n">
        <v>980.87</v>
      </c>
      <c r="P241" s="13" t="n">
        <v>0</v>
      </c>
      <c r="Q241" s="13" t="n">
        <v>3</v>
      </c>
      <c r="R241" s="13" t="s">
        <v>117</v>
      </c>
      <c r="S241" s="13" t="s">
        <v>87</v>
      </c>
      <c r="T241" s="13" t="n">
        <v>1</v>
      </c>
      <c r="U241" s="13" t="n">
        <f aca="false">IF(B241="Individual",1,0)</f>
        <v>1</v>
      </c>
      <c r="V241" s="13" t="n">
        <f aca="false">IF(B241="Company",1,0)</f>
        <v>0</v>
      </c>
      <c r="W241" s="13" t="n">
        <f aca="false">IF(H241="Home",1,0)</f>
        <v>1</v>
      </c>
      <c r="X241" s="13" t="n">
        <f aca="false">IF(H241="Investment",1,0)</f>
        <v>0</v>
      </c>
      <c r="Y241" s="13" t="n">
        <f aca="false">IF(K241="Website",1,0)</f>
        <v>0</v>
      </c>
      <c r="Z241" s="13" t="n">
        <f aca="false">IF(K241="Agency",1,0)</f>
        <v>1</v>
      </c>
      <c r="AA241" s="13" t="n">
        <f aca="false">IF(K241="Client",1,0)</f>
        <v>0</v>
      </c>
      <c r="AB241" s="13" t="n">
        <f aca="false">(D241-AVERAGE(D$2:D$2001))/STDEV(D$2:D$2001)</f>
        <v>0.338074976527031</v>
      </c>
      <c r="AC241" s="13" t="n">
        <f aca="false">(I241-AVERAGE(I$2:I$2001))/STDEV(I$2:I$2001)</f>
        <v>-0.727948160798201</v>
      </c>
      <c r="AD241" s="13" t="n">
        <f aca="false">(L241-AVERAGE(L$2:L$2001))/STDEV(L$2:L$2001)</f>
        <v>-0.777063122173208</v>
      </c>
      <c r="AE241" s="13" t="n">
        <f aca="false">(M241-AVERAGE(M$2:M$2001))/STDEV(M$2:M$2001)</f>
        <v>-1.06523190128676</v>
      </c>
      <c r="AF241" s="13" t="n">
        <f aca="false">(N241-AVERAGE(N$2:N$2001))/STDEV(N$2:N$2001)</f>
        <v>-0.723899173735249</v>
      </c>
      <c r="AG241" s="13" t="n">
        <f aca="false">(O241-AVERAGE(O$2:O$2001))/STDEV(O$2:O$2001)</f>
        <v>-0.757583249166844</v>
      </c>
      <c r="AH241" s="0" t="str">
        <f aca="false">IF(B241="Company","C3 - Corporate Buyers",IF(AND(H241="Investment",M241&gt;'Segmentation Summary'!$C$1),"C1 - Global Investors",IF(AND(I241&gt;=4,M241&gt;'Segmentation Summary'!$C$1),"C4 - Luxury Investors",IF(AND(D241&lt;'Segmentation Summary'!$C$2,J241=1),"C2 - First-Time Buyers","C5 - Other Individual Buyers"))))</f>
        <v>C5 - Other Individual Buyers</v>
      </c>
    </row>
    <row r="242" customFormat="false" ht="15" hidden="false" customHeight="true" outlineLevel="0" collapsed="false">
      <c r="A242" s="13" t="s">
        <v>559</v>
      </c>
      <c r="B242" s="13" t="s">
        <v>34</v>
      </c>
      <c r="C242" s="13" t="s">
        <v>560</v>
      </c>
      <c r="D242" s="13" t="n">
        <v>40</v>
      </c>
      <c r="E242" s="13" t="s">
        <v>90</v>
      </c>
      <c r="F242" s="13" t="s">
        <v>33</v>
      </c>
      <c r="G242" s="13" t="s">
        <v>95</v>
      </c>
      <c r="H242" s="13" t="s">
        <v>43</v>
      </c>
      <c r="I242" s="13" t="n">
        <v>4</v>
      </c>
      <c r="J242" s="13" t="n">
        <v>1</v>
      </c>
      <c r="K242" s="13" t="s">
        <v>85</v>
      </c>
      <c r="L242" s="13" t="n">
        <v>4</v>
      </c>
      <c r="M242" s="13" t="n">
        <v>1561809.25</v>
      </c>
      <c r="N242" s="13" t="n">
        <v>390452.3125</v>
      </c>
      <c r="O242" s="13" t="n">
        <v>1276.9875</v>
      </c>
      <c r="P242" s="13" t="n">
        <v>0</v>
      </c>
      <c r="Q242" s="13" t="n">
        <v>4</v>
      </c>
      <c r="R242" s="13" t="s">
        <v>117</v>
      </c>
      <c r="S242" s="13" t="s">
        <v>125</v>
      </c>
      <c r="T242" s="13" t="n">
        <v>1</v>
      </c>
      <c r="U242" s="13" t="n">
        <f aca="false">IF(B242="Individual",1,0)</f>
        <v>1</v>
      </c>
      <c r="V242" s="13" t="n">
        <f aca="false">IF(B242="Company",1,0)</f>
        <v>0</v>
      </c>
      <c r="W242" s="13" t="n">
        <f aca="false">IF(H242="Home",1,0)</f>
        <v>0</v>
      </c>
      <c r="X242" s="13" t="n">
        <f aca="false">IF(H242="Investment",1,0)</f>
        <v>1</v>
      </c>
      <c r="Y242" s="13" t="n">
        <f aca="false">IF(K242="Website",1,0)</f>
        <v>1</v>
      </c>
      <c r="Z242" s="13" t="n">
        <f aca="false">IF(K242="Agency",1,0)</f>
        <v>0</v>
      </c>
      <c r="AA242" s="13" t="n">
        <f aca="false">IF(K242="Client",1,0)</f>
        <v>0</v>
      </c>
      <c r="AB242" s="13" t="n">
        <f aca="false">(D242-AVERAGE(D$2:D$2001))/STDEV(D$2:D$2001)</f>
        <v>-0.815174133235994</v>
      </c>
      <c r="AC242" s="13" t="n">
        <f aca="false">(I242-AVERAGE(I$2:I$2001))/STDEV(I$2:I$2001)</f>
        <v>0.686917069130275</v>
      </c>
      <c r="AD242" s="13" t="n">
        <f aca="false">(L242-AVERAGE(L$2:L$2001))/STDEV(L$2:L$2001)</f>
        <v>0.413838214490712</v>
      </c>
      <c r="AE242" s="13" t="n">
        <f aca="false">(M242-AVERAGE(M$2:M$2001))/STDEV(M$2:M$2001)</f>
        <v>0.8666106817509</v>
      </c>
      <c r="AF242" s="13" t="n">
        <f aca="false">(N242-AVERAGE(N$2:N$2001))/STDEV(N$2:N$2001)</f>
        <v>0.621933786333879</v>
      </c>
      <c r="AG242" s="13" t="n">
        <f aca="false">(O242-AVERAGE(O$2:O$2001))/STDEV(O$2:O$2001)</f>
        <v>0.588879176968131</v>
      </c>
      <c r="AH242" s="0" t="str">
        <f aca="false">IF(B242="Company","C3 - Corporate Buyers",IF(AND(H242="Investment",M242&gt;'Segmentation Summary'!$C$1),"C1 - Global Investors",IF(AND(I242&gt;=4,M242&gt;'Segmentation Summary'!$C$1),"C4 - Luxury Investors",IF(AND(D242&lt;'Segmentation Summary'!$C$2,J242=1),"C2 - First-Time Buyers","C5 - Other Individual Buyers"))))</f>
        <v>C1 - Global Investors</v>
      </c>
    </row>
    <row r="243" customFormat="false" ht="15" hidden="false" customHeight="true" outlineLevel="0" collapsed="false">
      <c r="A243" s="13" t="s">
        <v>561</v>
      </c>
      <c r="B243" s="13" t="s">
        <v>34</v>
      </c>
      <c r="C243" s="13" t="s">
        <v>562</v>
      </c>
      <c r="D243" s="13" t="n">
        <v>34</v>
      </c>
      <c r="E243" s="13" t="s">
        <v>90</v>
      </c>
      <c r="F243" s="13" t="s">
        <v>33</v>
      </c>
      <c r="G243" s="13" t="s">
        <v>95</v>
      </c>
      <c r="H243" s="13" t="s">
        <v>41</v>
      </c>
      <c r="I243" s="13" t="n">
        <v>4</v>
      </c>
      <c r="J243" s="13" t="n">
        <v>1</v>
      </c>
      <c r="K243" s="13" t="s">
        <v>91</v>
      </c>
      <c r="L243" s="13" t="n">
        <v>4</v>
      </c>
      <c r="M243" s="13" t="n">
        <v>1118238.91</v>
      </c>
      <c r="N243" s="13" t="n">
        <v>279559.7275</v>
      </c>
      <c r="O243" s="13" t="n">
        <v>910.925</v>
      </c>
      <c r="P243" s="13" t="n">
        <v>1</v>
      </c>
      <c r="Q243" s="13" t="n">
        <v>3</v>
      </c>
      <c r="R243" s="13" t="s">
        <v>124</v>
      </c>
      <c r="S243" s="13" t="s">
        <v>164</v>
      </c>
      <c r="T243" s="13" t="n">
        <v>1</v>
      </c>
      <c r="U243" s="13" t="n">
        <f aca="false">IF(B243="Individual",1,0)</f>
        <v>1</v>
      </c>
      <c r="V243" s="13" t="n">
        <f aca="false">IF(B243="Company",1,0)</f>
        <v>0</v>
      </c>
      <c r="W243" s="13" t="n">
        <f aca="false">IF(H243="Home",1,0)</f>
        <v>1</v>
      </c>
      <c r="X243" s="13" t="n">
        <f aca="false">IF(H243="Investment",1,0)</f>
        <v>0</v>
      </c>
      <c r="Y243" s="13" t="n">
        <f aca="false">IF(K243="Website",1,0)</f>
        <v>0</v>
      </c>
      <c r="Z243" s="13" t="n">
        <f aca="false">IF(K243="Agency",1,0)</f>
        <v>1</v>
      </c>
      <c r="AA243" s="13" t="n">
        <f aca="false">IF(K243="Client",1,0)</f>
        <v>0</v>
      </c>
      <c r="AB243" s="13" t="n">
        <f aca="false">(D243-AVERAGE(D$2:D$2001))/STDEV(D$2:D$2001)</f>
        <v>-1.1611488661649</v>
      </c>
      <c r="AC243" s="13" t="n">
        <f aca="false">(I243-AVERAGE(I$2:I$2001))/STDEV(I$2:I$2001)</f>
        <v>0.686917069130275</v>
      </c>
      <c r="AD243" s="13" t="n">
        <f aca="false">(L243-AVERAGE(L$2:L$2001))/STDEV(L$2:L$2001)</f>
        <v>0.413838214490712</v>
      </c>
      <c r="AE243" s="13" t="n">
        <f aca="false">(M243-AVERAGE(M$2:M$2001))/STDEV(M$2:M$2001)</f>
        <v>-0.408637261727639</v>
      </c>
      <c r="AF243" s="13" t="n">
        <f aca="false">(N243-AVERAGE(N$2:N$2001))/STDEV(N$2:N$2001)</f>
        <v>-0.968566606725998</v>
      </c>
      <c r="AG243" s="13" t="n">
        <f aca="false">(O243-AVERAGE(O$2:O$2001))/STDEV(O$2:O$2001)</f>
        <v>-1.07562697976706</v>
      </c>
      <c r="AH243" s="0" t="str">
        <f aca="false">IF(B243="Company","C3 - Corporate Buyers",IF(AND(H243="Investment",M243&gt;'Segmentation Summary'!$C$1),"C1 - Global Investors",IF(AND(I243&gt;=4,M243&gt;'Segmentation Summary'!$C$1),"C4 - Luxury Investors",IF(AND(D243&lt;'Segmentation Summary'!$C$2,J243=1),"C2 - First-Time Buyers","C5 - Other Individual Buyers"))))</f>
        <v>C2 - First-Time Buyers</v>
      </c>
    </row>
    <row r="244" customFormat="false" ht="15" hidden="false" customHeight="true" outlineLevel="0" collapsed="false">
      <c r="A244" s="13" t="s">
        <v>563</v>
      </c>
      <c r="B244" s="13" t="s">
        <v>34</v>
      </c>
      <c r="C244" s="13" t="s">
        <v>564</v>
      </c>
      <c r="D244" s="13" t="n">
        <v>53</v>
      </c>
      <c r="E244" s="13" t="s">
        <v>90</v>
      </c>
      <c r="F244" s="13" t="s">
        <v>33</v>
      </c>
      <c r="G244" s="13" t="s">
        <v>95</v>
      </c>
      <c r="H244" s="13" t="s">
        <v>41</v>
      </c>
      <c r="I244" s="13" t="n">
        <v>1</v>
      </c>
      <c r="J244" s="13" t="n">
        <v>0</v>
      </c>
      <c r="K244" s="13" t="s">
        <v>91</v>
      </c>
      <c r="L244" s="13" t="n">
        <v>4</v>
      </c>
      <c r="M244" s="13" t="n">
        <v>1853570.08</v>
      </c>
      <c r="N244" s="13" t="n">
        <v>463392.52</v>
      </c>
      <c r="O244" s="13" t="n">
        <v>1552.15</v>
      </c>
      <c r="P244" s="13" t="n">
        <v>1</v>
      </c>
      <c r="Q244" s="13" t="n">
        <v>3</v>
      </c>
      <c r="R244" s="13" t="s">
        <v>121</v>
      </c>
      <c r="S244" s="13" t="s">
        <v>141</v>
      </c>
      <c r="T244" s="13" t="n">
        <v>1</v>
      </c>
      <c r="U244" s="13" t="n">
        <f aca="false">IF(B244="Individual",1,0)</f>
        <v>1</v>
      </c>
      <c r="V244" s="13" t="n">
        <f aca="false">IF(B244="Company",1,0)</f>
        <v>0</v>
      </c>
      <c r="W244" s="13" t="n">
        <f aca="false">IF(H244="Home",1,0)</f>
        <v>1</v>
      </c>
      <c r="X244" s="13" t="n">
        <f aca="false">IF(H244="Investment",1,0)</f>
        <v>0</v>
      </c>
      <c r="Y244" s="13" t="n">
        <f aca="false">IF(K244="Website",1,0)</f>
        <v>0</v>
      </c>
      <c r="Z244" s="13" t="n">
        <f aca="false">IF(K244="Agency",1,0)</f>
        <v>1</v>
      </c>
      <c r="AA244" s="13" t="n">
        <f aca="false">IF(K244="Client",1,0)</f>
        <v>0</v>
      </c>
      <c r="AB244" s="13" t="n">
        <f aca="false">(D244-AVERAGE(D$2:D$2001))/STDEV(D$2:D$2001)</f>
        <v>-0.065562211890028</v>
      </c>
      <c r="AC244" s="13" t="n">
        <f aca="false">(I244-AVERAGE(I$2:I$2001))/STDEV(I$2:I$2001)</f>
        <v>-1.43538077576244</v>
      </c>
      <c r="AD244" s="13" t="n">
        <f aca="false">(L244-AVERAGE(L$2:L$2001))/STDEV(L$2:L$2001)</f>
        <v>0.413838214490712</v>
      </c>
      <c r="AE244" s="13" t="n">
        <f aca="false">(M244-AVERAGE(M$2:M$2001))/STDEV(M$2:M$2001)</f>
        <v>1.7054120282185</v>
      </c>
      <c r="AF244" s="13" t="n">
        <f aca="false">(N244-AVERAGE(N$2:N$2001))/STDEV(N$2:N$2001)</f>
        <v>1.6680941648535</v>
      </c>
      <c r="AG244" s="13" t="n">
        <f aca="false">(O244-AVERAGE(O$2:O$2001))/STDEV(O$2:O$2001)</f>
        <v>1.84005807497776</v>
      </c>
      <c r="AH244" s="0" t="str">
        <f aca="false">IF(B244="Company","C3 - Corporate Buyers",IF(AND(H244="Investment",M244&gt;'Segmentation Summary'!$C$1),"C1 - Global Investors",IF(AND(I244&gt;=4,M244&gt;'Segmentation Summary'!$C$1),"C4 - Luxury Investors",IF(AND(D244&lt;'Segmentation Summary'!$C$2,J244=1),"C2 - First-Time Buyers","C5 - Other Individual Buyers"))))</f>
        <v>C5 - Other Individual Buyers</v>
      </c>
    </row>
    <row r="245" customFormat="false" ht="15" hidden="false" customHeight="true" outlineLevel="0" collapsed="false">
      <c r="A245" s="13" t="s">
        <v>565</v>
      </c>
      <c r="B245" s="13" t="s">
        <v>34</v>
      </c>
      <c r="C245" s="13" t="s">
        <v>566</v>
      </c>
      <c r="D245" s="13" t="n">
        <v>58</v>
      </c>
      <c r="E245" s="13" t="s">
        <v>90</v>
      </c>
      <c r="F245" s="13" t="s">
        <v>33</v>
      </c>
      <c r="G245" s="13" t="s">
        <v>123</v>
      </c>
      <c r="H245" s="13" t="s">
        <v>41</v>
      </c>
      <c r="I245" s="13" t="n">
        <v>4</v>
      </c>
      <c r="J245" s="13" t="n">
        <v>0</v>
      </c>
      <c r="K245" s="13" t="s">
        <v>85</v>
      </c>
      <c r="L245" s="13" t="n">
        <v>4</v>
      </c>
      <c r="M245" s="13" t="n">
        <v>1456185.33</v>
      </c>
      <c r="N245" s="13" t="n">
        <v>364046.3325</v>
      </c>
      <c r="O245" s="13" t="n">
        <v>1313.38</v>
      </c>
      <c r="P245" s="13" t="n">
        <v>0</v>
      </c>
      <c r="Q245" s="13" t="n">
        <v>4</v>
      </c>
      <c r="R245" s="13" t="s">
        <v>98</v>
      </c>
      <c r="S245" s="13" t="s">
        <v>103</v>
      </c>
      <c r="T245" s="13" t="n">
        <v>1</v>
      </c>
      <c r="U245" s="13" t="n">
        <f aca="false">IF(B245="Individual",1,0)</f>
        <v>1</v>
      </c>
      <c r="V245" s="13" t="n">
        <f aca="false">IF(B245="Company",1,0)</f>
        <v>0</v>
      </c>
      <c r="W245" s="13" t="n">
        <f aca="false">IF(H245="Home",1,0)</f>
        <v>1</v>
      </c>
      <c r="X245" s="13" t="n">
        <f aca="false">IF(H245="Investment",1,0)</f>
        <v>0</v>
      </c>
      <c r="Y245" s="13" t="n">
        <f aca="false">IF(K245="Website",1,0)</f>
        <v>1</v>
      </c>
      <c r="Z245" s="13" t="n">
        <f aca="false">IF(K245="Agency",1,0)</f>
        <v>0</v>
      </c>
      <c r="AA245" s="13" t="n">
        <f aca="false">IF(K245="Client",1,0)</f>
        <v>0</v>
      </c>
      <c r="AB245" s="13" t="n">
        <f aca="false">(D245-AVERAGE(D$2:D$2001))/STDEV(D$2:D$2001)</f>
        <v>0.222750065550728</v>
      </c>
      <c r="AC245" s="13" t="n">
        <f aca="false">(I245-AVERAGE(I$2:I$2001))/STDEV(I$2:I$2001)</f>
        <v>0.686917069130275</v>
      </c>
      <c r="AD245" s="13" t="n">
        <f aca="false">(L245-AVERAGE(L$2:L$2001))/STDEV(L$2:L$2001)</f>
        <v>0.413838214490712</v>
      </c>
      <c r="AE245" s="13" t="n">
        <f aca="false">(M245-AVERAGE(M$2:M$2001))/STDEV(M$2:M$2001)</f>
        <v>0.562945908398062</v>
      </c>
      <c r="AF245" s="13" t="n">
        <f aca="false">(N245-AVERAGE(N$2:N$2001))/STDEV(N$2:N$2001)</f>
        <v>0.243200424052431</v>
      </c>
      <c r="AG245" s="13" t="n">
        <f aca="false">(O245-AVERAGE(O$2:O$2001))/STDEV(O$2:O$2001)</f>
        <v>0.754357859731282</v>
      </c>
      <c r="AH245" s="0" t="str">
        <f aca="false">IF(B245="Company","C3 - Corporate Buyers",IF(AND(H245="Investment",M245&gt;'Segmentation Summary'!$C$1),"C1 - Global Investors",IF(AND(I245&gt;=4,M245&gt;'Segmentation Summary'!$C$1),"C4 - Luxury Investors",IF(AND(D245&lt;'Segmentation Summary'!$C$2,J245=1),"C2 - First-Time Buyers","C5 - Other Individual Buyers"))))</f>
        <v>C4 - Luxury Investors</v>
      </c>
    </row>
    <row r="246" customFormat="false" ht="15" hidden="false" customHeight="true" outlineLevel="0" collapsed="false">
      <c r="A246" s="13" t="s">
        <v>567</v>
      </c>
      <c r="B246" s="13" t="s">
        <v>34</v>
      </c>
      <c r="C246" s="13" t="s">
        <v>566</v>
      </c>
      <c r="D246" s="13" t="n">
        <v>69</v>
      </c>
      <c r="E246" s="13" t="s">
        <v>90</v>
      </c>
      <c r="F246" s="13" t="s">
        <v>33</v>
      </c>
      <c r="G246" s="13" t="s">
        <v>84</v>
      </c>
      <c r="H246" s="13" t="s">
        <v>41</v>
      </c>
      <c r="I246" s="13" t="n">
        <v>4</v>
      </c>
      <c r="J246" s="13" t="n">
        <v>1</v>
      </c>
      <c r="K246" s="13" t="s">
        <v>116</v>
      </c>
      <c r="L246" s="13" t="n">
        <v>4</v>
      </c>
      <c r="M246" s="13" t="n">
        <v>1209056.95</v>
      </c>
      <c r="N246" s="13" t="n">
        <v>302264.2375</v>
      </c>
      <c r="O246" s="13" t="n">
        <v>1046.42</v>
      </c>
      <c r="P246" s="13" t="n">
        <v>1</v>
      </c>
      <c r="Q246" s="13" t="n">
        <v>3</v>
      </c>
      <c r="R246" s="13" t="s">
        <v>101</v>
      </c>
      <c r="S246" s="13" t="s">
        <v>215</v>
      </c>
      <c r="T246" s="13" t="n">
        <v>1</v>
      </c>
      <c r="U246" s="13" t="n">
        <f aca="false">IF(B246="Individual",1,0)</f>
        <v>1</v>
      </c>
      <c r="V246" s="13" t="n">
        <f aca="false">IF(B246="Company",1,0)</f>
        <v>0</v>
      </c>
      <c r="W246" s="13" t="n">
        <f aca="false">IF(H246="Home",1,0)</f>
        <v>1</v>
      </c>
      <c r="X246" s="13" t="n">
        <f aca="false">IF(H246="Investment",1,0)</f>
        <v>0</v>
      </c>
      <c r="Y246" s="13" t="n">
        <f aca="false">IF(K246="Website",1,0)</f>
        <v>0</v>
      </c>
      <c r="Z246" s="13" t="n">
        <f aca="false">IF(K246="Agency",1,0)</f>
        <v>0</v>
      </c>
      <c r="AA246" s="13" t="n">
        <f aca="false">IF(K246="Client",1,0)</f>
        <v>1</v>
      </c>
      <c r="AB246" s="13" t="n">
        <f aca="false">(D246-AVERAGE(D$2:D$2001))/STDEV(D$2:D$2001)</f>
        <v>0.857037075920391</v>
      </c>
      <c r="AC246" s="13" t="n">
        <f aca="false">(I246-AVERAGE(I$2:I$2001))/STDEV(I$2:I$2001)</f>
        <v>0.686917069130275</v>
      </c>
      <c r="AD246" s="13" t="n">
        <f aca="false">(L246-AVERAGE(L$2:L$2001))/STDEV(L$2:L$2001)</f>
        <v>0.413838214490712</v>
      </c>
      <c r="AE246" s="13" t="n">
        <f aca="false">(M246-AVERAGE(M$2:M$2001))/STDEV(M$2:M$2001)</f>
        <v>-0.147538833143005</v>
      </c>
      <c r="AF246" s="13" t="n">
        <f aca="false">(N246-AVERAGE(N$2:N$2001))/STDEV(N$2:N$2001)</f>
        <v>-0.642922362079416</v>
      </c>
      <c r="AG246" s="13" t="n">
        <f aca="false">(O246-AVERAGE(O$2:O$2001))/STDEV(O$2:O$2001)</f>
        <v>-0.459523823320186</v>
      </c>
      <c r="AH246" s="0" t="str">
        <f aca="false">IF(B246="Company","C3 - Corporate Buyers",IF(AND(H246="Investment",M246&gt;'Segmentation Summary'!$C$1),"C1 - Global Investors",IF(AND(I246&gt;=4,M246&gt;'Segmentation Summary'!$C$1),"C4 - Luxury Investors",IF(AND(D246&lt;'Segmentation Summary'!$C$2,J246=1),"C2 - First-Time Buyers","C5 - Other Individual Buyers"))))</f>
        <v>C5 - Other Individual Buyers</v>
      </c>
    </row>
    <row r="247" customFormat="false" ht="15" hidden="false" customHeight="true" outlineLevel="0" collapsed="false">
      <c r="A247" s="13" t="s">
        <v>568</v>
      </c>
      <c r="B247" s="13" t="s">
        <v>34</v>
      </c>
      <c r="C247" s="13" t="s">
        <v>569</v>
      </c>
      <c r="D247" s="13" t="n">
        <v>55</v>
      </c>
      <c r="E247" s="13" t="s">
        <v>90</v>
      </c>
      <c r="F247" s="13" t="s">
        <v>33</v>
      </c>
      <c r="G247" s="13" t="s">
        <v>95</v>
      </c>
      <c r="H247" s="13" t="s">
        <v>41</v>
      </c>
      <c r="I247" s="13" t="n">
        <v>5</v>
      </c>
      <c r="J247" s="13" t="n">
        <v>1</v>
      </c>
      <c r="K247" s="13" t="s">
        <v>85</v>
      </c>
      <c r="L247" s="13" t="n">
        <v>5</v>
      </c>
      <c r="M247" s="13" t="n">
        <v>1807366.3</v>
      </c>
      <c r="N247" s="13" t="n">
        <v>361473.26</v>
      </c>
      <c r="O247" s="13" t="n">
        <v>1136.694</v>
      </c>
      <c r="P247" s="13" t="n">
        <v>0</v>
      </c>
      <c r="Q247" s="13" t="n">
        <v>5</v>
      </c>
      <c r="R247" s="13" t="s">
        <v>98</v>
      </c>
      <c r="S247" s="13" t="s">
        <v>164</v>
      </c>
      <c r="T247" s="13" t="n">
        <v>1</v>
      </c>
      <c r="U247" s="13" t="n">
        <f aca="false">IF(B247="Individual",1,0)</f>
        <v>1</v>
      </c>
      <c r="V247" s="13" t="n">
        <f aca="false">IF(B247="Company",1,0)</f>
        <v>0</v>
      </c>
      <c r="W247" s="13" t="n">
        <f aca="false">IF(H247="Home",1,0)</f>
        <v>1</v>
      </c>
      <c r="X247" s="13" t="n">
        <f aca="false">IF(H247="Investment",1,0)</f>
        <v>0</v>
      </c>
      <c r="Y247" s="13" t="n">
        <f aca="false">IF(K247="Website",1,0)</f>
        <v>1</v>
      </c>
      <c r="Z247" s="13" t="n">
        <f aca="false">IF(K247="Agency",1,0)</f>
        <v>0</v>
      </c>
      <c r="AA247" s="13" t="n">
        <f aca="false">IF(K247="Client",1,0)</f>
        <v>0</v>
      </c>
      <c r="AB247" s="13" t="n">
        <f aca="false">(D247-AVERAGE(D$2:D$2001))/STDEV(D$2:D$2001)</f>
        <v>0.0497626990862745</v>
      </c>
      <c r="AC247" s="13" t="n">
        <f aca="false">(I247-AVERAGE(I$2:I$2001))/STDEV(I$2:I$2001)</f>
        <v>1.39434968409451</v>
      </c>
      <c r="AD247" s="13" t="n">
        <f aca="false">(L247-AVERAGE(L$2:L$2001))/STDEV(L$2:L$2001)</f>
        <v>1.60473955115463</v>
      </c>
      <c r="AE247" s="13" t="n">
        <f aca="false">(M247-AVERAGE(M$2:M$2001))/STDEV(M$2:M$2001)</f>
        <v>1.57257790899868</v>
      </c>
      <c r="AF247" s="13" t="n">
        <f aca="false">(N247-AVERAGE(N$2:N$2001))/STDEV(N$2:N$2001)</f>
        <v>0.206295586613377</v>
      </c>
      <c r="AG247" s="13" t="n">
        <f aca="false">(O247-AVERAGE(O$2:O$2001))/STDEV(O$2:O$2001)</f>
        <v>-0.0490430207438144</v>
      </c>
      <c r="AH247" s="0" t="str">
        <f aca="false">IF(B247="Company","C3 - Corporate Buyers",IF(AND(H247="Investment",M247&gt;'Segmentation Summary'!$C$1),"C1 - Global Investors",IF(AND(I247&gt;=4,M247&gt;'Segmentation Summary'!$C$1),"C4 - Luxury Investors",IF(AND(D247&lt;'Segmentation Summary'!$C$2,J247=1),"C2 - First-Time Buyers","C5 - Other Individual Buyers"))))</f>
        <v>C4 - Luxury Investors</v>
      </c>
    </row>
    <row r="248" customFormat="false" ht="15" hidden="false" customHeight="true" outlineLevel="0" collapsed="false">
      <c r="A248" s="13" t="s">
        <v>570</v>
      </c>
      <c r="B248" s="13" t="s">
        <v>34</v>
      </c>
      <c r="C248" s="13" t="s">
        <v>571</v>
      </c>
      <c r="D248" s="13" t="n">
        <v>36</v>
      </c>
      <c r="E248" s="13" t="s">
        <v>83</v>
      </c>
      <c r="F248" s="13" t="s">
        <v>37</v>
      </c>
      <c r="G248" s="13" t="s">
        <v>572</v>
      </c>
      <c r="H248" s="13" t="s">
        <v>41</v>
      </c>
      <c r="I248" s="13" t="n">
        <v>4</v>
      </c>
      <c r="J248" s="13" t="n">
        <v>0</v>
      </c>
      <c r="K248" s="13" t="s">
        <v>91</v>
      </c>
      <c r="L248" s="13" t="n">
        <v>4</v>
      </c>
      <c r="M248" s="13" t="n">
        <v>1019127.09</v>
      </c>
      <c r="N248" s="13" t="n">
        <v>254781.7725</v>
      </c>
      <c r="O248" s="13" t="n">
        <v>727.265</v>
      </c>
      <c r="P248" s="13" t="n">
        <v>2</v>
      </c>
      <c r="Q248" s="13" t="n">
        <v>2</v>
      </c>
      <c r="R248" s="13" t="s">
        <v>128</v>
      </c>
      <c r="S248" s="13" t="s">
        <v>164</v>
      </c>
      <c r="T248" s="13" t="n">
        <v>1</v>
      </c>
      <c r="U248" s="13" t="n">
        <f aca="false">IF(B248="Individual",1,0)</f>
        <v>1</v>
      </c>
      <c r="V248" s="13" t="n">
        <f aca="false">IF(B248="Company",1,0)</f>
        <v>0</v>
      </c>
      <c r="W248" s="13" t="n">
        <f aca="false">IF(H248="Home",1,0)</f>
        <v>1</v>
      </c>
      <c r="X248" s="13" t="n">
        <f aca="false">IF(H248="Investment",1,0)</f>
        <v>0</v>
      </c>
      <c r="Y248" s="13" t="n">
        <f aca="false">IF(K248="Website",1,0)</f>
        <v>0</v>
      </c>
      <c r="Z248" s="13" t="n">
        <f aca="false">IF(K248="Agency",1,0)</f>
        <v>1</v>
      </c>
      <c r="AA248" s="13" t="n">
        <f aca="false">IF(K248="Client",1,0)</f>
        <v>0</v>
      </c>
      <c r="AB248" s="13" t="n">
        <f aca="false">(D248-AVERAGE(D$2:D$2001))/STDEV(D$2:D$2001)</f>
        <v>-1.0458239551886</v>
      </c>
      <c r="AC248" s="13" t="n">
        <f aca="false">(I248-AVERAGE(I$2:I$2001))/STDEV(I$2:I$2001)</f>
        <v>0.686917069130275</v>
      </c>
      <c r="AD248" s="13" t="n">
        <f aca="false">(L248-AVERAGE(L$2:L$2001))/STDEV(L$2:L$2001)</f>
        <v>0.413838214490712</v>
      </c>
      <c r="AE248" s="13" t="n">
        <f aca="false">(M248-AVERAGE(M$2:M$2001))/STDEV(M$2:M$2001)</f>
        <v>-0.693579993988356</v>
      </c>
      <c r="AF248" s="13" t="n">
        <f aca="false">(N248-AVERAGE(N$2:N$2001))/STDEV(N$2:N$2001)</f>
        <v>-1.32394967554633</v>
      </c>
      <c r="AG248" s="13" t="n">
        <f aca="false">(O248-AVERAGE(O$2:O$2001))/STDEV(O$2:O$2001)</f>
        <v>-1.91073901868388</v>
      </c>
      <c r="AH248" s="0" t="str">
        <f aca="false">IF(B248="Company","C3 - Corporate Buyers",IF(AND(H248="Investment",M248&gt;'Segmentation Summary'!$C$1),"C1 - Global Investors",IF(AND(I248&gt;=4,M248&gt;'Segmentation Summary'!$C$1),"C4 - Luxury Investors",IF(AND(D248&lt;'Segmentation Summary'!$C$2,J248=1),"C2 - First-Time Buyers","C5 - Other Individual Buyers"))))</f>
        <v>C5 - Other Individual Buyers</v>
      </c>
    </row>
    <row r="249" customFormat="false" ht="15" hidden="false" customHeight="true" outlineLevel="0" collapsed="false">
      <c r="A249" s="13" t="s">
        <v>573</v>
      </c>
      <c r="B249" s="13" t="s">
        <v>34</v>
      </c>
      <c r="C249" s="13" t="s">
        <v>574</v>
      </c>
      <c r="D249" s="13" t="n">
        <v>63</v>
      </c>
      <c r="E249" s="13" t="s">
        <v>83</v>
      </c>
      <c r="F249" s="13" t="s">
        <v>33</v>
      </c>
      <c r="G249" s="13" t="s">
        <v>162</v>
      </c>
      <c r="H249" s="13" t="s">
        <v>41</v>
      </c>
      <c r="I249" s="13" t="n">
        <v>3</v>
      </c>
      <c r="J249" s="13" t="n">
        <v>0</v>
      </c>
      <c r="K249" s="13" t="s">
        <v>91</v>
      </c>
      <c r="L249" s="13" t="n">
        <v>4</v>
      </c>
      <c r="M249" s="13" t="n">
        <v>1003690.18</v>
      </c>
      <c r="N249" s="13" t="n">
        <v>250922.545</v>
      </c>
      <c r="O249" s="13" t="n">
        <v>886.4275</v>
      </c>
      <c r="P249" s="13" t="n">
        <v>1</v>
      </c>
      <c r="Q249" s="13" t="n">
        <v>3</v>
      </c>
      <c r="R249" s="13" t="s">
        <v>92</v>
      </c>
      <c r="S249" s="13" t="s">
        <v>114</v>
      </c>
      <c r="T249" s="13" t="n">
        <v>1</v>
      </c>
      <c r="U249" s="13" t="n">
        <f aca="false">IF(B249="Individual",1,0)</f>
        <v>1</v>
      </c>
      <c r="V249" s="13" t="n">
        <f aca="false">IF(B249="Company",1,0)</f>
        <v>0</v>
      </c>
      <c r="W249" s="13" t="n">
        <f aca="false">IF(H249="Home",1,0)</f>
        <v>1</v>
      </c>
      <c r="X249" s="13" t="n">
        <f aca="false">IF(H249="Investment",1,0)</f>
        <v>0</v>
      </c>
      <c r="Y249" s="13" t="n">
        <f aca="false">IF(K249="Website",1,0)</f>
        <v>0</v>
      </c>
      <c r="Z249" s="13" t="n">
        <f aca="false">IF(K249="Agency",1,0)</f>
        <v>1</v>
      </c>
      <c r="AA249" s="13" t="n">
        <f aca="false">IF(K249="Client",1,0)</f>
        <v>0</v>
      </c>
      <c r="AB249" s="13" t="n">
        <f aca="false">(D249-AVERAGE(D$2:D$2001))/STDEV(D$2:D$2001)</f>
        <v>0.511062342991484</v>
      </c>
      <c r="AC249" s="13" t="n">
        <f aca="false">(I249-AVERAGE(I$2:I$2001))/STDEV(I$2:I$2001)</f>
        <v>-0.0205155458339628</v>
      </c>
      <c r="AD249" s="13" t="n">
        <f aca="false">(L249-AVERAGE(L$2:L$2001))/STDEV(L$2:L$2001)</f>
        <v>0.413838214490712</v>
      </c>
      <c r="AE249" s="13" t="n">
        <f aca="false">(M249-AVERAGE(M$2:M$2001))/STDEV(M$2:M$2001)</f>
        <v>-0.737960526129353</v>
      </c>
      <c r="AF249" s="13" t="n">
        <f aca="false">(N249-AVERAGE(N$2:N$2001))/STDEV(N$2:N$2001)</f>
        <v>-1.37930146354602</v>
      </c>
      <c r="AG249" s="13" t="n">
        <f aca="false">(O249-AVERAGE(O$2:O$2001))/STDEV(O$2:O$2001)</f>
        <v>-1.18701844864088</v>
      </c>
      <c r="AH249" s="0" t="str">
        <f aca="false">IF(B249="Company","C3 - Corporate Buyers",IF(AND(H249="Investment",M249&gt;'Segmentation Summary'!$C$1),"C1 - Global Investors",IF(AND(I249&gt;=4,M249&gt;'Segmentation Summary'!$C$1),"C4 - Luxury Investors",IF(AND(D249&lt;'Segmentation Summary'!$C$2,J249=1),"C2 - First-Time Buyers","C5 - Other Individual Buyers"))))</f>
        <v>C5 - Other Individual Buyers</v>
      </c>
    </row>
    <row r="250" customFormat="false" ht="15" hidden="false" customHeight="true" outlineLevel="0" collapsed="false">
      <c r="A250" s="13" t="s">
        <v>575</v>
      </c>
      <c r="B250" s="13" t="s">
        <v>34</v>
      </c>
      <c r="C250" s="13" t="s">
        <v>576</v>
      </c>
      <c r="D250" s="13" t="n">
        <v>66</v>
      </c>
      <c r="E250" s="13" t="s">
        <v>83</v>
      </c>
      <c r="F250" s="13" t="s">
        <v>33</v>
      </c>
      <c r="G250" s="13" t="s">
        <v>95</v>
      </c>
      <c r="H250" s="13" t="s">
        <v>41</v>
      </c>
      <c r="I250" s="13" t="n">
        <v>2</v>
      </c>
      <c r="J250" s="13" t="n">
        <v>1</v>
      </c>
      <c r="K250" s="13" t="s">
        <v>91</v>
      </c>
      <c r="L250" s="13" t="n">
        <v>4</v>
      </c>
      <c r="M250" s="13" t="n">
        <v>1544313.34</v>
      </c>
      <c r="N250" s="13" t="n">
        <v>386078.335</v>
      </c>
      <c r="O250" s="13" t="n">
        <v>1234.8075</v>
      </c>
      <c r="P250" s="13" t="n">
        <v>0</v>
      </c>
      <c r="Q250" s="13" t="n">
        <v>4</v>
      </c>
      <c r="R250" s="13" t="s">
        <v>86</v>
      </c>
      <c r="S250" s="13" t="s">
        <v>114</v>
      </c>
      <c r="T250" s="13" t="n">
        <v>1</v>
      </c>
      <c r="U250" s="13" t="n">
        <f aca="false">IF(B250="Individual",1,0)</f>
        <v>1</v>
      </c>
      <c r="V250" s="13" t="n">
        <f aca="false">IF(B250="Company",1,0)</f>
        <v>0</v>
      </c>
      <c r="W250" s="13" t="n">
        <f aca="false">IF(H250="Home",1,0)</f>
        <v>1</v>
      </c>
      <c r="X250" s="13" t="n">
        <f aca="false">IF(H250="Investment",1,0)</f>
        <v>0</v>
      </c>
      <c r="Y250" s="13" t="n">
        <f aca="false">IF(K250="Website",1,0)</f>
        <v>0</v>
      </c>
      <c r="Z250" s="13" t="n">
        <f aca="false">IF(K250="Agency",1,0)</f>
        <v>1</v>
      </c>
      <c r="AA250" s="13" t="n">
        <f aca="false">IF(K250="Client",1,0)</f>
        <v>0</v>
      </c>
      <c r="AB250" s="13" t="n">
        <f aca="false">(D250-AVERAGE(D$2:D$2001))/STDEV(D$2:D$2001)</f>
        <v>0.684049709455938</v>
      </c>
      <c r="AC250" s="13" t="n">
        <f aca="false">(I250-AVERAGE(I$2:I$2001))/STDEV(I$2:I$2001)</f>
        <v>-0.727948160798201</v>
      </c>
      <c r="AD250" s="13" t="n">
        <f aca="false">(L250-AVERAGE(L$2:L$2001))/STDEV(L$2:L$2001)</f>
        <v>0.413838214490712</v>
      </c>
      <c r="AE250" s="13" t="n">
        <f aca="false">(M250-AVERAGE(M$2:M$2001))/STDEV(M$2:M$2001)</f>
        <v>0.816310602519305</v>
      </c>
      <c r="AF250" s="13" t="n">
        <f aca="false">(N250-AVERAGE(N$2:N$2001))/STDEV(N$2:N$2001)</f>
        <v>0.559199087408923</v>
      </c>
      <c r="AG250" s="13" t="n">
        <f aca="false">(O250-AVERAGE(O$2:O$2001))/STDEV(O$2:O$2001)</f>
        <v>0.397084415988543</v>
      </c>
      <c r="AH250" s="0" t="str">
        <f aca="false">IF(B250="Company","C3 - Corporate Buyers",IF(AND(H250="Investment",M250&gt;'Segmentation Summary'!$C$1),"C1 - Global Investors",IF(AND(I250&gt;=4,M250&gt;'Segmentation Summary'!$C$1),"C4 - Luxury Investors",IF(AND(D250&lt;'Segmentation Summary'!$C$2,J250=1),"C2 - First-Time Buyers","C5 - Other Individual Buyers"))))</f>
        <v>C5 - Other Individual Buyers</v>
      </c>
    </row>
    <row r="251" customFormat="false" ht="15" hidden="false" customHeight="true" outlineLevel="0" collapsed="false">
      <c r="A251" s="13" t="s">
        <v>577</v>
      </c>
      <c r="B251" s="13" t="s">
        <v>34</v>
      </c>
      <c r="C251" s="13" t="s">
        <v>578</v>
      </c>
      <c r="D251" s="13" t="n">
        <v>43</v>
      </c>
      <c r="E251" s="13" t="s">
        <v>83</v>
      </c>
      <c r="F251" s="13" t="s">
        <v>33</v>
      </c>
      <c r="G251" s="13" t="s">
        <v>84</v>
      </c>
      <c r="H251" s="13" t="s">
        <v>43</v>
      </c>
      <c r="I251" s="13" t="n">
        <v>2</v>
      </c>
      <c r="J251" s="13" t="n">
        <v>1</v>
      </c>
      <c r="K251" s="13" t="s">
        <v>85</v>
      </c>
      <c r="L251" s="13" t="n">
        <v>3</v>
      </c>
      <c r="M251" s="13" t="n">
        <v>969140.41</v>
      </c>
      <c r="N251" s="13" t="n">
        <v>323046.803333333</v>
      </c>
      <c r="O251" s="13" t="n">
        <v>1016.76333333333</v>
      </c>
      <c r="P251" s="13" t="n">
        <v>0</v>
      </c>
      <c r="Q251" s="13" t="n">
        <v>3</v>
      </c>
      <c r="R251" s="13" t="s">
        <v>103</v>
      </c>
      <c r="S251" s="13" t="s">
        <v>125</v>
      </c>
      <c r="T251" s="13" t="n">
        <v>1</v>
      </c>
      <c r="U251" s="13" t="n">
        <f aca="false">IF(B251="Individual",1,0)</f>
        <v>1</v>
      </c>
      <c r="V251" s="13" t="n">
        <f aca="false">IF(B251="Company",1,0)</f>
        <v>0</v>
      </c>
      <c r="W251" s="13" t="n">
        <f aca="false">IF(H251="Home",1,0)</f>
        <v>0</v>
      </c>
      <c r="X251" s="13" t="n">
        <f aca="false">IF(H251="Investment",1,0)</f>
        <v>1</v>
      </c>
      <c r="Y251" s="13" t="n">
        <f aca="false">IF(K251="Website",1,0)</f>
        <v>1</v>
      </c>
      <c r="Z251" s="13" t="n">
        <f aca="false">IF(K251="Agency",1,0)</f>
        <v>0</v>
      </c>
      <c r="AA251" s="13" t="n">
        <f aca="false">IF(K251="Client",1,0)</f>
        <v>0</v>
      </c>
      <c r="AB251" s="13" t="n">
        <f aca="false">(D251-AVERAGE(D$2:D$2001))/STDEV(D$2:D$2001)</f>
        <v>-0.64218676677154</v>
      </c>
      <c r="AC251" s="13" t="n">
        <f aca="false">(I251-AVERAGE(I$2:I$2001))/STDEV(I$2:I$2001)</f>
        <v>-0.727948160798201</v>
      </c>
      <c r="AD251" s="13" t="n">
        <f aca="false">(L251-AVERAGE(L$2:L$2001))/STDEV(L$2:L$2001)</f>
        <v>-0.777063122173208</v>
      </c>
      <c r="AE251" s="13" t="n">
        <f aca="false">(M251-AVERAGE(M$2:M$2001))/STDEV(M$2:M$2001)</f>
        <v>-0.837289807569038</v>
      </c>
      <c r="AF251" s="13" t="n">
        <f aca="false">(N251-AVERAGE(N$2:N$2001))/STDEV(N$2:N$2001)</f>
        <v>-0.344844008808916</v>
      </c>
      <c r="AG251" s="13" t="n">
        <f aca="false">(O251-AVERAGE(O$2:O$2001))/STDEV(O$2:O$2001)</f>
        <v>-0.594374304467301</v>
      </c>
      <c r="AH251" s="0" t="str">
        <f aca="false">IF(B251="Company","C3 - Corporate Buyers",IF(AND(H251="Investment",M251&gt;'Segmentation Summary'!$C$1),"C1 - Global Investors",IF(AND(I251&gt;=4,M251&gt;'Segmentation Summary'!$C$1),"C4 - Luxury Investors",IF(AND(D251&lt;'Segmentation Summary'!$C$2,J251=1),"C2 - First-Time Buyers","C5 - Other Individual Buyers"))))</f>
        <v>C2 - First-Time Buyers</v>
      </c>
    </row>
    <row r="252" customFormat="false" ht="15" hidden="false" customHeight="true" outlineLevel="0" collapsed="false">
      <c r="A252" s="13" t="s">
        <v>579</v>
      </c>
      <c r="B252" s="13" t="s">
        <v>34</v>
      </c>
      <c r="C252" s="13" t="s">
        <v>578</v>
      </c>
      <c r="D252" s="13" t="n">
        <v>24</v>
      </c>
      <c r="E252" s="13" t="s">
        <v>83</v>
      </c>
      <c r="F252" s="13" t="s">
        <v>35</v>
      </c>
      <c r="G252" s="13" t="s">
        <v>185</v>
      </c>
      <c r="H252" s="13" t="s">
        <v>41</v>
      </c>
      <c r="I252" s="13" t="n">
        <v>3</v>
      </c>
      <c r="J252" s="13" t="n">
        <v>0</v>
      </c>
      <c r="K252" s="13" t="s">
        <v>91</v>
      </c>
      <c r="L252" s="13" t="n">
        <v>4</v>
      </c>
      <c r="M252" s="13" t="n">
        <v>1721673.54</v>
      </c>
      <c r="N252" s="13" t="n">
        <v>430418.385</v>
      </c>
      <c r="O252" s="13" t="n">
        <v>1296.5625</v>
      </c>
      <c r="P252" s="13" t="n">
        <v>0</v>
      </c>
      <c r="Q252" s="13" t="n">
        <v>4</v>
      </c>
      <c r="R252" s="13" t="s">
        <v>215</v>
      </c>
      <c r="S252" s="13" t="s">
        <v>87</v>
      </c>
      <c r="T252" s="13" t="n">
        <v>1</v>
      </c>
      <c r="U252" s="13" t="n">
        <f aca="false">IF(B252="Individual",1,0)</f>
        <v>1</v>
      </c>
      <c r="V252" s="13" t="n">
        <f aca="false">IF(B252="Company",1,0)</f>
        <v>0</v>
      </c>
      <c r="W252" s="13" t="n">
        <f aca="false">IF(H252="Home",1,0)</f>
        <v>1</v>
      </c>
      <c r="X252" s="13" t="n">
        <f aca="false">IF(H252="Investment",1,0)</f>
        <v>0</v>
      </c>
      <c r="Y252" s="13" t="n">
        <f aca="false">IF(K252="Website",1,0)</f>
        <v>0</v>
      </c>
      <c r="Z252" s="13" t="n">
        <f aca="false">IF(K252="Agency",1,0)</f>
        <v>1</v>
      </c>
      <c r="AA252" s="13" t="n">
        <f aca="false">IF(K252="Client",1,0)</f>
        <v>0</v>
      </c>
      <c r="AB252" s="13" t="n">
        <f aca="false">(D252-AVERAGE(D$2:D$2001))/STDEV(D$2:D$2001)</f>
        <v>-1.73777342104641</v>
      </c>
      <c r="AC252" s="13" t="n">
        <f aca="false">(I252-AVERAGE(I$2:I$2001))/STDEV(I$2:I$2001)</f>
        <v>-0.0205155458339628</v>
      </c>
      <c r="AD252" s="13" t="n">
        <f aca="false">(L252-AVERAGE(L$2:L$2001))/STDEV(L$2:L$2001)</f>
        <v>0.413838214490712</v>
      </c>
      <c r="AE252" s="13" t="n">
        <f aca="false">(M252-AVERAGE(M$2:M$2001))/STDEV(M$2:M$2001)</f>
        <v>1.32621446648132</v>
      </c>
      <c r="AF252" s="13" t="n">
        <f aca="false">(N252-AVERAGE(N$2:N$2001))/STDEV(N$2:N$2001)</f>
        <v>1.1951556480148</v>
      </c>
      <c r="AG252" s="13" t="n">
        <f aca="false">(O252-AVERAGE(O$2:O$2001))/STDEV(O$2:O$2001)</f>
        <v>0.6778877698125</v>
      </c>
      <c r="AH252" s="0" t="str">
        <f aca="false">IF(B252="Company","C3 - Corporate Buyers",IF(AND(H252="Investment",M252&gt;'Segmentation Summary'!$C$1),"C1 - Global Investors",IF(AND(I252&gt;=4,M252&gt;'Segmentation Summary'!$C$1),"C4 - Luxury Investors",IF(AND(D252&lt;'Segmentation Summary'!$C$2,J252=1),"C2 - First-Time Buyers","C5 - Other Individual Buyers"))))</f>
        <v>C5 - Other Individual Buyers</v>
      </c>
    </row>
    <row r="253" customFormat="false" ht="15" hidden="false" customHeight="true" outlineLevel="0" collapsed="false">
      <c r="A253" s="13" t="s">
        <v>580</v>
      </c>
      <c r="B253" s="13" t="s">
        <v>34</v>
      </c>
      <c r="C253" s="13" t="s">
        <v>581</v>
      </c>
      <c r="D253" s="13" t="n">
        <v>34</v>
      </c>
      <c r="E253" s="13" t="s">
        <v>83</v>
      </c>
      <c r="F253" s="13" t="s">
        <v>33</v>
      </c>
      <c r="G253" s="13" t="s">
        <v>95</v>
      </c>
      <c r="H253" s="13" t="s">
        <v>41</v>
      </c>
      <c r="I253" s="13" t="n">
        <v>1</v>
      </c>
      <c r="J253" s="13" t="n">
        <v>1</v>
      </c>
      <c r="K253" s="13" t="s">
        <v>85</v>
      </c>
      <c r="L253" s="13" t="n">
        <v>3</v>
      </c>
      <c r="M253" s="13" t="n">
        <v>1150229.15</v>
      </c>
      <c r="N253" s="13" t="n">
        <v>383409.716666667</v>
      </c>
      <c r="O253" s="13" t="n">
        <v>1281.31666666667</v>
      </c>
      <c r="P253" s="13" t="n">
        <v>0</v>
      </c>
      <c r="Q253" s="13" t="n">
        <v>3</v>
      </c>
      <c r="R253" s="13" t="s">
        <v>150</v>
      </c>
      <c r="S253" s="13" t="s">
        <v>87</v>
      </c>
      <c r="T253" s="13" t="n">
        <v>1</v>
      </c>
      <c r="U253" s="13" t="n">
        <f aca="false">IF(B253="Individual",1,0)</f>
        <v>1</v>
      </c>
      <c r="V253" s="13" t="n">
        <f aca="false">IF(B253="Company",1,0)</f>
        <v>0</v>
      </c>
      <c r="W253" s="13" t="n">
        <f aca="false">IF(H253="Home",1,0)</f>
        <v>1</v>
      </c>
      <c r="X253" s="13" t="n">
        <f aca="false">IF(H253="Investment",1,0)</f>
        <v>0</v>
      </c>
      <c r="Y253" s="13" t="n">
        <f aca="false">IF(K253="Website",1,0)</f>
        <v>1</v>
      </c>
      <c r="Z253" s="13" t="n">
        <f aca="false">IF(K253="Agency",1,0)</f>
        <v>0</v>
      </c>
      <c r="AA253" s="13" t="n">
        <f aca="false">IF(K253="Client",1,0)</f>
        <v>0</v>
      </c>
      <c r="AB253" s="13" t="n">
        <f aca="false">(D253-AVERAGE(D$2:D$2001))/STDEV(D$2:D$2001)</f>
        <v>-1.1611488661649</v>
      </c>
      <c r="AC253" s="13" t="n">
        <f aca="false">(I253-AVERAGE(I$2:I$2001))/STDEV(I$2:I$2001)</f>
        <v>-1.43538077576244</v>
      </c>
      <c r="AD253" s="13" t="n">
        <f aca="false">(L253-AVERAGE(L$2:L$2001))/STDEV(L$2:L$2001)</f>
        <v>-0.777063122173208</v>
      </c>
      <c r="AE253" s="13" t="n">
        <f aca="false">(M253-AVERAGE(M$2:M$2001))/STDEV(M$2:M$2001)</f>
        <v>-0.316666532189264</v>
      </c>
      <c r="AF253" s="13" t="n">
        <f aca="false">(N253-AVERAGE(N$2:N$2001))/STDEV(N$2:N$2001)</f>
        <v>0.520923863613816</v>
      </c>
      <c r="AG253" s="13" t="n">
        <f aca="false">(O253-AVERAGE(O$2:O$2001))/STDEV(O$2:O$2001)</f>
        <v>0.60856413396374</v>
      </c>
      <c r="AH253" s="0" t="str">
        <f aca="false">IF(B253="Company","C3 - Corporate Buyers",IF(AND(H253="Investment",M253&gt;'Segmentation Summary'!$C$1),"C1 - Global Investors",IF(AND(I253&gt;=4,M253&gt;'Segmentation Summary'!$C$1),"C4 - Luxury Investors",IF(AND(D253&lt;'Segmentation Summary'!$C$2,J253=1),"C2 - First-Time Buyers","C5 - Other Individual Buyers"))))</f>
        <v>C2 - First-Time Buyers</v>
      </c>
    </row>
    <row r="254" customFormat="false" ht="15" hidden="false" customHeight="true" outlineLevel="0" collapsed="false">
      <c r="A254" s="13" t="s">
        <v>582</v>
      </c>
      <c r="B254" s="13" t="s">
        <v>34</v>
      </c>
      <c r="C254" s="13" t="s">
        <v>583</v>
      </c>
      <c r="D254" s="13" t="n">
        <v>58</v>
      </c>
      <c r="E254" s="13" t="s">
        <v>83</v>
      </c>
      <c r="F254" s="13" t="s">
        <v>33</v>
      </c>
      <c r="G254" s="13" t="s">
        <v>120</v>
      </c>
      <c r="H254" s="13" t="s">
        <v>43</v>
      </c>
      <c r="I254" s="13" t="n">
        <v>2</v>
      </c>
      <c r="J254" s="13" t="n">
        <v>0</v>
      </c>
      <c r="K254" s="13" t="s">
        <v>91</v>
      </c>
      <c r="L254" s="13" t="n">
        <v>4</v>
      </c>
      <c r="M254" s="13" t="n">
        <v>1486560.06</v>
      </c>
      <c r="N254" s="13" t="n">
        <v>371640.015</v>
      </c>
      <c r="O254" s="13" t="n">
        <v>1295.265</v>
      </c>
      <c r="P254" s="13" t="n">
        <v>0</v>
      </c>
      <c r="Q254" s="13" t="n">
        <v>4</v>
      </c>
      <c r="R254" s="13" t="s">
        <v>117</v>
      </c>
      <c r="S254" s="13" t="s">
        <v>215</v>
      </c>
      <c r="T254" s="13" t="n">
        <v>1</v>
      </c>
      <c r="U254" s="13" t="n">
        <f aca="false">IF(B254="Individual",1,0)</f>
        <v>1</v>
      </c>
      <c r="V254" s="13" t="n">
        <f aca="false">IF(B254="Company",1,0)</f>
        <v>0</v>
      </c>
      <c r="W254" s="13" t="n">
        <f aca="false">IF(H254="Home",1,0)</f>
        <v>0</v>
      </c>
      <c r="X254" s="13" t="n">
        <f aca="false">IF(H254="Investment",1,0)</f>
        <v>1</v>
      </c>
      <c r="Y254" s="13" t="n">
        <f aca="false">IF(K254="Website",1,0)</f>
        <v>0</v>
      </c>
      <c r="Z254" s="13" t="n">
        <f aca="false">IF(K254="Agency",1,0)</f>
        <v>1</v>
      </c>
      <c r="AA254" s="13" t="n">
        <f aca="false">IF(K254="Client",1,0)</f>
        <v>0</v>
      </c>
      <c r="AB254" s="13" t="n">
        <f aca="false">(D254-AVERAGE(D$2:D$2001))/STDEV(D$2:D$2001)</f>
        <v>0.222750065550728</v>
      </c>
      <c r="AC254" s="13" t="n">
        <f aca="false">(I254-AVERAGE(I$2:I$2001))/STDEV(I$2:I$2001)</f>
        <v>-0.727948160798201</v>
      </c>
      <c r="AD254" s="13" t="n">
        <f aca="false">(L254-AVERAGE(L$2:L$2001))/STDEV(L$2:L$2001)</f>
        <v>0.413838214490712</v>
      </c>
      <c r="AE254" s="13" t="n">
        <f aca="false">(M254-AVERAGE(M$2:M$2001))/STDEV(M$2:M$2001)</f>
        <v>0.650272107814857</v>
      </c>
      <c r="AF254" s="13" t="n">
        <f aca="false">(N254-AVERAGE(N$2:N$2001))/STDEV(N$2:N$2001)</f>
        <v>0.352114424037389</v>
      </c>
      <c r="AG254" s="13" t="n">
        <f aca="false">(O254-AVERAGE(O$2:O$2001))/STDEV(O$2:O$2001)</f>
        <v>0.671987966532011</v>
      </c>
      <c r="AH254" s="0" t="str">
        <f aca="false">IF(B254="Company","C3 - Corporate Buyers",IF(AND(H254="Investment",M254&gt;'Segmentation Summary'!$C$1),"C1 - Global Investors",IF(AND(I254&gt;=4,M254&gt;'Segmentation Summary'!$C$1),"C4 - Luxury Investors",IF(AND(D254&lt;'Segmentation Summary'!$C$2,J254=1),"C2 - First-Time Buyers","C5 - Other Individual Buyers"))))</f>
        <v>C1 - Global Investors</v>
      </c>
    </row>
    <row r="255" customFormat="false" ht="15" hidden="false" customHeight="true" outlineLevel="0" collapsed="false">
      <c r="A255" s="13" t="s">
        <v>584</v>
      </c>
      <c r="B255" s="13" t="s">
        <v>34</v>
      </c>
      <c r="C255" s="13" t="s">
        <v>585</v>
      </c>
      <c r="D255" s="13" t="n">
        <v>37</v>
      </c>
      <c r="E255" s="13" t="s">
        <v>83</v>
      </c>
      <c r="F255" s="13" t="s">
        <v>33</v>
      </c>
      <c r="G255" s="13" t="s">
        <v>95</v>
      </c>
      <c r="H255" s="13" t="s">
        <v>41</v>
      </c>
      <c r="I255" s="13" t="n">
        <v>2</v>
      </c>
      <c r="J255" s="13" t="n">
        <v>0</v>
      </c>
      <c r="K255" s="13" t="s">
        <v>116</v>
      </c>
      <c r="L255" s="13" t="n">
        <v>4</v>
      </c>
      <c r="M255" s="13" t="n">
        <v>1318823.16</v>
      </c>
      <c r="N255" s="13" t="n">
        <v>329705.79</v>
      </c>
      <c r="O255" s="13" t="n">
        <v>1099.4925</v>
      </c>
      <c r="P255" s="13" t="n">
        <v>1</v>
      </c>
      <c r="Q255" s="13" t="n">
        <v>3</v>
      </c>
      <c r="R255" s="13" t="s">
        <v>124</v>
      </c>
      <c r="S255" s="13" t="s">
        <v>125</v>
      </c>
      <c r="T255" s="13" t="n">
        <v>1</v>
      </c>
      <c r="U255" s="13" t="n">
        <f aca="false">IF(B255="Individual",1,0)</f>
        <v>1</v>
      </c>
      <c r="V255" s="13" t="n">
        <f aca="false">IF(B255="Company",1,0)</f>
        <v>0</v>
      </c>
      <c r="W255" s="13" t="n">
        <f aca="false">IF(H255="Home",1,0)</f>
        <v>1</v>
      </c>
      <c r="X255" s="13" t="n">
        <f aca="false">IF(H255="Investment",1,0)</f>
        <v>0</v>
      </c>
      <c r="Y255" s="13" t="n">
        <f aca="false">IF(K255="Website",1,0)</f>
        <v>0</v>
      </c>
      <c r="Z255" s="13" t="n">
        <f aca="false">IF(K255="Agency",1,0)</f>
        <v>0</v>
      </c>
      <c r="AA255" s="13" t="n">
        <f aca="false">IF(K255="Client",1,0)</f>
        <v>1</v>
      </c>
      <c r="AB255" s="13" t="n">
        <f aca="false">(D255-AVERAGE(D$2:D$2001))/STDEV(D$2:D$2001)</f>
        <v>-0.988161499700447</v>
      </c>
      <c r="AC255" s="13" t="n">
        <f aca="false">(I255-AVERAGE(I$2:I$2001))/STDEV(I$2:I$2001)</f>
        <v>-0.727948160798201</v>
      </c>
      <c r="AD255" s="13" t="n">
        <f aca="false">(L255-AVERAGE(L$2:L$2001))/STDEV(L$2:L$2001)</f>
        <v>0.413838214490712</v>
      </c>
      <c r="AE255" s="13" t="n">
        <f aca="false">(M255-AVERAGE(M$2:M$2001))/STDEV(M$2:M$2001)</f>
        <v>0.168034867221932</v>
      </c>
      <c r="AF255" s="13" t="n">
        <f aca="false">(N255-AVERAGE(N$2:N$2001))/STDEV(N$2:N$2001)</f>
        <v>-0.24933608182972</v>
      </c>
      <c r="AG255" s="13" t="n">
        <f aca="false">(O255-AVERAGE(O$2:O$2001))/STDEV(O$2:O$2001)</f>
        <v>-0.218200270639076</v>
      </c>
      <c r="AH255" s="0" t="str">
        <f aca="false">IF(B255="Company","C3 - Corporate Buyers",IF(AND(H255="Investment",M255&gt;'Segmentation Summary'!$C$1),"C1 - Global Investors",IF(AND(I255&gt;=4,M255&gt;'Segmentation Summary'!$C$1),"C4 - Luxury Investors",IF(AND(D255&lt;'Segmentation Summary'!$C$2,J255=1),"C2 - First-Time Buyers","C5 - Other Individual Buyers"))))</f>
        <v>C5 - Other Individual Buyers</v>
      </c>
    </row>
    <row r="256" customFormat="false" ht="15" hidden="false" customHeight="true" outlineLevel="0" collapsed="false">
      <c r="A256" s="13" t="s">
        <v>586</v>
      </c>
      <c r="B256" s="13" t="s">
        <v>34</v>
      </c>
      <c r="C256" s="13" t="s">
        <v>587</v>
      </c>
      <c r="D256" s="13" t="n">
        <v>49</v>
      </c>
      <c r="E256" s="13" t="s">
        <v>83</v>
      </c>
      <c r="F256" s="13" t="s">
        <v>33</v>
      </c>
      <c r="G256" s="13" t="s">
        <v>95</v>
      </c>
      <c r="H256" s="13" t="s">
        <v>41</v>
      </c>
      <c r="I256" s="13" t="n">
        <v>1</v>
      </c>
      <c r="J256" s="13" t="n">
        <v>0</v>
      </c>
      <c r="K256" s="13" t="s">
        <v>85</v>
      </c>
      <c r="L256" s="13" t="n">
        <v>4</v>
      </c>
      <c r="M256" s="13" t="n">
        <v>825960.49</v>
      </c>
      <c r="N256" s="13" t="n">
        <v>206490.1225</v>
      </c>
      <c r="O256" s="13" t="n">
        <v>666.135</v>
      </c>
      <c r="P256" s="13" t="n">
        <v>0</v>
      </c>
      <c r="Q256" s="13" t="n">
        <v>4</v>
      </c>
      <c r="R256" s="13" t="s">
        <v>117</v>
      </c>
      <c r="S256" s="13" t="s">
        <v>128</v>
      </c>
      <c r="T256" s="13" t="n">
        <v>1</v>
      </c>
      <c r="U256" s="13" t="n">
        <f aca="false">IF(B256="Individual",1,0)</f>
        <v>1</v>
      </c>
      <c r="V256" s="13" t="n">
        <f aca="false">IF(B256="Company",1,0)</f>
        <v>0</v>
      </c>
      <c r="W256" s="13" t="n">
        <f aca="false">IF(H256="Home",1,0)</f>
        <v>1</v>
      </c>
      <c r="X256" s="13" t="n">
        <f aca="false">IF(H256="Investment",1,0)</f>
        <v>0</v>
      </c>
      <c r="Y256" s="13" t="n">
        <f aca="false">IF(K256="Website",1,0)</f>
        <v>1</v>
      </c>
      <c r="Z256" s="13" t="n">
        <f aca="false">IF(K256="Agency",1,0)</f>
        <v>0</v>
      </c>
      <c r="AA256" s="13" t="n">
        <f aca="false">IF(K256="Client",1,0)</f>
        <v>0</v>
      </c>
      <c r="AB256" s="13" t="n">
        <f aca="false">(D256-AVERAGE(D$2:D$2001))/STDEV(D$2:D$2001)</f>
        <v>-0.296212033842633</v>
      </c>
      <c r="AC256" s="13" t="n">
        <f aca="false">(I256-AVERAGE(I$2:I$2001))/STDEV(I$2:I$2001)</f>
        <v>-1.43538077576244</v>
      </c>
      <c r="AD256" s="13" t="n">
        <f aca="false">(L256-AVERAGE(L$2:L$2001))/STDEV(L$2:L$2001)</f>
        <v>0.413838214490712</v>
      </c>
      <c r="AE256" s="13" t="n">
        <f aca="false">(M256-AVERAGE(M$2:M$2001))/STDEV(M$2:M$2001)</f>
        <v>-1.24892665986043</v>
      </c>
      <c r="AF256" s="13" t="n">
        <f aca="false">(N256-AVERAGE(N$2:N$2001))/STDEV(N$2:N$2001)</f>
        <v>-2.01658289630235</v>
      </c>
      <c r="AG256" s="13" t="n">
        <f aca="false">(O256-AVERAGE(O$2:O$2001))/STDEV(O$2:O$2001)</f>
        <v>-2.18870046341319</v>
      </c>
      <c r="AH256" s="0" t="str">
        <f aca="false">IF(B256="Company","C3 - Corporate Buyers",IF(AND(H256="Investment",M256&gt;'Segmentation Summary'!$C$1),"C1 - Global Investors",IF(AND(I256&gt;=4,M256&gt;'Segmentation Summary'!$C$1),"C4 - Luxury Investors",IF(AND(D256&lt;'Segmentation Summary'!$C$2,J256=1),"C2 - First-Time Buyers","C5 - Other Individual Buyers"))))</f>
        <v>C5 - Other Individual Buyers</v>
      </c>
    </row>
    <row r="257" customFormat="false" ht="15" hidden="false" customHeight="true" outlineLevel="0" collapsed="false">
      <c r="A257" s="13" t="s">
        <v>588</v>
      </c>
      <c r="B257" s="13" t="s">
        <v>34</v>
      </c>
      <c r="C257" s="13" t="s">
        <v>589</v>
      </c>
      <c r="D257" s="13" t="n">
        <v>30</v>
      </c>
      <c r="E257" s="13" t="s">
        <v>83</v>
      </c>
      <c r="F257" s="13" t="s">
        <v>33</v>
      </c>
      <c r="G257" s="13" t="s">
        <v>95</v>
      </c>
      <c r="H257" s="13" t="s">
        <v>41</v>
      </c>
      <c r="I257" s="13" t="n">
        <v>3</v>
      </c>
      <c r="J257" s="13" t="n">
        <v>0</v>
      </c>
      <c r="K257" s="13" t="s">
        <v>85</v>
      </c>
      <c r="L257" s="13" t="n">
        <v>4</v>
      </c>
      <c r="M257" s="13" t="n">
        <v>1450240.65</v>
      </c>
      <c r="N257" s="13" t="n">
        <v>362560.1625</v>
      </c>
      <c r="O257" s="13" t="n">
        <v>1175.235</v>
      </c>
      <c r="P257" s="13" t="n">
        <v>0</v>
      </c>
      <c r="Q257" s="13" t="n">
        <v>4</v>
      </c>
      <c r="R257" s="13" t="s">
        <v>215</v>
      </c>
      <c r="S257" s="13" t="s">
        <v>133</v>
      </c>
      <c r="T257" s="13" t="n">
        <v>1</v>
      </c>
      <c r="U257" s="13" t="n">
        <f aca="false">IF(B257="Individual",1,0)</f>
        <v>1</v>
      </c>
      <c r="V257" s="13" t="n">
        <f aca="false">IF(B257="Company",1,0)</f>
        <v>0</v>
      </c>
      <c r="W257" s="13" t="n">
        <f aca="false">IF(H257="Home",1,0)</f>
        <v>1</v>
      </c>
      <c r="X257" s="13" t="n">
        <f aca="false">IF(H257="Investment",1,0)</f>
        <v>0</v>
      </c>
      <c r="Y257" s="13" t="n">
        <f aca="false">IF(K257="Website",1,0)</f>
        <v>1</v>
      </c>
      <c r="Z257" s="13" t="n">
        <f aca="false">IF(K257="Agency",1,0)</f>
        <v>0</v>
      </c>
      <c r="AA257" s="13" t="n">
        <f aca="false">IF(K257="Client",1,0)</f>
        <v>0</v>
      </c>
      <c r="AB257" s="13" t="n">
        <f aca="false">(D257-AVERAGE(D$2:D$2001))/STDEV(D$2:D$2001)</f>
        <v>-1.39179868811751</v>
      </c>
      <c r="AC257" s="13" t="n">
        <f aca="false">(I257-AVERAGE(I$2:I$2001))/STDEV(I$2:I$2001)</f>
        <v>-0.0205155458339628</v>
      </c>
      <c r="AD257" s="13" t="n">
        <f aca="false">(L257-AVERAGE(L$2:L$2001))/STDEV(L$2:L$2001)</f>
        <v>0.413838214490712</v>
      </c>
      <c r="AE257" s="13" t="n">
        <f aca="false">(M257-AVERAGE(M$2:M$2001))/STDEV(M$2:M$2001)</f>
        <v>0.545855178335636</v>
      </c>
      <c r="AF257" s="13" t="n">
        <f aca="false">(N257-AVERAGE(N$2:N$2001))/STDEV(N$2:N$2001)</f>
        <v>0.221884715980933</v>
      </c>
      <c r="AG257" s="13" t="n">
        <f aca="false">(O257-AVERAGE(O$2:O$2001))/STDEV(O$2:O$2001)</f>
        <v>0.126205008723096</v>
      </c>
      <c r="AH257" s="0" t="str">
        <f aca="false">IF(B257="Company","C3 - Corporate Buyers",IF(AND(H257="Investment",M257&gt;'Segmentation Summary'!$C$1),"C1 - Global Investors",IF(AND(I257&gt;=4,M257&gt;'Segmentation Summary'!$C$1),"C4 - Luxury Investors",IF(AND(D257&lt;'Segmentation Summary'!$C$2,J257=1),"C2 - First-Time Buyers","C5 - Other Individual Buyers"))))</f>
        <v>C5 - Other Individual Buyers</v>
      </c>
    </row>
    <row r="258" customFormat="false" ht="15" hidden="false" customHeight="true" outlineLevel="0" collapsed="false">
      <c r="A258" s="13" t="s">
        <v>590</v>
      </c>
      <c r="B258" s="13" t="s">
        <v>34</v>
      </c>
      <c r="C258" s="13" t="s">
        <v>591</v>
      </c>
      <c r="D258" s="13" t="n">
        <v>47</v>
      </c>
      <c r="E258" s="13" t="s">
        <v>83</v>
      </c>
      <c r="F258" s="13" t="s">
        <v>33</v>
      </c>
      <c r="G258" s="13" t="s">
        <v>120</v>
      </c>
      <c r="H258" s="13" t="s">
        <v>41</v>
      </c>
      <c r="I258" s="13" t="n">
        <v>3</v>
      </c>
      <c r="J258" s="13" t="n">
        <v>0</v>
      </c>
      <c r="K258" s="13" t="s">
        <v>116</v>
      </c>
      <c r="L258" s="13" t="n">
        <v>5</v>
      </c>
      <c r="M258" s="13" t="n">
        <v>1778693.75</v>
      </c>
      <c r="N258" s="13" t="n">
        <v>355738.75</v>
      </c>
      <c r="O258" s="13" t="n">
        <v>1195.814</v>
      </c>
      <c r="P258" s="13" t="n">
        <v>1</v>
      </c>
      <c r="Q258" s="13" t="n">
        <v>4</v>
      </c>
      <c r="R258" s="13" t="s">
        <v>101</v>
      </c>
      <c r="S258" s="13" t="s">
        <v>107</v>
      </c>
      <c r="T258" s="13" t="n">
        <v>1</v>
      </c>
      <c r="U258" s="13" t="n">
        <f aca="false">IF(B258="Individual",1,0)</f>
        <v>1</v>
      </c>
      <c r="V258" s="13" t="n">
        <f aca="false">IF(B258="Company",1,0)</f>
        <v>0</v>
      </c>
      <c r="W258" s="13" t="n">
        <f aca="false">IF(H258="Home",1,0)</f>
        <v>1</v>
      </c>
      <c r="X258" s="13" t="n">
        <f aca="false">IF(H258="Investment",1,0)</f>
        <v>0</v>
      </c>
      <c r="Y258" s="13" t="n">
        <f aca="false">IF(K258="Website",1,0)</f>
        <v>0</v>
      </c>
      <c r="Z258" s="13" t="n">
        <f aca="false">IF(K258="Agency",1,0)</f>
        <v>0</v>
      </c>
      <c r="AA258" s="13" t="n">
        <f aca="false">IF(K258="Client",1,0)</f>
        <v>1</v>
      </c>
      <c r="AB258" s="13" t="n">
        <f aca="false">(D258-AVERAGE(D$2:D$2001))/STDEV(D$2:D$2001)</f>
        <v>-0.411536944818935</v>
      </c>
      <c r="AC258" s="13" t="n">
        <f aca="false">(I258-AVERAGE(I$2:I$2001))/STDEV(I$2:I$2001)</f>
        <v>-0.0205155458339628</v>
      </c>
      <c r="AD258" s="13" t="n">
        <f aca="false">(L258-AVERAGE(L$2:L$2001))/STDEV(L$2:L$2001)</f>
        <v>1.60473955115463</v>
      </c>
      <c r="AE258" s="13" t="n">
        <f aca="false">(M258-AVERAGE(M$2:M$2001))/STDEV(M$2:M$2001)</f>
        <v>1.49014541267401</v>
      </c>
      <c r="AF258" s="13" t="n">
        <f aca="false">(N258-AVERAGE(N$2:N$2001))/STDEV(N$2:N$2001)</f>
        <v>0.124047162077094</v>
      </c>
      <c r="AG258" s="13" t="n">
        <f aca="false">(O258-AVERAGE(O$2:O$2001))/STDEV(O$2:O$2001)</f>
        <v>0.219778844337107</v>
      </c>
      <c r="AH258" s="0" t="str">
        <f aca="false">IF(B258="Company","C3 - Corporate Buyers",IF(AND(H258="Investment",M258&gt;'Segmentation Summary'!$C$1),"C1 - Global Investors",IF(AND(I258&gt;=4,M258&gt;'Segmentation Summary'!$C$1),"C4 - Luxury Investors",IF(AND(D258&lt;'Segmentation Summary'!$C$2,J258=1),"C2 - First-Time Buyers","C5 - Other Individual Buyers"))))</f>
        <v>C5 - Other Individual Buyers</v>
      </c>
    </row>
    <row r="259" customFormat="false" ht="15" hidden="false" customHeight="true" outlineLevel="0" collapsed="false">
      <c r="A259" s="13" t="s">
        <v>592</v>
      </c>
      <c r="B259" s="13" t="s">
        <v>34</v>
      </c>
      <c r="C259" s="13" t="s">
        <v>593</v>
      </c>
      <c r="D259" s="13" t="n">
        <v>65</v>
      </c>
      <c r="E259" s="13" t="s">
        <v>90</v>
      </c>
      <c r="F259" s="13" t="s">
        <v>33</v>
      </c>
      <c r="G259" s="13" t="s">
        <v>95</v>
      </c>
      <c r="H259" s="13" t="s">
        <v>41</v>
      </c>
      <c r="I259" s="13" t="n">
        <v>4</v>
      </c>
      <c r="J259" s="13" t="n">
        <v>0</v>
      </c>
      <c r="K259" s="13" t="s">
        <v>85</v>
      </c>
      <c r="L259" s="13" t="n">
        <v>5</v>
      </c>
      <c r="M259" s="13" t="n">
        <v>1679716.96</v>
      </c>
      <c r="N259" s="13" t="n">
        <v>335943.392</v>
      </c>
      <c r="O259" s="13" t="n">
        <v>1144.06</v>
      </c>
      <c r="P259" s="13" t="n">
        <v>2</v>
      </c>
      <c r="Q259" s="13" t="n">
        <v>3</v>
      </c>
      <c r="R259" s="13" t="s">
        <v>86</v>
      </c>
      <c r="S259" s="13" t="s">
        <v>154</v>
      </c>
      <c r="T259" s="13" t="n">
        <v>1</v>
      </c>
      <c r="U259" s="13" t="n">
        <f aca="false">IF(B259="Individual",1,0)</f>
        <v>1</v>
      </c>
      <c r="V259" s="13" t="n">
        <f aca="false">IF(B259="Company",1,0)</f>
        <v>0</v>
      </c>
      <c r="W259" s="13" t="n">
        <f aca="false">IF(H259="Home",1,0)</f>
        <v>1</v>
      </c>
      <c r="X259" s="13" t="n">
        <f aca="false">IF(H259="Investment",1,0)</f>
        <v>0</v>
      </c>
      <c r="Y259" s="13" t="n">
        <f aca="false">IF(K259="Website",1,0)</f>
        <v>1</v>
      </c>
      <c r="Z259" s="13" t="n">
        <f aca="false">IF(K259="Agency",1,0)</f>
        <v>0</v>
      </c>
      <c r="AA259" s="13" t="n">
        <f aca="false">IF(K259="Client",1,0)</f>
        <v>0</v>
      </c>
      <c r="AB259" s="13" t="n">
        <f aca="false">(D259-AVERAGE(D$2:D$2001))/STDEV(D$2:D$2001)</f>
        <v>0.626387253967787</v>
      </c>
      <c r="AC259" s="13" t="n">
        <f aca="false">(I259-AVERAGE(I$2:I$2001))/STDEV(I$2:I$2001)</f>
        <v>0.686917069130275</v>
      </c>
      <c r="AD259" s="13" t="n">
        <f aca="false">(L259-AVERAGE(L$2:L$2001))/STDEV(L$2:L$2001)</f>
        <v>1.60473955115463</v>
      </c>
      <c r="AE259" s="13" t="n">
        <f aca="false">(M259-AVERAGE(M$2:M$2001))/STDEV(M$2:M$2001)</f>
        <v>1.20559088655396</v>
      </c>
      <c r="AF259" s="13" t="n">
        <f aca="false">(N259-AVERAGE(N$2:N$2001))/STDEV(N$2:N$2001)</f>
        <v>-0.159871953702929</v>
      </c>
      <c r="AG259" s="13" t="n">
        <f aca="false">(O259-AVERAGE(O$2:O$2001))/STDEV(O$2:O$2001)</f>
        <v>-0.0155494169179338</v>
      </c>
      <c r="AH259" s="0" t="str">
        <f aca="false">IF(B259="Company","C3 - Corporate Buyers",IF(AND(H259="Investment",M259&gt;'Segmentation Summary'!$C$1),"C1 - Global Investors",IF(AND(I259&gt;=4,M259&gt;'Segmentation Summary'!$C$1),"C4 - Luxury Investors",IF(AND(D259&lt;'Segmentation Summary'!$C$2,J259=1),"C2 - First-Time Buyers","C5 - Other Individual Buyers"))))</f>
        <v>C4 - Luxury Investors</v>
      </c>
    </row>
    <row r="260" customFormat="false" ht="15" hidden="false" customHeight="true" outlineLevel="0" collapsed="false">
      <c r="A260" s="13" t="s">
        <v>594</v>
      </c>
      <c r="B260" s="13" t="s">
        <v>34</v>
      </c>
      <c r="C260" s="13" t="s">
        <v>595</v>
      </c>
      <c r="D260" s="13" t="n">
        <v>48</v>
      </c>
      <c r="E260" s="13" t="s">
        <v>90</v>
      </c>
      <c r="F260" s="13" t="s">
        <v>33</v>
      </c>
      <c r="G260" s="13" t="s">
        <v>157</v>
      </c>
      <c r="H260" s="13" t="s">
        <v>41</v>
      </c>
      <c r="I260" s="13" t="n">
        <v>1</v>
      </c>
      <c r="J260" s="13" t="n">
        <v>0</v>
      </c>
      <c r="K260" s="13" t="s">
        <v>91</v>
      </c>
      <c r="L260" s="13" t="n">
        <v>5</v>
      </c>
      <c r="M260" s="13" t="n">
        <v>1589086.32</v>
      </c>
      <c r="N260" s="13" t="n">
        <v>317817.264</v>
      </c>
      <c r="O260" s="13" t="n">
        <v>1123.442</v>
      </c>
      <c r="P260" s="13" t="n">
        <v>0</v>
      </c>
      <c r="Q260" s="13" t="n">
        <v>5</v>
      </c>
      <c r="R260" s="13" t="s">
        <v>101</v>
      </c>
      <c r="S260" s="13" t="s">
        <v>141</v>
      </c>
      <c r="T260" s="13" t="n">
        <v>1</v>
      </c>
      <c r="U260" s="13" t="n">
        <f aca="false">IF(B260="Individual",1,0)</f>
        <v>1</v>
      </c>
      <c r="V260" s="13" t="n">
        <f aca="false">IF(B260="Company",1,0)</f>
        <v>0</v>
      </c>
      <c r="W260" s="13" t="n">
        <f aca="false">IF(H260="Home",1,0)</f>
        <v>1</v>
      </c>
      <c r="X260" s="13" t="n">
        <f aca="false">IF(H260="Investment",1,0)</f>
        <v>0</v>
      </c>
      <c r="Y260" s="13" t="n">
        <f aca="false">IF(K260="Website",1,0)</f>
        <v>0</v>
      </c>
      <c r="Z260" s="13" t="n">
        <f aca="false">IF(K260="Agency",1,0)</f>
        <v>1</v>
      </c>
      <c r="AA260" s="13" t="n">
        <f aca="false">IF(K260="Client",1,0)</f>
        <v>0</v>
      </c>
      <c r="AB260" s="13" t="n">
        <f aca="false">(D260-AVERAGE(D$2:D$2001))/STDEV(D$2:D$2001)</f>
        <v>-0.353874489330784</v>
      </c>
      <c r="AC260" s="13" t="n">
        <f aca="false">(I260-AVERAGE(I$2:I$2001))/STDEV(I$2:I$2001)</f>
        <v>-1.43538077576244</v>
      </c>
      <c r="AD260" s="13" t="n">
        <f aca="false">(L260-AVERAGE(L$2:L$2001))/STDEV(L$2:L$2001)</f>
        <v>1.60473955115463</v>
      </c>
      <c r="AE260" s="13" t="n">
        <f aca="false">(M260-AVERAGE(M$2:M$2001))/STDEV(M$2:M$2001)</f>
        <v>0.945031225878401</v>
      </c>
      <c r="AF260" s="13" t="n">
        <f aca="false">(N260-AVERAGE(N$2:N$2001))/STDEV(N$2:N$2001)</f>
        <v>-0.419849784580021</v>
      </c>
      <c r="AG260" s="13" t="n">
        <f aca="false">(O260-AVERAGE(O$2:O$2001))/STDEV(O$2:O$2001)</f>
        <v>-0.10930058765945</v>
      </c>
      <c r="AH260" s="0" t="str">
        <f aca="false">IF(B260="Company","C3 - Corporate Buyers",IF(AND(H260="Investment",M260&gt;'Segmentation Summary'!$C$1),"C1 - Global Investors",IF(AND(I260&gt;=4,M260&gt;'Segmentation Summary'!$C$1),"C4 - Luxury Investors",IF(AND(D260&lt;'Segmentation Summary'!$C$2,J260=1),"C2 - First-Time Buyers","C5 - Other Individual Buyers"))))</f>
        <v>C5 - Other Individual Buyers</v>
      </c>
    </row>
    <row r="261" customFormat="false" ht="15" hidden="false" customHeight="true" outlineLevel="0" collapsed="false">
      <c r="A261" s="13" t="s">
        <v>596</v>
      </c>
      <c r="B261" s="13" t="s">
        <v>34</v>
      </c>
      <c r="C261" s="13" t="s">
        <v>597</v>
      </c>
      <c r="D261" s="13" t="n">
        <v>58</v>
      </c>
      <c r="E261" s="13" t="s">
        <v>83</v>
      </c>
      <c r="F261" s="13" t="s">
        <v>38</v>
      </c>
      <c r="G261" s="13" t="s">
        <v>183</v>
      </c>
      <c r="H261" s="13" t="s">
        <v>43</v>
      </c>
      <c r="I261" s="13" t="n">
        <v>5</v>
      </c>
      <c r="J261" s="13" t="n">
        <v>0</v>
      </c>
      <c r="K261" s="13" t="s">
        <v>91</v>
      </c>
      <c r="L261" s="13" t="n">
        <v>4</v>
      </c>
      <c r="M261" s="13" t="n">
        <v>1372403.2</v>
      </c>
      <c r="N261" s="13" t="n">
        <v>343100.8</v>
      </c>
      <c r="O261" s="13" t="n">
        <v>1247.485</v>
      </c>
      <c r="P261" s="13" t="n">
        <v>0</v>
      </c>
      <c r="Q261" s="13" t="n">
        <v>4</v>
      </c>
      <c r="R261" s="13" t="s">
        <v>141</v>
      </c>
      <c r="S261" s="13" t="s">
        <v>114</v>
      </c>
      <c r="T261" s="13" t="n">
        <v>1</v>
      </c>
      <c r="U261" s="13" t="n">
        <f aca="false">IF(B261="Individual",1,0)</f>
        <v>1</v>
      </c>
      <c r="V261" s="13" t="n">
        <f aca="false">IF(B261="Company",1,0)</f>
        <v>0</v>
      </c>
      <c r="W261" s="13" t="n">
        <f aca="false">IF(H261="Home",1,0)</f>
        <v>0</v>
      </c>
      <c r="X261" s="13" t="n">
        <f aca="false">IF(H261="Investment",1,0)</f>
        <v>1</v>
      </c>
      <c r="Y261" s="13" t="n">
        <f aca="false">IF(K261="Website",1,0)</f>
        <v>0</v>
      </c>
      <c r="Z261" s="13" t="n">
        <f aca="false">IF(K261="Agency",1,0)</f>
        <v>1</v>
      </c>
      <c r="AA261" s="13" t="n">
        <f aca="false">IF(K261="Client",1,0)</f>
        <v>0</v>
      </c>
      <c r="AB261" s="13" t="n">
        <f aca="false">(D261-AVERAGE(D$2:D$2001))/STDEV(D$2:D$2001)</f>
        <v>0.222750065550728</v>
      </c>
      <c r="AC261" s="13" t="n">
        <f aca="false">(I261-AVERAGE(I$2:I$2001))/STDEV(I$2:I$2001)</f>
        <v>1.39434968409451</v>
      </c>
      <c r="AD261" s="13" t="n">
        <f aca="false">(L261-AVERAGE(L$2:L$2001))/STDEV(L$2:L$2001)</f>
        <v>0.413838214490712</v>
      </c>
      <c r="AE261" s="13" t="n">
        <f aca="false">(M261-AVERAGE(M$2:M$2001))/STDEV(M$2:M$2001)</f>
        <v>0.322075454835382</v>
      </c>
      <c r="AF261" s="13" t="n">
        <f aca="false">(N261-AVERAGE(N$2:N$2001))/STDEV(N$2:N$2001)</f>
        <v>-0.0572153131593801</v>
      </c>
      <c r="AG261" s="13" t="n">
        <f aca="false">(O261-AVERAGE(O$2:O$2001))/STDEV(O$2:O$2001)</f>
        <v>0.454729700064378</v>
      </c>
      <c r="AH261" s="0" t="str">
        <f aca="false">IF(B261="Company","C3 - Corporate Buyers",IF(AND(H261="Investment",M261&gt;'Segmentation Summary'!$C$1),"C1 - Global Investors",IF(AND(I261&gt;=4,M261&gt;'Segmentation Summary'!$C$1),"C4 - Luxury Investors",IF(AND(D261&lt;'Segmentation Summary'!$C$2,J261=1),"C2 - First-Time Buyers","C5 - Other Individual Buyers"))))</f>
        <v>C1 - Global Investors</v>
      </c>
    </row>
    <row r="262" customFormat="false" ht="15" hidden="false" customHeight="true" outlineLevel="0" collapsed="false">
      <c r="A262" s="13" t="s">
        <v>598</v>
      </c>
      <c r="B262" s="13" t="s">
        <v>34</v>
      </c>
      <c r="C262" s="13" t="s">
        <v>599</v>
      </c>
      <c r="D262" s="13" t="n">
        <v>75</v>
      </c>
      <c r="E262" s="13" t="s">
        <v>83</v>
      </c>
      <c r="F262" s="13" t="s">
        <v>33</v>
      </c>
      <c r="G262" s="13" t="s">
        <v>110</v>
      </c>
      <c r="H262" s="13" t="s">
        <v>43</v>
      </c>
      <c r="I262" s="13" t="n">
        <v>4</v>
      </c>
      <c r="J262" s="13" t="n">
        <v>0</v>
      </c>
      <c r="K262" s="13" t="s">
        <v>91</v>
      </c>
      <c r="L262" s="13" t="n">
        <v>4</v>
      </c>
      <c r="M262" s="13" t="n">
        <v>1414433.46</v>
      </c>
      <c r="N262" s="13" t="n">
        <v>353608.365</v>
      </c>
      <c r="O262" s="13" t="n">
        <v>1186.715</v>
      </c>
      <c r="P262" s="13" t="n">
        <v>0</v>
      </c>
      <c r="Q262" s="13" t="n">
        <v>4</v>
      </c>
      <c r="R262" s="13" t="s">
        <v>92</v>
      </c>
      <c r="S262" s="13" t="s">
        <v>87</v>
      </c>
      <c r="T262" s="13" t="n">
        <v>1</v>
      </c>
      <c r="U262" s="13" t="n">
        <f aca="false">IF(B262="Individual",1,0)</f>
        <v>1</v>
      </c>
      <c r="V262" s="13" t="n">
        <f aca="false">IF(B262="Company",1,0)</f>
        <v>0</v>
      </c>
      <c r="W262" s="13" t="n">
        <f aca="false">IF(H262="Home",1,0)</f>
        <v>0</v>
      </c>
      <c r="X262" s="13" t="n">
        <f aca="false">IF(H262="Investment",1,0)</f>
        <v>1</v>
      </c>
      <c r="Y262" s="13" t="n">
        <f aca="false">IF(K262="Website",1,0)</f>
        <v>0</v>
      </c>
      <c r="Z262" s="13" t="n">
        <f aca="false">IF(K262="Agency",1,0)</f>
        <v>1</v>
      </c>
      <c r="AA262" s="13" t="n">
        <f aca="false">IF(K262="Client",1,0)</f>
        <v>0</v>
      </c>
      <c r="AB262" s="13" t="n">
        <f aca="false">(D262-AVERAGE(D$2:D$2001))/STDEV(D$2:D$2001)</f>
        <v>1.2030118088493</v>
      </c>
      <c r="AC262" s="13" t="n">
        <f aca="false">(I262-AVERAGE(I$2:I$2001))/STDEV(I$2:I$2001)</f>
        <v>0.686917069130275</v>
      </c>
      <c r="AD262" s="13" t="n">
        <f aca="false">(L262-AVERAGE(L$2:L$2001))/STDEV(L$2:L$2001)</f>
        <v>0.413838214490712</v>
      </c>
      <c r="AE262" s="13" t="n">
        <f aca="false">(M262-AVERAGE(M$2:M$2001))/STDEV(M$2:M$2001)</f>
        <v>0.442910861974797</v>
      </c>
      <c r="AF262" s="13" t="n">
        <f aca="false">(N262-AVERAGE(N$2:N$2001))/STDEV(N$2:N$2001)</f>
        <v>0.093491663890548</v>
      </c>
      <c r="AG262" s="13" t="n">
        <f aca="false">(O262-AVERAGE(O$2:O$2001))/STDEV(O$2:O$2001)</f>
        <v>0.178405194973587</v>
      </c>
      <c r="AH262" s="0" t="str">
        <f aca="false">IF(B262="Company","C3 - Corporate Buyers",IF(AND(H262="Investment",M262&gt;'Segmentation Summary'!$C$1),"C1 - Global Investors",IF(AND(I262&gt;=4,M262&gt;'Segmentation Summary'!$C$1),"C4 - Luxury Investors",IF(AND(D262&lt;'Segmentation Summary'!$C$2,J262=1),"C2 - First-Time Buyers","C5 - Other Individual Buyers"))))</f>
        <v>C1 - Global Investors</v>
      </c>
    </row>
    <row r="263" customFormat="false" ht="15" hidden="false" customHeight="true" outlineLevel="0" collapsed="false">
      <c r="A263" s="13" t="s">
        <v>600</v>
      </c>
      <c r="B263" s="13" t="s">
        <v>34</v>
      </c>
      <c r="C263" s="13" t="s">
        <v>601</v>
      </c>
      <c r="D263" s="13" t="n">
        <v>39</v>
      </c>
      <c r="E263" s="13" t="s">
        <v>83</v>
      </c>
      <c r="F263" s="13" t="s">
        <v>37</v>
      </c>
      <c r="G263" s="13" t="s">
        <v>572</v>
      </c>
      <c r="H263" s="13" t="s">
        <v>41</v>
      </c>
      <c r="I263" s="13" t="n">
        <v>3</v>
      </c>
      <c r="J263" s="13" t="n">
        <v>1</v>
      </c>
      <c r="K263" s="13" t="s">
        <v>91</v>
      </c>
      <c r="L263" s="13" t="n">
        <v>4</v>
      </c>
      <c r="M263" s="13" t="n">
        <v>1623109.63</v>
      </c>
      <c r="N263" s="13" t="n">
        <v>405777.4075</v>
      </c>
      <c r="O263" s="13" t="n">
        <v>1250.39</v>
      </c>
      <c r="P263" s="13" t="n">
        <v>1</v>
      </c>
      <c r="Q263" s="13" t="n">
        <v>3</v>
      </c>
      <c r="R263" s="13" t="s">
        <v>92</v>
      </c>
      <c r="S263" s="13" t="s">
        <v>164</v>
      </c>
      <c r="T263" s="13" t="n">
        <v>1</v>
      </c>
      <c r="U263" s="13" t="n">
        <f aca="false">IF(B263="Individual",1,0)</f>
        <v>1</v>
      </c>
      <c r="V263" s="13" t="n">
        <f aca="false">IF(B263="Company",1,0)</f>
        <v>0</v>
      </c>
      <c r="W263" s="13" t="n">
        <f aca="false">IF(H263="Home",1,0)</f>
        <v>1</v>
      </c>
      <c r="X263" s="13" t="n">
        <f aca="false">IF(H263="Investment",1,0)</f>
        <v>0</v>
      </c>
      <c r="Y263" s="13" t="n">
        <f aca="false">IF(K263="Website",1,0)</f>
        <v>0</v>
      </c>
      <c r="Z263" s="13" t="n">
        <f aca="false">IF(K263="Agency",1,0)</f>
        <v>1</v>
      </c>
      <c r="AA263" s="13" t="n">
        <f aca="false">IF(K263="Client",1,0)</f>
        <v>0</v>
      </c>
      <c r="AB263" s="13" t="n">
        <f aca="false">(D263-AVERAGE(D$2:D$2001))/STDEV(D$2:D$2001)</f>
        <v>-0.872836588724145</v>
      </c>
      <c r="AC263" s="13" t="n">
        <f aca="false">(I263-AVERAGE(I$2:I$2001))/STDEV(I$2:I$2001)</f>
        <v>-0.0205155458339628</v>
      </c>
      <c r="AD263" s="13" t="n">
        <f aca="false">(L263-AVERAGE(L$2:L$2001))/STDEV(L$2:L$2001)</f>
        <v>0.413838214490712</v>
      </c>
      <c r="AE263" s="13" t="n">
        <f aca="false">(M263-AVERAGE(M$2:M$2001))/STDEV(M$2:M$2001)</f>
        <v>1.04284695473852</v>
      </c>
      <c r="AF263" s="13" t="n">
        <f aca="false">(N263-AVERAGE(N$2:N$2001))/STDEV(N$2:N$2001)</f>
        <v>0.841737208007022</v>
      </c>
      <c r="AG263" s="13" t="n">
        <f aca="false">(O263-AVERAGE(O$2:O$2001))/STDEV(O$2:O$2001)</f>
        <v>0.467938893536302</v>
      </c>
      <c r="AH263" s="0" t="str">
        <f aca="false">IF(B263="Company","C3 - Corporate Buyers",IF(AND(H263="Investment",M263&gt;'Segmentation Summary'!$C$1),"C1 - Global Investors",IF(AND(I263&gt;=4,M263&gt;'Segmentation Summary'!$C$1),"C4 - Luxury Investors",IF(AND(D263&lt;'Segmentation Summary'!$C$2,J263=1),"C2 - First-Time Buyers","C5 - Other Individual Buyers"))))</f>
        <v>C2 - First-Time Buyers</v>
      </c>
    </row>
    <row r="264" customFormat="false" ht="15" hidden="false" customHeight="true" outlineLevel="0" collapsed="false">
      <c r="A264" s="13" t="s">
        <v>602</v>
      </c>
      <c r="B264" s="13" t="s">
        <v>34</v>
      </c>
      <c r="C264" s="13" t="s">
        <v>601</v>
      </c>
      <c r="D264" s="13" t="n">
        <v>58</v>
      </c>
      <c r="E264" s="13" t="s">
        <v>83</v>
      </c>
      <c r="F264" s="13" t="s">
        <v>35</v>
      </c>
      <c r="G264" s="13" t="s">
        <v>137</v>
      </c>
      <c r="H264" s="13" t="s">
        <v>43</v>
      </c>
      <c r="I264" s="13" t="n">
        <v>2</v>
      </c>
      <c r="J264" s="13" t="n">
        <v>0</v>
      </c>
      <c r="K264" s="13" t="s">
        <v>85</v>
      </c>
      <c r="L264" s="13" t="n">
        <v>4</v>
      </c>
      <c r="M264" s="13" t="n">
        <v>1105388.89</v>
      </c>
      <c r="N264" s="13" t="n">
        <v>276347.2225</v>
      </c>
      <c r="O264" s="13" t="n">
        <v>935.765</v>
      </c>
      <c r="P264" s="13" t="n">
        <v>0</v>
      </c>
      <c r="Q264" s="13" t="n">
        <v>4</v>
      </c>
      <c r="R264" s="13" t="s">
        <v>101</v>
      </c>
      <c r="S264" s="13" t="s">
        <v>164</v>
      </c>
      <c r="T264" s="13" t="n">
        <v>1</v>
      </c>
      <c r="U264" s="13" t="n">
        <f aca="false">IF(B264="Individual",1,0)</f>
        <v>1</v>
      </c>
      <c r="V264" s="13" t="n">
        <f aca="false">IF(B264="Company",1,0)</f>
        <v>0</v>
      </c>
      <c r="W264" s="13" t="n">
        <f aca="false">IF(H264="Home",1,0)</f>
        <v>0</v>
      </c>
      <c r="X264" s="13" t="n">
        <f aca="false">IF(H264="Investment",1,0)</f>
        <v>1</v>
      </c>
      <c r="Y264" s="13" t="n">
        <f aca="false">IF(K264="Website",1,0)</f>
        <v>1</v>
      </c>
      <c r="Z264" s="13" t="n">
        <f aca="false">IF(K264="Agency",1,0)</f>
        <v>0</v>
      </c>
      <c r="AA264" s="13" t="n">
        <f aca="false">IF(K264="Client",1,0)</f>
        <v>0</v>
      </c>
      <c r="AB264" s="13" t="n">
        <f aca="false">(D264-AVERAGE(D$2:D$2001))/STDEV(D$2:D$2001)</f>
        <v>0.222750065550728</v>
      </c>
      <c r="AC264" s="13" t="n">
        <f aca="false">(I264-AVERAGE(I$2:I$2001))/STDEV(I$2:I$2001)</f>
        <v>-0.727948160798201</v>
      </c>
      <c r="AD264" s="13" t="n">
        <f aca="false">(L264-AVERAGE(L$2:L$2001))/STDEV(L$2:L$2001)</f>
        <v>0.413838214490712</v>
      </c>
      <c r="AE264" s="13" t="n">
        <f aca="false">(M264-AVERAGE(M$2:M$2001))/STDEV(M$2:M$2001)</f>
        <v>-0.445580583002588</v>
      </c>
      <c r="AF264" s="13" t="n">
        <f aca="false">(N264-AVERAGE(N$2:N$2001))/STDEV(N$2:N$2001)</f>
        <v>-1.01464264026067</v>
      </c>
      <c r="AG264" s="13" t="n">
        <f aca="false">(O264-AVERAGE(O$2:O$2001))/STDEV(O$2:O$2001)</f>
        <v>-0.962678144709384</v>
      </c>
      <c r="AH264" s="0" t="str">
        <f aca="false">IF(B264="Company","C3 - Corporate Buyers",IF(AND(H264="Investment",M264&gt;'Segmentation Summary'!$C$1),"C1 - Global Investors",IF(AND(I264&gt;=4,M264&gt;'Segmentation Summary'!$C$1),"C4 - Luxury Investors",IF(AND(D264&lt;'Segmentation Summary'!$C$2,J264=1),"C2 - First-Time Buyers","C5 - Other Individual Buyers"))))</f>
        <v>C5 - Other Individual Buyers</v>
      </c>
    </row>
    <row r="265" customFormat="false" ht="15" hidden="false" customHeight="true" outlineLevel="0" collapsed="false">
      <c r="A265" s="13" t="s">
        <v>603</v>
      </c>
      <c r="B265" s="13" t="s">
        <v>34</v>
      </c>
      <c r="C265" s="13" t="s">
        <v>604</v>
      </c>
      <c r="D265" s="13" t="n">
        <v>36</v>
      </c>
      <c r="E265" s="13" t="s">
        <v>83</v>
      </c>
      <c r="F265" s="13" t="s">
        <v>33</v>
      </c>
      <c r="G265" s="13" t="s">
        <v>84</v>
      </c>
      <c r="H265" s="13" t="s">
        <v>41</v>
      </c>
      <c r="I265" s="13" t="n">
        <v>2</v>
      </c>
      <c r="J265" s="13" t="n">
        <v>0</v>
      </c>
      <c r="K265" s="13" t="s">
        <v>116</v>
      </c>
      <c r="L265" s="13" t="n">
        <v>3</v>
      </c>
      <c r="M265" s="13" t="n">
        <v>731453.53</v>
      </c>
      <c r="N265" s="13" t="n">
        <v>243817.843333333</v>
      </c>
      <c r="O265" s="13" t="n">
        <v>862.11</v>
      </c>
      <c r="P265" s="13" t="n">
        <v>0</v>
      </c>
      <c r="Q265" s="13" t="n">
        <v>3</v>
      </c>
      <c r="R265" s="13" t="s">
        <v>103</v>
      </c>
      <c r="S265" s="13" t="s">
        <v>133</v>
      </c>
      <c r="T265" s="13" t="n">
        <v>1</v>
      </c>
      <c r="U265" s="13" t="n">
        <f aca="false">IF(B265="Individual",1,0)</f>
        <v>1</v>
      </c>
      <c r="V265" s="13" t="n">
        <f aca="false">IF(B265="Company",1,0)</f>
        <v>0</v>
      </c>
      <c r="W265" s="13" t="n">
        <f aca="false">IF(H265="Home",1,0)</f>
        <v>1</v>
      </c>
      <c r="X265" s="13" t="n">
        <f aca="false">IF(H265="Investment",1,0)</f>
        <v>0</v>
      </c>
      <c r="Y265" s="13" t="n">
        <f aca="false">IF(K265="Website",1,0)</f>
        <v>0</v>
      </c>
      <c r="Z265" s="13" t="n">
        <f aca="false">IF(K265="Agency",1,0)</f>
        <v>0</v>
      </c>
      <c r="AA265" s="13" t="n">
        <f aca="false">IF(K265="Client",1,0)</f>
        <v>1</v>
      </c>
      <c r="AB265" s="13" t="n">
        <f aca="false">(D265-AVERAGE(D$2:D$2001))/STDEV(D$2:D$2001)</f>
        <v>-1.0458239551886</v>
      </c>
      <c r="AC265" s="13" t="n">
        <f aca="false">(I265-AVERAGE(I$2:I$2001))/STDEV(I$2:I$2001)</f>
        <v>-0.727948160798201</v>
      </c>
      <c r="AD265" s="13" t="n">
        <f aca="false">(L265-AVERAGE(L$2:L$2001))/STDEV(L$2:L$2001)</f>
        <v>-0.777063122173208</v>
      </c>
      <c r="AE265" s="13" t="n">
        <f aca="false">(M265-AVERAGE(M$2:M$2001))/STDEV(M$2:M$2001)</f>
        <v>-1.52063059386199</v>
      </c>
      <c r="AF265" s="13" t="n">
        <f aca="false">(N265-AVERAGE(N$2:N$2001))/STDEV(N$2:N$2001)</f>
        <v>-1.48120215233786</v>
      </c>
      <c r="AG265" s="13" t="n">
        <f aca="false">(O265-AVERAGE(O$2:O$2001))/STDEV(O$2:O$2001)</f>
        <v>-1.29759144769543</v>
      </c>
      <c r="AH265" s="0" t="str">
        <f aca="false">IF(B265="Company","C3 - Corporate Buyers",IF(AND(H265="Investment",M265&gt;'Segmentation Summary'!$C$1),"C1 - Global Investors",IF(AND(I265&gt;=4,M265&gt;'Segmentation Summary'!$C$1),"C4 - Luxury Investors",IF(AND(D265&lt;'Segmentation Summary'!$C$2,J265=1),"C2 - First-Time Buyers","C5 - Other Individual Buyers"))))</f>
        <v>C5 - Other Individual Buyers</v>
      </c>
    </row>
    <row r="266" customFormat="false" ht="15" hidden="false" customHeight="true" outlineLevel="0" collapsed="false">
      <c r="A266" s="13" t="s">
        <v>605</v>
      </c>
      <c r="B266" s="13" t="s">
        <v>34</v>
      </c>
      <c r="C266" s="13" t="s">
        <v>606</v>
      </c>
      <c r="D266" s="13" t="n">
        <v>84</v>
      </c>
      <c r="E266" s="13" t="s">
        <v>83</v>
      </c>
      <c r="F266" s="13" t="s">
        <v>45</v>
      </c>
      <c r="G266" s="13" t="s">
        <v>196</v>
      </c>
      <c r="H266" s="13" t="s">
        <v>41</v>
      </c>
      <c r="I266" s="13" t="n">
        <v>1</v>
      </c>
      <c r="J266" s="13" t="n">
        <v>1</v>
      </c>
      <c r="K266" s="13" t="s">
        <v>91</v>
      </c>
      <c r="L266" s="13" t="n">
        <v>3</v>
      </c>
      <c r="M266" s="13" t="n">
        <v>1635917.97</v>
      </c>
      <c r="N266" s="13" t="n">
        <v>545305.99</v>
      </c>
      <c r="O266" s="13" t="n">
        <v>1754.93666666667</v>
      </c>
      <c r="P266" s="13" t="n">
        <v>2</v>
      </c>
      <c r="Q266" s="13" t="n">
        <v>1</v>
      </c>
      <c r="R266" s="13" t="s">
        <v>124</v>
      </c>
      <c r="S266" s="13" t="s">
        <v>112</v>
      </c>
      <c r="T266" s="13" t="n">
        <v>1</v>
      </c>
      <c r="U266" s="13" t="n">
        <f aca="false">IF(B266="Individual",1,0)</f>
        <v>1</v>
      </c>
      <c r="V266" s="13" t="n">
        <f aca="false">IF(B266="Company",1,0)</f>
        <v>0</v>
      </c>
      <c r="W266" s="13" t="n">
        <f aca="false">IF(H266="Home",1,0)</f>
        <v>1</v>
      </c>
      <c r="X266" s="13" t="n">
        <f aca="false">IF(H266="Investment",1,0)</f>
        <v>0</v>
      </c>
      <c r="Y266" s="13" t="n">
        <f aca="false">IF(K266="Website",1,0)</f>
        <v>0</v>
      </c>
      <c r="Z266" s="13" t="n">
        <f aca="false">IF(K266="Agency",1,0)</f>
        <v>1</v>
      </c>
      <c r="AA266" s="13" t="n">
        <f aca="false">IF(K266="Client",1,0)</f>
        <v>0</v>
      </c>
      <c r="AB266" s="13" t="n">
        <f aca="false">(D266-AVERAGE(D$2:D$2001))/STDEV(D$2:D$2001)</f>
        <v>1.72197390824266</v>
      </c>
      <c r="AC266" s="13" t="n">
        <f aca="false">(I266-AVERAGE(I$2:I$2001))/STDEV(I$2:I$2001)</f>
        <v>-1.43538077576244</v>
      </c>
      <c r="AD266" s="13" t="n">
        <f aca="false">(L266-AVERAGE(L$2:L$2001))/STDEV(L$2:L$2001)</f>
        <v>-0.777063122173208</v>
      </c>
      <c r="AE266" s="13" t="n">
        <f aca="false">(M266-AVERAGE(M$2:M$2001))/STDEV(M$2:M$2001)</f>
        <v>1.07967044759058</v>
      </c>
      <c r="AF266" s="13" t="n">
        <f aca="false">(N266-AVERAGE(N$2:N$2001))/STDEV(N$2:N$2001)</f>
        <v>2.84295546177338</v>
      </c>
      <c r="AG266" s="13" t="n">
        <f aca="false">(O266-AVERAGE(O$2:O$2001))/STDEV(O$2:O$2001)</f>
        <v>2.76214011061506</v>
      </c>
      <c r="AH266" s="0" t="str">
        <f aca="false">IF(B266="Company","C3 - Corporate Buyers",IF(AND(H266="Investment",M266&gt;'Segmentation Summary'!$C$1),"C1 - Global Investors",IF(AND(I266&gt;=4,M266&gt;'Segmentation Summary'!$C$1),"C4 - Luxury Investors",IF(AND(D266&lt;'Segmentation Summary'!$C$2,J266=1),"C2 - First-Time Buyers","C5 - Other Individual Buyers"))))</f>
        <v>C5 - Other Individual Buyers</v>
      </c>
    </row>
    <row r="267" customFormat="false" ht="15" hidden="false" customHeight="true" outlineLevel="0" collapsed="false">
      <c r="A267" s="13" t="s">
        <v>607</v>
      </c>
      <c r="B267" s="13" t="s">
        <v>34</v>
      </c>
      <c r="C267" s="13" t="s">
        <v>606</v>
      </c>
      <c r="D267" s="13" t="n">
        <v>27</v>
      </c>
      <c r="E267" s="13" t="s">
        <v>83</v>
      </c>
      <c r="F267" s="13" t="s">
        <v>33</v>
      </c>
      <c r="G267" s="13" t="s">
        <v>110</v>
      </c>
      <c r="H267" s="13" t="s">
        <v>41</v>
      </c>
      <c r="I267" s="13" t="n">
        <v>4</v>
      </c>
      <c r="J267" s="13" t="n">
        <v>0</v>
      </c>
      <c r="K267" s="13" t="s">
        <v>85</v>
      </c>
      <c r="L267" s="13" t="n">
        <v>3</v>
      </c>
      <c r="M267" s="13" t="n">
        <v>685587.81</v>
      </c>
      <c r="N267" s="13" t="n">
        <v>228529.27</v>
      </c>
      <c r="O267" s="13" t="n">
        <v>791.04</v>
      </c>
      <c r="P267" s="13" t="n">
        <v>0</v>
      </c>
      <c r="Q267" s="13" t="n">
        <v>3</v>
      </c>
      <c r="R267" s="13" t="s">
        <v>86</v>
      </c>
      <c r="S267" s="13" t="s">
        <v>135</v>
      </c>
      <c r="T267" s="13" t="n">
        <v>1</v>
      </c>
      <c r="U267" s="13" t="n">
        <f aca="false">IF(B267="Individual",1,0)</f>
        <v>1</v>
      </c>
      <c r="V267" s="13" t="n">
        <f aca="false">IF(B267="Company",1,0)</f>
        <v>0</v>
      </c>
      <c r="W267" s="13" t="n">
        <f aca="false">IF(H267="Home",1,0)</f>
        <v>1</v>
      </c>
      <c r="X267" s="13" t="n">
        <f aca="false">IF(H267="Investment",1,0)</f>
        <v>0</v>
      </c>
      <c r="Y267" s="13" t="n">
        <f aca="false">IF(K267="Website",1,0)</f>
        <v>1</v>
      </c>
      <c r="Z267" s="13" t="n">
        <f aca="false">IF(K267="Agency",1,0)</f>
        <v>0</v>
      </c>
      <c r="AA267" s="13" t="n">
        <f aca="false">IF(K267="Client",1,0)</f>
        <v>0</v>
      </c>
      <c r="AB267" s="13" t="n">
        <f aca="false">(D267-AVERAGE(D$2:D$2001))/STDEV(D$2:D$2001)</f>
        <v>-1.56478605458196</v>
      </c>
      <c r="AC267" s="13" t="n">
        <f aca="false">(I267-AVERAGE(I$2:I$2001))/STDEV(I$2:I$2001)</f>
        <v>0.686917069130275</v>
      </c>
      <c r="AD267" s="13" t="n">
        <f aca="false">(L267-AVERAGE(L$2:L$2001))/STDEV(L$2:L$2001)</f>
        <v>-0.777063122173208</v>
      </c>
      <c r="AE267" s="13" t="n">
        <f aca="false">(M267-AVERAGE(M$2:M$2001))/STDEV(M$2:M$2001)</f>
        <v>-1.65249280337348</v>
      </c>
      <c r="AF267" s="13" t="n">
        <f aca="false">(N267-AVERAGE(N$2:N$2001))/STDEV(N$2:N$2001)</f>
        <v>-1.70048175426968</v>
      </c>
      <c r="AG267" s="13" t="n">
        <f aca="false">(O267-AVERAGE(O$2:O$2001))/STDEV(O$2:O$2001)</f>
        <v>-1.62075061466602</v>
      </c>
      <c r="AH267" s="0" t="str">
        <f aca="false">IF(B267="Company","C3 - Corporate Buyers",IF(AND(H267="Investment",M267&gt;'Segmentation Summary'!$C$1),"C1 - Global Investors",IF(AND(I267&gt;=4,M267&gt;'Segmentation Summary'!$C$1),"C4 - Luxury Investors",IF(AND(D267&lt;'Segmentation Summary'!$C$2,J267=1),"C2 - First-Time Buyers","C5 - Other Individual Buyers"))))</f>
        <v>C5 - Other Individual Buyers</v>
      </c>
    </row>
    <row r="268" customFormat="false" ht="15" hidden="false" customHeight="true" outlineLevel="0" collapsed="false">
      <c r="A268" s="13" t="s">
        <v>608</v>
      </c>
      <c r="B268" s="13" t="s">
        <v>34</v>
      </c>
      <c r="C268" s="13" t="s">
        <v>609</v>
      </c>
      <c r="D268" s="13" t="n">
        <v>79</v>
      </c>
      <c r="E268" s="13" t="s">
        <v>83</v>
      </c>
      <c r="F268" s="13" t="s">
        <v>33</v>
      </c>
      <c r="G268" s="13" t="s">
        <v>97</v>
      </c>
      <c r="H268" s="13" t="s">
        <v>43</v>
      </c>
      <c r="I268" s="13" t="n">
        <v>3</v>
      </c>
      <c r="J268" s="13" t="n">
        <v>1</v>
      </c>
      <c r="K268" s="13" t="s">
        <v>85</v>
      </c>
      <c r="L268" s="13" t="n">
        <v>3</v>
      </c>
      <c r="M268" s="13" t="n">
        <v>770077.48</v>
      </c>
      <c r="N268" s="13" t="n">
        <v>256692.493333333</v>
      </c>
      <c r="O268" s="13" t="n">
        <v>964.266666666667</v>
      </c>
      <c r="P268" s="13" t="n">
        <v>0</v>
      </c>
      <c r="Q268" s="13" t="n">
        <v>3</v>
      </c>
      <c r="R268" s="13" t="s">
        <v>117</v>
      </c>
      <c r="S268" s="13" t="s">
        <v>111</v>
      </c>
      <c r="T268" s="13" t="n">
        <v>1</v>
      </c>
      <c r="U268" s="13" t="n">
        <f aca="false">IF(B268="Individual",1,0)</f>
        <v>1</v>
      </c>
      <c r="V268" s="13" t="n">
        <f aca="false">IF(B268="Company",1,0)</f>
        <v>0</v>
      </c>
      <c r="W268" s="13" t="n">
        <f aca="false">IF(H268="Home",1,0)</f>
        <v>0</v>
      </c>
      <c r="X268" s="13" t="n">
        <f aca="false">IF(H268="Investment",1,0)</f>
        <v>1</v>
      </c>
      <c r="Y268" s="13" t="n">
        <f aca="false">IF(K268="Website",1,0)</f>
        <v>1</v>
      </c>
      <c r="Z268" s="13" t="n">
        <f aca="false">IF(K268="Agency",1,0)</f>
        <v>0</v>
      </c>
      <c r="AA268" s="13" t="n">
        <f aca="false">IF(K268="Client",1,0)</f>
        <v>0</v>
      </c>
      <c r="AB268" s="13" t="n">
        <f aca="false">(D268-AVERAGE(D$2:D$2001))/STDEV(D$2:D$2001)</f>
        <v>1.4336616308019</v>
      </c>
      <c r="AC268" s="13" t="n">
        <f aca="false">(I268-AVERAGE(I$2:I$2001))/STDEV(I$2:I$2001)</f>
        <v>-0.0205155458339628</v>
      </c>
      <c r="AD268" s="13" t="n">
        <f aca="false">(L268-AVERAGE(L$2:L$2001))/STDEV(L$2:L$2001)</f>
        <v>-0.777063122173208</v>
      </c>
      <c r="AE268" s="13" t="n">
        <f aca="false">(M268-AVERAGE(M$2:M$2001))/STDEV(M$2:M$2001)</f>
        <v>-1.40958819908303</v>
      </c>
      <c r="AF268" s="13" t="n">
        <f aca="false">(N268-AVERAGE(N$2:N$2001))/STDEV(N$2:N$2001)</f>
        <v>-1.29654475720627</v>
      </c>
      <c r="AG268" s="13" t="n">
        <f aca="false">(O268-AVERAGE(O$2:O$2001))/STDEV(O$2:O$2001)</f>
        <v>-0.833079511569192</v>
      </c>
      <c r="AH268" s="0" t="str">
        <f aca="false">IF(B268="Company","C3 - Corporate Buyers",IF(AND(H268="Investment",M268&gt;'Segmentation Summary'!$C$1),"C1 - Global Investors",IF(AND(I268&gt;=4,M268&gt;'Segmentation Summary'!$C$1),"C4 - Luxury Investors",IF(AND(D268&lt;'Segmentation Summary'!$C$2,J268=1),"C2 - First-Time Buyers","C5 - Other Individual Buyers"))))</f>
        <v>C5 - Other Individual Buyers</v>
      </c>
    </row>
    <row r="269" customFormat="false" ht="15" hidden="false" customHeight="true" outlineLevel="0" collapsed="false">
      <c r="A269" s="13" t="s">
        <v>610</v>
      </c>
      <c r="B269" s="13" t="s">
        <v>34</v>
      </c>
      <c r="C269" s="13" t="s">
        <v>611</v>
      </c>
      <c r="D269" s="13" t="n">
        <v>40</v>
      </c>
      <c r="E269" s="13" t="s">
        <v>83</v>
      </c>
      <c r="F269" s="13" t="s">
        <v>33</v>
      </c>
      <c r="G269" s="13" t="s">
        <v>84</v>
      </c>
      <c r="H269" s="13" t="s">
        <v>41</v>
      </c>
      <c r="I269" s="13" t="n">
        <v>1</v>
      </c>
      <c r="J269" s="13" t="n">
        <v>1</v>
      </c>
      <c r="K269" s="13" t="s">
        <v>91</v>
      </c>
      <c r="L269" s="13" t="n">
        <v>3</v>
      </c>
      <c r="M269" s="13" t="n">
        <v>741797.49</v>
      </c>
      <c r="N269" s="13" t="n">
        <v>247265.83</v>
      </c>
      <c r="O269" s="13" t="n">
        <v>853.656666666667</v>
      </c>
      <c r="P269" s="13" t="n">
        <v>0</v>
      </c>
      <c r="Q269" s="13" t="n">
        <v>3</v>
      </c>
      <c r="R269" s="13" t="s">
        <v>98</v>
      </c>
      <c r="S269" s="13" t="s">
        <v>152</v>
      </c>
      <c r="T269" s="13" t="n">
        <v>1</v>
      </c>
      <c r="U269" s="13" t="n">
        <f aca="false">IF(B269="Individual",1,0)</f>
        <v>1</v>
      </c>
      <c r="V269" s="13" t="n">
        <f aca="false">IF(B269="Company",1,0)</f>
        <v>0</v>
      </c>
      <c r="W269" s="13" t="n">
        <f aca="false">IF(H269="Home",1,0)</f>
        <v>1</v>
      </c>
      <c r="X269" s="13" t="n">
        <f aca="false">IF(H269="Investment",1,0)</f>
        <v>0</v>
      </c>
      <c r="Y269" s="13" t="n">
        <f aca="false">IF(K269="Website",1,0)</f>
        <v>0</v>
      </c>
      <c r="Z269" s="13" t="n">
        <f aca="false">IF(K269="Agency",1,0)</f>
        <v>1</v>
      </c>
      <c r="AA269" s="13" t="n">
        <f aca="false">IF(K269="Client",1,0)</f>
        <v>0</v>
      </c>
      <c r="AB269" s="13" t="n">
        <f aca="false">(D269-AVERAGE(D$2:D$2001))/STDEV(D$2:D$2001)</f>
        <v>-0.815174133235994</v>
      </c>
      <c r="AC269" s="13" t="n">
        <f aca="false">(I269-AVERAGE(I$2:I$2001))/STDEV(I$2:I$2001)</f>
        <v>-1.43538077576244</v>
      </c>
      <c r="AD269" s="13" t="n">
        <f aca="false">(L269-AVERAGE(L$2:L$2001))/STDEV(L$2:L$2001)</f>
        <v>-0.777063122173208</v>
      </c>
      <c r="AE269" s="13" t="n">
        <f aca="false">(M269-AVERAGE(M$2:M$2001))/STDEV(M$2:M$2001)</f>
        <v>-1.49089210026157</v>
      </c>
      <c r="AF269" s="13" t="n">
        <f aca="false">(N269-AVERAGE(N$2:N$2001))/STDEV(N$2:N$2001)</f>
        <v>-1.431748673112</v>
      </c>
      <c r="AG269" s="13" t="n">
        <f aca="false">(O269-AVERAGE(O$2:O$2001))/STDEV(O$2:O$2001)</f>
        <v>-1.33602921550357</v>
      </c>
      <c r="AH269" s="0" t="str">
        <f aca="false">IF(B269="Company","C3 - Corporate Buyers",IF(AND(H269="Investment",M269&gt;'Segmentation Summary'!$C$1),"C1 - Global Investors",IF(AND(I269&gt;=4,M269&gt;'Segmentation Summary'!$C$1),"C4 - Luxury Investors",IF(AND(D269&lt;'Segmentation Summary'!$C$2,J269=1),"C2 - First-Time Buyers","C5 - Other Individual Buyers"))))</f>
        <v>C2 - First-Time Buyers</v>
      </c>
    </row>
    <row r="270" customFormat="false" ht="15" hidden="false" customHeight="true" outlineLevel="0" collapsed="false">
      <c r="A270" s="13" t="s">
        <v>612</v>
      </c>
      <c r="B270" s="13" t="s">
        <v>34</v>
      </c>
      <c r="C270" s="13" t="s">
        <v>613</v>
      </c>
      <c r="D270" s="13" t="n">
        <v>73</v>
      </c>
      <c r="E270" s="13" t="s">
        <v>90</v>
      </c>
      <c r="F270" s="13" t="s">
        <v>33</v>
      </c>
      <c r="G270" s="13" t="s">
        <v>95</v>
      </c>
      <c r="H270" s="13" t="s">
        <v>41</v>
      </c>
      <c r="I270" s="13" t="n">
        <v>5</v>
      </c>
      <c r="J270" s="13" t="n">
        <v>1</v>
      </c>
      <c r="K270" s="13" t="s">
        <v>85</v>
      </c>
      <c r="L270" s="13" t="n">
        <v>4</v>
      </c>
      <c r="M270" s="13" t="n">
        <v>1439013.34</v>
      </c>
      <c r="N270" s="13" t="n">
        <v>359753.335</v>
      </c>
      <c r="O270" s="13" t="n">
        <v>1164.015</v>
      </c>
      <c r="P270" s="13" t="n">
        <v>0</v>
      </c>
      <c r="Q270" s="13" t="n">
        <v>4</v>
      </c>
      <c r="R270" s="13" t="s">
        <v>101</v>
      </c>
      <c r="S270" s="13" t="s">
        <v>150</v>
      </c>
      <c r="T270" s="13" t="n">
        <v>1</v>
      </c>
      <c r="U270" s="13" t="n">
        <f aca="false">IF(B270="Individual",1,0)</f>
        <v>1</v>
      </c>
      <c r="V270" s="13" t="n">
        <f aca="false">IF(B270="Company",1,0)</f>
        <v>0</v>
      </c>
      <c r="W270" s="13" t="n">
        <f aca="false">IF(H270="Home",1,0)</f>
        <v>1</v>
      </c>
      <c r="X270" s="13" t="n">
        <f aca="false">IF(H270="Investment",1,0)</f>
        <v>0</v>
      </c>
      <c r="Y270" s="13" t="n">
        <f aca="false">IF(K270="Website",1,0)</f>
        <v>1</v>
      </c>
      <c r="Z270" s="13" t="n">
        <f aca="false">IF(K270="Agency",1,0)</f>
        <v>0</v>
      </c>
      <c r="AA270" s="13" t="n">
        <f aca="false">IF(K270="Client",1,0)</f>
        <v>0</v>
      </c>
      <c r="AB270" s="13" t="n">
        <f aca="false">(D270-AVERAGE(D$2:D$2001))/STDEV(D$2:D$2001)</f>
        <v>1.087686897873</v>
      </c>
      <c r="AC270" s="13" t="n">
        <f aca="false">(I270-AVERAGE(I$2:I$2001))/STDEV(I$2:I$2001)</f>
        <v>1.39434968409451</v>
      </c>
      <c r="AD270" s="13" t="n">
        <f aca="false">(L270-AVERAGE(L$2:L$2001))/STDEV(L$2:L$2001)</f>
        <v>0.413838214490712</v>
      </c>
      <c r="AE270" s="13" t="n">
        <f aca="false">(M270-AVERAGE(M$2:M$2001))/STDEV(M$2:M$2001)</f>
        <v>0.51357708690983</v>
      </c>
      <c r="AF270" s="13" t="n">
        <f aca="false">(N270-AVERAGE(N$2:N$2001))/STDEV(N$2:N$2001)</f>
        <v>0.181627197933164</v>
      </c>
      <c r="AG270" s="13" t="n">
        <f aca="false">(O270-AVERAGE(O$2:O$2001))/STDEV(O$2:O$2001)</f>
        <v>0.0751870566559807</v>
      </c>
      <c r="AH270" s="0" t="str">
        <f aca="false">IF(B270="Company","C3 - Corporate Buyers",IF(AND(H270="Investment",M270&gt;'Segmentation Summary'!$C$1),"C1 - Global Investors",IF(AND(I270&gt;=4,M270&gt;'Segmentation Summary'!$C$1),"C4 - Luxury Investors",IF(AND(D270&lt;'Segmentation Summary'!$C$2,J270=1),"C2 - First-Time Buyers","C5 - Other Individual Buyers"))))</f>
        <v>C4 - Luxury Investors</v>
      </c>
    </row>
    <row r="271" customFormat="false" ht="15" hidden="false" customHeight="true" outlineLevel="0" collapsed="false">
      <c r="A271" s="13" t="s">
        <v>614</v>
      </c>
      <c r="B271" s="13" t="s">
        <v>34</v>
      </c>
      <c r="C271" s="13" t="s">
        <v>615</v>
      </c>
      <c r="D271" s="13" t="n">
        <v>84</v>
      </c>
      <c r="E271" s="13" t="s">
        <v>90</v>
      </c>
      <c r="F271" s="13" t="s">
        <v>33</v>
      </c>
      <c r="G271" s="13" t="s">
        <v>123</v>
      </c>
      <c r="H271" s="13" t="s">
        <v>43</v>
      </c>
      <c r="I271" s="13" t="n">
        <v>4</v>
      </c>
      <c r="J271" s="13" t="n">
        <v>0</v>
      </c>
      <c r="K271" s="13" t="s">
        <v>85</v>
      </c>
      <c r="L271" s="13" t="n">
        <v>3</v>
      </c>
      <c r="M271" s="13" t="n">
        <v>774892.79</v>
      </c>
      <c r="N271" s="13" t="n">
        <v>258297.596666667</v>
      </c>
      <c r="O271" s="13" t="n">
        <v>997.413333333333</v>
      </c>
      <c r="P271" s="13" t="n">
        <v>1</v>
      </c>
      <c r="Q271" s="13" t="n">
        <v>2</v>
      </c>
      <c r="R271" s="13" t="s">
        <v>101</v>
      </c>
      <c r="S271" s="13" t="s">
        <v>150</v>
      </c>
      <c r="T271" s="13" t="n">
        <v>1</v>
      </c>
      <c r="U271" s="13" t="n">
        <f aca="false">IF(B271="Individual",1,0)</f>
        <v>1</v>
      </c>
      <c r="V271" s="13" t="n">
        <f aca="false">IF(B271="Company",1,0)</f>
        <v>0</v>
      </c>
      <c r="W271" s="13" t="n">
        <f aca="false">IF(H271="Home",1,0)</f>
        <v>0</v>
      </c>
      <c r="X271" s="13" t="n">
        <f aca="false">IF(H271="Investment",1,0)</f>
        <v>1</v>
      </c>
      <c r="Y271" s="13" t="n">
        <f aca="false">IF(K271="Website",1,0)</f>
        <v>1</v>
      </c>
      <c r="Z271" s="13" t="n">
        <f aca="false">IF(K271="Agency",1,0)</f>
        <v>0</v>
      </c>
      <c r="AA271" s="13" t="n">
        <f aca="false">IF(K271="Client",1,0)</f>
        <v>0</v>
      </c>
      <c r="AB271" s="13" t="n">
        <f aca="false">(D271-AVERAGE(D$2:D$2001))/STDEV(D$2:D$2001)</f>
        <v>1.72197390824266</v>
      </c>
      <c r="AC271" s="13" t="n">
        <f aca="false">(I271-AVERAGE(I$2:I$2001))/STDEV(I$2:I$2001)</f>
        <v>0.686917069130275</v>
      </c>
      <c r="AD271" s="13" t="n">
        <f aca="false">(L271-AVERAGE(L$2:L$2001))/STDEV(L$2:L$2001)</f>
        <v>-0.777063122173208</v>
      </c>
      <c r="AE271" s="13" t="n">
        <f aca="false">(M271-AVERAGE(M$2:M$2001))/STDEV(M$2:M$2001)</f>
        <v>-1.39574436503697</v>
      </c>
      <c r="AF271" s="13" t="n">
        <f aca="false">(N271-AVERAGE(N$2:N$2001))/STDEV(N$2:N$2001)</f>
        <v>-1.27352322260529</v>
      </c>
      <c r="AG271" s="13" t="n">
        <f aca="false">(O271-AVERAGE(O$2:O$2001))/STDEV(O$2:O$2001)</f>
        <v>-0.682359810037582</v>
      </c>
      <c r="AH271" s="0" t="str">
        <f aca="false">IF(B271="Company","C3 - Corporate Buyers",IF(AND(H271="Investment",M271&gt;'Segmentation Summary'!$C$1),"C1 - Global Investors",IF(AND(I271&gt;=4,M271&gt;'Segmentation Summary'!$C$1),"C4 - Luxury Investors",IF(AND(D271&lt;'Segmentation Summary'!$C$2,J271=1),"C2 - First-Time Buyers","C5 - Other Individual Buyers"))))</f>
        <v>C5 - Other Individual Buyers</v>
      </c>
    </row>
    <row r="272" customFormat="false" ht="15" hidden="false" customHeight="true" outlineLevel="0" collapsed="false">
      <c r="A272" s="13" t="s">
        <v>616</v>
      </c>
      <c r="B272" s="13" t="s">
        <v>34</v>
      </c>
      <c r="C272" s="13" t="s">
        <v>617</v>
      </c>
      <c r="D272" s="13" t="n">
        <v>62</v>
      </c>
      <c r="E272" s="13" t="s">
        <v>90</v>
      </c>
      <c r="F272" s="13" t="s">
        <v>33</v>
      </c>
      <c r="G272" s="13" t="s">
        <v>120</v>
      </c>
      <c r="H272" s="13" t="s">
        <v>41</v>
      </c>
      <c r="I272" s="13" t="n">
        <v>2</v>
      </c>
      <c r="J272" s="13" t="n">
        <v>1</v>
      </c>
      <c r="K272" s="13" t="s">
        <v>85</v>
      </c>
      <c r="L272" s="13" t="n">
        <v>3</v>
      </c>
      <c r="M272" s="13" t="n">
        <v>1083378.55</v>
      </c>
      <c r="N272" s="13" t="n">
        <v>361126.183333333</v>
      </c>
      <c r="O272" s="13" t="n">
        <v>1329.57</v>
      </c>
      <c r="P272" s="13" t="n">
        <v>1</v>
      </c>
      <c r="Q272" s="13" t="n">
        <v>2</v>
      </c>
      <c r="R272" s="13" t="s">
        <v>117</v>
      </c>
      <c r="S272" s="13" t="s">
        <v>150</v>
      </c>
      <c r="T272" s="13" t="n">
        <v>1</v>
      </c>
      <c r="U272" s="13" t="n">
        <f aca="false">IF(B272="Individual",1,0)</f>
        <v>1</v>
      </c>
      <c r="V272" s="13" t="n">
        <f aca="false">IF(B272="Company",1,0)</f>
        <v>0</v>
      </c>
      <c r="W272" s="13" t="n">
        <f aca="false">IF(H272="Home",1,0)</f>
        <v>1</v>
      </c>
      <c r="X272" s="13" t="n">
        <f aca="false">IF(H272="Investment",1,0)</f>
        <v>0</v>
      </c>
      <c r="Y272" s="13" t="n">
        <f aca="false">IF(K272="Website",1,0)</f>
        <v>1</v>
      </c>
      <c r="Z272" s="13" t="n">
        <f aca="false">IF(K272="Agency",1,0)</f>
        <v>0</v>
      </c>
      <c r="AA272" s="13" t="n">
        <f aca="false">IF(K272="Client",1,0)</f>
        <v>0</v>
      </c>
      <c r="AB272" s="13" t="n">
        <f aca="false">(D272-AVERAGE(D$2:D$2001))/STDEV(D$2:D$2001)</f>
        <v>0.453399887503333</v>
      </c>
      <c r="AC272" s="13" t="n">
        <f aca="false">(I272-AVERAGE(I$2:I$2001))/STDEV(I$2:I$2001)</f>
        <v>-0.727948160798201</v>
      </c>
      <c r="AD272" s="13" t="n">
        <f aca="false">(L272-AVERAGE(L$2:L$2001))/STDEV(L$2:L$2001)</f>
        <v>-0.777063122173208</v>
      </c>
      <c r="AE272" s="13" t="n">
        <f aca="false">(M272-AVERAGE(M$2:M$2001))/STDEV(M$2:M$2001)</f>
        <v>-0.508859477665074</v>
      </c>
      <c r="AF272" s="13" t="n">
        <f aca="false">(N272-AVERAGE(N$2:N$2001))/STDEV(N$2:N$2001)</f>
        <v>0.20131756599319</v>
      </c>
      <c r="AG272" s="13" t="n">
        <f aca="false">(O272-AVERAGE(O$2:O$2001))/STDEV(O$2:O$2001)</f>
        <v>0.827974672919037</v>
      </c>
      <c r="AH272" s="0" t="str">
        <f aca="false">IF(B272="Company","C3 - Corporate Buyers",IF(AND(H272="Investment",M272&gt;'Segmentation Summary'!$C$1),"C1 - Global Investors",IF(AND(I272&gt;=4,M272&gt;'Segmentation Summary'!$C$1),"C4 - Luxury Investors",IF(AND(D272&lt;'Segmentation Summary'!$C$2,J272=1),"C2 - First-Time Buyers","C5 - Other Individual Buyers"))))</f>
        <v>C5 - Other Individual Buyers</v>
      </c>
    </row>
    <row r="273" customFormat="false" ht="15" hidden="false" customHeight="true" outlineLevel="0" collapsed="false">
      <c r="A273" s="13" t="s">
        <v>618</v>
      </c>
      <c r="B273" s="13" t="s">
        <v>34</v>
      </c>
      <c r="C273" s="13" t="s">
        <v>619</v>
      </c>
      <c r="D273" s="13" t="n">
        <v>79</v>
      </c>
      <c r="E273" s="13" t="s">
        <v>90</v>
      </c>
      <c r="F273" s="13" t="s">
        <v>33</v>
      </c>
      <c r="G273" s="13" t="s">
        <v>84</v>
      </c>
      <c r="H273" s="13" t="s">
        <v>41</v>
      </c>
      <c r="I273" s="13" t="n">
        <v>4</v>
      </c>
      <c r="J273" s="13" t="n">
        <v>1</v>
      </c>
      <c r="K273" s="13" t="s">
        <v>85</v>
      </c>
      <c r="L273" s="13" t="n">
        <v>3</v>
      </c>
      <c r="M273" s="13" t="n">
        <v>970670.15</v>
      </c>
      <c r="N273" s="13" t="n">
        <v>323556.716666667</v>
      </c>
      <c r="O273" s="13" t="n">
        <v>1008.13</v>
      </c>
      <c r="P273" s="13" t="n">
        <v>0</v>
      </c>
      <c r="Q273" s="13" t="n">
        <v>3</v>
      </c>
      <c r="R273" s="13" t="s">
        <v>92</v>
      </c>
      <c r="S273" s="13" t="s">
        <v>164</v>
      </c>
      <c r="T273" s="13" t="n">
        <v>1</v>
      </c>
      <c r="U273" s="13" t="n">
        <f aca="false">IF(B273="Individual",1,0)</f>
        <v>1</v>
      </c>
      <c r="V273" s="13" t="n">
        <f aca="false">IF(B273="Company",1,0)</f>
        <v>0</v>
      </c>
      <c r="W273" s="13" t="n">
        <f aca="false">IF(H273="Home",1,0)</f>
        <v>1</v>
      </c>
      <c r="X273" s="13" t="n">
        <f aca="false">IF(H273="Investment",1,0)</f>
        <v>0</v>
      </c>
      <c r="Y273" s="13" t="n">
        <f aca="false">IF(K273="Website",1,0)</f>
        <v>1</v>
      </c>
      <c r="Z273" s="13" t="n">
        <f aca="false">IF(K273="Agency",1,0)</f>
        <v>0</v>
      </c>
      <c r="AA273" s="13" t="n">
        <f aca="false">IF(K273="Client",1,0)</f>
        <v>0</v>
      </c>
      <c r="AB273" s="13" t="n">
        <f aca="false">(D273-AVERAGE(D$2:D$2001))/STDEV(D$2:D$2001)</f>
        <v>1.4336616308019</v>
      </c>
      <c r="AC273" s="13" t="n">
        <f aca="false">(I273-AVERAGE(I$2:I$2001))/STDEV(I$2:I$2001)</f>
        <v>0.686917069130275</v>
      </c>
      <c r="AD273" s="13" t="n">
        <f aca="false">(L273-AVERAGE(L$2:L$2001))/STDEV(L$2:L$2001)</f>
        <v>-0.777063122173208</v>
      </c>
      <c r="AE273" s="13" t="n">
        <f aca="false">(M273-AVERAGE(M$2:M$2001))/STDEV(M$2:M$2001)</f>
        <v>-0.832891862952054</v>
      </c>
      <c r="AF273" s="13" t="n">
        <f aca="false">(N273-AVERAGE(N$2:N$2001))/STDEV(N$2:N$2001)</f>
        <v>-0.337530468799958</v>
      </c>
      <c r="AG273" s="13" t="n">
        <f aca="false">(O273-AVERAGE(O$2:O$2001))/STDEV(O$2:O$2001)</f>
        <v>-0.633630542094687</v>
      </c>
      <c r="AH273" s="0" t="str">
        <f aca="false">IF(B273="Company","C3 - Corporate Buyers",IF(AND(H273="Investment",M273&gt;'Segmentation Summary'!$C$1),"C1 - Global Investors",IF(AND(I273&gt;=4,M273&gt;'Segmentation Summary'!$C$1),"C4 - Luxury Investors",IF(AND(D273&lt;'Segmentation Summary'!$C$2,J273=1),"C2 - First-Time Buyers","C5 - Other Individual Buyers"))))</f>
        <v>C5 - Other Individual Buyers</v>
      </c>
    </row>
    <row r="274" customFormat="false" ht="15" hidden="false" customHeight="true" outlineLevel="0" collapsed="false">
      <c r="A274" s="13" t="s">
        <v>620</v>
      </c>
      <c r="B274" s="13" t="s">
        <v>34</v>
      </c>
      <c r="C274" s="13" t="s">
        <v>621</v>
      </c>
      <c r="D274" s="13" t="n">
        <v>25</v>
      </c>
      <c r="E274" s="13" t="s">
        <v>90</v>
      </c>
      <c r="F274" s="13" t="s">
        <v>42</v>
      </c>
      <c r="G274" s="13" t="s">
        <v>143</v>
      </c>
      <c r="H274" s="13" t="s">
        <v>43</v>
      </c>
      <c r="I274" s="13" t="n">
        <v>2</v>
      </c>
      <c r="J274" s="13" t="n">
        <v>0</v>
      </c>
      <c r="K274" s="13" t="s">
        <v>85</v>
      </c>
      <c r="L274" s="13" t="n">
        <v>4</v>
      </c>
      <c r="M274" s="13" t="n">
        <v>1387827.15</v>
      </c>
      <c r="N274" s="13" t="n">
        <v>346956.7875</v>
      </c>
      <c r="O274" s="13" t="n">
        <v>1053.27</v>
      </c>
      <c r="P274" s="13" t="n">
        <v>0</v>
      </c>
      <c r="Q274" s="13" t="n">
        <v>4</v>
      </c>
      <c r="R274" s="13" t="s">
        <v>111</v>
      </c>
      <c r="S274" s="13" t="s">
        <v>154</v>
      </c>
      <c r="T274" s="13" t="n">
        <v>1</v>
      </c>
      <c r="U274" s="13" t="n">
        <f aca="false">IF(B274="Individual",1,0)</f>
        <v>1</v>
      </c>
      <c r="V274" s="13" t="n">
        <f aca="false">IF(B274="Company",1,0)</f>
        <v>0</v>
      </c>
      <c r="W274" s="13" t="n">
        <f aca="false">IF(H274="Home",1,0)</f>
        <v>0</v>
      </c>
      <c r="X274" s="13" t="n">
        <f aca="false">IF(H274="Investment",1,0)</f>
        <v>1</v>
      </c>
      <c r="Y274" s="13" t="n">
        <f aca="false">IF(K274="Website",1,0)</f>
        <v>1</v>
      </c>
      <c r="Z274" s="13" t="n">
        <f aca="false">IF(K274="Agency",1,0)</f>
        <v>0</v>
      </c>
      <c r="AA274" s="13" t="n">
        <f aca="false">IF(K274="Client",1,0)</f>
        <v>0</v>
      </c>
      <c r="AB274" s="13" t="n">
        <f aca="false">(D274-AVERAGE(D$2:D$2001))/STDEV(D$2:D$2001)</f>
        <v>-1.68011096555826</v>
      </c>
      <c r="AC274" s="13" t="n">
        <f aca="false">(I274-AVERAGE(I$2:I$2001))/STDEV(I$2:I$2001)</f>
        <v>-0.727948160798201</v>
      </c>
      <c r="AD274" s="13" t="n">
        <f aca="false">(L274-AVERAGE(L$2:L$2001))/STDEV(L$2:L$2001)</f>
        <v>0.413838214490712</v>
      </c>
      <c r="AE274" s="13" t="n">
        <f aca="false">(M274-AVERAGE(M$2:M$2001))/STDEV(M$2:M$2001)</f>
        <v>0.366418727466767</v>
      </c>
      <c r="AF274" s="13" t="n">
        <f aca="false">(N274-AVERAGE(N$2:N$2001))/STDEV(N$2:N$2001)</f>
        <v>-0.00190999554608832</v>
      </c>
      <c r="AG274" s="13" t="n">
        <f aca="false">(O274-AVERAGE(O$2:O$2001))/STDEV(O$2:O$2001)</f>
        <v>-0.428376499642847</v>
      </c>
      <c r="AH274" s="0" t="str">
        <f aca="false">IF(B274="Company","C3 - Corporate Buyers",IF(AND(H274="Investment",M274&gt;'Segmentation Summary'!$C$1),"C1 - Global Investors",IF(AND(I274&gt;=4,M274&gt;'Segmentation Summary'!$C$1),"C4 - Luxury Investors",IF(AND(D274&lt;'Segmentation Summary'!$C$2,J274=1),"C2 - First-Time Buyers","C5 - Other Individual Buyers"))))</f>
        <v>C1 - Global Investors</v>
      </c>
    </row>
    <row r="275" customFormat="false" ht="15" hidden="false" customHeight="true" outlineLevel="0" collapsed="false">
      <c r="A275" s="13" t="s">
        <v>622</v>
      </c>
      <c r="B275" s="13" t="s">
        <v>34</v>
      </c>
      <c r="C275" s="13" t="s">
        <v>621</v>
      </c>
      <c r="D275" s="13" t="n">
        <v>76</v>
      </c>
      <c r="E275" s="13" t="s">
        <v>90</v>
      </c>
      <c r="F275" s="13" t="s">
        <v>33</v>
      </c>
      <c r="G275" s="13" t="s">
        <v>95</v>
      </c>
      <c r="H275" s="13" t="s">
        <v>41</v>
      </c>
      <c r="I275" s="13" t="n">
        <v>3</v>
      </c>
      <c r="J275" s="13" t="n">
        <v>0</v>
      </c>
      <c r="K275" s="13" t="s">
        <v>91</v>
      </c>
      <c r="L275" s="13" t="n">
        <v>4</v>
      </c>
      <c r="M275" s="13" t="n">
        <v>1329236.75</v>
      </c>
      <c r="N275" s="13" t="n">
        <v>332309.1875</v>
      </c>
      <c r="O275" s="13" t="n">
        <v>1120.62</v>
      </c>
      <c r="P275" s="13" t="n">
        <v>1</v>
      </c>
      <c r="Q275" s="13" t="n">
        <v>3</v>
      </c>
      <c r="R275" s="13" t="s">
        <v>101</v>
      </c>
      <c r="S275" s="13" t="s">
        <v>125</v>
      </c>
      <c r="T275" s="13" t="n">
        <v>1</v>
      </c>
      <c r="U275" s="13" t="n">
        <f aca="false">IF(B275="Individual",1,0)</f>
        <v>1</v>
      </c>
      <c r="V275" s="13" t="n">
        <f aca="false">IF(B275="Company",1,0)</f>
        <v>0</v>
      </c>
      <c r="W275" s="13" t="n">
        <f aca="false">IF(H275="Home",1,0)</f>
        <v>1</v>
      </c>
      <c r="X275" s="13" t="n">
        <f aca="false">IF(H275="Investment",1,0)</f>
        <v>0</v>
      </c>
      <c r="Y275" s="13" t="n">
        <f aca="false">IF(K275="Website",1,0)</f>
        <v>0</v>
      </c>
      <c r="Z275" s="13" t="n">
        <f aca="false">IF(K275="Agency",1,0)</f>
        <v>1</v>
      </c>
      <c r="AA275" s="13" t="n">
        <f aca="false">IF(K275="Client",1,0)</f>
        <v>0</v>
      </c>
      <c r="AB275" s="13" t="n">
        <f aca="false">(D275-AVERAGE(D$2:D$2001))/STDEV(D$2:D$2001)</f>
        <v>1.26067426433745</v>
      </c>
      <c r="AC275" s="13" t="n">
        <f aca="false">(I275-AVERAGE(I$2:I$2001))/STDEV(I$2:I$2001)</f>
        <v>-0.0205155458339628</v>
      </c>
      <c r="AD275" s="13" t="n">
        <f aca="false">(L275-AVERAGE(L$2:L$2001))/STDEV(L$2:L$2001)</f>
        <v>0.413838214490712</v>
      </c>
      <c r="AE275" s="13" t="n">
        <f aca="false">(M275-AVERAGE(M$2:M$2001))/STDEV(M$2:M$2001)</f>
        <v>0.197973544437656</v>
      </c>
      <c r="AF275" s="13" t="n">
        <f aca="false">(N275-AVERAGE(N$2:N$2001))/STDEV(N$2:N$2001)</f>
        <v>-0.211996301653785</v>
      </c>
      <c r="AG275" s="13" t="n">
        <f aca="false">(O275-AVERAGE(O$2:O$2001))/STDEV(O$2:O$2001)</f>
        <v>-0.122132375603604</v>
      </c>
      <c r="AH275" s="0" t="str">
        <f aca="false">IF(B275="Company","C3 - Corporate Buyers",IF(AND(H275="Investment",M275&gt;'Segmentation Summary'!$C$1),"C1 - Global Investors",IF(AND(I275&gt;=4,M275&gt;'Segmentation Summary'!$C$1),"C4 - Luxury Investors",IF(AND(D275&lt;'Segmentation Summary'!$C$2,J275=1),"C2 - First-Time Buyers","C5 - Other Individual Buyers"))))</f>
        <v>C5 - Other Individual Buyers</v>
      </c>
    </row>
    <row r="276" customFormat="false" ht="15" hidden="false" customHeight="true" outlineLevel="0" collapsed="false">
      <c r="A276" s="13" t="s">
        <v>623</v>
      </c>
      <c r="B276" s="13" t="s">
        <v>34</v>
      </c>
      <c r="C276" s="13" t="s">
        <v>624</v>
      </c>
      <c r="D276" s="13" t="n">
        <v>31</v>
      </c>
      <c r="E276" s="13" t="s">
        <v>90</v>
      </c>
      <c r="F276" s="13" t="s">
        <v>33</v>
      </c>
      <c r="G276" s="13" t="s">
        <v>106</v>
      </c>
      <c r="H276" s="13" t="s">
        <v>41</v>
      </c>
      <c r="I276" s="13" t="n">
        <v>3</v>
      </c>
      <c r="J276" s="13" t="n">
        <v>0</v>
      </c>
      <c r="K276" s="13" t="s">
        <v>116</v>
      </c>
      <c r="L276" s="13" t="n">
        <v>3</v>
      </c>
      <c r="M276" s="13" t="n">
        <v>1355270.16</v>
      </c>
      <c r="N276" s="13" t="n">
        <v>451756.72</v>
      </c>
      <c r="O276" s="13" t="n">
        <v>1471.44666666667</v>
      </c>
      <c r="P276" s="13" t="n">
        <v>0</v>
      </c>
      <c r="Q276" s="13" t="n">
        <v>3</v>
      </c>
      <c r="R276" s="13" t="s">
        <v>86</v>
      </c>
      <c r="S276" s="13" t="s">
        <v>103</v>
      </c>
      <c r="T276" s="13" t="n">
        <v>1</v>
      </c>
      <c r="U276" s="13" t="n">
        <f aca="false">IF(B276="Individual",1,0)</f>
        <v>1</v>
      </c>
      <c r="V276" s="13" t="n">
        <f aca="false">IF(B276="Company",1,0)</f>
        <v>0</v>
      </c>
      <c r="W276" s="13" t="n">
        <f aca="false">IF(H276="Home",1,0)</f>
        <v>1</v>
      </c>
      <c r="X276" s="13" t="n">
        <f aca="false">IF(H276="Investment",1,0)</f>
        <v>0</v>
      </c>
      <c r="Y276" s="13" t="n">
        <f aca="false">IF(K276="Website",1,0)</f>
        <v>0</v>
      </c>
      <c r="Z276" s="13" t="n">
        <f aca="false">IF(K276="Agency",1,0)</f>
        <v>0</v>
      </c>
      <c r="AA276" s="13" t="n">
        <f aca="false">IF(K276="Client",1,0)</f>
        <v>1</v>
      </c>
      <c r="AB276" s="13" t="n">
        <f aca="false">(D276-AVERAGE(D$2:D$2001))/STDEV(D$2:D$2001)</f>
        <v>-1.33413623262935</v>
      </c>
      <c r="AC276" s="13" t="n">
        <f aca="false">(I276-AVERAGE(I$2:I$2001))/STDEV(I$2:I$2001)</f>
        <v>-0.0205155458339628</v>
      </c>
      <c r="AD276" s="13" t="n">
        <f aca="false">(L276-AVERAGE(L$2:L$2001))/STDEV(L$2:L$2001)</f>
        <v>-0.777063122173208</v>
      </c>
      <c r="AE276" s="13" t="n">
        <f aca="false">(M276-AVERAGE(M$2:M$2001))/STDEV(M$2:M$2001)</f>
        <v>0.272818613123343</v>
      </c>
      <c r="AF276" s="13" t="n">
        <f aca="false">(N276-AVERAGE(N$2:N$2001))/STDEV(N$2:N$2001)</f>
        <v>1.50120523829843</v>
      </c>
      <c r="AG276" s="13" t="n">
        <f aca="false">(O276-AVERAGE(O$2:O$2001))/STDEV(O$2:O$2001)</f>
        <v>1.47309561582835</v>
      </c>
      <c r="AH276" s="0" t="str">
        <f aca="false">IF(B276="Company","C3 - Corporate Buyers",IF(AND(H276="Investment",M276&gt;'Segmentation Summary'!$C$1),"C1 - Global Investors",IF(AND(I276&gt;=4,M276&gt;'Segmentation Summary'!$C$1),"C4 - Luxury Investors",IF(AND(D276&lt;'Segmentation Summary'!$C$2,J276=1),"C2 - First-Time Buyers","C5 - Other Individual Buyers"))))</f>
        <v>C5 - Other Individual Buyers</v>
      </c>
    </row>
    <row r="277" customFormat="false" ht="15" hidden="false" customHeight="true" outlineLevel="0" collapsed="false">
      <c r="A277" s="13" t="s">
        <v>625</v>
      </c>
      <c r="B277" s="13" t="s">
        <v>34</v>
      </c>
      <c r="C277" s="13" t="s">
        <v>626</v>
      </c>
      <c r="D277" s="13" t="n">
        <v>83</v>
      </c>
      <c r="E277" s="13" t="s">
        <v>90</v>
      </c>
      <c r="F277" s="13" t="s">
        <v>45</v>
      </c>
      <c r="G277" s="13" t="s">
        <v>196</v>
      </c>
      <c r="H277" s="13" t="s">
        <v>41</v>
      </c>
      <c r="I277" s="13" t="n">
        <v>1</v>
      </c>
      <c r="J277" s="13" t="n">
        <v>0</v>
      </c>
      <c r="K277" s="13" t="s">
        <v>85</v>
      </c>
      <c r="L277" s="13" t="n">
        <v>4</v>
      </c>
      <c r="M277" s="13" t="n">
        <v>1208868.77</v>
      </c>
      <c r="N277" s="13" t="n">
        <v>302217.1925</v>
      </c>
      <c r="O277" s="13" t="n">
        <v>990.9875</v>
      </c>
      <c r="P277" s="13" t="n">
        <v>1</v>
      </c>
      <c r="Q277" s="13" t="n">
        <v>3</v>
      </c>
      <c r="R277" s="13" t="s">
        <v>117</v>
      </c>
      <c r="S277" s="13" t="s">
        <v>87</v>
      </c>
      <c r="T277" s="13" t="n">
        <v>1</v>
      </c>
      <c r="U277" s="13" t="n">
        <f aca="false">IF(B277="Individual",1,0)</f>
        <v>1</v>
      </c>
      <c r="V277" s="13" t="n">
        <f aca="false">IF(B277="Company",1,0)</f>
        <v>0</v>
      </c>
      <c r="W277" s="13" t="n">
        <f aca="false">IF(H277="Home",1,0)</f>
        <v>1</v>
      </c>
      <c r="X277" s="13" t="n">
        <f aca="false">IF(H277="Investment",1,0)</f>
        <v>0</v>
      </c>
      <c r="Y277" s="13" t="n">
        <f aca="false">IF(K277="Website",1,0)</f>
        <v>1</v>
      </c>
      <c r="Z277" s="13" t="n">
        <f aca="false">IF(K277="Agency",1,0)</f>
        <v>0</v>
      </c>
      <c r="AA277" s="13" t="n">
        <f aca="false">IF(K277="Client",1,0)</f>
        <v>0</v>
      </c>
      <c r="AB277" s="13" t="n">
        <f aca="false">(D277-AVERAGE(D$2:D$2001))/STDEV(D$2:D$2001)</f>
        <v>1.66431145275451</v>
      </c>
      <c r="AC277" s="13" t="n">
        <f aca="false">(I277-AVERAGE(I$2:I$2001))/STDEV(I$2:I$2001)</f>
        <v>-1.43538077576244</v>
      </c>
      <c r="AD277" s="13" t="n">
        <f aca="false">(L277-AVERAGE(L$2:L$2001))/STDEV(L$2:L$2001)</f>
        <v>0.413838214490712</v>
      </c>
      <c r="AE277" s="13" t="n">
        <f aca="false">(M277-AVERAGE(M$2:M$2001))/STDEV(M$2:M$2001)</f>
        <v>-0.148079843522562</v>
      </c>
      <c r="AF277" s="13" t="n">
        <f aca="false">(N277-AVERAGE(N$2:N$2001))/STDEV(N$2:N$2001)</f>
        <v>-0.643597114958442</v>
      </c>
      <c r="AG277" s="13" t="n">
        <f aca="false">(O277-AVERAGE(O$2:O$2001))/STDEV(O$2:O$2001)</f>
        <v>-0.711578424742686</v>
      </c>
      <c r="AH277" s="0" t="str">
        <f aca="false">IF(B277="Company","C3 - Corporate Buyers",IF(AND(H277="Investment",M277&gt;'Segmentation Summary'!$C$1),"C1 - Global Investors",IF(AND(I277&gt;=4,M277&gt;'Segmentation Summary'!$C$1),"C4 - Luxury Investors",IF(AND(D277&lt;'Segmentation Summary'!$C$2,J277=1),"C2 - First-Time Buyers","C5 - Other Individual Buyers"))))</f>
        <v>C5 - Other Individual Buyers</v>
      </c>
    </row>
    <row r="278" customFormat="false" ht="15" hidden="false" customHeight="true" outlineLevel="0" collapsed="false">
      <c r="A278" s="13" t="s">
        <v>627</v>
      </c>
      <c r="B278" s="13" t="s">
        <v>34</v>
      </c>
      <c r="C278" s="13" t="s">
        <v>628</v>
      </c>
      <c r="D278" s="13" t="n">
        <v>58</v>
      </c>
      <c r="E278" s="13" t="s">
        <v>90</v>
      </c>
      <c r="F278" s="13" t="s">
        <v>38</v>
      </c>
      <c r="G278" s="13" t="s">
        <v>339</v>
      </c>
      <c r="H278" s="13" t="s">
        <v>41</v>
      </c>
      <c r="I278" s="13" t="n">
        <v>4</v>
      </c>
      <c r="J278" s="13" t="n">
        <v>1</v>
      </c>
      <c r="K278" s="13" t="s">
        <v>91</v>
      </c>
      <c r="L278" s="13" t="n">
        <v>3</v>
      </c>
      <c r="M278" s="13" t="n">
        <v>914465.33</v>
      </c>
      <c r="N278" s="13" t="n">
        <v>304821.776666667</v>
      </c>
      <c r="O278" s="13" t="n">
        <v>980.87</v>
      </c>
      <c r="P278" s="13" t="n">
        <v>1</v>
      </c>
      <c r="Q278" s="13" t="n">
        <v>2</v>
      </c>
      <c r="R278" s="13" t="s">
        <v>112</v>
      </c>
      <c r="S278" s="13" t="s">
        <v>133</v>
      </c>
      <c r="T278" s="13" t="n">
        <v>1</v>
      </c>
      <c r="U278" s="13" t="n">
        <f aca="false">IF(B278="Individual",1,0)</f>
        <v>1</v>
      </c>
      <c r="V278" s="13" t="n">
        <f aca="false">IF(B278="Company",1,0)</f>
        <v>0</v>
      </c>
      <c r="W278" s="13" t="n">
        <f aca="false">IF(H278="Home",1,0)</f>
        <v>1</v>
      </c>
      <c r="X278" s="13" t="n">
        <f aca="false">IF(H278="Investment",1,0)</f>
        <v>0</v>
      </c>
      <c r="Y278" s="13" t="n">
        <f aca="false">IF(K278="Website",1,0)</f>
        <v>0</v>
      </c>
      <c r="Z278" s="13" t="n">
        <f aca="false">IF(K278="Agency",1,0)</f>
        <v>1</v>
      </c>
      <c r="AA278" s="13" t="n">
        <f aca="false">IF(K278="Client",1,0)</f>
        <v>0</v>
      </c>
      <c r="AB278" s="13" t="n">
        <f aca="false">(D278-AVERAGE(D$2:D$2001))/STDEV(D$2:D$2001)</f>
        <v>0.222750065550728</v>
      </c>
      <c r="AC278" s="13" t="n">
        <f aca="false">(I278-AVERAGE(I$2:I$2001))/STDEV(I$2:I$2001)</f>
        <v>0.686917069130275</v>
      </c>
      <c r="AD278" s="13" t="n">
        <f aca="false">(L278-AVERAGE(L$2:L$2001))/STDEV(L$2:L$2001)</f>
        <v>-0.777063122173208</v>
      </c>
      <c r="AE278" s="13" t="n">
        <f aca="false">(M278-AVERAGE(M$2:M$2001))/STDEV(M$2:M$2001)</f>
        <v>-0.994478593747854</v>
      </c>
      <c r="AF278" s="13" t="n">
        <f aca="false">(N278-AVERAGE(N$2:N$2001))/STDEV(N$2:N$2001)</f>
        <v>-0.60624031476444</v>
      </c>
      <c r="AG278" s="13" t="n">
        <f aca="false">(O278-AVERAGE(O$2:O$2001))/STDEV(O$2:O$2001)</f>
        <v>-0.757583249166844</v>
      </c>
      <c r="AH278" s="0" t="str">
        <f aca="false">IF(B278="Company","C3 - Corporate Buyers",IF(AND(H278="Investment",M278&gt;'Segmentation Summary'!$C$1),"C1 - Global Investors",IF(AND(I278&gt;=4,M278&gt;'Segmentation Summary'!$C$1),"C4 - Luxury Investors",IF(AND(D278&lt;'Segmentation Summary'!$C$2,J278=1),"C2 - First-Time Buyers","C5 - Other Individual Buyers"))))</f>
        <v>C5 - Other Individual Buyers</v>
      </c>
    </row>
    <row r="279" customFormat="false" ht="15" hidden="false" customHeight="true" outlineLevel="0" collapsed="false">
      <c r="A279" s="13" t="s">
        <v>629</v>
      </c>
      <c r="B279" s="13" t="s">
        <v>34</v>
      </c>
      <c r="C279" s="13" t="s">
        <v>630</v>
      </c>
      <c r="D279" s="13" t="n">
        <v>81</v>
      </c>
      <c r="E279" s="13" t="s">
        <v>90</v>
      </c>
      <c r="F279" s="13" t="s">
        <v>33</v>
      </c>
      <c r="G279" s="13" t="s">
        <v>95</v>
      </c>
      <c r="H279" s="13" t="s">
        <v>41</v>
      </c>
      <c r="I279" s="13" t="n">
        <v>3</v>
      </c>
      <c r="J279" s="13" t="n">
        <v>0</v>
      </c>
      <c r="K279" s="13" t="s">
        <v>116</v>
      </c>
      <c r="L279" s="13" t="n">
        <v>4</v>
      </c>
      <c r="M279" s="13" t="n">
        <v>1529260.3</v>
      </c>
      <c r="N279" s="13" t="n">
        <v>382315.075</v>
      </c>
      <c r="O279" s="13" t="n">
        <v>1296.5625</v>
      </c>
      <c r="P279" s="13" t="n">
        <v>1</v>
      </c>
      <c r="Q279" s="13" t="n">
        <v>3</v>
      </c>
      <c r="R279" s="13" t="s">
        <v>92</v>
      </c>
      <c r="S279" s="13" t="s">
        <v>124</v>
      </c>
      <c r="T279" s="13" t="n">
        <v>1</v>
      </c>
      <c r="U279" s="13" t="n">
        <f aca="false">IF(B279="Individual",1,0)</f>
        <v>1</v>
      </c>
      <c r="V279" s="13" t="n">
        <f aca="false">IF(B279="Company",1,0)</f>
        <v>0</v>
      </c>
      <c r="W279" s="13" t="n">
        <f aca="false">IF(H279="Home",1,0)</f>
        <v>1</v>
      </c>
      <c r="X279" s="13" t="n">
        <f aca="false">IF(H279="Investment",1,0)</f>
        <v>0</v>
      </c>
      <c r="Y279" s="13" t="n">
        <f aca="false">IF(K279="Website",1,0)</f>
        <v>0</v>
      </c>
      <c r="Z279" s="13" t="n">
        <f aca="false">IF(K279="Agency",1,0)</f>
        <v>0</v>
      </c>
      <c r="AA279" s="13" t="n">
        <f aca="false">IF(K279="Client",1,0)</f>
        <v>1</v>
      </c>
      <c r="AB279" s="13" t="n">
        <f aca="false">(D279-AVERAGE(D$2:D$2001))/STDEV(D$2:D$2001)</f>
        <v>1.54898654177821</v>
      </c>
      <c r="AC279" s="13" t="n">
        <f aca="false">(I279-AVERAGE(I$2:I$2001))/STDEV(I$2:I$2001)</f>
        <v>-0.0205155458339628</v>
      </c>
      <c r="AD279" s="13" t="n">
        <f aca="false">(L279-AVERAGE(L$2:L$2001))/STDEV(L$2:L$2001)</f>
        <v>0.413838214490712</v>
      </c>
      <c r="AE279" s="13" t="n">
        <f aca="false">(M279-AVERAGE(M$2:M$2001))/STDEV(M$2:M$2001)</f>
        <v>0.773033682103255</v>
      </c>
      <c r="AF279" s="13" t="n">
        <f aca="false">(N279-AVERAGE(N$2:N$2001))/STDEV(N$2:N$2001)</f>
        <v>0.505223733608789</v>
      </c>
      <c r="AG279" s="13" t="n">
        <f aca="false">(O279-AVERAGE(O$2:O$2001))/STDEV(O$2:O$2001)</f>
        <v>0.6778877698125</v>
      </c>
      <c r="AH279" s="0" t="str">
        <f aca="false">IF(B279="Company","C3 - Corporate Buyers",IF(AND(H279="Investment",M279&gt;'Segmentation Summary'!$C$1),"C1 - Global Investors",IF(AND(I279&gt;=4,M279&gt;'Segmentation Summary'!$C$1),"C4 - Luxury Investors",IF(AND(D279&lt;'Segmentation Summary'!$C$2,J279=1),"C2 - First-Time Buyers","C5 - Other Individual Buyers"))))</f>
        <v>C5 - Other Individual Buyers</v>
      </c>
    </row>
    <row r="280" customFormat="false" ht="15" hidden="false" customHeight="true" outlineLevel="0" collapsed="false">
      <c r="A280" s="13" t="s">
        <v>631</v>
      </c>
      <c r="B280" s="13" t="s">
        <v>34</v>
      </c>
      <c r="C280" s="13" t="s">
        <v>632</v>
      </c>
      <c r="D280" s="13" t="n">
        <v>63</v>
      </c>
      <c r="E280" s="13" t="s">
        <v>90</v>
      </c>
      <c r="F280" s="13" t="s">
        <v>33</v>
      </c>
      <c r="G280" s="13" t="s">
        <v>120</v>
      </c>
      <c r="H280" s="13" t="s">
        <v>41</v>
      </c>
      <c r="I280" s="13" t="n">
        <v>3</v>
      </c>
      <c r="J280" s="13" t="n">
        <v>1</v>
      </c>
      <c r="K280" s="13" t="s">
        <v>85</v>
      </c>
      <c r="L280" s="13" t="n">
        <v>4</v>
      </c>
      <c r="M280" s="13" t="n">
        <v>1707838.06</v>
      </c>
      <c r="N280" s="13" t="n">
        <v>426959.515</v>
      </c>
      <c r="O280" s="13" t="n">
        <v>1419.32</v>
      </c>
      <c r="P280" s="13" t="n">
        <v>1</v>
      </c>
      <c r="Q280" s="13" t="n">
        <v>3</v>
      </c>
      <c r="R280" s="13" t="s">
        <v>124</v>
      </c>
      <c r="S280" s="13" t="s">
        <v>125</v>
      </c>
      <c r="T280" s="13" t="n">
        <v>1</v>
      </c>
      <c r="U280" s="13" t="n">
        <f aca="false">IF(B280="Individual",1,0)</f>
        <v>1</v>
      </c>
      <c r="V280" s="13" t="n">
        <f aca="false">IF(B280="Company",1,0)</f>
        <v>0</v>
      </c>
      <c r="W280" s="13" t="n">
        <f aca="false">IF(H280="Home",1,0)</f>
        <v>1</v>
      </c>
      <c r="X280" s="13" t="n">
        <f aca="false">IF(H280="Investment",1,0)</f>
        <v>0</v>
      </c>
      <c r="Y280" s="13" t="n">
        <f aca="false">IF(K280="Website",1,0)</f>
        <v>1</v>
      </c>
      <c r="Z280" s="13" t="n">
        <f aca="false">IF(K280="Agency",1,0)</f>
        <v>0</v>
      </c>
      <c r="AA280" s="13" t="n">
        <f aca="false">IF(K280="Client",1,0)</f>
        <v>0</v>
      </c>
      <c r="AB280" s="13" t="n">
        <f aca="false">(D280-AVERAGE(D$2:D$2001))/STDEV(D$2:D$2001)</f>
        <v>0.511062342991484</v>
      </c>
      <c r="AC280" s="13" t="n">
        <f aca="false">(I280-AVERAGE(I$2:I$2001))/STDEV(I$2:I$2001)</f>
        <v>-0.0205155458339628</v>
      </c>
      <c r="AD280" s="13" t="n">
        <f aca="false">(L280-AVERAGE(L$2:L$2001))/STDEV(L$2:L$2001)</f>
        <v>0.413838214490712</v>
      </c>
      <c r="AE280" s="13" t="n">
        <f aca="false">(M280-AVERAGE(M$2:M$2001))/STDEV(M$2:M$2001)</f>
        <v>1.28643798499466</v>
      </c>
      <c r="AF280" s="13" t="n">
        <f aca="false">(N280-AVERAGE(N$2:N$2001))/STDEV(N$2:N$2001)</f>
        <v>1.14554607227497</v>
      </c>
      <c r="AG280" s="13" t="n">
        <f aca="false">(O280-AVERAGE(O$2:O$2001))/STDEV(O$2:O$2001)</f>
        <v>1.23607281891046</v>
      </c>
      <c r="AH280" s="0" t="str">
        <f aca="false">IF(B280="Company","C3 - Corporate Buyers",IF(AND(H280="Investment",M280&gt;'Segmentation Summary'!$C$1),"C1 - Global Investors",IF(AND(I280&gt;=4,M280&gt;'Segmentation Summary'!$C$1),"C4 - Luxury Investors",IF(AND(D280&lt;'Segmentation Summary'!$C$2,J280=1),"C2 - First-Time Buyers","C5 - Other Individual Buyers"))))</f>
        <v>C5 - Other Individual Buyers</v>
      </c>
    </row>
    <row r="281" customFormat="false" ht="15" hidden="false" customHeight="true" outlineLevel="0" collapsed="false">
      <c r="A281" s="13" t="s">
        <v>633</v>
      </c>
      <c r="B281" s="13" t="s">
        <v>34</v>
      </c>
      <c r="C281" s="13" t="s">
        <v>634</v>
      </c>
      <c r="D281" s="13" t="n">
        <v>28</v>
      </c>
      <c r="E281" s="13" t="s">
        <v>90</v>
      </c>
      <c r="F281" s="13" t="s">
        <v>33</v>
      </c>
      <c r="G281" s="13" t="s">
        <v>162</v>
      </c>
      <c r="H281" s="13" t="s">
        <v>43</v>
      </c>
      <c r="I281" s="13" t="n">
        <v>3</v>
      </c>
      <c r="J281" s="13" t="n">
        <v>1</v>
      </c>
      <c r="K281" s="13" t="s">
        <v>91</v>
      </c>
      <c r="L281" s="13" t="n">
        <v>4</v>
      </c>
      <c r="M281" s="13" t="n">
        <v>1302998.6</v>
      </c>
      <c r="N281" s="13" t="n">
        <v>325749.65</v>
      </c>
      <c r="O281" s="13" t="n">
        <v>1155.47</v>
      </c>
      <c r="P281" s="13" t="n">
        <v>0</v>
      </c>
      <c r="Q281" s="13" t="n">
        <v>4</v>
      </c>
      <c r="R281" s="13" t="s">
        <v>98</v>
      </c>
      <c r="S281" s="13" t="s">
        <v>154</v>
      </c>
      <c r="T281" s="13" t="n">
        <v>1</v>
      </c>
      <c r="U281" s="13" t="n">
        <f aca="false">IF(B281="Individual",1,0)</f>
        <v>1</v>
      </c>
      <c r="V281" s="13" t="n">
        <f aca="false">IF(B281="Company",1,0)</f>
        <v>0</v>
      </c>
      <c r="W281" s="13" t="n">
        <f aca="false">IF(H281="Home",1,0)</f>
        <v>0</v>
      </c>
      <c r="X281" s="13" t="n">
        <f aca="false">IF(H281="Investment",1,0)</f>
        <v>1</v>
      </c>
      <c r="Y281" s="13" t="n">
        <f aca="false">IF(K281="Website",1,0)</f>
        <v>0</v>
      </c>
      <c r="Z281" s="13" t="n">
        <f aca="false">IF(K281="Agency",1,0)</f>
        <v>1</v>
      </c>
      <c r="AA281" s="13" t="n">
        <f aca="false">IF(K281="Client",1,0)</f>
        <v>0</v>
      </c>
      <c r="AB281" s="13" t="n">
        <f aca="false">(D281-AVERAGE(D$2:D$2001))/STDEV(D$2:D$2001)</f>
        <v>-1.50712359909381</v>
      </c>
      <c r="AC281" s="13" t="n">
        <f aca="false">(I281-AVERAGE(I$2:I$2001))/STDEV(I$2:I$2001)</f>
        <v>-0.0205155458339628</v>
      </c>
      <c r="AD281" s="13" t="n">
        <f aca="false">(L281-AVERAGE(L$2:L$2001))/STDEV(L$2:L$2001)</f>
        <v>0.413838214490712</v>
      </c>
      <c r="AE281" s="13" t="n">
        <f aca="false">(M281-AVERAGE(M$2:M$2001))/STDEV(M$2:M$2001)</f>
        <v>0.122539855999016</v>
      </c>
      <c r="AF281" s="13" t="n">
        <f aca="false">(N281-AVERAGE(N$2:N$2001))/STDEV(N$2:N$2001)</f>
        <v>-0.306077857891661</v>
      </c>
      <c r="AG281" s="13" t="n">
        <f aca="false">(O281-AVERAGE(O$2:O$2001))/STDEV(O$2:O$2001)</f>
        <v>0.0363324755139562</v>
      </c>
      <c r="AH281" s="0" t="str">
        <f aca="false">IF(B281="Company","C3 - Corporate Buyers",IF(AND(H281="Investment",M281&gt;'Segmentation Summary'!$C$1),"C1 - Global Investors",IF(AND(I281&gt;=4,M281&gt;'Segmentation Summary'!$C$1),"C4 - Luxury Investors",IF(AND(D281&lt;'Segmentation Summary'!$C$2,J281=1),"C2 - First-Time Buyers","C5 - Other Individual Buyers"))))</f>
        <v>C1 - Global Investors</v>
      </c>
    </row>
    <row r="282" customFormat="false" ht="15" hidden="false" customHeight="true" outlineLevel="0" collapsed="false">
      <c r="A282" s="13" t="s">
        <v>635</v>
      </c>
      <c r="B282" s="13" t="s">
        <v>34</v>
      </c>
      <c r="C282" s="13" t="s">
        <v>636</v>
      </c>
      <c r="D282" s="13" t="n">
        <v>38</v>
      </c>
      <c r="E282" s="13" t="s">
        <v>90</v>
      </c>
      <c r="F282" s="13" t="s">
        <v>33</v>
      </c>
      <c r="G282" s="13" t="s">
        <v>157</v>
      </c>
      <c r="H282" s="13" t="s">
        <v>43</v>
      </c>
      <c r="I282" s="13" t="n">
        <v>2</v>
      </c>
      <c r="J282" s="13" t="n">
        <v>0</v>
      </c>
      <c r="K282" s="13" t="s">
        <v>85</v>
      </c>
      <c r="L282" s="13" t="n">
        <v>8</v>
      </c>
      <c r="M282" s="13" t="n">
        <v>2131372.11</v>
      </c>
      <c r="N282" s="13" t="n">
        <v>266421.51375</v>
      </c>
      <c r="O282" s="13" t="n">
        <v>947.545</v>
      </c>
      <c r="P282" s="13" t="n">
        <v>3</v>
      </c>
      <c r="Q282" s="13" t="n">
        <v>5</v>
      </c>
      <c r="R282" s="13" t="s">
        <v>92</v>
      </c>
      <c r="S282" s="13" t="s">
        <v>87</v>
      </c>
      <c r="T282" s="13" t="n">
        <v>1</v>
      </c>
      <c r="U282" s="13" t="n">
        <f aca="false">IF(B282="Individual",1,0)</f>
        <v>1</v>
      </c>
      <c r="V282" s="13" t="n">
        <f aca="false">IF(B282="Company",1,0)</f>
        <v>0</v>
      </c>
      <c r="W282" s="13" t="n">
        <f aca="false">IF(H282="Home",1,0)</f>
        <v>0</v>
      </c>
      <c r="X282" s="13" t="n">
        <f aca="false">IF(H282="Investment",1,0)</f>
        <v>1</v>
      </c>
      <c r="Y282" s="13" t="n">
        <f aca="false">IF(K282="Website",1,0)</f>
        <v>1</v>
      </c>
      <c r="Z282" s="13" t="n">
        <f aca="false">IF(K282="Agency",1,0)</f>
        <v>0</v>
      </c>
      <c r="AA282" s="13" t="n">
        <f aca="false">IF(K282="Client",1,0)</f>
        <v>0</v>
      </c>
      <c r="AB282" s="13" t="n">
        <f aca="false">(D282-AVERAGE(D$2:D$2001))/STDEV(D$2:D$2001)</f>
        <v>-0.930499044212296</v>
      </c>
      <c r="AC282" s="13" t="n">
        <f aca="false">(I282-AVERAGE(I$2:I$2001))/STDEV(I$2:I$2001)</f>
        <v>-0.727948160798201</v>
      </c>
      <c r="AD282" s="13" t="n">
        <f aca="false">(L282-AVERAGE(L$2:L$2001))/STDEV(L$2:L$2001)</f>
        <v>5.17744356114639</v>
      </c>
      <c r="AE282" s="13" t="n">
        <f aca="false">(M282-AVERAGE(M$2:M$2001))/STDEV(M$2:M$2001)</f>
        <v>2.50408235286569</v>
      </c>
      <c r="AF282" s="13" t="n">
        <f aca="false">(N282-AVERAGE(N$2:N$2001))/STDEV(N$2:N$2001)</f>
        <v>-1.15700422077819</v>
      </c>
      <c r="AG282" s="13" t="n">
        <f aca="false">(O282-AVERAGE(O$2:O$2001))/STDEV(O$2:O$2001)</f>
        <v>-0.909113842093463</v>
      </c>
      <c r="AH282" s="0" t="str">
        <f aca="false">IF(B282="Company","C3 - Corporate Buyers",IF(AND(H282="Investment",M282&gt;'Segmentation Summary'!$C$1),"C1 - Global Investors",IF(AND(I282&gt;=4,M282&gt;'Segmentation Summary'!$C$1),"C4 - Luxury Investors",IF(AND(D282&lt;'Segmentation Summary'!$C$2,J282=1),"C2 - First-Time Buyers","C5 - Other Individual Buyers"))))</f>
        <v>C1 - Global Investors</v>
      </c>
    </row>
    <row r="283" customFormat="false" ht="15" hidden="false" customHeight="true" outlineLevel="0" collapsed="false">
      <c r="A283" s="13" t="s">
        <v>637</v>
      </c>
      <c r="B283" s="13" t="s">
        <v>34</v>
      </c>
      <c r="C283" s="13" t="s">
        <v>638</v>
      </c>
      <c r="D283" s="13" t="n">
        <v>78</v>
      </c>
      <c r="E283" s="13" t="s">
        <v>90</v>
      </c>
      <c r="F283" s="13" t="s">
        <v>33</v>
      </c>
      <c r="G283" s="13" t="s">
        <v>84</v>
      </c>
      <c r="H283" s="13" t="s">
        <v>43</v>
      </c>
      <c r="I283" s="13" t="n">
        <v>3</v>
      </c>
      <c r="J283" s="13" t="n">
        <v>1</v>
      </c>
      <c r="K283" s="13" t="s">
        <v>91</v>
      </c>
      <c r="L283" s="13" t="n">
        <v>3</v>
      </c>
      <c r="M283" s="13" t="n">
        <v>827605.63</v>
      </c>
      <c r="N283" s="13" t="n">
        <v>275868.543333333</v>
      </c>
      <c r="O283" s="13" t="n">
        <v>897.31</v>
      </c>
      <c r="P283" s="13" t="n">
        <v>0</v>
      </c>
      <c r="Q283" s="13" t="n">
        <v>3</v>
      </c>
      <c r="R283" s="13" t="s">
        <v>215</v>
      </c>
      <c r="S283" s="13" t="s">
        <v>114</v>
      </c>
      <c r="T283" s="13" t="n">
        <v>1</v>
      </c>
      <c r="U283" s="13" t="n">
        <f aca="false">IF(B283="Individual",1,0)</f>
        <v>1</v>
      </c>
      <c r="V283" s="13" t="n">
        <f aca="false">IF(B283="Company",1,0)</f>
        <v>0</v>
      </c>
      <c r="W283" s="13" t="n">
        <f aca="false">IF(H283="Home",1,0)</f>
        <v>0</v>
      </c>
      <c r="X283" s="13" t="n">
        <f aca="false">IF(H283="Investment",1,0)</f>
        <v>1</v>
      </c>
      <c r="Y283" s="13" t="n">
        <f aca="false">IF(K283="Website",1,0)</f>
        <v>0</v>
      </c>
      <c r="Z283" s="13" t="n">
        <f aca="false">IF(K283="Agency",1,0)</f>
        <v>1</v>
      </c>
      <c r="AA283" s="13" t="n">
        <f aca="false">IF(K283="Client",1,0)</f>
        <v>0</v>
      </c>
      <c r="AB283" s="13" t="n">
        <f aca="false">(D283-AVERAGE(D$2:D$2001))/STDEV(D$2:D$2001)</f>
        <v>1.37599917531375</v>
      </c>
      <c r="AC283" s="13" t="n">
        <f aca="false">(I283-AVERAGE(I$2:I$2001))/STDEV(I$2:I$2001)</f>
        <v>-0.0205155458339628</v>
      </c>
      <c r="AD283" s="13" t="n">
        <f aca="false">(L283-AVERAGE(L$2:L$2001))/STDEV(L$2:L$2001)</f>
        <v>-0.777063122173208</v>
      </c>
      <c r="AE283" s="13" t="n">
        <f aca="false">(M283-AVERAGE(M$2:M$2001))/STDEV(M$2:M$2001)</f>
        <v>-1.24419694461</v>
      </c>
      <c r="AF283" s="13" t="n">
        <f aca="false">(N283-AVERAGE(N$2:N$2001))/STDEV(N$2:N$2001)</f>
        <v>-1.02150819761722</v>
      </c>
      <c r="AG283" s="13" t="n">
        <f aca="false">(O283-AVERAGE(O$2:O$2001))/STDEV(O$2:O$2001)</f>
        <v>-1.13753512748487</v>
      </c>
      <c r="AH283" s="0" t="str">
        <f aca="false">IF(B283="Company","C3 - Corporate Buyers",IF(AND(H283="Investment",M283&gt;'Segmentation Summary'!$C$1),"C1 - Global Investors",IF(AND(I283&gt;=4,M283&gt;'Segmentation Summary'!$C$1),"C4 - Luxury Investors",IF(AND(D283&lt;'Segmentation Summary'!$C$2,J283=1),"C2 - First-Time Buyers","C5 - Other Individual Buyers"))))</f>
        <v>C5 - Other Individual Buyers</v>
      </c>
    </row>
    <row r="284" customFormat="false" ht="15" hidden="false" customHeight="true" outlineLevel="0" collapsed="false">
      <c r="A284" s="13" t="s">
        <v>639</v>
      </c>
      <c r="B284" s="13" t="s">
        <v>34</v>
      </c>
      <c r="C284" s="13" t="s">
        <v>640</v>
      </c>
      <c r="D284" s="13" t="n">
        <v>41</v>
      </c>
      <c r="E284" s="13" t="s">
        <v>90</v>
      </c>
      <c r="F284" s="13" t="s">
        <v>33</v>
      </c>
      <c r="G284" s="13" t="s">
        <v>120</v>
      </c>
      <c r="H284" s="13" t="s">
        <v>41</v>
      </c>
      <c r="I284" s="13" t="n">
        <v>5</v>
      </c>
      <c r="J284" s="13" t="n">
        <v>0</v>
      </c>
      <c r="K284" s="13" t="s">
        <v>85</v>
      </c>
      <c r="L284" s="13" t="n">
        <v>3</v>
      </c>
      <c r="M284" s="13" t="n">
        <v>1205890.37</v>
      </c>
      <c r="N284" s="13" t="n">
        <v>401963.456666667</v>
      </c>
      <c r="O284" s="13" t="n">
        <v>1357.19333333333</v>
      </c>
      <c r="P284" s="13" t="n">
        <v>1</v>
      </c>
      <c r="Q284" s="13" t="n">
        <v>2</v>
      </c>
      <c r="R284" s="13" t="s">
        <v>101</v>
      </c>
      <c r="S284" s="13" t="s">
        <v>114</v>
      </c>
      <c r="T284" s="13" t="n">
        <v>1</v>
      </c>
      <c r="U284" s="13" t="n">
        <f aca="false">IF(B284="Individual",1,0)</f>
        <v>1</v>
      </c>
      <c r="V284" s="13" t="n">
        <f aca="false">IF(B284="Company",1,0)</f>
        <v>0</v>
      </c>
      <c r="W284" s="13" t="n">
        <f aca="false">IF(H284="Home",1,0)</f>
        <v>1</v>
      </c>
      <c r="X284" s="13" t="n">
        <f aca="false">IF(H284="Investment",1,0)</f>
        <v>0</v>
      </c>
      <c r="Y284" s="13" t="n">
        <f aca="false">IF(K284="Website",1,0)</f>
        <v>1</v>
      </c>
      <c r="Z284" s="13" t="n">
        <f aca="false">IF(K284="Agency",1,0)</f>
        <v>0</v>
      </c>
      <c r="AA284" s="13" t="n">
        <f aca="false">IF(K284="Client",1,0)</f>
        <v>0</v>
      </c>
      <c r="AB284" s="13" t="n">
        <f aca="false">(D284-AVERAGE(D$2:D$2001))/STDEV(D$2:D$2001)</f>
        <v>-0.757511677747842</v>
      </c>
      <c r="AC284" s="13" t="n">
        <f aca="false">(I284-AVERAGE(I$2:I$2001))/STDEV(I$2:I$2001)</f>
        <v>1.39434968409451</v>
      </c>
      <c r="AD284" s="13" t="n">
        <f aca="false">(L284-AVERAGE(L$2:L$2001))/STDEV(L$2:L$2001)</f>
        <v>-0.777063122173208</v>
      </c>
      <c r="AE284" s="13" t="n">
        <f aca="false">(M284-AVERAGE(M$2:M$2001))/STDEV(M$2:M$2001)</f>
        <v>-0.156642630824474</v>
      </c>
      <c r="AF284" s="13" t="n">
        <f aca="false">(N284-AVERAGE(N$2:N$2001))/STDEV(N$2:N$2001)</f>
        <v>0.787034810190909</v>
      </c>
      <c r="AG284" s="13" t="n">
        <f aca="false">(O284-AVERAGE(O$2:O$2001))/STDEV(O$2:O$2001)</f>
        <v>0.953579476478201</v>
      </c>
      <c r="AH284" s="0" t="str">
        <f aca="false">IF(B284="Company","C3 - Corporate Buyers",IF(AND(H284="Investment",M284&gt;'Segmentation Summary'!$C$1),"C1 - Global Investors",IF(AND(I284&gt;=4,M284&gt;'Segmentation Summary'!$C$1),"C4 - Luxury Investors",IF(AND(D284&lt;'Segmentation Summary'!$C$2,J284=1),"C2 - First-Time Buyers","C5 - Other Individual Buyers"))))</f>
        <v>C5 - Other Individual Buyers</v>
      </c>
    </row>
    <row r="285" customFormat="false" ht="15" hidden="false" customHeight="true" outlineLevel="0" collapsed="false">
      <c r="A285" s="13" t="s">
        <v>641</v>
      </c>
      <c r="B285" s="13" t="s">
        <v>34</v>
      </c>
      <c r="C285" s="13" t="s">
        <v>642</v>
      </c>
      <c r="D285" s="13" t="n">
        <v>71</v>
      </c>
      <c r="E285" s="13" t="s">
        <v>83</v>
      </c>
      <c r="F285" s="13" t="s">
        <v>33</v>
      </c>
      <c r="G285" s="13" t="s">
        <v>84</v>
      </c>
      <c r="H285" s="13" t="s">
        <v>43</v>
      </c>
      <c r="I285" s="13" t="n">
        <v>2</v>
      </c>
      <c r="J285" s="13" t="n">
        <v>0</v>
      </c>
      <c r="K285" s="13" t="s">
        <v>85</v>
      </c>
      <c r="L285" s="13" t="n">
        <v>6</v>
      </c>
      <c r="M285" s="13" t="n">
        <v>2246488.58</v>
      </c>
      <c r="N285" s="13" t="n">
        <v>374414.763333333</v>
      </c>
      <c r="O285" s="13" t="n">
        <v>1129.49166666667</v>
      </c>
      <c r="P285" s="13" t="n">
        <v>1</v>
      </c>
      <c r="Q285" s="13" t="n">
        <v>5</v>
      </c>
      <c r="R285" s="13" t="s">
        <v>98</v>
      </c>
      <c r="S285" s="13" t="s">
        <v>125</v>
      </c>
      <c r="T285" s="13" t="n">
        <v>1</v>
      </c>
      <c r="U285" s="13" t="n">
        <f aca="false">IF(B285="Individual",1,0)</f>
        <v>1</v>
      </c>
      <c r="V285" s="13" t="n">
        <f aca="false">IF(B285="Company",1,0)</f>
        <v>0</v>
      </c>
      <c r="W285" s="13" t="n">
        <f aca="false">IF(H285="Home",1,0)</f>
        <v>0</v>
      </c>
      <c r="X285" s="13" t="n">
        <f aca="false">IF(H285="Investment",1,0)</f>
        <v>1</v>
      </c>
      <c r="Y285" s="13" t="n">
        <f aca="false">IF(K285="Website",1,0)</f>
        <v>1</v>
      </c>
      <c r="Z285" s="13" t="n">
        <f aca="false">IF(K285="Agency",1,0)</f>
        <v>0</v>
      </c>
      <c r="AA285" s="13" t="n">
        <f aca="false">IF(K285="Client",1,0)</f>
        <v>0</v>
      </c>
      <c r="AB285" s="13" t="n">
        <f aca="false">(D285-AVERAGE(D$2:D$2001))/STDEV(D$2:D$2001)</f>
        <v>0.972361986896694</v>
      </c>
      <c r="AC285" s="13" t="n">
        <f aca="false">(I285-AVERAGE(I$2:I$2001))/STDEV(I$2:I$2001)</f>
        <v>-0.727948160798201</v>
      </c>
      <c r="AD285" s="13" t="n">
        <f aca="false">(L285-AVERAGE(L$2:L$2001))/STDEV(L$2:L$2001)</f>
        <v>2.79564088781855</v>
      </c>
      <c r="AE285" s="13" t="n">
        <f aca="false">(M285-AVERAGE(M$2:M$2001))/STDEV(M$2:M$2001)</f>
        <v>2.83503784828499</v>
      </c>
      <c r="AF285" s="13" t="n">
        <f aca="false">(N285-AVERAGE(N$2:N$2001))/STDEV(N$2:N$2001)</f>
        <v>0.391911839841235</v>
      </c>
      <c r="AG285" s="13" t="n">
        <f aca="false">(O285-AVERAGE(O$2:O$2001))/STDEV(O$2:O$2001)</f>
        <v>-0.0817924233080948</v>
      </c>
      <c r="AH285" s="0" t="str">
        <f aca="false">IF(B285="Company","C3 - Corporate Buyers",IF(AND(H285="Investment",M285&gt;'Segmentation Summary'!$C$1),"C1 - Global Investors",IF(AND(I285&gt;=4,M285&gt;'Segmentation Summary'!$C$1),"C4 - Luxury Investors",IF(AND(D285&lt;'Segmentation Summary'!$C$2,J285=1),"C2 - First-Time Buyers","C5 - Other Individual Buyers"))))</f>
        <v>C1 - Global Investors</v>
      </c>
    </row>
    <row r="286" customFormat="false" ht="15" hidden="false" customHeight="true" outlineLevel="0" collapsed="false">
      <c r="A286" s="13" t="s">
        <v>643</v>
      </c>
      <c r="B286" s="13" t="s">
        <v>34</v>
      </c>
      <c r="C286" s="13" t="s">
        <v>644</v>
      </c>
      <c r="D286" s="13" t="n">
        <v>74</v>
      </c>
      <c r="E286" s="13" t="s">
        <v>83</v>
      </c>
      <c r="F286" s="13" t="s">
        <v>38</v>
      </c>
      <c r="G286" s="13" t="s">
        <v>183</v>
      </c>
      <c r="H286" s="13" t="s">
        <v>43</v>
      </c>
      <c r="I286" s="13" t="n">
        <v>2</v>
      </c>
      <c r="J286" s="13" t="n">
        <v>0</v>
      </c>
      <c r="K286" s="13" t="s">
        <v>85</v>
      </c>
      <c r="L286" s="13" t="n">
        <v>3</v>
      </c>
      <c r="M286" s="13" t="n">
        <v>1025274.77</v>
      </c>
      <c r="N286" s="13" t="n">
        <v>341758.256666667</v>
      </c>
      <c r="O286" s="13" t="n">
        <v>1102.86333333333</v>
      </c>
      <c r="P286" s="13" t="n">
        <v>0</v>
      </c>
      <c r="Q286" s="13" t="n">
        <v>3</v>
      </c>
      <c r="R286" s="13" t="s">
        <v>124</v>
      </c>
      <c r="S286" s="13" t="s">
        <v>111</v>
      </c>
      <c r="T286" s="13" t="n">
        <v>1</v>
      </c>
      <c r="U286" s="13" t="n">
        <f aca="false">IF(B286="Individual",1,0)</f>
        <v>1</v>
      </c>
      <c r="V286" s="13" t="n">
        <f aca="false">IF(B286="Company",1,0)</f>
        <v>0</v>
      </c>
      <c r="W286" s="13" t="n">
        <f aca="false">IF(H286="Home",1,0)</f>
        <v>0</v>
      </c>
      <c r="X286" s="13" t="n">
        <f aca="false">IF(H286="Investment",1,0)</f>
        <v>1</v>
      </c>
      <c r="Y286" s="13" t="n">
        <f aca="false">IF(K286="Website",1,0)</f>
        <v>1</v>
      </c>
      <c r="Z286" s="13" t="n">
        <f aca="false">IF(K286="Agency",1,0)</f>
        <v>0</v>
      </c>
      <c r="AA286" s="13" t="n">
        <f aca="false">IF(K286="Client",1,0)</f>
        <v>0</v>
      </c>
      <c r="AB286" s="13" t="n">
        <f aca="false">(D286-AVERAGE(D$2:D$2001))/STDEV(D$2:D$2001)</f>
        <v>1.14534935336115</v>
      </c>
      <c r="AC286" s="13" t="n">
        <f aca="false">(I286-AVERAGE(I$2:I$2001))/STDEV(I$2:I$2001)</f>
        <v>-0.727948160798201</v>
      </c>
      <c r="AD286" s="13" t="n">
        <f aca="false">(L286-AVERAGE(L$2:L$2001))/STDEV(L$2:L$2001)</f>
        <v>-0.777063122173208</v>
      </c>
      <c r="AE286" s="13" t="n">
        <f aca="false">(M286-AVERAGE(M$2:M$2001))/STDEV(M$2:M$2001)</f>
        <v>-0.67590564660714</v>
      </c>
      <c r="AF286" s="13" t="n">
        <f aca="false">(N286-AVERAGE(N$2:N$2001))/STDEV(N$2:N$2001)</f>
        <v>-0.0764710253367635</v>
      </c>
      <c r="AG286" s="13" t="n">
        <f aca="false">(O286-AVERAGE(O$2:O$2001))/STDEV(O$2:O$2001)</f>
        <v>-0.202872907588624</v>
      </c>
      <c r="AH286" s="0" t="str">
        <f aca="false">IF(B286="Company","C3 - Corporate Buyers",IF(AND(H286="Investment",M286&gt;'Segmentation Summary'!$C$1),"C1 - Global Investors",IF(AND(I286&gt;=4,M286&gt;'Segmentation Summary'!$C$1),"C4 - Luxury Investors",IF(AND(D286&lt;'Segmentation Summary'!$C$2,J286=1),"C2 - First-Time Buyers","C5 - Other Individual Buyers"))))</f>
        <v>C5 - Other Individual Buyers</v>
      </c>
    </row>
    <row r="287" customFormat="false" ht="15" hidden="false" customHeight="true" outlineLevel="0" collapsed="false">
      <c r="A287" s="13" t="s">
        <v>645</v>
      </c>
      <c r="B287" s="13" t="s">
        <v>34</v>
      </c>
      <c r="C287" s="13" t="s">
        <v>646</v>
      </c>
      <c r="D287" s="13" t="n">
        <v>71</v>
      </c>
      <c r="E287" s="13" t="s">
        <v>83</v>
      </c>
      <c r="F287" s="13" t="s">
        <v>35</v>
      </c>
      <c r="G287" s="13" t="s">
        <v>185</v>
      </c>
      <c r="H287" s="13" t="s">
        <v>43</v>
      </c>
      <c r="I287" s="13" t="n">
        <v>3</v>
      </c>
      <c r="J287" s="13" t="n">
        <v>0</v>
      </c>
      <c r="K287" s="13" t="s">
        <v>85</v>
      </c>
      <c r="L287" s="13" t="n">
        <v>4</v>
      </c>
      <c r="M287" s="13" t="n">
        <v>1871670.17</v>
      </c>
      <c r="N287" s="13" t="n">
        <v>467917.5425</v>
      </c>
      <c r="O287" s="13" t="n">
        <v>1699.3675</v>
      </c>
      <c r="P287" s="13" t="n">
        <v>1</v>
      </c>
      <c r="Q287" s="13" t="n">
        <v>3</v>
      </c>
      <c r="R287" s="13" t="s">
        <v>86</v>
      </c>
      <c r="S287" s="13" t="s">
        <v>125</v>
      </c>
      <c r="T287" s="13" t="n">
        <v>1</v>
      </c>
      <c r="U287" s="13" t="n">
        <f aca="false">IF(B287="Individual",1,0)</f>
        <v>1</v>
      </c>
      <c r="V287" s="13" t="n">
        <f aca="false">IF(B287="Company",1,0)</f>
        <v>0</v>
      </c>
      <c r="W287" s="13" t="n">
        <f aca="false">IF(H287="Home",1,0)</f>
        <v>0</v>
      </c>
      <c r="X287" s="13" t="n">
        <f aca="false">IF(H287="Investment",1,0)</f>
        <v>1</v>
      </c>
      <c r="Y287" s="13" t="n">
        <f aca="false">IF(K287="Website",1,0)</f>
        <v>1</v>
      </c>
      <c r="Z287" s="13" t="n">
        <f aca="false">IF(K287="Agency",1,0)</f>
        <v>0</v>
      </c>
      <c r="AA287" s="13" t="n">
        <f aca="false">IF(K287="Client",1,0)</f>
        <v>0</v>
      </c>
      <c r="AB287" s="13" t="n">
        <f aca="false">(D287-AVERAGE(D$2:D$2001))/STDEV(D$2:D$2001)</f>
        <v>0.972361986896694</v>
      </c>
      <c r="AC287" s="13" t="n">
        <f aca="false">(I287-AVERAGE(I$2:I$2001))/STDEV(I$2:I$2001)</f>
        <v>-0.0205155458339628</v>
      </c>
      <c r="AD287" s="13" t="n">
        <f aca="false">(L287-AVERAGE(L$2:L$2001))/STDEV(L$2:L$2001)</f>
        <v>0.413838214490712</v>
      </c>
      <c r="AE287" s="13" t="n">
        <f aca="false">(M287-AVERAGE(M$2:M$2001))/STDEV(M$2:M$2001)</f>
        <v>1.75744910208885</v>
      </c>
      <c r="AF287" s="13" t="n">
        <f aca="false">(N287-AVERAGE(N$2:N$2001))/STDEV(N$2:N$2001)</f>
        <v>1.73299525868998</v>
      </c>
      <c r="AG287" s="13" t="n">
        <f aca="false">(O287-AVERAGE(O$2:O$2001))/STDEV(O$2:O$2001)</f>
        <v>2.50946407840385</v>
      </c>
      <c r="AH287" s="0" t="str">
        <f aca="false">IF(B287="Company","C3 - Corporate Buyers",IF(AND(H287="Investment",M287&gt;'Segmentation Summary'!$C$1),"C1 - Global Investors",IF(AND(I287&gt;=4,M287&gt;'Segmentation Summary'!$C$1),"C4 - Luxury Investors",IF(AND(D287&lt;'Segmentation Summary'!$C$2,J287=1),"C2 - First-Time Buyers","C5 - Other Individual Buyers"))))</f>
        <v>C1 - Global Investors</v>
      </c>
    </row>
    <row r="288" customFormat="false" ht="15" hidden="false" customHeight="true" outlineLevel="0" collapsed="false">
      <c r="A288" s="13" t="s">
        <v>647</v>
      </c>
      <c r="B288" s="13" t="s">
        <v>34</v>
      </c>
      <c r="C288" s="13" t="s">
        <v>648</v>
      </c>
      <c r="D288" s="13" t="n">
        <v>55</v>
      </c>
      <c r="E288" s="13" t="s">
        <v>83</v>
      </c>
      <c r="F288" s="13" t="s">
        <v>33</v>
      </c>
      <c r="G288" s="13" t="s">
        <v>95</v>
      </c>
      <c r="H288" s="13" t="s">
        <v>41</v>
      </c>
      <c r="I288" s="13" t="n">
        <v>5</v>
      </c>
      <c r="J288" s="13" t="n">
        <v>1</v>
      </c>
      <c r="K288" s="13" t="s">
        <v>85</v>
      </c>
      <c r="L288" s="13" t="n">
        <v>4</v>
      </c>
      <c r="M288" s="13" t="n">
        <v>1544751.33</v>
      </c>
      <c r="N288" s="13" t="n">
        <v>386187.8325</v>
      </c>
      <c r="O288" s="13" t="n">
        <v>1246.6175</v>
      </c>
      <c r="P288" s="13" t="n">
        <v>0</v>
      </c>
      <c r="Q288" s="13" t="n">
        <v>4</v>
      </c>
      <c r="R288" s="13" t="s">
        <v>92</v>
      </c>
      <c r="S288" s="13" t="s">
        <v>141</v>
      </c>
      <c r="T288" s="13" t="n">
        <v>1</v>
      </c>
      <c r="U288" s="13" t="n">
        <f aca="false">IF(B288="Individual",1,0)</f>
        <v>1</v>
      </c>
      <c r="V288" s="13" t="n">
        <f aca="false">IF(B288="Company",1,0)</f>
        <v>0</v>
      </c>
      <c r="W288" s="13" t="n">
        <f aca="false">IF(H288="Home",1,0)</f>
        <v>1</v>
      </c>
      <c r="X288" s="13" t="n">
        <f aca="false">IF(H288="Investment",1,0)</f>
        <v>0</v>
      </c>
      <c r="Y288" s="13" t="n">
        <f aca="false">IF(K288="Website",1,0)</f>
        <v>1</v>
      </c>
      <c r="Z288" s="13" t="n">
        <f aca="false">IF(K288="Agency",1,0)</f>
        <v>0</v>
      </c>
      <c r="AA288" s="13" t="n">
        <f aca="false">IF(K288="Client",1,0)</f>
        <v>0</v>
      </c>
      <c r="AB288" s="13" t="n">
        <f aca="false">(D288-AVERAGE(D$2:D$2001))/STDEV(D$2:D$2001)</f>
        <v>0.0497626990862745</v>
      </c>
      <c r="AC288" s="13" t="n">
        <f aca="false">(I288-AVERAGE(I$2:I$2001))/STDEV(I$2:I$2001)</f>
        <v>1.39434968409451</v>
      </c>
      <c r="AD288" s="13" t="n">
        <f aca="false">(L288-AVERAGE(L$2:L$2001))/STDEV(L$2:L$2001)</f>
        <v>0.413838214490712</v>
      </c>
      <c r="AE288" s="13" t="n">
        <f aca="false">(M288-AVERAGE(M$2:M$2001))/STDEV(M$2:M$2001)</f>
        <v>0.817569807196436</v>
      </c>
      <c r="AF288" s="13" t="n">
        <f aca="false">(N288-AVERAGE(N$2:N$2001))/STDEV(N$2:N$2001)</f>
        <v>0.560769578499821</v>
      </c>
      <c r="AG288" s="13" t="n">
        <f aca="false">(O288-AVERAGE(O$2:O$2001))/STDEV(O$2:O$2001)</f>
        <v>0.450785130241008</v>
      </c>
      <c r="AH288" s="0" t="str">
        <f aca="false">IF(B288="Company","C3 - Corporate Buyers",IF(AND(H288="Investment",M288&gt;'Segmentation Summary'!$C$1),"C1 - Global Investors",IF(AND(I288&gt;=4,M288&gt;'Segmentation Summary'!$C$1),"C4 - Luxury Investors",IF(AND(D288&lt;'Segmentation Summary'!$C$2,J288=1),"C2 - First-Time Buyers","C5 - Other Individual Buyers"))))</f>
        <v>C4 - Luxury Investors</v>
      </c>
    </row>
    <row r="289" customFormat="false" ht="15" hidden="false" customHeight="true" outlineLevel="0" collapsed="false">
      <c r="A289" s="13" t="s">
        <v>649</v>
      </c>
      <c r="B289" s="13" t="s">
        <v>34</v>
      </c>
      <c r="C289" s="13" t="s">
        <v>650</v>
      </c>
      <c r="D289" s="13" t="n">
        <v>56</v>
      </c>
      <c r="E289" s="13" t="s">
        <v>83</v>
      </c>
      <c r="F289" s="13" t="s">
        <v>33</v>
      </c>
      <c r="G289" s="13" t="s">
        <v>265</v>
      </c>
      <c r="H289" s="13" t="s">
        <v>41</v>
      </c>
      <c r="I289" s="13" t="n">
        <v>3</v>
      </c>
      <c r="J289" s="13" t="n">
        <v>0</v>
      </c>
      <c r="K289" s="13" t="s">
        <v>91</v>
      </c>
      <c r="L289" s="13" t="n">
        <v>3</v>
      </c>
      <c r="M289" s="13" t="n">
        <v>982803</v>
      </c>
      <c r="N289" s="13" t="n">
        <v>327601</v>
      </c>
      <c r="O289" s="13" t="n">
        <v>1113.29</v>
      </c>
      <c r="P289" s="13" t="n">
        <v>1</v>
      </c>
      <c r="Q289" s="13" t="n">
        <v>2</v>
      </c>
      <c r="R289" s="13" t="s">
        <v>117</v>
      </c>
      <c r="S289" s="13" t="s">
        <v>128</v>
      </c>
      <c r="T289" s="13" t="n">
        <v>1</v>
      </c>
      <c r="U289" s="13" t="n">
        <f aca="false">IF(B289="Individual",1,0)</f>
        <v>1</v>
      </c>
      <c r="V289" s="13" t="n">
        <f aca="false">IF(B289="Company",1,0)</f>
        <v>0</v>
      </c>
      <c r="W289" s="13" t="n">
        <f aca="false">IF(H289="Home",1,0)</f>
        <v>1</v>
      </c>
      <c r="X289" s="13" t="n">
        <f aca="false">IF(H289="Investment",1,0)</f>
        <v>0</v>
      </c>
      <c r="Y289" s="13" t="n">
        <f aca="false">IF(K289="Website",1,0)</f>
        <v>0</v>
      </c>
      <c r="Z289" s="13" t="n">
        <f aca="false">IF(K289="Agency",1,0)</f>
        <v>1</v>
      </c>
      <c r="AA289" s="13" t="n">
        <f aca="false">IF(K289="Client",1,0)</f>
        <v>0</v>
      </c>
      <c r="AB289" s="13" t="n">
        <f aca="false">(D289-AVERAGE(D$2:D$2001))/STDEV(D$2:D$2001)</f>
        <v>0.107425154574426</v>
      </c>
      <c r="AC289" s="13" t="n">
        <f aca="false">(I289-AVERAGE(I$2:I$2001))/STDEV(I$2:I$2001)</f>
        <v>-0.0205155458339628</v>
      </c>
      <c r="AD289" s="13" t="n">
        <f aca="false">(L289-AVERAGE(L$2:L$2001))/STDEV(L$2:L$2001)</f>
        <v>-0.777063122173208</v>
      </c>
      <c r="AE289" s="13" t="n">
        <f aca="false">(M289-AVERAGE(M$2:M$2001))/STDEV(M$2:M$2001)</f>
        <v>-0.798010378290492</v>
      </c>
      <c r="AF289" s="13" t="n">
        <f aca="false">(N289-AVERAGE(N$2:N$2001))/STDEV(N$2:N$2001)</f>
        <v>-0.279524478306441</v>
      </c>
      <c r="AG289" s="13" t="n">
        <f aca="false">(O289-AVERAGE(O$2:O$2001))/STDEV(O$2:O$2001)</f>
        <v>-0.155462285465632</v>
      </c>
      <c r="AH289" s="0" t="str">
        <f aca="false">IF(B289="Company","C3 - Corporate Buyers",IF(AND(H289="Investment",M289&gt;'Segmentation Summary'!$C$1),"C1 - Global Investors",IF(AND(I289&gt;=4,M289&gt;'Segmentation Summary'!$C$1),"C4 - Luxury Investors",IF(AND(D289&lt;'Segmentation Summary'!$C$2,J289=1),"C2 - First-Time Buyers","C5 - Other Individual Buyers"))))</f>
        <v>C5 - Other Individual Buyers</v>
      </c>
    </row>
    <row r="290" customFormat="false" ht="15" hidden="false" customHeight="true" outlineLevel="0" collapsed="false">
      <c r="A290" s="13" t="s">
        <v>651</v>
      </c>
      <c r="B290" s="13" t="s">
        <v>34</v>
      </c>
      <c r="C290" s="13" t="s">
        <v>652</v>
      </c>
      <c r="D290" s="13" t="n">
        <v>77</v>
      </c>
      <c r="E290" s="13" t="s">
        <v>83</v>
      </c>
      <c r="F290" s="13" t="s">
        <v>33</v>
      </c>
      <c r="G290" s="13" t="s">
        <v>207</v>
      </c>
      <c r="H290" s="13" t="s">
        <v>41</v>
      </c>
      <c r="I290" s="13" t="n">
        <v>4</v>
      </c>
      <c r="J290" s="13" t="n">
        <v>0</v>
      </c>
      <c r="K290" s="13" t="s">
        <v>85</v>
      </c>
      <c r="L290" s="13" t="n">
        <v>4</v>
      </c>
      <c r="M290" s="13" t="n">
        <v>1612088.13</v>
      </c>
      <c r="N290" s="13" t="n">
        <v>403022.0325</v>
      </c>
      <c r="O290" s="13" t="n">
        <v>1374.585</v>
      </c>
      <c r="P290" s="13" t="n">
        <v>0</v>
      </c>
      <c r="Q290" s="13" t="n">
        <v>4</v>
      </c>
      <c r="R290" s="13" t="s">
        <v>92</v>
      </c>
      <c r="S290" s="13" t="s">
        <v>125</v>
      </c>
      <c r="T290" s="13" t="n">
        <v>1</v>
      </c>
      <c r="U290" s="13" t="n">
        <f aca="false">IF(B290="Individual",1,0)</f>
        <v>1</v>
      </c>
      <c r="V290" s="13" t="n">
        <f aca="false">IF(B290="Company",1,0)</f>
        <v>0</v>
      </c>
      <c r="W290" s="13" t="n">
        <f aca="false">IF(H290="Home",1,0)</f>
        <v>1</v>
      </c>
      <c r="X290" s="13" t="n">
        <f aca="false">IF(H290="Investment",1,0)</f>
        <v>0</v>
      </c>
      <c r="Y290" s="13" t="n">
        <f aca="false">IF(K290="Website",1,0)</f>
        <v>1</v>
      </c>
      <c r="Z290" s="13" t="n">
        <f aca="false">IF(K290="Agency",1,0)</f>
        <v>0</v>
      </c>
      <c r="AA290" s="13" t="n">
        <f aca="false">IF(K290="Client",1,0)</f>
        <v>0</v>
      </c>
      <c r="AB290" s="13" t="n">
        <f aca="false">(D290-AVERAGE(D$2:D$2001))/STDEV(D$2:D$2001)</f>
        <v>1.3183367198256</v>
      </c>
      <c r="AC290" s="13" t="n">
        <f aca="false">(I290-AVERAGE(I$2:I$2001))/STDEV(I$2:I$2001)</f>
        <v>0.686917069130275</v>
      </c>
      <c r="AD290" s="13" t="n">
        <f aca="false">(L290-AVERAGE(L$2:L$2001))/STDEV(L$2:L$2001)</f>
        <v>0.413838214490712</v>
      </c>
      <c r="AE290" s="13" t="n">
        <f aca="false">(M290-AVERAGE(M$2:M$2001))/STDEV(M$2:M$2001)</f>
        <v>1.01116055927518</v>
      </c>
      <c r="AF290" s="13" t="n">
        <f aca="false">(N290-AVERAGE(N$2:N$2001))/STDEV(N$2:N$2001)</f>
        <v>0.802217658340763</v>
      </c>
      <c r="AG290" s="13" t="n">
        <f aca="false">(O290-AVERAGE(O$2:O$2001))/STDEV(O$2:O$2001)</f>
        <v>1.03266033355195</v>
      </c>
      <c r="AH290" s="0" t="str">
        <f aca="false">IF(B290="Company","C3 - Corporate Buyers",IF(AND(H290="Investment",M290&gt;'Segmentation Summary'!$C$1),"C1 - Global Investors",IF(AND(I290&gt;=4,M290&gt;'Segmentation Summary'!$C$1),"C4 - Luxury Investors",IF(AND(D290&lt;'Segmentation Summary'!$C$2,J290=1),"C2 - First-Time Buyers","C5 - Other Individual Buyers"))))</f>
        <v>C4 - Luxury Investors</v>
      </c>
    </row>
    <row r="291" customFormat="false" ht="15" hidden="false" customHeight="true" outlineLevel="0" collapsed="false">
      <c r="A291" s="13" t="s">
        <v>653</v>
      </c>
      <c r="B291" s="13" t="s">
        <v>34</v>
      </c>
      <c r="C291" s="13" t="s">
        <v>654</v>
      </c>
      <c r="D291" s="13" t="n">
        <v>39</v>
      </c>
      <c r="E291" s="13" t="s">
        <v>83</v>
      </c>
      <c r="F291" s="13" t="s">
        <v>40</v>
      </c>
      <c r="G291" s="13" t="s">
        <v>219</v>
      </c>
      <c r="H291" s="13" t="s">
        <v>41</v>
      </c>
      <c r="I291" s="13" t="n">
        <v>1</v>
      </c>
      <c r="J291" s="13" t="n">
        <v>0</v>
      </c>
      <c r="K291" s="13" t="s">
        <v>85</v>
      </c>
      <c r="L291" s="13" t="n">
        <v>3</v>
      </c>
      <c r="M291" s="13" t="n">
        <v>1043494.32</v>
      </c>
      <c r="N291" s="13" t="n">
        <v>347831.44</v>
      </c>
      <c r="O291" s="13" t="n">
        <v>1167.27666666667</v>
      </c>
      <c r="P291" s="13" t="n">
        <v>0</v>
      </c>
      <c r="Q291" s="13" t="n">
        <v>3</v>
      </c>
      <c r="R291" s="13" t="s">
        <v>124</v>
      </c>
      <c r="S291" s="13" t="s">
        <v>164</v>
      </c>
      <c r="T291" s="13" t="n">
        <v>1</v>
      </c>
      <c r="U291" s="13" t="n">
        <f aca="false">IF(B291="Individual",1,0)</f>
        <v>1</v>
      </c>
      <c r="V291" s="13" t="n">
        <f aca="false">IF(B291="Company",1,0)</f>
        <v>0</v>
      </c>
      <c r="W291" s="13" t="n">
        <f aca="false">IF(H291="Home",1,0)</f>
        <v>1</v>
      </c>
      <c r="X291" s="13" t="n">
        <f aca="false">IF(H291="Investment",1,0)</f>
        <v>0</v>
      </c>
      <c r="Y291" s="13" t="n">
        <f aca="false">IF(K291="Website",1,0)</f>
        <v>1</v>
      </c>
      <c r="Z291" s="13" t="n">
        <f aca="false">IF(K291="Agency",1,0)</f>
        <v>0</v>
      </c>
      <c r="AA291" s="13" t="n">
        <f aca="false">IF(K291="Client",1,0)</f>
        <v>0</v>
      </c>
      <c r="AB291" s="13" t="n">
        <f aca="false">(D291-AVERAGE(D$2:D$2001))/STDEV(D$2:D$2001)</f>
        <v>-0.872836588724145</v>
      </c>
      <c r="AC291" s="13" t="n">
        <f aca="false">(I291-AVERAGE(I$2:I$2001))/STDEV(I$2:I$2001)</f>
        <v>-1.43538077576244</v>
      </c>
      <c r="AD291" s="13" t="n">
        <f aca="false">(L291-AVERAGE(L$2:L$2001))/STDEV(L$2:L$2001)</f>
        <v>-0.777063122173208</v>
      </c>
      <c r="AE291" s="13" t="n">
        <f aca="false">(M291-AVERAGE(M$2:M$2001))/STDEV(M$2:M$2001)</f>
        <v>-0.623525129756973</v>
      </c>
      <c r="AF291" s="13" t="n">
        <f aca="false">(N291-AVERAGE(N$2:N$2001))/STDEV(N$2:N$2001)</f>
        <v>0.0106348932311085</v>
      </c>
      <c r="AG291" s="13" t="n">
        <f aca="false">(O291-AVERAGE(O$2:O$2001))/STDEV(O$2:O$2001)</f>
        <v>0.0900180329179308</v>
      </c>
      <c r="AH291" s="0" t="str">
        <f aca="false">IF(B291="Company","C3 - Corporate Buyers",IF(AND(H291="Investment",M291&gt;'Segmentation Summary'!$C$1),"C1 - Global Investors",IF(AND(I291&gt;=4,M291&gt;'Segmentation Summary'!$C$1),"C4 - Luxury Investors",IF(AND(D291&lt;'Segmentation Summary'!$C$2,J291=1),"C2 - First-Time Buyers","C5 - Other Individual Buyers"))))</f>
        <v>C5 - Other Individual Buyers</v>
      </c>
    </row>
    <row r="292" customFormat="false" ht="15" hidden="false" customHeight="true" outlineLevel="0" collapsed="false">
      <c r="A292" s="13" t="s">
        <v>655</v>
      </c>
      <c r="B292" s="13" t="s">
        <v>34</v>
      </c>
      <c r="C292" s="13" t="s">
        <v>656</v>
      </c>
      <c r="D292" s="13" t="n">
        <v>66</v>
      </c>
      <c r="E292" s="13" t="s">
        <v>90</v>
      </c>
      <c r="F292" s="13" t="s">
        <v>33</v>
      </c>
      <c r="G292" s="13" t="s">
        <v>95</v>
      </c>
      <c r="H292" s="13" t="s">
        <v>41</v>
      </c>
      <c r="I292" s="13" t="n">
        <v>3</v>
      </c>
      <c r="J292" s="13" t="n">
        <v>0</v>
      </c>
      <c r="K292" s="13" t="s">
        <v>116</v>
      </c>
      <c r="L292" s="13" t="n">
        <v>5</v>
      </c>
      <c r="M292" s="13" t="n">
        <v>1791082.79</v>
      </c>
      <c r="N292" s="13" t="n">
        <v>358216.558</v>
      </c>
      <c r="O292" s="13" t="n">
        <v>1266.366</v>
      </c>
      <c r="P292" s="13" t="n">
        <v>1</v>
      </c>
      <c r="Q292" s="13" t="n">
        <v>4</v>
      </c>
      <c r="R292" s="13" t="s">
        <v>128</v>
      </c>
      <c r="S292" s="13" t="s">
        <v>215</v>
      </c>
      <c r="T292" s="13" t="n">
        <v>1</v>
      </c>
      <c r="U292" s="13" t="n">
        <f aca="false">IF(B292="Individual",1,0)</f>
        <v>1</v>
      </c>
      <c r="V292" s="13" t="n">
        <f aca="false">IF(B292="Company",1,0)</f>
        <v>0</v>
      </c>
      <c r="W292" s="13" t="n">
        <f aca="false">IF(H292="Home",1,0)</f>
        <v>1</v>
      </c>
      <c r="X292" s="13" t="n">
        <f aca="false">IF(H292="Investment",1,0)</f>
        <v>0</v>
      </c>
      <c r="Y292" s="13" t="n">
        <f aca="false">IF(K292="Website",1,0)</f>
        <v>0</v>
      </c>
      <c r="Z292" s="13" t="n">
        <f aca="false">IF(K292="Agency",1,0)</f>
        <v>0</v>
      </c>
      <c r="AA292" s="13" t="n">
        <f aca="false">IF(K292="Client",1,0)</f>
        <v>1</v>
      </c>
      <c r="AB292" s="13" t="n">
        <f aca="false">(D292-AVERAGE(D$2:D$2001))/STDEV(D$2:D$2001)</f>
        <v>0.684049709455938</v>
      </c>
      <c r="AC292" s="13" t="n">
        <f aca="false">(I292-AVERAGE(I$2:I$2001))/STDEV(I$2:I$2001)</f>
        <v>-0.0205155458339628</v>
      </c>
      <c r="AD292" s="13" t="n">
        <f aca="false">(L292-AVERAGE(L$2:L$2001))/STDEV(L$2:L$2001)</f>
        <v>1.60473955115463</v>
      </c>
      <c r="AE292" s="13" t="n">
        <f aca="false">(M292-AVERAGE(M$2:M$2001))/STDEV(M$2:M$2001)</f>
        <v>1.52576343389173</v>
      </c>
      <c r="AF292" s="13" t="n">
        <f aca="false">(N292-AVERAGE(N$2:N$2001))/STDEV(N$2:N$2001)</f>
        <v>0.159585648243026</v>
      </c>
      <c r="AG292" s="13" t="n">
        <f aca="false">(O292-AVERAGE(O$2:O$2001))/STDEV(O$2:O$2001)</f>
        <v>0.54058263705005</v>
      </c>
      <c r="AH292" s="0" t="str">
        <f aca="false">IF(B292="Company","C3 - Corporate Buyers",IF(AND(H292="Investment",M292&gt;'Segmentation Summary'!$C$1),"C1 - Global Investors",IF(AND(I292&gt;=4,M292&gt;'Segmentation Summary'!$C$1),"C4 - Luxury Investors",IF(AND(D292&lt;'Segmentation Summary'!$C$2,J292=1),"C2 - First-Time Buyers","C5 - Other Individual Buyers"))))</f>
        <v>C5 - Other Individual Buyers</v>
      </c>
    </row>
    <row r="293" customFormat="false" ht="15" hidden="false" customHeight="true" outlineLevel="0" collapsed="false">
      <c r="A293" s="13" t="s">
        <v>657</v>
      </c>
      <c r="B293" s="13" t="s">
        <v>34</v>
      </c>
      <c r="C293" s="13" t="s">
        <v>658</v>
      </c>
      <c r="D293" s="13" t="n">
        <v>76</v>
      </c>
      <c r="E293" s="13" t="s">
        <v>90</v>
      </c>
      <c r="F293" s="13" t="s">
        <v>33</v>
      </c>
      <c r="G293" s="13" t="s">
        <v>95</v>
      </c>
      <c r="H293" s="13" t="s">
        <v>41</v>
      </c>
      <c r="I293" s="13" t="n">
        <v>5</v>
      </c>
      <c r="J293" s="13" t="n">
        <v>0</v>
      </c>
      <c r="K293" s="13" t="s">
        <v>85</v>
      </c>
      <c r="L293" s="13" t="n">
        <v>5</v>
      </c>
      <c r="M293" s="13" t="n">
        <v>1062675.82</v>
      </c>
      <c r="N293" s="13" t="n">
        <v>212535.164</v>
      </c>
      <c r="O293" s="13" t="n">
        <v>692.664</v>
      </c>
      <c r="P293" s="13" t="n">
        <v>1</v>
      </c>
      <c r="Q293" s="13" t="n">
        <v>4</v>
      </c>
      <c r="R293" s="13" t="s">
        <v>215</v>
      </c>
      <c r="S293" s="13" t="s">
        <v>87</v>
      </c>
      <c r="T293" s="13" t="n">
        <v>1</v>
      </c>
      <c r="U293" s="13" t="n">
        <f aca="false">IF(B293="Individual",1,0)</f>
        <v>1</v>
      </c>
      <c r="V293" s="13" t="n">
        <f aca="false">IF(B293="Company",1,0)</f>
        <v>0</v>
      </c>
      <c r="W293" s="13" t="n">
        <f aca="false">IF(H293="Home",1,0)</f>
        <v>1</v>
      </c>
      <c r="X293" s="13" t="n">
        <f aca="false">IF(H293="Investment",1,0)</f>
        <v>0</v>
      </c>
      <c r="Y293" s="13" t="n">
        <f aca="false">IF(K293="Website",1,0)</f>
        <v>1</v>
      </c>
      <c r="Z293" s="13" t="n">
        <f aca="false">IF(K293="Agency",1,0)</f>
        <v>0</v>
      </c>
      <c r="AA293" s="13" t="n">
        <f aca="false">IF(K293="Client",1,0)</f>
        <v>0</v>
      </c>
      <c r="AB293" s="13" t="n">
        <f aca="false">(D293-AVERAGE(D$2:D$2001))/STDEV(D$2:D$2001)</f>
        <v>1.26067426433745</v>
      </c>
      <c r="AC293" s="13" t="n">
        <f aca="false">(I293-AVERAGE(I$2:I$2001))/STDEV(I$2:I$2001)</f>
        <v>1.39434968409451</v>
      </c>
      <c r="AD293" s="13" t="n">
        <f aca="false">(L293-AVERAGE(L$2:L$2001))/STDEV(L$2:L$2001)</f>
        <v>1.60473955115463</v>
      </c>
      <c r="AE293" s="13" t="n">
        <f aca="false">(M293-AVERAGE(M$2:M$2001))/STDEV(M$2:M$2001)</f>
        <v>-0.568379043055518</v>
      </c>
      <c r="AF293" s="13" t="n">
        <f aca="false">(N293-AVERAGE(N$2:N$2001))/STDEV(N$2:N$2001)</f>
        <v>-1.92988060794093</v>
      </c>
      <c r="AG293" s="13" t="n">
        <f aca="false">(O293-AVERAGE(O$2:O$2001))/STDEV(O$2:O$2001)</f>
        <v>-2.06807165321813</v>
      </c>
      <c r="AH293" s="0" t="str">
        <f aca="false">IF(B293="Company","C3 - Corporate Buyers",IF(AND(H293="Investment",M293&gt;'Segmentation Summary'!$C$1),"C1 - Global Investors",IF(AND(I293&gt;=4,M293&gt;'Segmentation Summary'!$C$1),"C4 - Luxury Investors",IF(AND(D293&lt;'Segmentation Summary'!$C$2,J293=1),"C2 - First-Time Buyers","C5 - Other Individual Buyers"))))</f>
        <v>C5 - Other Individual Buyers</v>
      </c>
    </row>
    <row r="294" customFormat="false" ht="15" hidden="false" customHeight="true" outlineLevel="0" collapsed="false">
      <c r="A294" s="13" t="s">
        <v>659</v>
      </c>
      <c r="B294" s="13" t="s">
        <v>34</v>
      </c>
      <c r="C294" s="13" t="s">
        <v>660</v>
      </c>
      <c r="D294" s="13" t="n">
        <v>81</v>
      </c>
      <c r="E294" s="13" t="s">
        <v>90</v>
      </c>
      <c r="F294" s="13" t="s">
        <v>35</v>
      </c>
      <c r="G294" s="13" t="s">
        <v>185</v>
      </c>
      <c r="H294" s="13" t="s">
        <v>43</v>
      </c>
      <c r="I294" s="13" t="n">
        <v>5</v>
      </c>
      <c r="J294" s="13" t="n">
        <v>1</v>
      </c>
      <c r="K294" s="13" t="s">
        <v>85</v>
      </c>
      <c r="L294" s="13" t="n">
        <v>3</v>
      </c>
      <c r="M294" s="13" t="n">
        <v>912489.59</v>
      </c>
      <c r="N294" s="13" t="n">
        <v>304163.196666667</v>
      </c>
      <c r="O294" s="13" t="n">
        <v>1086.98333333333</v>
      </c>
      <c r="P294" s="13" t="n">
        <v>0</v>
      </c>
      <c r="Q294" s="13" t="n">
        <v>3</v>
      </c>
      <c r="R294" s="13" t="s">
        <v>117</v>
      </c>
      <c r="S294" s="13" t="s">
        <v>111</v>
      </c>
      <c r="T294" s="13" t="n">
        <v>1</v>
      </c>
      <c r="U294" s="13" t="n">
        <f aca="false">IF(B294="Individual",1,0)</f>
        <v>1</v>
      </c>
      <c r="V294" s="13" t="n">
        <f aca="false">IF(B294="Company",1,0)</f>
        <v>0</v>
      </c>
      <c r="W294" s="13" t="n">
        <f aca="false">IF(H294="Home",1,0)</f>
        <v>0</v>
      </c>
      <c r="X294" s="13" t="n">
        <f aca="false">IF(H294="Investment",1,0)</f>
        <v>1</v>
      </c>
      <c r="Y294" s="13" t="n">
        <f aca="false">IF(K294="Website",1,0)</f>
        <v>1</v>
      </c>
      <c r="Z294" s="13" t="n">
        <f aca="false">IF(K294="Agency",1,0)</f>
        <v>0</v>
      </c>
      <c r="AA294" s="13" t="n">
        <f aca="false">IF(K294="Client",1,0)</f>
        <v>0</v>
      </c>
      <c r="AB294" s="13" t="n">
        <f aca="false">(D294-AVERAGE(D$2:D$2001))/STDEV(D$2:D$2001)</f>
        <v>1.54898654177821</v>
      </c>
      <c r="AC294" s="13" t="n">
        <f aca="false">(I294-AVERAGE(I$2:I$2001))/STDEV(I$2:I$2001)</f>
        <v>1.39434968409451</v>
      </c>
      <c r="AD294" s="13" t="n">
        <f aca="false">(L294-AVERAGE(L$2:L$2001))/STDEV(L$2:L$2001)</f>
        <v>-0.777063122173208</v>
      </c>
      <c r="AE294" s="13" t="n">
        <f aca="false">(M294-AVERAGE(M$2:M$2001))/STDEV(M$2:M$2001)</f>
        <v>-1.00015877148888</v>
      </c>
      <c r="AF294" s="13" t="n">
        <f aca="false">(N294-AVERAGE(N$2:N$2001))/STDEV(N$2:N$2001)</f>
        <v>-0.615686137935226</v>
      </c>
      <c r="AG294" s="13" t="n">
        <f aca="false">(O294-AVERAGE(O$2:O$2001))/STDEV(O$2:O$2001)</f>
        <v>-0.275080133865435</v>
      </c>
      <c r="AH294" s="0" t="str">
        <f aca="false">IF(B294="Company","C3 - Corporate Buyers",IF(AND(H294="Investment",M294&gt;'Segmentation Summary'!$C$1),"C1 - Global Investors",IF(AND(I294&gt;=4,M294&gt;'Segmentation Summary'!$C$1),"C4 - Luxury Investors",IF(AND(D294&lt;'Segmentation Summary'!$C$2,J294=1),"C2 - First-Time Buyers","C5 - Other Individual Buyers"))))</f>
        <v>C5 - Other Individual Buyers</v>
      </c>
    </row>
    <row r="295" customFormat="false" ht="15" hidden="false" customHeight="true" outlineLevel="0" collapsed="false">
      <c r="A295" s="13" t="s">
        <v>661</v>
      </c>
      <c r="B295" s="13" t="s">
        <v>34</v>
      </c>
      <c r="C295" s="13" t="s">
        <v>662</v>
      </c>
      <c r="D295" s="13" t="n">
        <v>50</v>
      </c>
      <c r="E295" s="13" t="s">
        <v>90</v>
      </c>
      <c r="F295" s="13" t="s">
        <v>33</v>
      </c>
      <c r="G295" s="13" t="s">
        <v>110</v>
      </c>
      <c r="H295" s="13" t="s">
        <v>41</v>
      </c>
      <c r="I295" s="13" t="n">
        <v>1</v>
      </c>
      <c r="J295" s="13" t="n">
        <v>0</v>
      </c>
      <c r="K295" s="13" t="s">
        <v>85</v>
      </c>
      <c r="L295" s="13" t="n">
        <v>4</v>
      </c>
      <c r="M295" s="13" t="n">
        <v>1579627.98</v>
      </c>
      <c r="N295" s="13" t="n">
        <v>394906.995</v>
      </c>
      <c r="O295" s="13" t="n">
        <v>1343.6575</v>
      </c>
      <c r="P295" s="13" t="n">
        <v>0</v>
      </c>
      <c r="Q295" s="13" t="n">
        <v>4</v>
      </c>
      <c r="R295" s="13" t="s">
        <v>117</v>
      </c>
      <c r="S295" s="13" t="s">
        <v>133</v>
      </c>
      <c r="T295" s="13" t="n">
        <v>1</v>
      </c>
      <c r="U295" s="13" t="n">
        <f aca="false">IF(B295="Individual",1,0)</f>
        <v>1</v>
      </c>
      <c r="V295" s="13" t="n">
        <f aca="false">IF(B295="Company",1,0)</f>
        <v>0</v>
      </c>
      <c r="W295" s="13" t="n">
        <f aca="false">IF(H295="Home",1,0)</f>
        <v>1</v>
      </c>
      <c r="X295" s="13" t="n">
        <f aca="false">IF(H295="Investment",1,0)</f>
        <v>0</v>
      </c>
      <c r="Y295" s="13" t="n">
        <f aca="false">IF(K295="Website",1,0)</f>
        <v>1</v>
      </c>
      <c r="Z295" s="13" t="n">
        <f aca="false">IF(K295="Agency",1,0)</f>
        <v>0</v>
      </c>
      <c r="AA295" s="13" t="n">
        <f aca="false">IF(K295="Client",1,0)</f>
        <v>0</v>
      </c>
      <c r="AB295" s="13" t="n">
        <f aca="false">(D295-AVERAGE(D$2:D$2001))/STDEV(D$2:D$2001)</f>
        <v>-0.238549578354482</v>
      </c>
      <c r="AC295" s="13" t="n">
        <f aca="false">(I295-AVERAGE(I$2:I$2001))/STDEV(I$2:I$2001)</f>
        <v>-1.43538077576244</v>
      </c>
      <c r="AD295" s="13" t="n">
        <f aca="false">(L295-AVERAGE(L$2:L$2001))/STDEV(L$2:L$2001)</f>
        <v>0.413838214490712</v>
      </c>
      <c r="AE295" s="13" t="n">
        <f aca="false">(M295-AVERAGE(M$2:M$2001))/STDEV(M$2:M$2001)</f>
        <v>0.917838856267482</v>
      </c>
      <c r="AF295" s="13" t="n">
        <f aca="false">(N295-AVERAGE(N$2:N$2001))/STDEV(N$2:N$2001)</f>
        <v>0.685826013818764</v>
      </c>
      <c r="AG295" s="13" t="n">
        <f aca="false">(O295-AVERAGE(O$2:O$2001))/STDEV(O$2:O$2001)</f>
        <v>0.892031303912398</v>
      </c>
      <c r="AH295" s="0" t="str">
        <f aca="false">IF(B295="Company","C3 - Corporate Buyers",IF(AND(H295="Investment",M295&gt;'Segmentation Summary'!$C$1),"C1 - Global Investors",IF(AND(I295&gt;=4,M295&gt;'Segmentation Summary'!$C$1),"C4 - Luxury Investors",IF(AND(D295&lt;'Segmentation Summary'!$C$2,J295=1),"C2 - First-Time Buyers","C5 - Other Individual Buyers"))))</f>
        <v>C5 - Other Individual Buyers</v>
      </c>
    </row>
    <row r="296" customFormat="false" ht="15" hidden="false" customHeight="true" outlineLevel="0" collapsed="false">
      <c r="A296" s="13" t="s">
        <v>663</v>
      </c>
      <c r="B296" s="13" t="s">
        <v>34</v>
      </c>
      <c r="C296" s="13" t="s">
        <v>664</v>
      </c>
      <c r="D296" s="13" t="n">
        <v>36</v>
      </c>
      <c r="E296" s="13" t="s">
        <v>90</v>
      </c>
      <c r="F296" s="13" t="s">
        <v>38</v>
      </c>
      <c r="G296" s="13" t="s">
        <v>665</v>
      </c>
      <c r="H296" s="13" t="s">
        <v>41</v>
      </c>
      <c r="I296" s="13" t="n">
        <v>3</v>
      </c>
      <c r="J296" s="13" t="n">
        <v>0</v>
      </c>
      <c r="K296" s="13" t="s">
        <v>116</v>
      </c>
      <c r="L296" s="13" t="n">
        <v>3</v>
      </c>
      <c r="M296" s="13" t="n">
        <v>778101.6</v>
      </c>
      <c r="N296" s="13" t="n">
        <v>259367.2</v>
      </c>
      <c r="O296" s="13" t="n">
        <v>993.003333333333</v>
      </c>
      <c r="P296" s="13" t="n">
        <v>1</v>
      </c>
      <c r="Q296" s="13" t="n">
        <v>2</v>
      </c>
      <c r="R296" s="13" t="s">
        <v>101</v>
      </c>
      <c r="S296" s="13" t="s">
        <v>133</v>
      </c>
      <c r="T296" s="13" t="n">
        <v>1</v>
      </c>
      <c r="U296" s="13" t="n">
        <f aca="false">IF(B296="Individual",1,0)</f>
        <v>1</v>
      </c>
      <c r="V296" s="13" t="n">
        <f aca="false">IF(B296="Company",1,0)</f>
        <v>0</v>
      </c>
      <c r="W296" s="13" t="n">
        <f aca="false">IF(H296="Home",1,0)</f>
        <v>1</v>
      </c>
      <c r="X296" s="13" t="n">
        <f aca="false">IF(H296="Investment",1,0)</f>
        <v>0</v>
      </c>
      <c r="Y296" s="13" t="n">
        <f aca="false">IF(K296="Website",1,0)</f>
        <v>0</v>
      </c>
      <c r="Z296" s="13" t="n">
        <f aca="false">IF(K296="Agency",1,0)</f>
        <v>0</v>
      </c>
      <c r="AA296" s="13" t="n">
        <f aca="false">IF(K296="Client",1,0)</f>
        <v>1</v>
      </c>
      <c r="AB296" s="13" t="n">
        <f aca="false">(D296-AVERAGE(D$2:D$2001))/STDEV(D$2:D$2001)</f>
        <v>-1.0458239551886</v>
      </c>
      <c r="AC296" s="13" t="n">
        <f aca="false">(I296-AVERAGE(I$2:I$2001))/STDEV(I$2:I$2001)</f>
        <v>-0.0205155458339628</v>
      </c>
      <c r="AD296" s="13" t="n">
        <f aca="false">(L296-AVERAGE(L$2:L$2001))/STDEV(L$2:L$2001)</f>
        <v>-0.777063122173208</v>
      </c>
      <c r="AE296" s="13" t="n">
        <f aca="false">(M296-AVERAGE(M$2:M$2001))/STDEV(M$2:M$2001)</f>
        <v>-1.38651915770342</v>
      </c>
      <c r="AF296" s="13" t="n">
        <f aca="false">(N296-AVERAGE(N$2:N$2001))/STDEV(N$2:N$2001)</f>
        <v>-1.2581822102005</v>
      </c>
      <c r="AG296" s="13" t="n">
        <f aca="false">(O296-AVERAGE(O$2:O$2001))/STDEV(O$2:O$2001)</f>
        <v>-0.702412320609417</v>
      </c>
      <c r="AH296" s="0" t="str">
        <f aca="false">IF(B296="Company","C3 - Corporate Buyers",IF(AND(H296="Investment",M296&gt;'Segmentation Summary'!$C$1),"C1 - Global Investors",IF(AND(I296&gt;=4,M296&gt;'Segmentation Summary'!$C$1),"C4 - Luxury Investors",IF(AND(D296&lt;'Segmentation Summary'!$C$2,J296=1),"C2 - First-Time Buyers","C5 - Other Individual Buyers"))))</f>
        <v>C5 - Other Individual Buyers</v>
      </c>
    </row>
    <row r="297" customFormat="false" ht="15" hidden="false" customHeight="true" outlineLevel="0" collapsed="false">
      <c r="A297" s="13" t="s">
        <v>666</v>
      </c>
      <c r="B297" s="13" t="s">
        <v>34</v>
      </c>
      <c r="C297" s="13" t="s">
        <v>667</v>
      </c>
      <c r="D297" s="13" t="n">
        <v>47</v>
      </c>
      <c r="E297" s="13" t="s">
        <v>90</v>
      </c>
      <c r="F297" s="13" t="s">
        <v>35</v>
      </c>
      <c r="G297" s="13" t="s">
        <v>267</v>
      </c>
      <c r="H297" s="13" t="s">
        <v>41</v>
      </c>
      <c r="I297" s="13" t="n">
        <v>5</v>
      </c>
      <c r="J297" s="13" t="n">
        <v>0</v>
      </c>
      <c r="K297" s="13" t="s">
        <v>91</v>
      </c>
      <c r="L297" s="13" t="n">
        <v>4</v>
      </c>
      <c r="M297" s="13" t="n">
        <v>1177661.76</v>
      </c>
      <c r="N297" s="13" t="n">
        <v>294415.44</v>
      </c>
      <c r="O297" s="13" t="n">
        <v>948.7575</v>
      </c>
      <c r="P297" s="13" t="n">
        <v>0</v>
      </c>
      <c r="Q297" s="13" t="n">
        <v>4</v>
      </c>
      <c r="R297" s="13" t="s">
        <v>92</v>
      </c>
      <c r="S297" s="13" t="s">
        <v>107</v>
      </c>
      <c r="T297" s="13" t="n">
        <v>1</v>
      </c>
      <c r="U297" s="13" t="n">
        <f aca="false">IF(B297="Individual",1,0)</f>
        <v>1</v>
      </c>
      <c r="V297" s="13" t="n">
        <f aca="false">IF(B297="Company",1,0)</f>
        <v>0</v>
      </c>
      <c r="W297" s="13" t="n">
        <f aca="false">IF(H297="Home",1,0)</f>
        <v>1</v>
      </c>
      <c r="X297" s="13" t="n">
        <f aca="false">IF(H297="Investment",1,0)</f>
        <v>0</v>
      </c>
      <c r="Y297" s="13" t="n">
        <f aca="false">IF(K297="Website",1,0)</f>
        <v>0</v>
      </c>
      <c r="Z297" s="13" t="n">
        <f aca="false">IF(K297="Agency",1,0)</f>
        <v>1</v>
      </c>
      <c r="AA297" s="13" t="n">
        <f aca="false">IF(K297="Client",1,0)</f>
        <v>0</v>
      </c>
      <c r="AB297" s="13" t="n">
        <f aca="false">(D297-AVERAGE(D$2:D$2001))/STDEV(D$2:D$2001)</f>
        <v>-0.411536944818935</v>
      </c>
      <c r="AC297" s="13" t="n">
        <f aca="false">(I297-AVERAGE(I$2:I$2001))/STDEV(I$2:I$2001)</f>
        <v>1.39434968409451</v>
      </c>
      <c r="AD297" s="13" t="n">
        <f aca="false">(L297-AVERAGE(L$2:L$2001))/STDEV(L$2:L$2001)</f>
        <v>0.413838214490712</v>
      </c>
      <c r="AE297" s="13" t="n">
        <f aca="false">(M297-AVERAGE(M$2:M$2001))/STDEV(M$2:M$2001)</f>
        <v>-0.237798816447159</v>
      </c>
      <c r="AF297" s="13" t="n">
        <f aca="false">(N297-AVERAGE(N$2:N$2001))/STDEV(N$2:N$2001)</f>
        <v>-0.755495402998223</v>
      </c>
      <c r="AG297" s="13" t="n">
        <f aca="false">(O297-AVERAGE(O$2:O$2001))/STDEV(O$2:O$2001)</f>
        <v>-0.903600538449845</v>
      </c>
      <c r="AH297" s="0" t="str">
        <f aca="false">IF(B297="Company","C3 - Corporate Buyers",IF(AND(H297="Investment",M297&gt;'Segmentation Summary'!$C$1),"C1 - Global Investors",IF(AND(I297&gt;=4,M297&gt;'Segmentation Summary'!$C$1),"C4 - Luxury Investors",IF(AND(D297&lt;'Segmentation Summary'!$C$2,J297=1),"C2 - First-Time Buyers","C5 - Other Individual Buyers"))))</f>
        <v>C5 - Other Individual Buyers</v>
      </c>
    </row>
    <row r="298" customFormat="false" ht="15" hidden="false" customHeight="true" outlineLevel="0" collapsed="false">
      <c r="A298" s="13" t="s">
        <v>668</v>
      </c>
      <c r="B298" s="13" t="s">
        <v>34</v>
      </c>
      <c r="C298" s="13" t="s">
        <v>669</v>
      </c>
      <c r="D298" s="13" t="n">
        <v>49</v>
      </c>
      <c r="E298" s="13" t="s">
        <v>90</v>
      </c>
      <c r="F298" s="13" t="s">
        <v>37</v>
      </c>
      <c r="G298" s="13" t="s">
        <v>259</v>
      </c>
      <c r="H298" s="13" t="s">
        <v>43</v>
      </c>
      <c r="I298" s="13" t="n">
        <v>5</v>
      </c>
      <c r="J298" s="13" t="n">
        <v>0</v>
      </c>
      <c r="K298" s="13" t="s">
        <v>91</v>
      </c>
      <c r="L298" s="13" t="n">
        <v>3</v>
      </c>
      <c r="M298" s="13" t="n">
        <v>1059524.55</v>
      </c>
      <c r="N298" s="13" t="n">
        <v>353174.85</v>
      </c>
      <c r="O298" s="13" t="n">
        <v>1179.52333333333</v>
      </c>
      <c r="P298" s="13" t="n">
        <v>0</v>
      </c>
      <c r="Q298" s="13" t="n">
        <v>3</v>
      </c>
      <c r="R298" s="13" t="s">
        <v>92</v>
      </c>
      <c r="S298" s="13" t="s">
        <v>135</v>
      </c>
      <c r="T298" s="13" t="n">
        <v>1</v>
      </c>
      <c r="U298" s="13" t="n">
        <f aca="false">IF(B298="Individual",1,0)</f>
        <v>1</v>
      </c>
      <c r="V298" s="13" t="n">
        <f aca="false">IF(B298="Company",1,0)</f>
        <v>0</v>
      </c>
      <c r="W298" s="13" t="n">
        <f aca="false">IF(H298="Home",1,0)</f>
        <v>0</v>
      </c>
      <c r="X298" s="13" t="n">
        <f aca="false">IF(H298="Investment",1,0)</f>
        <v>1</v>
      </c>
      <c r="Y298" s="13" t="n">
        <f aca="false">IF(K298="Website",1,0)</f>
        <v>0</v>
      </c>
      <c r="Z298" s="13" t="n">
        <f aca="false">IF(K298="Agency",1,0)</f>
        <v>1</v>
      </c>
      <c r="AA298" s="13" t="n">
        <f aca="false">IF(K298="Client",1,0)</f>
        <v>0</v>
      </c>
      <c r="AB298" s="13" t="n">
        <f aca="false">(D298-AVERAGE(D$2:D$2001))/STDEV(D$2:D$2001)</f>
        <v>-0.296212033842633</v>
      </c>
      <c r="AC298" s="13" t="n">
        <f aca="false">(I298-AVERAGE(I$2:I$2001))/STDEV(I$2:I$2001)</f>
        <v>1.39434968409451</v>
      </c>
      <c r="AD298" s="13" t="n">
        <f aca="false">(L298-AVERAGE(L$2:L$2001))/STDEV(L$2:L$2001)</f>
        <v>-0.777063122173208</v>
      </c>
      <c r="AE298" s="13" t="n">
        <f aca="false">(M298-AVERAGE(M$2:M$2001))/STDEV(M$2:M$2001)</f>
        <v>-0.577438825066294</v>
      </c>
      <c r="AF298" s="13" t="n">
        <f aca="false">(N298-AVERAGE(N$2:N$2001))/STDEV(N$2:N$2001)</f>
        <v>0.0872738831624915</v>
      </c>
      <c r="AG298" s="13" t="n">
        <f aca="false">(O298-AVERAGE(O$2:O$2001))/STDEV(O$2:O$2001)</f>
        <v>0.145704294324491</v>
      </c>
      <c r="AH298" s="0" t="str">
        <f aca="false">IF(B298="Company","C3 - Corporate Buyers",IF(AND(H298="Investment",M298&gt;'Segmentation Summary'!$C$1),"C1 - Global Investors",IF(AND(I298&gt;=4,M298&gt;'Segmentation Summary'!$C$1),"C4 - Luxury Investors",IF(AND(D298&lt;'Segmentation Summary'!$C$2,J298=1),"C2 - First-Time Buyers","C5 - Other Individual Buyers"))))</f>
        <v>C5 - Other Individual Buyers</v>
      </c>
    </row>
    <row r="299" customFormat="false" ht="15" hidden="false" customHeight="true" outlineLevel="0" collapsed="false">
      <c r="A299" s="13" t="s">
        <v>670</v>
      </c>
      <c r="B299" s="13" t="s">
        <v>34</v>
      </c>
      <c r="C299" s="13" t="s">
        <v>671</v>
      </c>
      <c r="D299" s="13" t="n">
        <v>68</v>
      </c>
      <c r="E299" s="13" t="s">
        <v>90</v>
      </c>
      <c r="F299" s="13" t="s">
        <v>33</v>
      </c>
      <c r="G299" s="13" t="s">
        <v>265</v>
      </c>
      <c r="H299" s="13" t="s">
        <v>43</v>
      </c>
      <c r="I299" s="13" t="n">
        <v>4</v>
      </c>
      <c r="J299" s="13" t="n">
        <v>0</v>
      </c>
      <c r="K299" s="13" t="s">
        <v>85</v>
      </c>
      <c r="L299" s="13" t="n">
        <v>4</v>
      </c>
      <c r="M299" s="13" t="n">
        <v>1579565.09</v>
      </c>
      <c r="N299" s="13" t="n">
        <v>394891.2725</v>
      </c>
      <c r="O299" s="13" t="n">
        <v>1228.8325</v>
      </c>
      <c r="P299" s="13" t="n">
        <v>0</v>
      </c>
      <c r="Q299" s="13" t="n">
        <v>4</v>
      </c>
      <c r="R299" s="13" t="s">
        <v>98</v>
      </c>
      <c r="S299" s="13" t="s">
        <v>133</v>
      </c>
      <c r="T299" s="13" t="n">
        <v>1</v>
      </c>
      <c r="U299" s="13" t="n">
        <f aca="false">IF(B299="Individual",1,0)</f>
        <v>1</v>
      </c>
      <c r="V299" s="13" t="n">
        <f aca="false">IF(B299="Company",1,0)</f>
        <v>0</v>
      </c>
      <c r="W299" s="13" t="n">
        <f aca="false">IF(H299="Home",1,0)</f>
        <v>0</v>
      </c>
      <c r="X299" s="13" t="n">
        <f aca="false">IF(H299="Investment",1,0)</f>
        <v>1</v>
      </c>
      <c r="Y299" s="13" t="n">
        <f aca="false">IF(K299="Website",1,0)</f>
        <v>1</v>
      </c>
      <c r="Z299" s="13" t="n">
        <f aca="false">IF(K299="Agency",1,0)</f>
        <v>0</v>
      </c>
      <c r="AA299" s="13" t="n">
        <f aca="false">IF(K299="Client",1,0)</f>
        <v>0</v>
      </c>
      <c r="AB299" s="13" t="n">
        <f aca="false">(D299-AVERAGE(D$2:D$2001))/STDEV(D$2:D$2001)</f>
        <v>0.79937462043224</v>
      </c>
      <c r="AC299" s="13" t="n">
        <f aca="false">(I299-AVERAGE(I$2:I$2001))/STDEV(I$2:I$2001)</f>
        <v>0.686917069130275</v>
      </c>
      <c r="AD299" s="13" t="n">
        <f aca="false">(L299-AVERAGE(L$2:L$2001))/STDEV(L$2:L$2001)</f>
        <v>0.413838214490712</v>
      </c>
      <c r="AE299" s="13" t="n">
        <f aca="false">(M299-AVERAGE(M$2:M$2001))/STDEV(M$2:M$2001)</f>
        <v>0.917658049897143</v>
      </c>
      <c r="AF299" s="13" t="n">
        <f aca="false">(N299-AVERAGE(N$2:N$2001))/STDEV(N$2:N$2001)</f>
        <v>0.685600510531688</v>
      </c>
      <c r="AG299" s="13" t="n">
        <f aca="false">(O299-AVERAGE(O$2:O$2001))/STDEV(O$2:O$2001)</f>
        <v>0.369915765043711</v>
      </c>
      <c r="AH299" s="0" t="str">
        <f aca="false">IF(B299="Company","C3 - Corporate Buyers",IF(AND(H299="Investment",M299&gt;'Segmentation Summary'!$C$1),"C1 - Global Investors",IF(AND(I299&gt;=4,M299&gt;'Segmentation Summary'!$C$1),"C4 - Luxury Investors",IF(AND(D299&lt;'Segmentation Summary'!$C$2,J299=1),"C2 - First-Time Buyers","C5 - Other Individual Buyers"))))</f>
        <v>C1 - Global Investors</v>
      </c>
    </row>
    <row r="300" customFormat="false" ht="15" hidden="false" customHeight="true" outlineLevel="0" collapsed="false">
      <c r="A300" s="13" t="s">
        <v>672</v>
      </c>
      <c r="B300" s="13" t="s">
        <v>34</v>
      </c>
      <c r="C300" s="13" t="s">
        <v>673</v>
      </c>
      <c r="D300" s="13" t="n">
        <v>30</v>
      </c>
      <c r="E300" s="13" t="s">
        <v>90</v>
      </c>
      <c r="F300" s="13" t="s">
        <v>33</v>
      </c>
      <c r="G300" s="13" t="s">
        <v>95</v>
      </c>
      <c r="H300" s="13" t="s">
        <v>41</v>
      </c>
      <c r="I300" s="13" t="n">
        <v>5</v>
      </c>
      <c r="J300" s="13" t="n">
        <v>0</v>
      </c>
      <c r="K300" s="13" t="s">
        <v>91</v>
      </c>
      <c r="L300" s="13" t="n">
        <v>3</v>
      </c>
      <c r="M300" s="13" t="n">
        <v>1094026.34</v>
      </c>
      <c r="N300" s="13" t="n">
        <v>364675.446666667</v>
      </c>
      <c r="O300" s="13" t="n">
        <v>1255.12</v>
      </c>
      <c r="P300" s="13" t="n">
        <v>0</v>
      </c>
      <c r="Q300" s="13" t="n">
        <v>3</v>
      </c>
      <c r="R300" s="13" t="s">
        <v>121</v>
      </c>
      <c r="S300" s="13" t="s">
        <v>141</v>
      </c>
      <c r="T300" s="13" t="n">
        <v>1</v>
      </c>
      <c r="U300" s="13" t="n">
        <f aca="false">IF(B300="Individual",1,0)</f>
        <v>1</v>
      </c>
      <c r="V300" s="13" t="n">
        <f aca="false">IF(B300="Company",1,0)</f>
        <v>0</v>
      </c>
      <c r="W300" s="13" t="n">
        <f aca="false">IF(H300="Home",1,0)</f>
        <v>1</v>
      </c>
      <c r="X300" s="13" t="n">
        <f aca="false">IF(H300="Investment",1,0)</f>
        <v>0</v>
      </c>
      <c r="Y300" s="13" t="n">
        <f aca="false">IF(K300="Website",1,0)</f>
        <v>0</v>
      </c>
      <c r="Z300" s="13" t="n">
        <f aca="false">IF(K300="Agency",1,0)</f>
        <v>1</v>
      </c>
      <c r="AA300" s="13" t="n">
        <f aca="false">IF(K300="Client",1,0)</f>
        <v>0</v>
      </c>
      <c r="AB300" s="13" t="n">
        <f aca="false">(D300-AVERAGE(D$2:D$2001))/STDEV(D$2:D$2001)</f>
        <v>-1.39179868811751</v>
      </c>
      <c r="AC300" s="13" t="n">
        <f aca="false">(I300-AVERAGE(I$2:I$2001))/STDEV(I$2:I$2001)</f>
        <v>1.39434968409451</v>
      </c>
      <c r="AD300" s="13" t="n">
        <f aca="false">(L300-AVERAGE(L$2:L$2001))/STDEV(L$2:L$2001)</f>
        <v>-0.777063122173208</v>
      </c>
      <c r="AE300" s="13" t="n">
        <f aca="false">(M300-AVERAGE(M$2:M$2001))/STDEV(M$2:M$2001)</f>
        <v>-0.478247484311119</v>
      </c>
      <c r="AF300" s="13" t="n">
        <f aca="false">(N300-AVERAGE(N$2:N$2001))/STDEV(N$2:N$2001)</f>
        <v>0.252223627266275</v>
      </c>
      <c r="AG300" s="13" t="n">
        <f aca="false">(O300-AVERAGE(O$2:O$2001))/STDEV(O$2:O$2001)</f>
        <v>0.489446461564595</v>
      </c>
      <c r="AH300" s="0" t="str">
        <f aca="false">IF(B300="Company","C3 - Corporate Buyers",IF(AND(H300="Investment",M300&gt;'Segmentation Summary'!$C$1),"C1 - Global Investors",IF(AND(I300&gt;=4,M300&gt;'Segmentation Summary'!$C$1),"C4 - Luxury Investors",IF(AND(D300&lt;'Segmentation Summary'!$C$2,J300=1),"C2 - First-Time Buyers","C5 - Other Individual Buyers"))))</f>
        <v>C5 - Other Individual Buyers</v>
      </c>
    </row>
    <row r="301" customFormat="false" ht="15" hidden="false" customHeight="true" outlineLevel="0" collapsed="false">
      <c r="A301" s="13" t="s">
        <v>674</v>
      </c>
      <c r="B301" s="13" t="s">
        <v>34</v>
      </c>
      <c r="C301" s="13" t="s">
        <v>675</v>
      </c>
      <c r="D301" s="13" t="n">
        <v>28</v>
      </c>
      <c r="E301" s="13" t="s">
        <v>90</v>
      </c>
      <c r="F301" s="13" t="s">
        <v>37</v>
      </c>
      <c r="G301" s="13" t="s">
        <v>676</v>
      </c>
      <c r="H301" s="13" t="s">
        <v>41</v>
      </c>
      <c r="I301" s="13" t="n">
        <v>4</v>
      </c>
      <c r="J301" s="13" t="n">
        <v>0</v>
      </c>
      <c r="K301" s="13" t="s">
        <v>91</v>
      </c>
      <c r="L301" s="13" t="n">
        <v>4</v>
      </c>
      <c r="M301" s="13" t="n">
        <v>1403901.14</v>
      </c>
      <c r="N301" s="13" t="n">
        <v>350975.285</v>
      </c>
      <c r="O301" s="13" t="n">
        <v>1216.595</v>
      </c>
      <c r="P301" s="13" t="n">
        <v>0</v>
      </c>
      <c r="Q301" s="13" t="n">
        <v>4</v>
      </c>
      <c r="R301" s="13" t="s">
        <v>92</v>
      </c>
      <c r="S301" s="13" t="s">
        <v>93</v>
      </c>
      <c r="T301" s="13" t="n">
        <v>1</v>
      </c>
      <c r="U301" s="13" t="n">
        <f aca="false">IF(B301="Individual",1,0)</f>
        <v>1</v>
      </c>
      <c r="V301" s="13" t="n">
        <f aca="false">IF(B301="Company",1,0)</f>
        <v>0</v>
      </c>
      <c r="W301" s="13" t="n">
        <f aca="false">IF(H301="Home",1,0)</f>
        <v>1</v>
      </c>
      <c r="X301" s="13" t="n">
        <f aca="false">IF(H301="Investment",1,0)</f>
        <v>0</v>
      </c>
      <c r="Y301" s="13" t="n">
        <f aca="false">IF(K301="Website",1,0)</f>
        <v>0</v>
      </c>
      <c r="Z301" s="13" t="n">
        <f aca="false">IF(K301="Agency",1,0)</f>
        <v>1</v>
      </c>
      <c r="AA301" s="13" t="n">
        <f aca="false">IF(K301="Client",1,0)</f>
        <v>0</v>
      </c>
      <c r="AB301" s="13" t="n">
        <f aca="false">(D301-AVERAGE(D$2:D$2001))/STDEV(D$2:D$2001)</f>
        <v>-1.50712359909381</v>
      </c>
      <c r="AC301" s="13" t="n">
        <f aca="false">(I301-AVERAGE(I$2:I$2001))/STDEV(I$2:I$2001)</f>
        <v>0.686917069130275</v>
      </c>
      <c r="AD301" s="13" t="n">
        <f aca="false">(L301-AVERAGE(L$2:L$2001))/STDEV(L$2:L$2001)</f>
        <v>0.413838214490712</v>
      </c>
      <c r="AE301" s="13" t="n">
        <f aca="false">(M301-AVERAGE(M$2:M$2001))/STDEV(M$2:M$2001)</f>
        <v>0.412630840501634</v>
      </c>
      <c r="AF301" s="13" t="n">
        <f aca="false">(N301-AVERAGE(N$2:N$2001))/STDEV(N$2:N$2001)</f>
        <v>0.0557261561700983</v>
      </c>
      <c r="AG301" s="13" t="n">
        <f aca="false">(O301-AVERAGE(O$2:O$2001))/STDEV(O$2:O$2001)</f>
        <v>0.314271184970508</v>
      </c>
      <c r="AH301" s="0" t="str">
        <f aca="false">IF(B301="Company","C3 - Corporate Buyers",IF(AND(H301="Investment",M301&gt;'Segmentation Summary'!$C$1),"C1 - Global Investors",IF(AND(I301&gt;=4,M301&gt;'Segmentation Summary'!$C$1),"C4 - Luxury Investors",IF(AND(D301&lt;'Segmentation Summary'!$C$2,J301=1),"C2 - First-Time Buyers","C5 - Other Individual Buyers"))))</f>
        <v>C4 - Luxury Investors</v>
      </c>
    </row>
    <row r="302" customFormat="false" ht="15" hidden="false" customHeight="true" outlineLevel="0" collapsed="false">
      <c r="A302" s="13" t="s">
        <v>677</v>
      </c>
      <c r="B302" s="13" t="s">
        <v>34</v>
      </c>
      <c r="C302" s="13" t="s">
        <v>678</v>
      </c>
      <c r="D302" s="13" t="n">
        <v>51</v>
      </c>
      <c r="E302" s="13" t="s">
        <v>90</v>
      </c>
      <c r="F302" s="13" t="s">
        <v>33</v>
      </c>
      <c r="G302" s="13" t="s">
        <v>95</v>
      </c>
      <c r="H302" s="13" t="s">
        <v>41</v>
      </c>
      <c r="I302" s="13" t="n">
        <v>1</v>
      </c>
      <c r="J302" s="13" t="n">
        <v>1</v>
      </c>
      <c r="K302" s="13" t="s">
        <v>91</v>
      </c>
      <c r="L302" s="13" t="n">
        <v>4</v>
      </c>
      <c r="M302" s="13" t="n">
        <v>1412560.68</v>
      </c>
      <c r="N302" s="13" t="n">
        <v>353140.17</v>
      </c>
      <c r="O302" s="13" t="n">
        <v>1085.975</v>
      </c>
      <c r="P302" s="13" t="n">
        <v>0</v>
      </c>
      <c r="Q302" s="13" t="n">
        <v>4</v>
      </c>
      <c r="R302" s="13" t="s">
        <v>98</v>
      </c>
      <c r="S302" s="13" t="s">
        <v>164</v>
      </c>
      <c r="T302" s="13" t="n">
        <v>1</v>
      </c>
      <c r="U302" s="13" t="n">
        <f aca="false">IF(B302="Individual",1,0)</f>
        <v>1</v>
      </c>
      <c r="V302" s="13" t="n">
        <f aca="false">IF(B302="Company",1,0)</f>
        <v>0</v>
      </c>
      <c r="W302" s="13" t="n">
        <f aca="false">IF(H302="Home",1,0)</f>
        <v>1</v>
      </c>
      <c r="X302" s="13" t="n">
        <f aca="false">IF(H302="Investment",1,0)</f>
        <v>0</v>
      </c>
      <c r="Y302" s="13" t="n">
        <f aca="false">IF(K302="Website",1,0)</f>
        <v>0</v>
      </c>
      <c r="Z302" s="13" t="n">
        <f aca="false">IF(K302="Agency",1,0)</f>
        <v>1</v>
      </c>
      <c r="AA302" s="13" t="n">
        <f aca="false">IF(K302="Client",1,0)</f>
        <v>0</v>
      </c>
      <c r="AB302" s="13" t="n">
        <f aca="false">(D302-AVERAGE(D$2:D$2001))/STDEV(D$2:D$2001)</f>
        <v>-0.18088712286633</v>
      </c>
      <c r="AC302" s="13" t="n">
        <f aca="false">(I302-AVERAGE(I$2:I$2001))/STDEV(I$2:I$2001)</f>
        <v>-1.43538077576244</v>
      </c>
      <c r="AD302" s="13" t="n">
        <f aca="false">(L302-AVERAGE(L$2:L$2001))/STDEV(L$2:L$2001)</f>
        <v>0.413838214490712</v>
      </c>
      <c r="AE302" s="13" t="n">
        <f aca="false">(M302-AVERAGE(M$2:M$2001))/STDEV(M$2:M$2001)</f>
        <v>0.43752669033792</v>
      </c>
      <c r="AF302" s="13" t="n">
        <f aca="false">(N302-AVERAGE(N$2:N$2001))/STDEV(N$2:N$2001)</f>
        <v>0.0867764779155013</v>
      </c>
      <c r="AG302" s="13" t="n">
        <f aca="false">(O302-AVERAGE(O$2:O$2001))/STDEV(O$2:O$2001)</f>
        <v>-0.279665080538119</v>
      </c>
      <c r="AH302" s="0" t="str">
        <f aca="false">IF(B302="Company","C3 - Corporate Buyers",IF(AND(H302="Investment",M302&gt;'Segmentation Summary'!$C$1),"C1 - Global Investors",IF(AND(I302&gt;=4,M302&gt;'Segmentation Summary'!$C$1),"C4 - Luxury Investors",IF(AND(D302&lt;'Segmentation Summary'!$C$2,J302=1),"C2 - First-Time Buyers","C5 - Other Individual Buyers"))))</f>
        <v>C2 - First-Time Buyers</v>
      </c>
    </row>
    <row r="303" customFormat="false" ht="15" hidden="false" customHeight="true" outlineLevel="0" collapsed="false">
      <c r="A303" s="13" t="s">
        <v>679</v>
      </c>
      <c r="B303" s="13" t="s">
        <v>34</v>
      </c>
      <c r="C303" s="13" t="s">
        <v>680</v>
      </c>
      <c r="D303" s="13" t="n">
        <v>46</v>
      </c>
      <c r="E303" s="13" t="s">
        <v>83</v>
      </c>
      <c r="F303" s="13" t="s">
        <v>33</v>
      </c>
      <c r="G303" s="13" t="s">
        <v>95</v>
      </c>
      <c r="H303" s="13" t="s">
        <v>43</v>
      </c>
      <c r="I303" s="13" t="n">
        <v>2</v>
      </c>
      <c r="J303" s="13" t="n">
        <v>0</v>
      </c>
      <c r="K303" s="13" t="s">
        <v>91</v>
      </c>
      <c r="L303" s="13" t="n">
        <v>4</v>
      </c>
      <c r="M303" s="13" t="n">
        <v>1328693.42</v>
      </c>
      <c r="N303" s="13" t="n">
        <v>332173.355</v>
      </c>
      <c r="O303" s="13" t="n">
        <v>1076.59</v>
      </c>
      <c r="P303" s="13" t="n">
        <v>1</v>
      </c>
      <c r="Q303" s="13" t="n">
        <v>3</v>
      </c>
      <c r="R303" s="13" t="s">
        <v>101</v>
      </c>
      <c r="S303" s="13" t="s">
        <v>133</v>
      </c>
      <c r="T303" s="13" t="n">
        <v>1</v>
      </c>
      <c r="U303" s="13" t="n">
        <f aca="false">IF(B303="Individual",1,0)</f>
        <v>1</v>
      </c>
      <c r="V303" s="13" t="n">
        <f aca="false">IF(B303="Company",1,0)</f>
        <v>0</v>
      </c>
      <c r="W303" s="13" t="n">
        <f aca="false">IF(H303="Home",1,0)</f>
        <v>0</v>
      </c>
      <c r="X303" s="13" t="n">
        <f aca="false">IF(H303="Investment",1,0)</f>
        <v>1</v>
      </c>
      <c r="Y303" s="13" t="n">
        <f aca="false">IF(K303="Website",1,0)</f>
        <v>0</v>
      </c>
      <c r="Z303" s="13" t="n">
        <f aca="false">IF(K303="Agency",1,0)</f>
        <v>1</v>
      </c>
      <c r="AA303" s="13" t="n">
        <f aca="false">IF(K303="Client",1,0)</f>
        <v>0</v>
      </c>
      <c r="AB303" s="13" t="n">
        <f aca="false">(D303-AVERAGE(D$2:D$2001))/STDEV(D$2:D$2001)</f>
        <v>-0.469199400307086</v>
      </c>
      <c r="AC303" s="13" t="n">
        <f aca="false">(I303-AVERAGE(I$2:I$2001))/STDEV(I$2:I$2001)</f>
        <v>-0.727948160798201</v>
      </c>
      <c r="AD303" s="13" t="n">
        <f aca="false">(L303-AVERAGE(L$2:L$2001))/STDEV(L$2:L$2001)</f>
        <v>0.413838214490712</v>
      </c>
      <c r="AE303" s="13" t="n">
        <f aca="false">(M303-AVERAGE(M$2:M$2001))/STDEV(M$2:M$2001)</f>
        <v>0.19641149124643</v>
      </c>
      <c r="AF303" s="13" t="n">
        <f aca="false">(N303-AVERAGE(N$2:N$2001))/STDEV(N$2:N$2001)</f>
        <v>-0.213944508061277</v>
      </c>
      <c r="AG303" s="13" t="n">
        <f aca="false">(O303-AVERAGE(O$2:O$2001))/STDEV(O$2:O$2001)</f>
        <v>-0.322339187503349</v>
      </c>
      <c r="AH303" s="0" t="str">
        <f aca="false">IF(B303="Company","C3 - Corporate Buyers",IF(AND(H303="Investment",M303&gt;'Segmentation Summary'!$C$1),"C1 - Global Investors",IF(AND(I303&gt;=4,M303&gt;'Segmentation Summary'!$C$1),"C4 - Luxury Investors",IF(AND(D303&lt;'Segmentation Summary'!$C$2,J303=1),"C2 - First-Time Buyers","C5 - Other Individual Buyers"))))</f>
        <v>C1 - Global Investors</v>
      </c>
    </row>
    <row r="304" customFormat="false" ht="15" hidden="false" customHeight="true" outlineLevel="0" collapsed="false">
      <c r="A304" s="13" t="s">
        <v>681</v>
      </c>
      <c r="B304" s="13" t="s">
        <v>34</v>
      </c>
      <c r="C304" s="13" t="s">
        <v>680</v>
      </c>
      <c r="D304" s="13" t="n">
        <v>51</v>
      </c>
      <c r="E304" s="13" t="s">
        <v>83</v>
      </c>
      <c r="F304" s="13" t="s">
        <v>33</v>
      </c>
      <c r="G304" s="13" t="s">
        <v>95</v>
      </c>
      <c r="H304" s="13" t="s">
        <v>41</v>
      </c>
      <c r="I304" s="13" t="n">
        <v>3</v>
      </c>
      <c r="J304" s="13" t="n">
        <v>0</v>
      </c>
      <c r="K304" s="13" t="s">
        <v>116</v>
      </c>
      <c r="L304" s="13" t="n">
        <v>3</v>
      </c>
      <c r="M304" s="13" t="n">
        <v>873771.52</v>
      </c>
      <c r="N304" s="13" t="n">
        <v>291257.173333333</v>
      </c>
      <c r="O304" s="13" t="n">
        <v>971.19</v>
      </c>
      <c r="P304" s="13" t="n">
        <v>0</v>
      </c>
      <c r="Q304" s="13" t="n">
        <v>3</v>
      </c>
      <c r="R304" s="13" t="s">
        <v>92</v>
      </c>
      <c r="S304" s="13" t="s">
        <v>135</v>
      </c>
      <c r="T304" s="13" t="n">
        <v>1</v>
      </c>
      <c r="U304" s="13" t="n">
        <f aca="false">IF(B304="Individual",1,0)</f>
        <v>1</v>
      </c>
      <c r="V304" s="13" t="n">
        <f aca="false">IF(B304="Company",1,0)</f>
        <v>0</v>
      </c>
      <c r="W304" s="13" t="n">
        <f aca="false">IF(H304="Home",1,0)</f>
        <v>1</v>
      </c>
      <c r="X304" s="13" t="n">
        <f aca="false">IF(H304="Investment",1,0)</f>
        <v>0</v>
      </c>
      <c r="Y304" s="13" t="n">
        <f aca="false">IF(K304="Website",1,0)</f>
        <v>0</v>
      </c>
      <c r="Z304" s="13" t="n">
        <f aca="false">IF(K304="Agency",1,0)</f>
        <v>0</v>
      </c>
      <c r="AA304" s="13" t="n">
        <f aca="false">IF(K304="Client",1,0)</f>
        <v>1</v>
      </c>
      <c r="AB304" s="13" t="n">
        <f aca="false">(D304-AVERAGE(D$2:D$2001))/STDEV(D$2:D$2001)</f>
        <v>-0.18088712286633</v>
      </c>
      <c r="AC304" s="13" t="n">
        <f aca="false">(I304-AVERAGE(I$2:I$2001))/STDEV(I$2:I$2001)</f>
        <v>-0.0205155458339628</v>
      </c>
      <c r="AD304" s="13" t="n">
        <f aca="false">(L304-AVERAGE(L$2:L$2001))/STDEV(L$2:L$2001)</f>
        <v>-0.777063122173208</v>
      </c>
      <c r="AE304" s="13" t="n">
        <f aca="false">(M304-AVERAGE(M$2:M$2001))/STDEV(M$2:M$2001)</f>
        <v>-1.11147175770649</v>
      </c>
      <c r="AF304" s="13" t="n">
        <f aca="false">(N304-AVERAGE(N$2:N$2001))/STDEV(N$2:N$2001)</f>
        <v>-0.800793511746629</v>
      </c>
      <c r="AG304" s="13" t="n">
        <f aca="false">(O304-AVERAGE(O$2:O$2001))/STDEV(O$2:O$2001)</f>
        <v>-0.801598737224748</v>
      </c>
      <c r="AH304" s="0" t="str">
        <f aca="false">IF(B304="Company","C3 - Corporate Buyers",IF(AND(H304="Investment",M304&gt;'Segmentation Summary'!$C$1),"C1 - Global Investors",IF(AND(I304&gt;=4,M304&gt;'Segmentation Summary'!$C$1),"C4 - Luxury Investors",IF(AND(D304&lt;'Segmentation Summary'!$C$2,J304=1),"C2 - First-Time Buyers","C5 - Other Individual Buyers"))))</f>
        <v>C5 - Other Individual Buyers</v>
      </c>
    </row>
    <row r="305" customFormat="false" ht="15" hidden="false" customHeight="true" outlineLevel="0" collapsed="false">
      <c r="A305" s="13" t="s">
        <v>682</v>
      </c>
      <c r="B305" s="13" t="s">
        <v>34</v>
      </c>
      <c r="C305" s="13" t="s">
        <v>683</v>
      </c>
      <c r="D305" s="13" t="n">
        <v>24</v>
      </c>
      <c r="E305" s="13" t="s">
        <v>83</v>
      </c>
      <c r="F305" s="13" t="s">
        <v>33</v>
      </c>
      <c r="G305" s="13" t="s">
        <v>106</v>
      </c>
      <c r="H305" s="13" t="s">
        <v>43</v>
      </c>
      <c r="I305" s="13" t="n">
        <v>2</v>
      </c>
      <c r="J305" s="13" t="n">
        <v>0</v>
      </c>
      <c r="K305" s="13" t="s">
        <v>116</v>
      </c>
      <c r="L305" s="13" t="n">
        <v>3</v>
      </c>
      <c r="M305" s="13" t="n">
        <v>1118472.87</v>
      </c>
      <c r="N305" s="13" t="n">
        <v>372824.29</v>
      </c>
      <c r="O305" s="13" t="n">
        <v>1206.27333333333</v>
      </c>
      <c r="P305" s="13" t="n">
        <v>1</v>
      </c>
      <c r="Q305" s="13" t="n">
        <v>2</v>
      </c>
      <c r="R305" s="13" t="s">
        <v>98</v>
      </c>
      <c r="S305" s="13" t="s">
        <v>124</v>
      </c>
      <c r="T305" s="13" t="n">
        <v>1</v>
      </c>
      <c r="U305" s="13" t="n">
        <f aca="false">IF(B305="Individual",1,0)</f>
        <v>1</v>
      </c>
      <c r="V305" s="13" t="n">
        <f aca="false">IF(B305="Company",1,0)</f>
        <v>0</v>
      </c>
      <c r="W305" s="13" t="n">
        <f aca="false">IF(H305="Home",1,0)</f>
        <v>0</v>
      </c>
      <c r="X305" s="13" t="n">
        <f aca="false">IF(H305="Investment",1,0)</f>
        <v>1</v>
      </c>
      <c r="Y305" s="13" t="n">
        <f aca="false">IF(K305="Website",1,0)</f>
        <v>0</v>
      </c>
      <c r="Z305" s="13" t="n">
        <f aca="false">IF(K305="Agency",1,0)</f>
        <v>0</v>
      </c>
      <c r="AA305" s="13" t="n">
        <f aca="false">IF(K305="Client",1,0)</f>
        <v>1</v>
      </c>
      <c r="AB305" s="13" t="n">
        <f aca="false">(D305-AVERAGE(D$2:D$2001))/STDEV(D$2:D$2001)</f>
        <v>-1.73777342104641</v>
      </c>
      <c r="AC305" s="13" t="n">
        <f aca="false">(I305-AVERAGE(I$2:I$2001))/STDEV(I$2:I$2001)</f>
        <v>-0.727948160798201</v>
      </c>
      <c r="AD305" s="13" t="n">
        <f aca="false">(L305-AVERAGE(L$2:L$2001))/STDEV(L$2:L$2001)</f>
        <v>-0.777063122173208</v>
      </c>
      <c r="AE305" s="13" t="n">
        <f aca="false">(M305-AVERAGE(M$2:M$2001))/STDEV(M$2:M$2001)</f>
        <v>-0.407964635580326</v>
      </c>
      <c r="AF305" s="13" t="n">
        <f aca="false">(N305-AVERAGE(N$2:N$2001))/STDEV(N$2:N$2001)</f>
        <v>0.36910013911465</v>
      </c>
      <c r="AG305" s="13" t="n">
        <f aca="false">(O305-AVERAGE(O$2:O$2001))/STDEV(O$2:O$2001)</f>
        <v>0.267338003575416</v>
      </c>
      <c r="AH305" s="0" t="str">
        <f aca="false">IF(B305="Company","C3 - Corporate Buyers",IF(AND(H305="Investment",M305&gt;'Segmentation Summary'!$C$1),"C1 - Global Investors",IF(AND(I305&gt;=4,M305&gt;'Segmentation Summary'!$C$1),"C4 - Luxury Investors",IF(AND(D305&lt;'Segmentation Summary'!$C$2,J305=1),"C2 - First-Time Buyers","C5 - Other Individual Buyers"))))</f>
        <v>C5 - Other Individual Buyers</v>
      </c>
    </row>
    <row r="306" customFormat="false" ht="15" hidden="false" customHeight="true" outlineLevel="0" collapsed="false">
      <c r="A306" s="13" t="s">
        <v>684</v>
      </c>
      <c r="B306" s="13" t="s">
        <v>34</v>
      </c>
      <c r="C306" s="13" t="s">
        <v>685</v>
      </c>
      <c r="D306" s="13" t="n">
        <v>35</v>
      </c>
      <c r="E306" s="13" t="s">
        <v>83</v>
      </c>
      <c r="F306" s="13" t="s">
        <v>33</v>
      </c>
      <c r="G306" s="13" t="s">
        <v>95</v>
      </c>
      <c r="H306" s="13" t="s">
        <v>41</v>
      </c>
      <c r="I306" s="13" t="n">
        <v>2</v>
      </c>
      <c r="J306" s="13" t="n">
        <v>1</v>
      </c>
      <c r="K306" s="13" t="s">
        <v>91</v>
      </c>
      <c r="L306" s="13" t="n">
        <v>3</v>
      </c>
      <c r="M306" s="13" t="n">
        <v>1535963.18</v>
      </c>
      <c r="N306" s="13" t="n">
        <v>511987.726666667</v>
      </c>
      <c r="O306" s="13" t="n">
        <v>1635.62333333333</v>
      </c>
      <c r="P306" s="13" t="n">
        <v>1</v>
      </c>
      <c r="Q306" s="13" t="n">
        <v>2</v>
      </c>
      <c r="R306" s="13" t="s">
        <v>98</v>
      </c>
      <c r="S306" s="13" t="s">
        <v>164</v>
      </c>
      <c r="T306" s="13" t="n">
        <v>1</v>
      </c>
      <c r="U306" s="13" t="n">
        <f aca="false">IF(B306="Individual",1,0)</f>
        <v>1</v>
      </c>
      <c r="V306" s="13" t="n">
        <f aca="false">IF(B306="Company",1,0)</f>
        <v>0</v>
      </c>
      <c r="W306" s="13" t="n">
        <f aca="false">IF(H306="Home",1,0)</f>
        <v>1</v>
      </c>
      <c r="X306" s="13" t="n">
        <f aca="false">IF(H306="Investment",1,0)</f>
        <v>0</v>
      </c>
      <c r="Y306" s="13" t="n">
        <f aca="false">IF(K306="Website",1,0)</f>
        <v>0</v>
      </c>
      <c r="Z306" s="13" t="n">
        <f aca="false">IF(K306="Agency",1,0)</f>
        <v>1</v>
      </c>
      <c r="AA306" s="13" t="n">
        <f aca="false">IF(K306="Client",1,0)</f>
        <v>0</v>
      </c>
      <c r="AB306" s="13" t="n">
        <f aca="false">(D306-AVERAGE(D$2:D$2001))/STDEV(D$2:D$2001)</f>
        <v>-1.10348641067675</v>
      </c>
      <c r="AC306" s="13" t="n">
        <f aca="false">(I306-AVERAGE(I$2:I$2001))/STDEV(I$2:I$2001)</f>
        <v>-0.727948160798201</v>
      </c>
      <c r="AD306" s="13" t="n">
        <f aca="false">(L306-AVERAGE(L$2:L$2001))/STDEV(L$2:L$2001)</f>
        <v>-0.777063122173208</v>
      </c>
      <c r="AE306" s="13" t="n">
        <f aca="false">(M306-AVERAGE(M$2:M$2001))/STDEV(M$2:M$2001)</f>
        <v>0.792304208476555</v>
      </c>
      <c r="AF306" s="13" t="n">
        <f aca="false">(N306-AVERAGE(N$2:N$2001))/STDEV(N$2:N$2001)</f>
        <v>2.36508121140994</v>
      </c>
      <c r="AG306" s="13" t="n">
        <f aca="false">(O306-AVERAGE(O$2:O$2001))/STDEV(O$2:O$2001)</f>
        <v>2.21961587523464</v>
      </c>
      <c r="AH306" s="0" t="str">
        <f aca="false">IF(B306="Company","C3 - Corporate Buyers",IF(AND(H306="Investment",M306&gt;'Segmentation Summary'!$C$1),"C1 - Global Investors",IF(AND(I306&gt;=4,M306&gt;'Segmentation Summary'!$C$1),"C4 - Luxury Investors",IF(AND(D306&lt;'Segmentation Summary'!$C$2,J306=1),"C2 - First-Time Buyers","C5 - Other Individual Buyers"))))</f>
        <v>C2 - First-Time Buyers</v>
      </c>
    </row>
    <row r="307" customFormat="false" ht="15" hidden="false" customHeight="true" outlineLevel="0" collapsed="false">
      <c r="A307" s="13" t="s">
        <v>686</v>
      </c>
      <c r="B307" s="13" t="s">
        <v>34</v>
      </c>
      <c r="C307" s="13" t="s">
        <v>687</v>
      </c>
      <c r="D307" s="13" t="n">
        <v>69</v>
      </c>
      <c r="E307" s="13" t="s">
        <v>83</v>
      </c>
      <c r="F307" s="13" t="s">
        <v>33</v>
      </c>
      <c r="G307" s="13" t="s">
        <v>100</v>
      </c>
      <c r="H307" s="13" t="s">
        <v>41</v>
      </c>
      <c r="I307" s="13" t="n">
        <v>2</v>
      </c>
      <c r="J307" s="13" t="n">
        <v>0</v>
      </c>
      <c r="K307" s="13" t="s">
        <v>91</v>
      </c>
      <c r="L307" s="13" t="n">
        <v>3</v>
      </c>
      <c r="M307" s="13" t="n">
        <v>742139.88</v>
      </c>
      <c r="N307" s="13" t="n">
        <v>247379.96</v>
      </c>
      <c r="O307" s="13" t="n">
        <v>851.87</v>
      </c>
      <c r="P307" s="13" t="n">
        <v>1</v>
      </c>
      <c r="Q307" s="13" t="n">
        <v>2</v>
      </c>
      <c r="R307" s="13" t="s">
        <v>92</v>
      </c>
      <c r="S307" s="13" t="s">
        <v>111</v>
      </c>
      <c r="T307" s="13" t="n">
        <v>1</v>
      </c>
      <c r="U307" s="13" t="n">
        <f aca="false">IF(B307="Individual",1,0)</f>
        <v>1</v>
      </c>
      <c r="V307" s="13" t="n">
        <f aca="false">IF(B307="Company",1,0)</f>
        <v>0</v>
      </c>
      <c r="W307" s="13" t="n">
        <f aca="false">IF(H307="Home",1,0)</f>
        <v>1</v>
      </c>
      <c r="X307" s="13" t="n">
        <f aca="false">IF(H307="Investment",1,0)</f>
        <v>0</v>
      </c>
      <c r="Y307" s="13" t="n">
        <f aca="false">IF(K307="Website",1,0)</f>
        <v>0</v>
      </c>
      <c r="Z307" s="13" t="n">
        <f aca="false">IF(K307="Agency",1,0)</f>
        <v>1</v>
      </c>
      <c r="AA307" s="13" t="n">
        <f aca="false">IF(K307="Client",1,0)</f>
        <v>0</v>
      </c>
      <c r="AB307" s="13" t="n">
        <f aca="false">(D307-AVERAGE(D$2:D$2001))/STDEV(D$2:D$2001)</f>
        <v>0.857037075920391</v>
      </c>
      <c r="AC307" s="13" t="n">
        <f aca="false">(I307-AVERAGE(I$2:I$2001))/STDEV(I$2:I$2001)</f>
        <v>-0.727948160798201</v>
      </c>
      <c r="AD307" s="13" t="n">
        <f aca="false">(L307-AVERAGE(L$2:L$2001))/STDEV(L$2:L$2001)</f>
        <v>-0.777063122173208</v>
      </c>
      <c r="AE307" s="13" t="n">
        <f aca="false">(M307-AVERAGE(M$2:M$2001))/STDEV(M$2:M$2001)</f>
        <v>-1.48990774196708</v>
      </c>
      <c r="AF307" s="13" t="n">
        <f aca="false">(N307-AVERAGE(N$2:N$2001))/STDEV(N$2:N$2001)</f>
        <v>-1.43011173940845</v>
      </c>
      <c r="AG307" s="13" t="n">
        <f aca="false">(O307-AVERAGE(O$2:O$2001))/STDEV(O$2:O$2001)</f>
        <v>-1.34415328630214</v>
      </c>
      <c r="AH307" s="0" t="str">
        <f aca="false">IF(B307="Company","C3 - Corporate Buyers",IF(AND(H307="Investment",M307&gt;'Segmentation Summary'!$C$1),"C1 - Global Investors",IF(AND(I307&gt;=4,M307&gt;'Segmentation Summary'!$C$1),"C4 - Luxury Investors",IF(AND(D307&lt;'Segmentation Summary'!$C$2,J307=1),"C2 - First-Time Buyers","C5 - Other Individual Buyers"))))</f>
        <v>C5 - Other Individual Buyers</v>
      </c>
    </row>
    <row r="308" customFormat="false" ht="15" hidden="false" customHeight="true" outlineLevel="0" collapsed="false">
      <c r="A308" s="13" t="s">
        <v>688</v>
      </c>
      <c r="B308" s="13" t="s">
        <v>34</v>
      </c>
      <c r="C308" s="13" t="s">
        <v>689</v>
      </c>
      <c r="D308" s="13" t="n">
        <v>30</v>
      </c>
      <c r="E308" s="13" t="s">
        <v>83</v>
      </c>
      <c r="F308" s="13" t="s">
        <v>35</v>
      </c>
      <c r="G308" s="13" t="s">
        <v>137</v>
      </c>
      <c r="H308" s="13" t="s">
        <v>41</v>
      </c>
      <c r="I308" s="13" t="n">
        <v>3</v>
      </c>
      <c r="J308" s="13" t="n">
        <v>0</v>
      </c>
      <c r="K308" s="13" t="s">
        <v>91</v>
      </c>
      <c r="L308" s="13" t="n">
        <v>4</v>
      </c>
      <c r="M308" s="13" t="n">
        <v>965283.79</v>
      </c>
      <c r="N308" s="13" t="n">
        <v>241320.9475</v>
      </c>
      <c r="O308" s="13" t="n">
        <v>783.64</v>
      </c>
      <c r="P308" s="13" t="n">
        <v>1</v>
      </c>
      <c r="Q308" s="13" t="n">
        <v>3</v>
      </c>
      <c r="R308" s="13" t="s">
        <v>92</v>
      </c>
      <c r="S308" s="13" t="s">
        <v>152</v>
      </c>
      <c r="T308" s="13" t="n">
        <v>1</v>
      </c>
      <c r="U308" s="13" t="n">
        <f aca="false">IF(B308="Individual",1,0)</f>
        <v>1</v>
      </c>
      <c r="V308" s="13" t="n">
        <f aca="false">IF(B308="Company",1,0)</f>
        <v>0</v>
      </c>
      <c r="W308" s="13" t="n">
        <f aca="false">IF(H308="Home",1,0)</f>
        <v>1</v>
      </c>
      <c r="X308" s="13" t="n">
        <f aca="false">IF(H308="Investment",1,0)</f>
        <v>0</v>
      </c>
      <c r="Y308" s="13" t="n">
        <f aca="false">IF(K308="Website",1,0)</f>
        <v>0</v>
      </c>
      <c r="Z308" s="13" t="n">
        <f aca="false">IF(K308="Agency",1,0)</f>
        <v>1</v>
      </c>
      <c r="AA308" s="13" t="n">
        <f aca="false">IF(K308="Client",1,0)</f>
        <v>0</v>
      </c>
      <c r="AB308" s="13" t="n">
        <f aca="false">(D308-AVERAGE(D$2:D$2001))/STDEV(D$2:D$2001)</f>
        <v>-1.39179868811751</v>
      </c>
      <c r="AC308" s="13" t="n">
        <f aca="false">(I308-AVERAGE(I$2:I$2001))/STDEV(I$2:I$2001)</f>
        <v>-0.0205155458339628</v>
      </c>
      <c r="AD308" s="13" t="n">
        <f aca="false">(L308-AVERAGE(L$2:L$2001))/STDEV(L$2:L$2001)</f>
        <v>0.413838214490712</v>
      </c>
      <c r="AE308" s="13" t="n">
        <f aca="false">(M308-AVERAGE(M$2:M$2001))/STDEV(M$2:M$2001)</f>
        <v>-0.848377444140451</v>
      </c>
      <c r="AF308" s="13" t="n">
        <f aca="false">(N308-AVERAGE(N$2:N$2001))/STDEV(N$2:N$2001)</f>
        <v>-1.51701440979714</v>
      </c>
      <c r="AG308" s="13" t="n">
        <f aca="false">(O308-AVERAGE(O$2:O$2001))/STDEV(O$2:O$2001)</f>
        <v>-1.65439881834665</v>
      </c>
      <c r="AH308" s="0" t="str">
        <f aca="false">IF(B308="Company","C3 - Corporate Buyers",IF(AND(H308="Investment",M308&gt;'Segmentation Summary'!$C$1),"C1 - Global Investors",IF(AND(I308&gt;=4,M308&gt;'Segmentation Summary'!$C$1),"C4 - Luxury Investors",IF(AND(D308&lt;'Segmentation Summary'!$C$2,J308=1),"C2 - First-Time Buyers","C5 - Other Individual Buyers"))))</f>
        <v>C5 - Other Individual Buyers</v>
      </c>
    </row>
    <row r="309" customFormat="false" ht="15" hidden="false" customHeight="true" outlineLevel="0" collapsed="false">
      <c r="A309" s="13" t="s">
        <v>690</v>
      </c>
      <c r="B309" s="13" t="s">
        <v>34</v>
      </c>
      <c r="C309" s="13" t="s">
        <v>691</v>
      </c>
      <c r="D309" s="13" t="n">
        <v>36</v>
      </c>
      <c r="E309" s="13" t="s">
        <v>83</v>
      </c>
      <c r="F309" s="13" t="s">
        <v>33</v>
      </c>
      <c r="G309" s="13" t="s">
        <v>95</v>
      </c>
      <c r="H309" s="13" t="s">
        <v>41</v>
      </c>
      <c r="I309" s="13" t="n">
        <v>2</v>
      </c>
      <c r="J309" s="13" t="n">
        <v>1</v>
      </c>
      <c r="K309" s="13" t="s">
        <v>91</v>
      </c>
      <c r="L309" s="13" t="n">
        <v>3</v>
      </c>
      <c r="M309" s="13" t="n">
        <v>1255115</v>
      </c>
      <c r="N309" s="13" t="n">
        <v>418371.666666667</v>
      </c>
      <c r="O309" s="13" t="n">
        <v>1321.50333333333</v>
      </c>
      <c r="P309" s="13" t="n">
        <v>1</v>
      </c>
      <c r="Q309" s="13" t="n">
        <v>2</v>
      </c>
      <c r="R309" s="13" t="s">
        <v>101</v>
      </c>
      <c r="S309" s="13" t="s">
        <v>152</v>
      </c>
      <c r="T309" s="13" t="n">
        <v>1</v>
      </c>
      <c r="U309" s="13" t="n">
        <f aca="false">IF(B309="Individual",1,0)</f>
        <v>1</v>
      </c>
      <c r="V309" s="13" t="n">
        <f aca="false">IF(B309="Company",1,0)</f>
        <v>0</v>
      </c>
      <c r="W309" s="13" t="n">
        <f aca="false">IF(H309="Home",1,0)</f>
        <v>1</v>
      </c>
      <c r="X309" s="13" t="n">
        <f aca="false">IF(H309="Investment",1,0)</f>
        <v>0</v>
      </c>
      <c r="Y309" s="13" t="n">
        <f aca="false">IF(K309="Website",1,0)</f>
        <v>0</v>
      </c>
      <c r="Z309" s="13" t="n">
        <f aca="false">IF(K309="Agency",1,0)</f>
        <v>1</v>
      </c>
      <c r="AA309" s="13" t="n">
        <f aca="false">IF(K309="Client",1,0)</f>
        <v>0</v>
      </c>
      <c r="AB309" s="13" t="n">
        <f aca="false">(D309-AVERAGE(D$2:D$2001))/STDEV(D$2:D$2001)</f>
        <v>-1.0458239551886</v>
      </c>
      <c r="AC309" s="13" t="n">
        <f aca="false">(I309-AVERAGE(I$2:I$2001))/STDEV(I$2:I$2001)</f>
        <v>-0.727948160798201</v>
      </c>
      <c r="AD309" s="13" t="n">
        <f aca="false">(L309-AVERAGE(L$2:L$2001))/STDEV(L$2:L$2001)</f>
        <v>-0.777063122173208</v>
      </c>
      <c r="AE309" s="13" t="n">
        <f aca="false">(M309-AVERAGE(M$2:M$2001))/STDEV(M$2:M$2001)</f>
        <v>-0.0151236821589882</v>
      </c>
      <c r="AF309" s="13" t="n">
        <f aca="false">(N309-AVERAGE(N$2:N$2001))/STDEV(N$2:N$2001)</f>
        <v>1.02237303821047</v>
      </c>
      <c r="AG309" s="13" t="n">
        <f aca="false">(O309-AVERAGE(O$2:O$2001))/STDEV(O$2:O$2001)</f>
        <v>0.791295099537435</v>
      </c>
      <c r="AH309" s="0" t="str">
        <f aca="false">IF(B309="Company","C3 - Corporate Buyers",IF(AND(H309="Investment",M309&gt;'Segmentation Summary'!$C$1),"C1 - Global Investors",IF(AND(I309&gt;=4,M309&gt;'Segmentation Summary'!$C$1),"C4 - Luxury Investors",IF(AND(D309&lt;'Segmentation Summary'!$C$2,J309=1),"C2 - First-Time Buyers","C5 - Other Individual Buyers"))))</f>
        <v>C2 - First-Time Buyers</v>
      </c>
    </row>
    <row r="310" customFormat="false" ht="15" hidden="false" customHeight="true" outlineLevel="0" collapsed="false">
      <c r="A310" s="13" t="s">
        <v>692</v>
      </c>
      <c r="B310" s="13" t="s">
        <v>34</v>
      </c>
      <c r="C310" s="13" t="s">
        <v>693</v>
      </c>
      <c r="D310" s="13" t="n">
        <v>26</v>
      </c>
      <c r="E310" s="13" t="s">
        <v>83</v>
      </c>
      <c r="F310" s="13" t="s">
        <v>37</v>
      </c>
      <c r="G310" s="13" t="s">
        <v>259</v>
      </c>
      <c r="H310" s="13" t="s">
        <v>41</v>
      </c>
      <c r="I310" s="13" t="n">
        <v>1</v>
      </c>
      <c r="J310" s="13" t="n">
        <v>0</v>
      </c>
      <c r="K310" s="13" t="s">
        <v>85</v>
      </c>
      <c r="L310" s="13" t="n">
        <v>4</v>
      </c>
      <c r="M310" s="13" t="n">
        <v>1707150.06</v>
      </c>
      <c r="N310" s="13" t="n">
        <v>426787.515</v>
      </c>
      <c r="O310" s="13" t="n">
        <v>1380.26</v>
      </c>
      <c r="P310" s="13" t="n">
        <v>0</v>
      </c>
      <c r="Q310" s="13" t="n">
        <v>4</v>
      </c>
      <c r="R310" s="13" t="s">
        <v>86</v>
      </c>
      <c r="S310" s="13" t="s">
        <v>164</v>
      </c>
      <c r="T310" s="13" t="n">
        <v>1</v>
      </c>
      <c r="U310" s="13" t="n">
        <f aca="false">IF(B310="Individual",1,0)</f>
        <v>1</v>
      </c>
      <c r="V310" s="13" t="n">
        <f aca="false">IF(B310="Company",1,0)</f>
        <v>0</v>
      </c>
      <c r="W310" s="13" t="n">
        <f aca="false">IF(H310="Home",1,0)</f>
        <v>1</v>
      </c>
      <c r="X310" s="13" t="n">
        <f aca="false">IF(H310="Investment",1,0)</f>
        <v>0</v>
      </c>
      <c r="Y310" s="13" t="n">
        <f aca="false">IF(K310="Website",1,0)</f>
        <v>1</v>
      </c>
      <c r="Z310" s="13" t="n">
        <f aca="false">IF(K310="Agency",1,0)</f>
        <v>0</v>
      </c>
      <c r="AA310" s="13" t="n">
        <f aca="false">IF(K310="Client",1,0)</f>
        <v>0</v>
      </c>
      <c r="AB310" s="13" t="n">
        <f aca="false">(D310-AVERAGE(D$2:D$2001))/STDEV(D$2:D$2001)</f>
        <v>-1.62244851007011</v>
      </c>
      <c r="AC310" s="13" t="n">
        <f aca="false">(I310-AVERAGE(I$2:I$2001))/STDEV(I$2:I$2001)</f>
        <v>-1.43538077576244</v>
      </c>
      <c r="AD310" s="13" t="n">
        <f aca="false">(L310-AVERAGE(L$2:L$2001))/STDEV(L$2:L$2001)</f>
        <v>0.413838214490712</v>
      </c>
      <c r="AE310" s="13" t="n">
        <f aca="false">(M310-AVERAGE(M$2:M$2001))/STDEV(M$2:M$2001)</f>
        <v>1.28446001102753</v>
      </c>
      <c r="AF310" s="13" t="n">
        <f aca="false">(N310-AVERAGE(N$2:N$2001))/STDEV(N$2:N$2001)</f>
        <v>1.14307912583661</v>
      </c>
      <c r="AG310" s="13" t="n">
        <f aca="false">(O310-AVERAGE(O$2:O$2001))/STDEV(O$2:O$2001)</f>
        <v>1.05846486813135</v>
      </c>
      <c r="AH310" s="0" t="str">
        <f aca="false">IF(B310="Company","C3 - Corporate Buyers",IF(AND(H310="Investment",M310&gt;'Segmentation Summary'!$C$1),"C1 - Global Investors",IF(AND(I310&gt;=4,M310&gt;'Segmentation Summary'!$C$1),"C4 - Luxury Investors",IF(AND(D310&lt;'Segmentation Summary'!$C$2,J310=1),"C2 - First-Time Buyers","C5 - Other Individual Buyers"))))</f>
        <v>C5 - Other Individual Buyers</v>
      </c>
    </row>
    <row r="311" customFormat="false" ht="15" hidden="false" customHeight="true" outlineLevel="0" collapsed="false">
      <c r="A311" s="13" t="s">
        <v>694</v>
      </c>
      <c r="B311" s="13" t="s">
        <v>34</v>
      </c>
      <c r="C311" s="13" t="s">
        <v>695</v>
      </c>
      <c r="D311" s="13" t="n">
        <v>74</v>
      </c>
      <c r="E311" s="13" t="s">
        <v>83</v>
      </c>
      <c r="F311" s="13" t="s">
        <v>33</v>
      </c>
      <c r="G311" s="13" t="s">
        <v>84</v>
      </c>
      <c r="H311" s="13" t="s">
        <v>41</v>
      </c>
      <c r="I311" s="13" t="n">
        <v>2</v>
      </c>
      <c r="J311" s="13" t="n">
        <v>0</v>
      </c>
      <c r="K311" s="13" t="s">
        <v>85</v>
      </c>
      <c r="L311" s="13" t="n">
        <v>5</v>
      </c>
      <c r="M311" s="13" t="n">
        <v>1169150.31</v>
      </c>
      <c r="N311" s="13" t="n">
        <v>233830.062</v>
      </c>
      <c r="O311" s="13" t="n">
        <v>806.688</v>
      </c>
      <c r="P311" s="13" t="n">
        <v>0</v>
      </c>
      <c r="Q311" s="13" t="n">
        <v>5</v>
      </c>
      <c r="R311" s="13" t="s">
        <v>111</v>
      </c>
      <c r="S311" s="13" t="s">
        <v>87</v>
      </c>
      <c r="T311" s="13" t="n">
        <v>1</v>
      </c>
      <c r="U311" s="13" t="n">
        <f aca="false">IF(B311="Individual",1,0)</f>
        <v>1</v>
      </c>
      <c r="V311" s="13" t="n">
        <f aca="false">IF(B311="Company",1,0)</f>
        <v>0</v>
      </c>
      <c r="W311" s="13" t="n">
        <f aca="false">IF(H311="Home",1,0)</f>
        <v>1</v>
      </c>
      <c r="X311" s="13" t="n">
        <f aca="false">IF(H311="Investment",1,0)</f>
        <v>0</v>
      </c>
      <c r="Y311" s="13" t="n">
        <f aca="false">IF(K311="Website",1,0)</f>
        <v>1</v>
      </c>
      <c r="Z311" s="13" t="n">
        <f aca="false">IF(K311="Agency",1,0)</f>
        <v>0</v>
      </c>
      <c r="AA311" s="13" t="n">
        <f aca="false">IF(K311="Client",1,0)</f>
        <v>0</v>
      </c>
      <c r="AB311" s="13" t="n">
        <f aca="false">(D311-AVERAGE(D$2:D$2001))/STDEV(D$2:D$2001)</f>
        <v>1.14534935336115</v>
      </c>
      <c r="AC311" s="13" t="n">
        <f aca="false">(I311-AVERAGE(I$2:I$2001))/STDEV(I$2:I$2001)</f>
        <v>-0.727948160798201</v>
      </c>
      <c r="AD311" s="13" t="n">
        <f aca="false">(L311-AVERAGE(L$2:L$2001))/STDEV(L$2:L$2001)</f>
        <v>1.60473955115463</v>
      </c>
      <c r="AE311" s="13" t="n">
        <f aca="false">(M311-AVERAGE(M$2:M$2001))/STDEV(M$2:M$2001)</f>
        <v>-0.262268913136943</v>
      </c>
      <c r="AF311" s="13" t="n">
        <f aca="false">(N311-AVERAGE(N$2:N$2001))/STDEV(N$2:N$2001)</f>
        <v>-1.62445402203196</v>
      </c>
      <c r="AG311" s="13" t="n">
        <f aca="false">(O311-AVERAGE(O$2:O$2001))/STDEV(O$2:O$2001)</f>
        <v>-1.54959830504514</v>
      </c>
      <c r="AH311" s="0" t="str">
        <f aca="false">IF(B311="Company","C3 - Corporate Buyers",IF(AND(H311="Investment",M311&gt;'Segmentation Summary'!$C$1),"C1 - Global Investors",IF(AND(I311&gt;=4,M311&gt;'Segmentation Summary'!$C$1),"C4 - Luxury Investors",IF(AND(D311&lt;'Segmentation Summary'!$C$2,J311=1),"C2 - First-Time Buyers","C5 - Other Individual Buyers"))))</f>
        <v>C5 - Other Individual Buyers</v>
      </c>
    </row>
    <row r="312" customFormat="false" ht="15" hidden="false" customHeight="true" outlineLevel="0" collapsed="false">
      <c r="A312" s="13" t="s">
        <v>696</v>
      </c>
      <c r="B312" s="13" t="s">
        <v>34</v>
      </c>
      <c r="C312" s="13" t="s">
        <v>697</v>
      </c>
      <c r="D312" s="13" t="n">
        <v>70</v>
      </c>
      <c r="E312" s="13" t="s">
        <v>90</v>
      </c>
      <c r="F312" s="13" t="s">
        <v>33</v>
      </c>
      <c r="G312" s="13" t="s">
        <v>95</v>
      </c>
      <c r="H312" s="13" t="s">
        <v>41</v>
      </c>
      <c r="I312" s="13" t="n">
        <v>2</v>
      </c>
      <c r="J312" s="13" t="n">
        <v>0</v>
      </c>
      <c r="K312" s="13" t="s">
        <v>91</v>
      </c>
      <c r="L312" s="13" t="n">
        <v>3</v>
      </c>
      <c r="M312" s="13" t="n">
        <v>859705.17</v>
      </c>
      <c r="N312" s="13" t="n">
        <v>286568.39</v>
      </c>
      <c r="O312" s="13" t="n">
        <v>922.666666666667</v>
      </c>
      <c r="P312" s="13" t="n">
        <v>2</v>
      </c>
      <c r="Q312" s="13" t="n">
        <v>1</v>
      </c>
      <c r="R312" s="13" t="s">
        <v>124</v>
      </c>
      <c r="S312" s="13" t="s">
        <v>133</v>
      </c>
      <c r="T312" s="13" t="n">
        <v>1</v>
      </c>
      <c r="U312" s="13" t="n">
        <f aca="false">IF(B312="Individual",1,0)</f>
        <v>1</v>
      </c>
      <c r="V312" s="13" t="n">
        <f aca="false">IF(B312="Company",1,0)</f>
        <v>0</v>
      </c>
      <c r="W312" s="13" t="n">
        <f aca="false">IF(H312="Home",1,0)</f>
        <v>1</v>
      </c>
      <c r="X312" s="13" t="n">
        <f aca="false">IF(H312="Investment",1,0)</f>
        <v>0</v>
      </c>
      <c r="Y312" s="13" t="n">
        <f aca="false">IF(K312="Website",1,0)</f>
        <v>0</v>
      </c>
      <c r="Z312" s="13" t="n">
        <f aca="false">IF(K312="Agency",1,0)</f>
        <v>1</v>
      </c>
      <c r="AA312" s="13" t="n">
        <f aca="false">IF(K312="Client",1,0)</f>
        <v>0</v>
      </c>
      <c r="AB312" s="13" t="n">
        <f aca="false">(D312-AVERAGE(D$2:D$2001))/STDEV(D$2:D$2001)</f>
        <v>0.914699531408543</v>
      </c>
      <c r="AC312" s="13" t="n">
        <f aca="false">(I312-AVERAGE(I$2:I$2001))/STDEV(I$2:I$2001)</f>
        <v>-0.727948160798201</v>
      </c>
      <c r="AD312" s="13" t="n">
        <f aca="false">(L312-AVERAGE(L$2:L$2001))/STDEV(L$2:L$2001)</f>
        <v>-0.777063122173208</v>
      </c>
      <c r="AE312" s="13" t="n">
        <f aca="false">(M312-AVERAGE(M$2:M$2001))/STDEV(M$2:M$2001)</f>
        <v>-1.15191198170737</v>
      </c>
      <c r="AF312" s="13" t="n">
        <f aca="false">(N312-AVERAGE(N$2:N$2001))/STDEV(N$2:N$2001)</f>
        <v>-0.868043380028071</v>
      </c>
      <c r="AG312" s="13" t="n">
        <f aca="false">(O312-AVERAGE(O$2:O$2001))/STDEV(O$2:O$2001)</f>
        <v>-1.02223698090895</v>
      </c>
      <c r="AH312" s="0" t="str">
        <f aca="false">IF(B312="Company","C3 - Corporate Buyers",IF(AND(H312="Investment",M312&gt;'Segmentation Summary'!$C$1),"C1 - Global Investors",IF(AND(I312&gt;=4,M312&gt;'Segmentation Summary'!$C$1),"C4 - Luxury Investors",IF(AND(D312&lt;'Segmentation Summary'!$C$2,J312=1),"C2 - First-Time Buyers","C5 - Other Individual Buyers"))))</f>
        <v>C5 - Other Individual Buyers</v>
      </c>
    </row>
    <row r="313" customFormat="false" ht="15" hidden="false" customHeight="true" outlineLevel="0" collapsed="false">
      <c r="A313" s="13" t="s">
        <v>698</v>
      </c>
      <c r="B313" s="13" t="s">
        <v>34</v>
      </c>
      <c r="C313" s="13" t="s">
        <v>697</v>
      </c>
      <c r="D313" s="13" t="n">
        <v>31</v>
      </c>
      <c r="E313" s="13" t="s">
        <v>90</v>
      </c>
      <c r="F313" s="13" t="s">
        <v>33</v>
      </c>
      <c r="G313" s="13" t="s">
        <v>95</v>
      </c>
      <c r="H313" s="13" t="s">
        <v>41</v>
      </c>
      <c r="I313" s="13" t="n">
        <v>4</v>
      </c>
      <c r="J313" s="13" t="n">
        <v>1</v>
      </c>
      <c r="K313" s="13" t="s">
        <v>85</v>
      </c>
      <c r="L313" s="13" t="n">
        <v>3</v>
      </c>
      <c r="M313" s="13" t="n">
        <v>664017.81</v>
      </c>
      <c r="N313" s="13" t="n">
        <v>221339.27</v>
      </c>
      <c r="O313" s="13" t="n">
        <v>775.566666666667</v>
      </c>
      <c r="P313" s="13" t="n">
        <v>0</v>
      </c>
      <c r="Q313" s="13" t="n">
        <v>3</v>
      </c>
      <c r="R313" s="13" t="s">
        <v>98</v>
      </c>
      <c r="S313" s="13" t="s">
        <v>152</v>
      </c>
      <c r="T313" s="13" t="n">
        <v>1</v>
      </c>
      <c r="U313" s="13" t="n">
        <f aca="false">IF(B313="Individual",1,0)</f>
        <v>1</v>
      </c>
      <c r="V313" s="13" t="n">
        <f aca="false">IF(B313="Company",1,0)</f>
        <v>0</v>
      </c>
      <c r="W313" s="13" t="n">
        <f aca="false">IF(H313="Home",1,0)</f>
        <v>1</v>
      </c>
      <c r="X313" s="13" t="n">
        <f aca="false">IF(H313="Investment",1,0)</f>
        <v>0</v>
      </c>
      <c r="Y313" s="13" t="n">
        <f aca="false">IF(K313="Website",1,0)</f>
        <v>1</v>
      </c>
      <c r="Z313" s="13" t="n">
        <f aca="false">IF(K313="Agency",1,0)</f>
        <v>0</v>
      </c>
      <c r="AA313" s="13" t="n">
        <f aca="false">IF(K313="Client",1,0)</f>
        <v>0</v>
      </c>
      <c r="AB313" s="13" t="n">
        <f aca="false">(D313-AVERAGE(D$2:D$2001))/STDEV(D$2:D$2001)</f>
        <v>-1.33413623262935</v>
      </c>
      <c r="AC313" s="13" t="n">
        <f aca="false">(I313-AVERAGE(I$2:I$2001))/STDEV(I$2:I$2001)</f>
        <v>0.686917069130275</v>
      </c>
      <c r="AD313" s="13" t="n">
        <f aca="false">(L313-AVERAGE(L$2:L$2001))/STDEV(L$2:L$2001)</f>
        <v>-0.777063122173208</v>
      </c>
      <c r="AE313" s="13" t="n">
        <f aca="false">(M313-AVERAGE(M$2:M$2001))/STDEV(M$2:M$2001)</f>
        <v>-1.71450573719775</v>
      </c>
      <c r="AF313" s="13" t="n">
        <f aca="false">(N313-AVERAGE(N$2:N$2001))/STDEV(N$2:N$2001)</f>
        <v>-1.80360585247787</v>
      </c>
      <c r="AG313" s="13" t="n">
        <f aca="false">(O313-AVERAGE(O$2:O$2001))/STDEV(O$2:O$2001)</f>
        <v>-1.69110870542524</v>
      </c>
      <c r="AH313" s="0" t="str">
        <f aca="false">IF(B313="Company","C3 - Corporate Buyers",IF(AND(H313="Investment",M313&gt;'Segmentation Summary'!$C$1),"C1 - Global Investors",IF(AND(I313&gt;=4,M313&gt;'Segmentation Summary'!$C$1),"C4 - Luxury Investors",IF(AND(D313&lt;'Segmentation Summary'!$C$2,J313=1),"C2 - First-Time Buyers","C5 - Other Individual Buyers"))))</f>
        <v>C2 - First-Time Buyers</v>
      </c>
    </row>
    <row r="314" customFormat="false" ht="15" hidden="false" customHeight="true" outlineLevel="0" collapsed="false">
      <c r="A314" s="13" t="s">
        <v>699</v>
      </c>
      <c r="B314" s="13" t="s">
        <v>34</v>
      </c>
      <c r="C314" s="13" t="s">
        <v>700</v>
      </c>
      <c r="D314" s="13" t="n">
        <v>25</v>
      </c>
      <c r="E314" s="13" t="s">
        <v>90</v>
      </c>
      <c r="F314" s="13" t="s">
        <v>38</v>
      </c>
      <c r="G314" s="13" t="s">
        <v>127</v>
      </c>
      <c r="H314" s="13" t="s">
        <v>41</v>
      </c>
      <c r="I314" s="13" t="n">
        <v>4</v>
      </c>
      <c r="J314" s="13" t="n">
        <v>0</v>
      </c>
      <c r="K314" s="13" t="s">
        <v>91</v>
      </c>
      <c r="L314" s="13" t="n">
        <v>3</v>
      </c>
      <c r="M314" s="13" t="n">
        <v>606058.22</v>
      </c>
      <c r="N314" s="13" t="n">
        <v>202019.406666667</v>
      </c>
      <c r="O314" s="13" t="n">
        <v>753.313333333333</v>
      </c>
      <c r="P314" s="13" t="n">
        <v>0</v>
      </c>
      <c r="Q314" s="13" t="n">
        <v>3</v>
      </c>
      <c r="R314" s="13" t="s">
        <v>101</v>
      </c>
      <c r="S314" s="13" t="s">
        <v>215</v>
      </c>
      <c r="T314" s="13" t="n">
        <v>1</v>
      </c>
      <c r="U314" s="13" t="n">
        <f aca="false">IF(B314="Individual",1,0)</f>
        <v>1</v>
      </c>
      <c r="V314" s="13" t="n">
        <f aca="false">IF(B314="Company",1,0)</f>
        <v>0</v>
      </c>
      <c r="W314" s="13" t="n">
        <f aca="false">IF(H314="Home",1,0)</f>
        <v>1</v>
      </c>
      <c r="X314" s="13" t="n">
        <f aca="false">IF(H314="Investment",1,0)</f>
        <v>0</v>
      </c>
      <c r="Y314" s="13" t="n">
        <f aca="false">IF(K314="Website",1,0)</f>
        <v>0</v>
      </c>
      <c r="Z314" s="13" t="n">
        <f aca="false">IF(K314="Agency",1,0)</f>
        <v>1</v>
      </c>
      <c r="AA314" s="13" t="n">
        <f aca="false">IF(K314="Client",1,0)</f>
        <v>0</v>
      </c>
      <c r="AB314" s="13" t="n">
        <f aca="false">(D314-AVERAGE(D$2:D$2001))/STDEV(D$2:D$2001)</f>
        <v>-1.68011096555826</v>
      </c>
      <c r="AC314" s="13" t="n">
        <f aca="false">(I314-AVERAGE(I$2:I$2001))/STDEV(I$2:I$2001)</f>
        <v>0.686917069130275</v>
      </c>
      <c r="AD314" s="13" t="n">
        <f aca="false">(L314-AVERAGE(L$2:L$2001))/STDEV(L$2:L$2001)</f>
        <v>-0.777063122173208</v>
      </c>
      <c r="AE314" s="13" t="n">
        <f aca="false">(M314-AVERAGE(M$2:M$2001))/STDEV(M$2:M$2001)</f>
        <v>-1.88113736534575</v>
      </c>
      <c r="AF314" s="13" t="n">
        <f aca="false">(N314-AVERAGE(N$2:N$2001))/STDEV(N$2:N$2001)</f>
        <v>-2.08070508526724</v>
      </c>
      <c r="AG314" s="13" t="n">
        <f aca="false">(O314-AVERAGE(O$2:O$2001))/STDEV(O$2:O$2001)</f>
        <v>-1.79229582604321</v>
      </c>
      <c r="AH314" s="0" t="str">
        <f aca="false">IF(B314="Company","C3 - Corporate Buyers",IF(AND(H314="Investment",M314&gt;'Segmentation Summary'!$C$1),"C1 - Global Investors",IF(AND(I314&gt;=4,M314&gt;'Segmentation Summary'!$C$1),"C4 - Luxury Investors",IF(AND(D314&lt;'Segmentation Summary'!$C$2,J314=1),"C2 - First-Time Buyers","C5 - Other Individual Buyers"))))</f>
        <v>C5 - Other Individual Buyers</v>
      </c>
    </row>
    <row r="315" customFormat="false" ht="15" hidden="false" customHeight="true" outlineLevel="0" collapsed="false">
      <c r="A315" s="13" t="s">
        <v>701</v>
      </c>
      <c r="B315" s="13" t="s">
        <v>34</v>
      </c>
      <c r="C315" s="13" t="s">
        <v>702</v>
      </c>
      <c r="D315" s="13" t="n">
        <v>54</v>
      </c>
      <c r="E315" s="13" t="s">
        <v>90</v>
      </c>
      <c r="F315" s="13" t="s">
        <v>33</v>
      </c>
      <c r="G315" s="13" t="s">
        <v>95</v>
      </c>
      <c r="H315" s="13" t="s">
        <v>41</v>
      </c>
      <c r="I315" s="13" t="n">
        <v>3</v>
      </c>
      <c r="J315" s="13" t="n">
        <v>0</v>
      </c>
      <c r="K315" s="13" t="s">
        <v>91</v>
      </c>
      <c r="L315" s="13" t="n">
        <v>4</v>
      </c>
      <c r="M315" s="13" t="n">
        <v>1414776.99</v>
      </c>
      <c r="N315" s="13" t="n">
        <v>353694.2475</v>
      </c>
      <c r="O315" s="13" t="n">
        <v>1102.9725</v>
      </c>
      <c r="P315" s="13" t="n">
        <v>0</v>
      </c>
      <c r="Q315" s="13" t="n">
        <v>4</v>
      </c>
      <c r="R315" s="13" t="s">
        <v>86</v>
      </c>
      <c r="S315" s="13" t="s">
        <v>164</v>
      </c>
      <c r="T315" s="13" t="n">
        <v>1</v>
      </c>
      <c r="U315" s="13" t="n">
        <f aca="false">IF(B315="Individual",1,0)</f>
        <v>1</v>
      </c>
      <c r="V315" s="13" t="n">
        <f aca="false">IF(B315="Company",1,0)</f>
        <v>0</v>
      </c>
      <c r="W315" s="13" t="n">
        <f aca="false">IF(H315="Home",1,0)</f>
        <v>1</v>
      </c>
      <c r="X315" s="13" t="n">
        <f aca="false">IF(H315="Investment",1,0)</f>
        <v>0</v>
      </c>
      <c r="Y315" s="13" t="n">
        <f aca="false">IF(K315="Website",1,0)</f>
        <v>0</v>
      </c>
      <c r="Z315" s="13" t="n">
        <f aca="false">IF(K315="Agency",1,0)</f>
        <v>1</v>
      </c>
      <c r="AA315" s="13" t="n">
        <f aca="false">IF(K315="Client",1,0)</f>
        <v>0</v>
      </c>
      <c r="AB315" s="13" t="n">
        <f aca="false">(D315-AVERAGE(D$2:D$2001))/STDEV(D$2:D$2001)</f>
        <v>-0.00789975640187674</v>
      </c>
      <c r="AC315" s="13" t="n">
        <f aca="false">(I315-AVERAGE(I$2:I$2001))/STDEV(I$2:I$2001)</f>
        <v>-0.0205155458339628</v>
      </c>
      <c r="AD315" s="13" t="n">
        <f aca="false">(L315-AVERAGE(L$2:L$2001))/STDEV(L$2:L$2001)</f>
        <v>0.413838214490712</v>
      </c>
      <c r="AE315" s="13" t="n">
        <f aca="false">(M315-AVERAGE(M$2:M$2001))/STDEV(M$2:M$2001)</f>
        <v>0.443898497726148</v>
      </c>
      <c r="AF315" s="13" t="n">
        <f aca="false">(N315-AVERAGE(N$2:N$2001))/STDEV(N$2:N$2001)</f>
        <v>0.0947234518410857</v>
      </c>
      <c r="AG315" s="13" t="n">
        <f aca="false">(O315-AVERAGE(O$2:O$2001))/STDEV(O$2:O$2001)</f>
        <v>-0.202376520800077</v>
      </c>
      <c r="AH315" s="0" t="str">
        <f aca="false">IF(B315="Company","C3 - Corporate Buyers",IF(AND(H315="Investment",M315&gt;'Segmentation Summary'!$C$1),"C1 - Global Investors",IF(AND(I315&gt;=4,M315&gt;'Segmentation Summary'!$C$1),"C4 - Luxury Investors",IF(AND(D315&lt;'Segmentation Summary'!$C$2,J315=1),"C2 - First-Time Buyers","C5 - Other Individual Buyers"))))</f>
        <v>C5 - Other Individual Buyers</v>
      </c>
    </row>
    <row r="316" customFormat="false" ht="15" hidden="false" customHeight="true" outlineLevel="0" collapsed="false">
      <c r="A316" s="13" t="s">
        <v>703</v>
      </c>
      <c r="B316" s="13" t="s">
        <v>34</v>
      </c>
      <c r="C316" s="13" t="s">
        <v>704</v>
      </c>
      <c r="D316" s="13" t="n">
        <v>45</v>
      </c>
      <c r="E316" s="13" t="s">
        <v>90</v>
      </c>
      <c r="F316" s="13" t="s">
        <v>33</v>
      </c>
      <c r="G316" s="13" t="s">
        <v>145</v>
      </c>
      <c r="H316" s="13" t="s">
        <v>41</v>
      </c>
      <c r="I316" s="13" t="n">
        <v>2</v>
      </c>
      <c r="J316" s="13" t="n">
        <v>0</v>
      </c>
      <c r="K316" s="13" t="s">
        <v>85</v>
      </c>
      <c r="L316" s="13" t="n">
        <v>3</v>
      </c>
      <c r="M316" s="13" t="n">
        <v>1045348.11</v>
      </c>
      <c r="N316" s="13" t="n">
        <v>348449.37</v>
      </c>
      <c r="O316" s="13" t="n">
        <v>1072.48333333333</v>
      </c>
      <c r="P316" s="13" t="n">
        <v>0</v>
      </c>
      <c r="Q316" s="13" t="n">
        <v>3</v>
      </c>
      <c r="R316" s="13" t="s">
        <v>98</v>
      </c>
      <c r="S316" s="13" t="s">
        <v>112</v>
      </c>
      <c r="T316" s="13" t="n">
        <v>1</v>
      </c>
      <c r="U316" s="13" t="n">
        <f aca="false">IF(B316="Individual",1,0)</f>
        <v>1</v>
      </c>
      <c r="V316" s="13" t="n">
        <f aca="false">IF(B316="Company",1,0)</f>
        <v>0</v>
      </c>
      <c r="W316" s="13" t="n">
        <f aca="false">IF(H316="Home",1,0)</f>
        <v>1</v>
      </c>
      <c r="X316" s="13" t="n">
        <f aca="false">IF(H316="Investment",1,0)</f>
        <v>0</v>
      </c>
      <c r="Y316" s="13" t="n">
        <f aca="false">IF(K316="Website",1,0)</f>
        <v>1</v>
      </c>
      <c r="Z316" s="13" t="n">
        <f aca="false">IF(K316="Agency",1,0)</f>
        <v>0</v>
      </c>
      <c r="AA316" s="13" t="n">
        <f aca="false">IF(K316="Client",1,0)</f>
        <v>0</v>
      </c>
      <c r="AB316" s="13" t="n">
        <f aca="false">(D316-AVERAGE(D$2:D$2001))/STDEV(D$2:D$2001)</f>
        <v>-0.526861855795238</v>
      </c>
      <c r="AC316" s="13" t="n">
        <f aca="false">(I316-AVERAGE(I$2:I$2001))/STDEV(I$2:I$2001)</f>
        <v>-0.727948160798201</v>
      </c>
      <c r="AD316" s="13" t="n">
        <f aca="false">(L316-AVERAGE(L$2:L$2001))/STDEV(L$2:L$2001)</f>
        <v>-0.777063122173208</v>
      </c>
      <c r="AE316" s="13" t="n">
        <f aca="false">(M316-AVERAGE(M$2:M$2001))/STDEV(M$2:M$2001)</f>
        <v>-0.618195553651543</v>
      </c>
      <c r="AF316" s="13" t="n">
        <f aca="false">(N316-AVERAGE(N$2:N$2001))/STDEV(N$2:N$2001)</f>
        <v>0.0194976851651542</v>
      </c>
      <c r="AG316" s="13" t="n">
        <f aca="false">(O316-AVERAGE(O$2:O$2001))/STDEV(O$2:O$2001)</f>
        <v>-0.341012424861263</v>
      </c>
      <c r="AH316" s="0" t="str">
        <f aca="false">IF(B316="Company","C3 - Corporate Buyers",IF(AND(H316="Investment",M316&gt;'Segmentation Summary'!$C$1),"C1 - Global Investors",IF(AND(I316&gt;=4,M316&gt;'Segmentation Summary'!$C$1),"C4 - Luxury Investors",IF(AND(D316&lt;'Segmentation Summary'!$C$2,J316=1),"C2 - First-Time Buyers","C5 - Other Individual Buyers"))))</f>
        <v>C5 - Other Individual Buyers</v>
      </c>
    </row>
    <row r="317" customFormat="false" ht="15" hidden="false" customHeight="true" outlineLevel="0" collapsed="false">
      <c r="A317" s="13" t="s">
        <v>705</v>
      </c>
      <c r="B317" s="13" t="s">
        <v>34</v>
      </c>
      <c r="C317" s="13" t="s">
        <v>704</v>
      </c>
      <c r="D317" s="13" t="n">
        <v>30</v>
      </c>
      <c r="E317" s="13" t="s">
        <v>90</v>
      </c>
      <c r="F317" s="13" t="s">
        <v>33</v>
      </c>
      <c r="G317" s="13" t="s">
        <v>100</v>
      </c>
      <c r="H317" s="13" t="s">
        <v>41</v>
      </c>
      <c r="I317" s="13" t="n">
        <v>4</v>
      </c>
      <c r="J317" s="13" t="n">
        <v>0</v>
      </c>
      <c r="K317" s="13" t="s">
        <v>85</v>
      </c>
      <c r="L317" s="13" t="n">
        <v>4</v>
      </c>
      <c r="M317" s="13" t="n">
        <v>1239226.11</v>
      </c>
      <c r="N317" s="13" t="n">
        <v>309806.5275</v>
      </c>
      <c r="O317" s="13" t="n">
        <v>1052.8325</v>
      </c>
      <c r="P317" s="13" t="n">
        <v>0</v>
      </c>
      <c r="Q317" s="13" t="n">
        <v>4</v>
      </c>
      <c r="R317" s="13" t="s">
        <v>101</v>
      </c>
      <c r="S317" s="13" t="s">
        <v>86</v>
      </c>
      <c r="T317" s="13" t="n">
        <v>1</v>
      </c>
      <c r="U317" s="13" t="n">
        <f aca="false">IF(B317="Individual",1,0)</f>
        <v>1</v>
      </c>
      <c r="V317" s="13" t="n">
        <f aca="false">IF(B317="Company",1,0)</f>
        <v>0</v>
      </c>
      <c r="W317" s="13" t="n">
        <f aca="false">IF(H317="Home",1,0)</f>
        <v>1</v>
      </c>
      <c r="X317" s="13" t="n">
        <f aca="false">IF(H317="Investment",1,0)</f>
        <v>0</v>
      </c>
      <c r="Y317" s="13" t="n">
        <f aca="false">IF(K317="Website",1,0)</f>
        <v>1</v>
      </c>
      <c r="Z317" s="13" t="n">
        <f aca="false">IF(K317="Agency",1,0)</f>
        <v>0</v>
      </c>
      <c r="AA317" s="13" t="n">
        <f aca="false">IF(K317="Client",1,0)</f>
        <v>0</v>
      </c>
      <c r="AB317" s="13" t="n">
        <f aca="false">(D317-AVERAGE(D$2:D$2001))/STDEV(D$2:D$2001)</f>
        <v>-1.39179868811751</v>
      </c>
      <c r="AC317" s="13" t="n">
        <f aca="false">(I317-AVERAGE(I$2:I$2001))/STDEV(I$2:I$2001)</f>
        <v>0.686917069130275</v>
      </c>
      <c r="AD317" s="13" t="n">
        <f aca="false">(L317-AVERAGE(L$2:L$2001))/STDEV(L$2:L$2001)</f>
        <v>0.413838214490712</v>
      </c>
      <c r="AE317" s="13" t="n">
        <f aca="false">(M317-AVERAGE(M$2:M$2001))/STDEV(M$2:M$2001)</f>
        <v>-0.0608036396977555</v>
      </c>
      <c r="AF317" s="13" t="n">
        <f aca="false">(N317-AVERAGE(N$2:N$2001))/STDEV(N$2:N$2001)</f>
        <v>-0.534745469913256</v>
      </c>
      <c r="AG317" s="13" t="n">
        <f aca="false">(O317-AVERAGE(O$2:O$2001))/STDEV(O$2:O$2001)</f>
        <v>-0.4303658360091</v>
      </c>
      <c r="AH317" s="0" t="str">
        <f aca="false">IF(B317="Company","C3 - Corporate Buyers",IF(AND(H317="Investment",M317&gt;'Segmentation Summary'!$C$1),"C1 - Global Investors",IF(AND(I317&gt;=4,M317&gt;'Segmentation Summary'!$C$1),"C4 - Luxury Investors",IF(AND(D317&lt;'Segmentation Summary'!$C$2,J317=1),"C2 - First-Time Buyers","C5 - Other Individual Buyers"))))</f>
        <v>C4 - Luxury Investors</v>
      </c>
    </row>
    <row r="318" customFormat="false" ht="15" hidden="false" customHeight="true" outlineLevel="0" collapsed="false">
      <c r="A318" s="13" t="s">
        <v>706</v>
      </c>
      <c r="B318" s="13" t="s">
        <v>34</v>
      </c>
      <c r="C318" s="13" t="s">
        <v>704</v>
      </c>
      <c r="D318" s="13" t="n">
        <v>74</v>
      </c>
      <c r="E318" s="13" t="s">
        <v>90</v>
      </c>
      <c r="F318" s="13" t="s">
        <v>33</v>
      </c>
      <c r="G318" s="13" t="s">
        <v>95</v>
      </c>
      <c r="H318" s="13" t="s">
        <v>43</v>
      </c>
      <c r="I318" s="13" t="n">
        <v>5</v>
      </c>
      <c r="J318" s="13" t="n">
        <v>1</v>
      </c>
      <c r="K318" s="13" t="s">
        <v>116</v>
      </c>
      <c r="L318" s="13" t="n">
        <v>3</v>
      </c>
      <c r="M318" s="13" t="n">
        <v>1158919.94</v>
      </c>
      <c r="N318" s="13" t="n">
        <v>386306.646666667</v>
      </c>
      <c r="O318" s="13" t="n">
        <v>1286.48333333333</v>
      </c>
      <c r="P318" s="13" t="n">
        <v>0</v>
      </c>
      <c r="Q318" s="13" t="n">
        <v>3</v>
      </c>
      <c r="R318" s="13" t="s">
        <v>124</v>
      </c>
      <c r="S318" s="13" t="s">
        <v>125</v>
      </c>
      <c r="T318" s="13" t="n">
        <v>1</v>
      </c>
      <c r="U318" s="13" t="n">
        <f aca="false">IF(B318="Individual",1,0)</f>
        <v>1</v>
      </c>
      <c r="V318" s="13" t="n">
        <f aca="false">IF(B318="Company",1,0)</f>
        <v>0</v>
      </c>
      <c r="W318" s="13" t="n">
        <f aca="false">IF(H318="Home",1,0)</f>
        <v>0</v>
      </c>
      <c r="X318" s="13" t="n">
        <f aca="false">IF(H318="Investment",1,0)</f>
        <v>1</v>
      </c>
      <c r="Y318" s="13" t="n">
        <f aca="false">IF(K318="Website",1,0)</f>
        <v>0</v>
      </c>
      <c r="Z318" s="13" t="n">
        <f aca="false">IF(K318="Agency",1,0)</f>
        <v>0</v>
      </c>
      <c r="AA318" s="13" t="n">
        <f aca="false">IF(K318="Client",1,0)</f>
        <v>1</v>
      </c>
      <c r="AB318" s="13" t="n">
        <f aca="false">(D318-AVERAGE(D$2:D$2001))/STDEV(D$2:D$2001)</f>
        <v>1.14534935336115</v>
      </c>
      <c r="AC318" s="13" t="n">
        <f aca="false">(I318-AVERAGE(I$2:I$2001))/STDEV(I$2:I$2001)</f>
        <v>1.39434968409451</v>
      </c>
      <c r="AD318" s="13" t="n">
        <f aca="false">(L318-AVERAGE(L$2:L$2001))/STDEV(L$2:L$2001)</f>
        <v>-0.777063122173208</v>
      </c>
      <c r="AE318" s="13" t="n">
        <f aca="false">(M318-AVERAGE(M$2:M$2001))/STDEV(M$2:M$2001)</f>
        <v>-0.291680839785431</v>
      </c>
      <c r="AF318" s="13" t="n">
        <f aca="false">(N318-AVERAGE(N$2:N$2001))/STDEV(N$2:N$2001)</f>
        <v>0.562473695856134</v>
      </c>
      <c r="AG318" s="13" t="n">
        <f aca="false">(O318-AVERAGE(O$2:O$2001))/STDEV(O$2:O$2001)</f>
        <v>0.632057249146131</v>
      </c>
      <c r="AH318" s="0" t="str">
        <f aca="false">IF(B318="Company","C3 - Corporate Buyers",IF(AND(H318="Investment",M318&gt;'Segmentation Summary'!$C$1),"C1 - Global Investors",IF(AND(I318&gt;=4,M318&gt;'Segmentation Summary'!$C$1),"C4 - Luxury Investors",IF(AND(D318&lt;'Segmentation Summary'!$C$2,J318=1),"C2 - First-Time Buyers","C5 - Other Individual Buyers"))))</f>
        <v>C5 - Other Individual Buyers</v>
      </c>
    </row>
    <row r="319" customFormat="false" ht="15" hidden="false" customHeight="true" outlineLevel="0" collapsed="false">
      <c r="A319" s="13" t="s">
        <v>707</v>
      </c>
      <c r="B319" s="13" t="s">
        <v>34</v>
      </c>
      <c r="C319" s="13" t="s">
        <v>708</v>
      </c>
      <c r="D319" s="13" t="n">
        <v>24</v>
      </c>
      <c r="E319" s="13" t="s">
        <v>90</v>
      </c>
      <c r="F319" s="13" t="s">
        <v>33</v>
      </c>
      <c r="G319" s="13" t="s">
        <v>110</v>
      </c>
      <c r="H319" s="13" t="s">
        <v>41</v>
      </c>
      <c r="I319" s="13" t="n">
        <v>4</v>
      </c>
      <c r="J319" s="13" t="n">
        <v>0</v>
      </c>
      <c r="K319" s="13" t="s">
        <v>85</v>
      </c>
      <c r="L319" s="13" t="n">
        <v>3</v>
      </c>
      <c r="M319" s="13" t="n">
        <v>1129669.4</v>
      </c>
      <c r="N319" s="13" t="n">
        <v>376556.466666667</v>
      </c>
      <c r="O319" s="13" t="n">
        <v>1162.61666666667</v>
      </c>
      <c r="P319" s="13" t="n">
        <v>0</v>
      </c>
      <c r="Q319" s="13" t="n">
        <v>3</v>
      </c>
      <c r="R319" s="13" t="s">
        <v>117</v>
      </c>
      <c r="S319" s="13" t="s">
        <v>164</v>
      </c>
      <c r="T319" s="13" t="n">
        <v>1</v>
      </c>
      <c r="U319" s="13" t="n">
        <f aca="false">IF(B319="Individual",1,0)</f>
        <v>1</v>
      </c>
      <c r="V319" s="13" t="n">
        <f aca="false">IF(B319="Company",1,0)</f>
        <v>0</v>
      </c>
      <c r="W319" s="13" t="n">
        <f aca="false">IF(H319="Home",1,0)</f>
        <v>1</v>
      </c>
      <c r="X319" s="13" t="n">
        <f aca="false">IF(H319="Investment",1,0)</f>
        <v>0</v>
      </c>
      <c r="Y319" s="13" t="n">
        <f aca="false">IF(K319="Website",1,0)</f>
        <v>1</v>
      </c>
      <c r="Z319" s="13" t="n">
        <f aca="false">IF(K319="Agency",1,0)</f>
        <v>0</v>
      </c>
      <c r="AA319" s="13" t="n">
        <f aca="false">IF(K319="Client",1,0)</f>
        <v>0</v>
      </c>
      <c r="AB319" s="13" t="n">
        <f aca="false">(D319-AVERAGE(D$2:D$2001))/STDEV(D$2:D$2001)</f>
        <v>-1.73777342104641</v>
      </c>
      <c r="AC319" s="13" t="n">
        <f aca="false">(I319-AVERAGE(I$2:I$2001))/STDEV(I$2:I$2001)</f>
        <v>0.686917069130275</v>
      </c>
      <c r="AD319" s="13" t="n">
        <f aca="false">(L319-AVERAGE(L$2:L$2001))/STDEV(L$2:L$2001)</f>
        <v>-0.777063122173208</v>
      </c>
      <c r="AE319" s="13" t="n">
        <f aca="false">(M319-AVERAGE(M$2:M$2001))/STDEV(M$2:M$2001)</f>
        <v>-0.375775035489852</v>
      </c>
      <c r="AF319" s="13" t="n">
        <f aca="false">(N319-AVERAGE(N$2:N$2001))/STDEV(N$2:N$2001)</f>
        <v>0.422629673621423</v>
      </c>
      <c r="AG319" s="13" t="n">
        <f aca="false">(O319-AVERAGE(O$2:O$2001))/STDEV(O$2:O$2001)</f>
        <v>0.0688287587082367</v>
      </c>
      <c r="AH319" s="0" t="str">
        <f aca="false">IF(B319="Company","C3 - Corporate Buyers",IF(AND(H319="Investment",M319&gt;'Segmentation Summary'!$C$1),"C1 - Global Investors",IF(AND(I319&gt;=4,M319&gt;'Segmentation Summary'!$C$1),"C4 - Luxury Investors",IF(AND(D319&lt;'Segmentation Summary'!$C$2,J319=1),"C2 - First-Time Buyers","C5 - Other Individual Buyers"))))</f>
        <v>C5 - Other Individual Buyers</v>
      </c>
    </row>
    <row r="320" customFormat="false" ht="15" hidden="false" customHeight="true" outlineLevel="0" collapsed="false">
      <c r="A320" s="13" t="s">
        <v>709</v>
      </c>
      <c r="B320" s="13" t="s">
        <v>34</v>
      </c>
      <c r="C320" s="13" t="s">
        <v>710</v>
      </c>
      <c r="D320" s="13" t="n">
        <v>34</v>
      </c>
      <c r="E320" s="13" t="s">
        <v>90</v>
      </c>
      <c r="F320" s="13" t="s">
        <v>33</v>
      </c>
      <c r="G320" s="13" t="s">
        <v>95</v>
      </c>
      <c r="H320" s="13" t="s">
        <v>41</v>
      </c>
      <c r="I320" s="13" t="n">
        <v>5</v>
      </c>
      <c r="J320" s="13" t="n">
        <v>0</v>
      </c>
      <c r="K320" s="13" t="s">
        <v>85</v>
      </c>
      <c r="L320" s="13" t="n">
        <v>3</v>
      </c>
      <c r="M320" s="13" t="n">
        <v>1373808.09</v>
      </c>
      <c r="N320" s="13" t="n">
        <v>457936.03</v>
      </c>
      <c r="O320" s="13" t="n">
        <v>1357.19333333333</v>
      </c>
      <c r="P320" s="13" t="n">
        <v>1</v>
      </c>
      <c r="Q320" s="13" t="n">
        <v>2</v>
      </c>
      <c r="R320" s="13" t="s">
        <v>215</v>
      </c>
      <c r="S320" s="13" t="s">
        <v>152</v>
      </c>
      <c r="T320" s="13" t="n">
        <v>1</v>
      </c>
      <c r="U320" s="13" t="n">
        <f aca="false">IF(B320="Individual",1,0)</f>
        <v>1</v>
      </c>
      <c r="V320" s="13" t="n">
        <f aca="false">IF(B320="Company",1,0)</f>
        <v>0</v>
      </c>
      <c r="W320" s="13" t="n">
        <f aca="false">IF(H320="Home",1,0)</f>
        <v>1</v>
      </c>
      <c r="X320" s="13" t="n">
        <f aca="false">IF(H320="Investment",1,0)</f>
        <v>0</v>
      </c>
      <c r="Y320" s="13" t="n">
        <f aca="false">IF(K320="Website",1,0)</f>
        <v>1</v>
      </c>
      <c r="Z320" s="13" t="n">
        <f aca="false">IF(K320="Agency",1,0)</f>
        <v>0</v>
      </c>
      <c r="AA320" s="13" t="n">
        <f aca="false">IF(K320="Client",1,0)</f>
        <v>0</v>
      </c>
      <c r="AB320" s="13" t="n">
        <f aca="false">(D320-AVERAGE(D$2:D$2001))/STDEV(D$2:D$2001)</f>
        <v>-1.1611488661649</v>
      </c>
      <c r="AC320" s="13" t="n">
        <f aca="false">(I320-AVERAGE(I$2:I$2001))/STDEV(I$2:I$2001)</f>
        <v>1.39434968409451</v>
      </c>
      <c r="AD320" s="13" t="n">
        <f aca="false">(L320-AVERAGE(L$2:L$2001))/STDEV(L$2:L$2001)</f>
        <v>-0.777063122173208</v>
      </c>
      <c r="AE320" s="13" t="n">
        <f aca="false">(M320-AVERAGE(M$2:M$2001))/STDEV(M$2:M$2001)</f>
        <v>0.3261144604265</v>
      </c>
      <c r="AF320" s="13" t="n">
        <f aca="false">(N320-AVERAGE(N$2:N$2001))/STDEV(N$2:N$2001)</f>
        <v>1.58983330106601</v>
      </c>
      <c r="AG320" s="13" t="n">
        <f aca="false">(O320-AVERAGE(O$2:O$2001))/STDEV(O$2:O$2001)</f>
        <v>0.953579476478201</v>
      </c>
      <c r="AH320" s="0" t="str">
        <f aca="false">IF(B320="Company","C3 - Corporate Buyers",IF(AND(H320="Investment",M320&gt;'Segmentation Summary'!$C$1),"C1 - Global Investors",IF(AND(I320&gt;=4,M320&gt;'Segmentation Summary'!$C$1),"C4 - Luxury Investors",IF(AND(D320&lt;'Segmentation Summary'!$C$2,J320=1),"C2 - First-Time Buyers","C5 - Other Individual Buyers"))))</f>
        <v>C4 - Luxury Investors</v>
      </c>
    </row>
    <row r="321" customFormat="false" ht="15" hidden="false" customHeight="true" outlineLevel="0" collapsed="false">
      <c r="A321" s="13" t="s">
        <v>711</v>
      </c>
      <c r="B321" s="13" t="s">
        <v>34</v>
      </c>
      <c r="C321" s="13" t="s">
        <v>710</v>
      </c>
      <c r="D321" s="13" t="n">
        <v>67</v>
      </c>
      <c r="E321" s="13" t="s">
        <v>90</v>
      </c>
      <c r="F321" s="13" t="s">
        <v>33</v>
      </c>
      <c r="G321" s="13" t="s">
        <v>100</v>
      </c>
      <c r="H321" s="13" t="s">
        <v>43</v>
      </c>
      <c r="I321" s="13" t="n">
        <v>5</v>
      </c>
      <c r="J321" s="13" t="n">
        <v>1</v>
      </c>
      <c r="K321" s="13" t="s">
        <v>85</v>
      </c>
      <c r="L321" s="13" t="n">
        <v>4</v>
      </c>
      <c r="M321" s="13" t="n">
        <v>1519113.12</v>
      </c>
      <c r="N321" s="13" t="n">
        <v>379778.28</v>
      </c>
      <c r="O321" s="13" t="n">
        <v>1242.0825</v>
      </c>
      <c r="P321" s="13" t="n">
        <v>1</v>
      </c>
      <c r="Q321" s="13" t="n">
        <v>3</v>
      </c>
      <c r="R321" s="13" t="s">
        <v>150</v>
      </c>
      <c r="S321" s="13" t="s">
        <v>112</v>
      </c>
      <c r="T321" s="13" t="n">
        <v>1</v>
      </c>
      <c r="U321" s="13" t="n">
        <f aca="false">IF(B321="Individual",1,0)</f>
        <v>1</v>
      </c>
      <c r="V321" s="13" t="n">
        <f aca="false">IF(B321="Company",1,0)</f>
        <v>0</v>
      </c>
      <c r="W321" s="13" t="n">
        <f aca="false">IF(H321="Home",1,0)</f>
        <v>0</v>
      </c>
      <c r="X321" s="13" t="n">
        <f aca="false">IF(H321="Investment",1,0)</f>
        <v>1</v>
      </c>
      <c r="Y321" s="13" t="n">
        <f aca="false">IF(K321="Website",1,0)</f>
        <v>1</v>
      </c>
      <c r="Z321" s="13" t="n">
        <f aca="false">IF(K321="Agency",1,0)</f>
        <v>0</v>
      </c>
      <c r="AA321" s="13" t="n">
        <f aca="false">IF(K321="Client",1,0)</f>
        <v>0</v>
      </c>
      <c r="AB321" s="13" t="n">
        <f aca="false">(D321-AVERAGE(D$2:D$2001))/STDEV(D$2:D$2001)</f>
        <v>0.741712164944089</v>
      </c>
      <c r="AC321" s="13" t="n">
        <f aca="false">(I321-AVERAGE(I$2:I$2001))/STDEV(I$2:I$2001)</f>
        <v>1.39434968409451</v>
      </c>
      <c r="AD321" s="13" t="n">
        <f aca="false">(L321-AVERAGE(L$2:L$2001))/STDEV(L$2:L$2001)</f>
        <v>0.413838214490712</v>
      </c>
      <c r="AE321" s="13" t="n">
        <f aca="false">(M321-AVERAGE(M$2:M$2001))/STDEV(M$2:M$2001)</f>
        <v>0.743860923556986</v>
      </c>
      <c r="AF321" s="13" t="n">
        <f aca="false">(N321-AVERAGE(N$2:N$2001))/STDEV(N$2:N$2001)</f>
        <v>0.468839213898906</v>
      </c>
      <c r="AG321" s="13" t="n">
        <f aca="false">(O321-AVERAGE(O$2:O$2001))/STDEV(O$2:O$2001)</f>
        <v>0.430164237850243</v>
      </c>
      <c r="AH321" s="0" t="str">
        <f aca="false">IF(B321="Company","C3 - Corporate Buyers",IF(AND(H321="Investment",M321&gt;'Segmentation Summary'!$C$1),"C1 - Global Investors",IF(AND(I321&gt;=4,M321&gt;'Segmentation Summary'!$C$1),"C4 - Luxury Investors",IF(AND(D321&lt;'Segmentation Summary'!$C$2,J321=1),"C2 - First-Time Buyers","C5 - Other Individual Buyers"))))</f>
        <v>C1 - Global Investors</v>
      </c>
    </row>
    <row r="322" customFormat="false" ht="15" hidden="false" customHeight="true" outlineLevel="0" collapsed="false">
      <c r="A322" s="13" t="s">
        <v>712</v>
      </c>
      <c r="B322" s="13" t="s">
        <v>34</v>
      </c>
      <c r="C322" s="13" t="s">
        <v>713</v>
      </c>
      <c r="D322" s="13" t="n">
        <v>79</v>
      </c>
      <c r="E322" s="13" t="s">
        <v>90</v>
      </c>
      <c r="F322" s="13" t="s">
        <v>33</v>
      </c>
      <c r="G322" s="13" t="s">
        <v>106</v>
      </c>
      <c r="H322" s="13" t="s">
        <v>41</v>
      </c>
      <c r="I322" s="13" t="n">
        <v>1</v>
      </c>
      <c r="J322" s="13" t="n">
        <v>1</v>
      </c>
      <c r="K322" s="13" t="s">
        <v>91</v>
      </c>
      <c r="L322" s="13" t="n">
        <v>3</v>
      </c>
      <c r="M322" s="13" t="n">
        <v>1334771.42</v>
      </c>
      <c r="N322" s="13" t="n">
        <v>444923.806666667</v>
      </c>
      <c r="O322" s="13" t="n">
        <v>1469.18</v>
      </c>
      <c r="P322" s="13" t="n">
        <v>0</v>
      </c>
      <c r="Q322" s="13" t="n">
        <v>3</v>
      </c>
      <c r="R322" s="13" t="s">
        <v>98</v>
      </c>
      <c r="S322" s="13" t="s">
        <v>150</v>
      </c>
      <c r="T322" s="13" t="n">
        <v>1</v>
      </c>
      <c r="U322" s="13" t="n">
        <f aca="false">IF(B322="Individual",1,0)</f>
        <v>1</v>
      </c>
      <c r="V322" s="13" t="n">
        <f aca="false">IF(B322="Company",1,0)</f>
        <v>0</v>
      </c>
      <c r="W322" s="13" t="n">
        <f aca="false">IF(H322="Home",1,0)</f>
        <v>1</v>
      </c>
      <c r="X322" s="13" t="n">
        <f aca="false">IF(H322="Investment",1,0)</f>
        <v>0</v>
      </c>
      <c r="Y322" s="13" t="n">
        <f aca="false">IF(K322="Website",1,0)</f>
        <v>0</v>
      </c>
      <c r="Z322" s="13" t="n">
        <f aca="false">IF(K322="Agency",1,0)</f>
        <v>1</v>
      </c>
      <c r="AA322" s="13" t="n">
        <f aca="false">IF(K322="Client",1,0)</f>
        <v>0</v>
      </c>
      <c r="AB322" s="13" t="n">
        <f aca="false">(D322-AVERAGE(D$2:D$2001))/STDEV(D$2:D$2001)</f>
        <v>1.4336616308019</v>
      </c>
      <c r="AC322" s="13" t="n">
        <f aca="false">(I322-AVERAGE(I$2:I$2001))/STDEV(I$2:I$2001)</f>
        <v>-1.43538077576244</v>
      </c>
      <c r="AD322" s="13" t="n">
        <f aca="false">(L322-AVERAGE(L$2:L$2001))/STDEV(L$2:L$2001)</f>
        <v>-0.777063122173208</v>
      </c>
      <c r="AE322" s="13" t="n">
        <f aca="false">(M322-AVERAGE(M$2:M$2001))/STDEV(M$2:M$2001)</f>
        <v>0.21388551126423</v>
      </c>
      <c r="AF322" s="13" t="n">
        <f aca="false">(N322-AVERAGE(N$2:N$2001))/STDEV(N$2:N$2001)</f>
        <v>1.40320273125605</v>
      </c>
      <c r="AG322" s="13" t="n">
        <f aca="false">(O322-AVERAGE(O$2:O$2001))/STDEV(O$2:O$2001)</f>
        <v>1.46278895884508</v>
      </c>
      <c r="AH322" s="0" t="str">
        <f aca="false">IF(B322="Company","C3 - Corporate Buyers",IF(AND(H322="Investment",M322&gt;'Segmentation Summary'!$C$1),"C1 - Global Investors",IF(AND(I322&gt;=4,M322&gt;'Segmentation Summary'!$C$1),"C4 - Luxury Investors",IF(AND(D322&lt;'Segmentation Summary'!$C$2,J322=1),"C2 - First-Time Buyers","C5 - Other Individual Buyers"))))</f>
        <v>C5 - Other Individual Buyers</v>
      </c>
    </row>
    <row r="323" customFormat="false" ht="15" hidden="false" customHeight="true" outlineLevel="0" collapsed="false">
      <c r="A323" s="13" t="s">
        <v>714</v>
      </c>
      <c r="B323" s="13" t="s">
        <v>34</v>
      </c>
      <c r="C323" s="13" t="s">
        <v>715</v>
      </c>
      <c r="D323" s="13" t="n">
        <v>55</v>
      </c>
      <c r="E323" s="13" t="s">
        <v>90</v>
      </c>
      <c r="F323" s="13" t="s">
        <v>33</v>
      </c>
      <c r="G323" s="13" t="s">
        <v>106</v>
      </c>
      <c r="H323" s="13" t="s">
        <v>41</v>
      </c>
      <c r="I323" s="13" t="n">
        <v>4</v>
      </c>
      <c r="J323" s="13" t="n">
        <v>1</v>
      </c>
      <c r="K323" s="13" t="s">
        <v>85</v>
      </c>
      <c r="L323" s="13" t="n">
        <v>3</v>
      </c>
      <c r="M323" s="13" t="n">
        <v>1361712.3</v>
      </c>
      <c r="N323" s="13" t="n">
        <v>453904.1</v>
      </c>
      <c r="O323" s="13" t="n">
        <v>1435.66333333333</v>
      </c>
      <c r="P323" s="13" t="n">
        <v>0</v>
      </c>
      <c r="Q323" s="13" t="n">
        <v>3</v>
      </c>
      <c r="R323" s="13" t="s">
        <v>128</v>
      </c>
      <c r="S323" s="13" t="s">
        <v>141</v>
      </c>
      <c r="T323" s="13" t="n">
        <v>1</v>
      </c>
      <c r="U323" s="13" t="n">
        <f aca="false">IF(B323="Individual",1,0)</f>
        <v>1</v>
      </c>
      <c r="V323" s="13" t="n">
        <f aca="false">IF(B323="Company",1,0)</f>
        <v>0</v>
      </c>
      <c r="W323" s="13" t="n">
        <f aca="false">IF(H323="Home",1,0)</f>
        <v>1</v>
      </c>
      <c r="X323" s="13" t="n">
        <f aca="false">IF(H323="Investment",1,0)</f>
        <v>0</v>
      </c>
      <c r="Y323" s="13" t="n">
        <f aca="false">IF(K323="Website",1,0)</f>
        <v>1</v>
      </c>
      <c r="Z323" s="13" t="n">
        <f aca="false">IF(K323="Agency",1,0)</f>
        <v>0</v>
      </c>
      <c r="AA323" s="13" t="n">
        <f aca="false">IF(K323="Client",1,0)</f>
        <v>0</v>
      </c>
      <c r="AB323" s="13" t="n">
        <f aca="false">(D323-AVERAGE(D$2:D$2001))/STDEV(D$2:D$2001)</f>
        <v>0.0497626990862745</v>
      </c>
      <c r="AC323" s="13" t="n">
        <f aca="false">(I323-AVERAGE(I$2:I$2001))/STDEV(I$2:I$2001)</f>
        <v>0.686917069130275</v>
      </c>
      <c r="AD323" s="13" t="n">
        <f aca="false">(L323-AVERAGE(L$2:L$2001))/STDEV(L$2:L$2001)</f>
        <v>-0.777063122173208</v>
      </c>
      <c r="AE323" s="13" t="n">
        <f aca="false">(M323-AVERAGE(M$2:M$2001))/STDEV(M$2:M$2001)</f>
        <v>0.291339521862644</v>
      </c>
      <c r="AF323" s="13" t="n">
        <f aca="false">(N323-AVERAGE(N$2:N$2001))/STDEV(N$2:N$2001)</f>
        <v>1.53200449087289</v>
      </c>
      <c r="AG323" s="13" t="n">
        <f aca="false">(O323-AVERAGE(O$2:O$2001))/STDEV(O$2:O$2001)</f>
        <v>1.31038684712942</v>
      </c>
      <c r="AH323" s="0" t="str">
        <f aca="false">IF(B323="Company","C3 - Corporate Buyers",IF(AND(H323="Investment",M323&gt;'Segmentation Summary'!$C$1),"C1 - Global Investors",IF(AND(I323&gt;=4,M323&gt;'Segmentation Summary'!$C$1),"C4 - Luxury Investors",IF(AND(D323&lt;'Segmentation Summary'!$C$2,J323=1),"C2 - First-Time Buyers","C5 - Other Individual Buyers"))))</f>
        <v>C4 - Luxury Investors</v>
      </c>
    </row>
    <row r="324" customFormat="false" ht="15" hidden="false" customHeight="true" outlineLevel="0" collapsed="false">
      <c r="A324" s="13" t="s">
        <v>716</v>
      </c>
      <c r="B324" s="13" t="s">
        <v>34</v>
      </c>
      <c r="C324" s="13" t="s">
        <v>717</v>
      </c>
      <c r="D324" s="13" t="n">
        <v>33</v>
      </c>
      <c r="E324" s="13" t="s">
        <v>90</v>
      </c>
      <c r="F324" s="13" t="s">
        <v>33</v>
      </c>
      <c r="G324" s="13" t="s">
        <v>84</v>
      </c>
      <c r="H324" s="13" t="s">
        <v>41</v>
      </c>
      <c r="I324" s="13" t="n">
        <v>1</v>
      </c>
      <c r="J324" s="13" t="n">
        <v>1</v>
      </c>
      <c r="K324" s="13" t="s">
        <v>85</v>
      </c>
      <c r="L324" s="13" t="n">
        <v>4</v>
      </c>
      <c r="M324" s="13" t="n">
        <v>936091.45</v>
      </c>
      <c r="N324" s="13" t="n">
        <v>234022.8625</v>
      </c>
      <c r="O324" s="13" t="n">
        <v>834.6575</v>
      </c>
      <c r="P324" s="13" t="n">
        <v>0</v>
      </c>
      <c r="Q324" s="13" t="n">
        <v>4</v>
      </c>
      <c r="R324" s="13" t="s">
        <v>86</v>
      </c>
      <c r="S324" s="13" t="s">
        <v>154</v>
      </c>
      <c r="T324" s="13" t="n">
        <v>1</v>
      </c>
      <c r="U324" s="13" t="n">
        <f aca="false">IF(B324="Individual",1,0)</f>
        <v>1</v>
      </c>
      <c r="V324" s="13" t="n">
        <f aca="false">IF(B324="Company",1,0)</f>
        <v>0</v>
      </c>
      <c r="W324" s="13" t="n">
        <f aca="false">IF(H324="Home",1,0)</f>
        <v>1</v>
      </c>
      <c r="X324" s="13" t="n">
        <f aca="false">IF(H324="Investment",1,0)</f>
        <v>0</v>
      </c>
      <c r="Y324" s="13" t="n">
        <f aca="false">IF(K324="Website",1,0)</f>
        <v>1</v>
      </c>
      <c r="Z324" s="13" t="n">
        <f aca="false">IF(K324="Agency",1,0)</f>
        <v>0</v>
      </c>
      <c r="AA324" s="13" t="n">
        <f aca="false">IF(K324="Client",1,0)</f>
        <v>0</v>
      </c>
      <c r="AB324" s="13" t="n">
        <f aca="false">(D324-AVERAGE(D$2:D$2001))/STDEV(D$2:D$2001)</f>
        <v>-1.21881132165305</v>
      </c>
      <c r="AC324" s="13" t="n">
        <f aca="false">(I324-AVERAGE(I$2:I$2001))/STDEV(I$2:I$2001)</f>
        <v>-1.43538077576244</v>
      </c>
      <c r="AD324" s="13" t="n">
        <f aca="false">(L324-AVERAGE(L$2:L$2001))/STDEV(L$2:L$2001)</f>
        <v>0.413838214490712</v>
      </c>
      <c r="AE324" s="13" t="n">
        <f aca="false">(M324-AVERAGE(M$2:M$2001))/STDEV(M$2:M$2001)</f>
        <v>-0.932304317047072</v>
      </c>
      <c r="AF324" s="13" t="n">
        <f aca="false">(N324-AVERAGE(N$2:N$2001))/STDEV(N$2:N$2001)</f>
        <v>-1.62168874001574</v>
      </c>
      <c r="AG324" s="13" t="n">
        <f aca="false">(O324-AVERAGE(O$2:O$2001))/STDEV(O$2:O$2001)</f>
        <v>-1.42241946276874</v>
      </c>
      <c r="AH324" s="0" t="str">
        <f aca="false">IF(B324="Company","C3 - Corporate Buyers",IF(AND(H324="Investment",M324&gt;'Segmentation Summary'!$C$1),"C1 - Global Investors",IF(AND(I324&gt;=4,M324&gt;'Segmentation Summary'!$C$1),"C4 - Luxury Investors",IF(AND(D324&lt;'Segmentation Summary'!$C$2,J324=1),"C2 - First-Time Buyers","C5 - Other Individual Buyers"))))</f>
        <v>C2 - First-Time Buyers</v>
      </c>
    </row>
    <row r="325" customFormat="false" ht="15" hidden="false" customHeight="true" outlineLevel="0" collapsed="false">
      <c r="A325" s="13" t="s">
        <v>718</v>
      </c>
      <c r="B325" s="13" t="s">
        <v>34</v>
      </c>
      <c r="C325" s="13" t="s">
        <v>719</v>
      </c>
      <c r="D325" s="13" t="n">
        <v>63</v>
      </c>
      <c r="E325" s="13" t="s">
        <v>90</v>
      </c>
      <c r="F325" s="13" t="s">
        <v>37</v>
      </c>
      <c r="G325" s="13" t="s">
        <v>169</v>
      </c>
      <c r="H325" s="13" t="s">
        <v>41</v>
      </c>
      <c r="I325" s="13" t="n">
        <v>1</v>
      </c>
      <c r="J325" s="13" t="n">
        <v>1</v>
      </c>
      <c r="K325" s="13" t="s">
        <v>91</v>
      </c>
      <c r="L325" s="13" t="n">
        <v>3</v>
      </c>
      <c r="M325" s="13" t="n">
        <v>1031472.36</v>
      </c>
      <c r="N325" s="13" t="n">
        <v>343824.12</v>
      </c>
      <c r="O325" s="13" t="n">
        <v>1156.56333333333</v>
      </c>
      <c r="P325" s="13" t="n">
        <v>0</v>
      </c>
      <c r="Q325" s="13" t="n">
        <v>3</v>
      </c>
      <c r="R325" s="13" t="s">
        <v>117</v>
      </c>
      <c r="S325" s="13" t="s">
        <v>215</v>
      </c>
      <c r="T325" s="13" t="n">
        <v>1</v>
      </c>
      <c r="U325" s="13" t="n">
        <f aca="false">IF(B325="Individual",1,0)</f>
        <v>1</v>
      </c>
      <c r="V325" s="13" t="n">
        <f aca="false">IF(B325="Company",1,0)</f>
        <v>0</v>
      </c>
      <c r="W325" s="13" t="n">
        <f aca="false">IF(H325="Home",1,0)</f>
        <v>1</v>
      </c>
      <c r="X325" s="13" t="n">
        <f aca="false">IF(H325="Investment",1,0)</f>
        <v>0</v>
      </c>
      <c r="Y325" s="13" t="n">
        <f aca="false">IF(K325="Website",1,0)</f>
        <v>0</v>
      </c>
      <c r="Z325" s="13" t="n">
        <f aca="false">IF(K325="Agency",1,0)</f>
        <v>1</v>
      </c>
      <c r="AA325" s="13" t="n">
        <f aca="false">IF(K325="Client",1,0)</f>
        <v>0</v>
      </c>
      <c r="AB325" s="13" t="n">
        <f aca="false">(D325-AVERAGE(D$2:D$2001))/STDEV(D$2:D$2001)</f>
        <v>0.511062342991484</v>
      </c>
      <c r="AC325" s="13" t="n">
        <f aca="false">(I325-AVERAGE(I$2:I$2001))/STDEV(I$2:I$2001)</f>
        <v>-1.43538077576244</v>
      </c>
      <c r="AD325" s="13" t="n">
        <f aca="false">(L325-AVERAGE(L$2:L$2001))/STDEV(L$2:L$2001)</f>
        <v>-0.777063122173208</v>
      </c>
      <c r="AE325" s="13" t="n">
        <f aca="false">(M325-AVERAGE(M$2:M$2001))/STDEV(M$2:M$2001)</f>
        <v>-0.658087809864441</v>
      </c>
      <c r="AF325" s="13" t="n">
        <f aca="false">(N325-AVERAGE(N$2:N$2001))/STDEV(N$2:N$2001)</f>
        <v>-0.0468409428233645</v>
      </c>
      <c r="AG325" s="13" t="n">
        <f aca="false">(O325-AVERAGE(O$2:O$2001))/STDEV(O$2:O$2001)</f>
        <v>0.0413039218235118</v>
      </c>
      <c r="AH325" s="0" t="str">
        <f aca="false">IF(B325="Company","C3 - Corporate Buyers",IF(AND(H325="Investment",M325&gt;'Segmentation Summary'!$C$1),"C1 - Global Investors",IF(AND(I325&gt;=4,M325&gt;'Segmentation Summary'!$C$1),"C4 - Luxury Investors",IF(AND(D325&lt;'Segmentation Summary'!$C$2,J325=1),"C2 - First-Time Buyers","C5 - Other Individual Buyers"))))</f>
        <v>C5 - Other Individual Buyers</v>
      </c>
    </row>
    <row r="326" customFormat="false" ht="15" hidden="false" customHeight="true" outlineLevel="0" collapsed="false">
      <c r="A326" s="13" t="s">
        <v>720</v>
      </c>
      <c r="B326" s="13" t="s">
        <v>34</v>
      </c>
      <c r="C326" s="13" t="s">
        <v>721</v>
      </c>
      <c r="D326" s="13" t="n">
        <v>32</v>
      </c>
      <c r="E326" s="13" t="s">
        <v>90</v>
      </c>
      <c r="F326" s="13" t="s">
        <v>33</v>
      </c>
      <c r="G326" s="13" t="s">
        <v>95</v>
      </c>
      <c r="H326" s="13" t="s">
        <v>41</v>
      </c>
      <c r="I326" s="13" t="n">
        <v>4</v>
      </c>
      <c r="J326" s="13" t="n">
        <v>1</v>
      </c>
      <c r="K326" s="13" t="s">
        <v>91</v>
      </c>
      <c r="L326" s="13" t="n">
        <v>4</v>
      </c>
      <c r="M326" s="13" t="n">
        <v>1494552.45</v>
      </c>
      <c r="N326" s="13" t="n">
        <v>373638.1125</v>
      </c>
      <c r="O326" s="13" t="n">
        <v>1136.215</v>
      </c>
      <c r="P326" s="13" t="n">
        <v>1</v>
      </c>
      <c r="Q326" s="13" t="n">
        <v>3</v>
      </c>
      <c r="R326" s="13" t="s">
        <v>101</v>
      </c>
      <c r="S326" s="13" t="s">
        <v>164</v>
      </c>
      <c r="T326" s="13" t="n">
        <v>1</v>
      </c>
      <c r="U326" s="13" t="n">
        <f aca="false">IF(B326="Individual",1,0)</f>
        <v>1</v>
      </c>
      <c r="V326" s="13" t="n">
        <f aca="false">IF(B326="Company",1,0)</f>
        <v>0</v>
      </c>
      <c r="W326" s="13" t="n">
        <f aca="false">IF(H326="Home",1,0)</f>
        <v>1</v>
      </c>
      <c r="X326" s="13" t="n">
        <f aca="false">IF(H326="Investment",1,0)</f>
        <v>0</v>
      </c>
      <c r="Y326" s="13" t="n">
        <f aca="false">IF(K326="Website",1,0)</f>
        <v>0</v>
      </c>
      <c r="Z326" s="13" t="n">
        <f aca="false">IF(K326="Agency",1,0)</f>
        <v>1</v>
      </c>
      <c r="AA326" s="13" t="n">
        <f aca="false">IF(K326="Client",1,0)</f>
        <v>0</v>
      </c>
      <c r="AB326" s="13" t="n">
        <f aca="false">(D326-AVERAGE(D$2:D$2001))/STDEV(D$2:D$2001)</f>
        <v>-1.2764737771412</v>
      </c>
      <c r="AC326" s="13" t="n">
        <f aca="false">(I326-AVERAGE(I$2:I$2001))/STDEV(I$2:I$2001)</f>
        <v>0.686917069130275</v>
      </c>
      <c r="AD326" s="13" t="n">
        <f aca="false">(L326-AVERAGE(L$2:L$2001))/STDEV(L$2:L$2001)</f>
        <v>0.413838214490712</v>
      </c>
      <c r="AE326" s="13" t="n">
        <f aca="false">(M326-AVERAGE(M$2:M$2001))/STDEV(M$2:M$2001)</f>
        <v>0.673249926645075</v>
      </c>
      <c r="AF326" s="13" t="n">
        <f aca="false">(N326-AVERAGE(N$2:N$2001))/STDEV(N$2:N$2001)</f>
        <v>0.380772560729954</v>
      </c>
      <c r="AG326" s="13" t="n">
        <f aca="false">(O326-AVERAGE(O$2:O$2001))/STDEV(O$2:O$2001)</f>
        <v>-0.0512210598739527</v>
      </c>
      <c r="AH326" s="0" t="str">
        <f aca="false">IF(B326="Company","C3 - Corporate Buyers",IF(AND(H326="Investment",M326&gt;'Segmentation Summary'!$C$1),"C1 - Global Investors",IF(AND(I326&gt;=4,M326&gt;'Segmentation Summary'!$C$1),"C4 - Luxury Investors",IF(AND(D326&lt;'Segmentation Summary'!$C$2,J326=1),"C2 - First-Time Buyers","C5 - Other Individual Buyers"))))</f>
        <v>C4 - Luxury Investors</v>
      </c>
    </row>
    <row r="327" customFormat="false" ht="15" hidden="false" customHeight="true" outlineLevel="0" collapsed="false">
      <c r="A327" s="13" t="s">
        <v>722</v>
      </c>
      <c r="B327" s="13" t="s">
        <v>34</v>
      </c>
      <c r="C327" s="13" t="s">
        <v>723</v>
      </c>
      <c r="D327" s="13" t="n">
        <v>55</v>
      </c>
      <c r="E327" s="13" t="s">
        <v>90</v>
      </c>
      <c r="F327" s="13" t="s">
        <v>33</v>
      </c>
      <c r="G327" s="13" t="s">
        <v>84</v>
      </c>
      <c r="H327" s="13" t="s">
        <v>41</v>
      </c>
      <c r="I327" s="13" t="n">
        <v>1</v>
      </c>
      <c r="J327" s="13" t="n">
        <v>0</v>
      </c>
      <c r="K327" s="13" t="s">
        <v>85</v>
      </c>
      <c r="L327" s="13" t="n">
        <v>4</v>
      </c>
      <c r="M327" s="13" t="n">
        <v>1015636.19</v>
      </c>
      <c r="N327" s="13" t="n">
        <v>253909.0475</v>
      </c>
      <c r="O327" s="13" t="n">
        <v>821.355</v>
      </c>
      <c r="P327" s="13" t="n">
        <v>1</v>
      </c>
      <c r="Q327" s="13" t="n">
        <v>3</v>
      </c>
      <c r="R327" s="13" t="s">
        <v>111</v>
      </c>
      <c r="S327" s="13" t="s">
        <v>141</v>
      </c>
      <c r="T327" s="13" t="n">
        <v>1</v>
      </c>
      <c r="U327" s="13" t="n">
        <f aca="false">IF(B327="Individual",1,0)</f>
        <v>1</v>
      </c>
      <c r="V327" s="13" t="n">
        <f aca="false">IF(B327="Company",1,0)</f>
        <v>0</v>
      </c>
      <c r="W327" s="13" t="n">
        <f aca="false">IF(H327="Home",1,0)</f>
        <v>1</v>
      </c>
      <c r="X327" s="13" t="n">
        <f aca="false">IF(H327="Investment",1,0)</f>
        <v>0</v>
      </c>
      <c r="Y327" s="13" t="n">
        <f aca="false">IF(K327="Website",1,0)</f>
        <v>1</v>
      </c>
      <c r="Z327" s="13" t="n">
        <f aca="false">IF(K327="Agency",1,0)</f>
        <v>0</v>
      </c>
      <c r="AA327" s="13" t="n">
        <f aca="false">IF(K327="Client",1,0)</f>
        <v>0</v>
      </c>
      <c r="AB327" s="13" t="n">
        <f aca="false">(D327-AVERAGE(D$2:D$2001))/STDEV(D$2:D$2001)</f>
        <v>0.0497626990862745</v>
      </c>
      <c r="AC327" s="13" t="n">
        <f aca="false">(I327-AVERAGE(I$2:I$2001))/STDEV(I$2:I$2001)</f>
        <v>-1.43538077576244</v>
      </c>
      <c r="AD327" s="13" t="n">
        <f aca="false">(L327-AVERAGE(L$2:L$2001))/STDEV(L$2:L$2001)</f>
        <v>0.413838214490712</v>
      </c>
      <c r="AE327" s="13" t="n">
        <f aca="false">(M327-AVERAGE(M$2:M$2001))/STDEV(M$2:M$2001)</f>
        <v>-0.703616199398053</v>
      </c>
      <c r="AF327" s="13" t="n">
        <f aca="false">(N327-AVERAGE(N$2:N$2001))/STDEV(N$2:N$2001)</f>
        <v>-1.33646691874644</v>
      </c>
      <c r="AG327" s="13" t="n">
        <f aca="false">(O327-AVERAGE(O$2:O$2001))/STDEV(O$2:O$2001)</f>
        <v>-1.48290665593922</v>
      </c>
      <c r="AH327" s="0" t="str">
        <f aca="false">IF(B327="Company","C3 - Corporate Buyers",IF(AND(H327="Investment",M327&gt;'Segmentation Summary'!$C$1),"C1 - Global Investors",IF(AND(I327&gt;=4,M327&gt;'Segmentation Summary'!$C$1),"C4 - Luxury Investors",IF(AND(D327&lt;'Segmentation Summary'!$C$2,J327=1),"C2 - First-Time Buyers","C5 - Other Individual Buyers"))))</f>
        <v>C5 - Other Individual Buyers</v>
      </c>
    </row>
    <row r="328" customFormat="false" ht="15" hidden="false" customHeight="true" outlineLevel="0" collapsed="false">
      <c r="A328" s="13" t="s">
        <v>724</v>
      </c>
      <c r="B328" s="13" t="s">
        <v>34</v>
      </c>
      <c r="C328" s="13" t="s">
        <v>725</v>
      </c>
      <c r="D328" s="13" t="n">
        <v>56</v>
      </c>
      <c r="E328" s="13" t="s">
        <v>90</v>
      </c>
      <c r="F328" s="13" t="s">
        <v>33</v>
      </c>
      <c r="G328" s="13" t="s">
        <v>95</v>
      </c>
      <c r="H328" s="13" t="s">
        <v>41</v>
      </c>
      <c r="I328" s="13" t="n">
        <v>4</v>
      </c>
      <c r="J328" s="13" t="n">
        <v>0</v>
      </c>
      <c r="K328" s="13" t="s">
        <v>85</v>
      </c>
      <c r="L328" s="13" t="n">
        <v>4</v>
      </c>
      <c r="M328" s="13" t="n">
        <v>1383316.42</v>
      </c>
      <c r="N328" s="13" t="n">
        <v>345829.105</v>
      </c>
      <c r="O328" s="13" t="n">
        <v>1164.015</v>
      </c>
      <c r="P328" s="13" t="n">
        <v>0</v>
      </c>
      <c r="Q328" s="13" t="n">
        <v>4</v>
      </c>
      <c r="R328" s="13" t="s">
        <v>98</v>
      </c>
      <c r="S328" s="13" t="s">
        <v>133</v>
      </c>
      <c r="T328" s="13" t="n">
        <v>1</v>
      </c>
      <c r="U328" s="13" t="n">
        <f aca="false">IF(B328="Individual",1,0)</f>
        <v>1</v>
      </c>
      <c r="V328" s="13" t="n">
        <f aca="false">IF(B328="Company",1,0)</f>
        <v>0</v>
      </c>
      <c r="W328" s="13" t="n">
        <f aca="false">IF(H328="Home",1,0)</f>
        <v>1</v>
      </c>
      <c r="X328" s="13" t="n">
        <f aca="false">IF(H328="Investment",1,0)</f>
        <v>0</v>
      </c>
      <c r="Y328" s="13" t="n">
        <f aca="false">IF(K328="Website",1,0)</f>
        <v>1</v>
      </c>
      <c r="Z328" s="13" t="n">
        <f aca="false">IF(K328="Agency",1,0)</f>
        <v>0</v>
      </c>
      <c r="AA328" s="13" t="n">
        <f aca="false">IF(K328="Client",1,0)</f>
        <v>0</v>
      </c>
      <c r="AB328" s="13" t="n">
        <f aca="false">(D328-AVERAGE(D$2:D$2001))/STDEV(D$2:D$2001)</f>
        <v>0.107425154574426</v>
      </c>
      <c r="AC328" s="13" t="n">
        <f aca="false">(I328-AVERAGE(I$2:I$2001))/STDEV(I$2:I$2001)</f>
        <v>0.686917069130275</v>
      </c>
      <c r="AD328" s="13" t="n">
        <f aca="false">(L328-AVERAGE(L$2:L$2001))/STDEV(L$2:L$2001)</f>
        <v>0.413838214490712</v>
      </c>
      <c r="AE328" s="13" t="n">
        <f aca="false">(M328-AVERAGE(M$2:M$2001))/STDEV(M$2:M$2001)</f>
        <v>0.353450549395873</v>
      </c>
      <c r="AF328" s="13" t="n">
        <f aca="false">(N328-AVERAGE(N$2:N$2001))/STDEV(N$2:N$2001)</f>
        <v>-0.0180840207029258</v>
      </c>
      <c r="AG328" s="13" t="n">
        <f aca="false">(O328-AVERAGE(O$2:O$2001))/STDEV(O$2:O$2001)</f>
        <v>0.0751870566559807</v>
      </c>
      <c r="AH328" s="0" t="str">
        <f aca="false">IF(B328="Company","C3 - Corporate Buyers",IF(AND(H328="Investment",M328&gt;'Segmentation Summary'!$C$1),"C1 - Global Investors",IF(AND(I328&gt;=4,M328&gt;'Segmentation Summary'!$C$1),"C4 - Luxury Investors",IF(AND(D328&lt;'Segmentation Summary'!$C$2,J328=1),"C2 - First-Time Buyers","C5 - Other Individual Buyers"))))</f>
        <v>C4 - Luxury Investors</v>
      </c>
    </row>
    <row r="329" customFormat="false" ht="15" hidden="false" customHeight="true" outlineLevel="0" collapsed="false">
      <c r="A329" s="13" t="s">
        <v>726</v>
      </c>
      <c r="B329" s="13" t="s">
        <v>34</v>
      </c>
      <c r="C329" s="13" t="s">
        <v>727</v>
      </c>
      <c r="D329" s="13" t="n">
        <v>44</v>
      </c>
      <c r="E329" s="13" t="s">
        <v>90</v>
      </c>
      <c r="F329" s="13" t="s">
        <v>33</v>
      </c>
      <c r="G329" s="13" t="s">
        <v>145</v>
      </c>
      <c r="H329" s="13" t="s">
        <v>43</v>
      </c>
      <c r="I329" s="13" t="n">
        <v>3</v>
      </c>
      <c r="J329" s="13" t="n">
        <v>0</v>
      </c>
      <c r="K329" s="13" t="s">
        <v>91</v>
      </c>
      <c r="L329" s="13" t="n">
        <v>3</v>
      </c>
      <c r="M329" s="13" t="n">
        <v>884169.44</v>
      </c>
      <c r="N329" s="13" t="n">
        <v>294723.146666667</v>
      </c>
      <c r="O329" s="13" t="n">
        <v>976.816666666667</v>
      </c>
      <c r="P329" s="13" t="n">
        <v>0</v>
      </c>
      <c r="Q329" s="13" t="n">
        <v>3</v>
      </c>
      <c r="R329" s="13" t="s">
        <v>92</v>
      </c>
      <c r="S329" s="13" t="s">
        <v>135</v>
      </c>
      <c r="T329" s="13" t="n">
        <v>1</v>
      </c>
      <c r="U329" s="13" t="n">
        <f aca="false">IF(B329="Individual",1,0)</f>
        <v>1</v>
      </c>
      <c r="V329" s="13" t="n">
        <f aca="false">IF(B329="Company",1,0)</f>
        <v>0</v>
      </c>
      <c r="W329" s="13" t="n">
        <f aca="false">IF(H329="Home",1,0)</f>
        <v>0</v>
      </c>
      <c r="X329" s="13" t="n">
        <f aca="false">IF(H329="Investment",1,0)</f>
        <v>1</v>
      </c>
      <c r="Y329" s="13" t="n">
        <f aca="false">IF(K329="Website",1,0)</f>
        <v>0</v>
      </c>
      <c r="Z329" s="13" t="n">
        <f aca="false">IF(K329="Agency",1,0)</f>
        <v>1</v>
      </c>
      <c r="AA329" s="13" t="n">
        <f aca="false">IF(K329="Client",1,0)</f>
        <v>0</v>
      </c>
      <c r="AB329" s="13" t="n">
        <f aca="false">(D329-AVERAGE(D$2:D$2001))/STDEV(D$2:D$2001)</f>
        <v>-0.584524311283389</v>
      </c>
      <c r="AC329" s="13" t="n">
        <f aca="false">(I329-AVERAGE(I$2:I$2001))/STDEV(I$2:I$2001)</f>
        <v>-0.0205155458339628</v>
      </c>
      <c r="AD329" s="13" t="n">
        <f aca="false">(L329-AVERAGE(L$2:L$2001))/STDEV(L$2:L$2001)</f>
        <v>-0.777063122173208</v>
      </c>
      <c r="AE329" s="13" t="n">
        <f aca="false">(M329-AVERAGE(M$2:M$2001))/STDEV(M$2:M$2001)</f>
        <v>-1.08157813114783</v>
      </c>
      <c r="AF329" s="13" t="n">
        <f aca="false">(N329-AVERAGE(N$2:N$2001))/STDEV(N$2:N$2001)</f>
        <v>-0.751082054943608</v>
      </c>
      <c r="AG329" s="13" t="n">
        <f aca="false">(O329-AVERAGE(O$2:O$2001))/STDEV(O$2:O$2001)</f>
        <v>-0.776013976948665</v>
      </c>
      <c r="AH329" s="0" t="str">
        <f aca="false">IF(B329="Company","C3 - Corporate Buyers",IF(AND(H329="Investment",M329&gt;'Segmentation Summary'!$C$1),"C1 - Global Investors",IF(AND(I329&gt;=4,M329&gt;'Segmentation Summary'!$C$1),"C4 - Luxury Investors",IF(AND(D329&lt;'Segmentation Summary'!$C$2,J329=1),"C2 - First-Time Buyers","C5 - Other Individual Buyers"))))</f>
        <v>C5 - Other Individual Buyers</v>
      </c>
    </row>
    <row r="330" customFormat="false" ht="15" hidden="false" customHeight="true" outlineLevel="0" collapsed="false">
      <c r="A330" s="13" t="s">
        <v>728</v>
      </c>
      <c r="B330" s="13" t="s">
        <v>34</v>
      </c>
      <c r="C330" s="13" t="s">
        <v>729</v>
      </c>
      <c r="D330" s="13" t="n">
        <v>77</v>
      </c>
      <c r="E330" s="13" t="s">
        <v>83</v>
      </c>
      <c r="F330" s="13" t="s">
        <v>33</v>
      </c>
      <c r="G330" s="13" t="s">
        <v>157</v>
      </c>
      <c r="H330" s="13" t="s">
        <v>41</v>
      </c>
      <c r="I330" s="13" t="n">
        <v>2</v>
      </c>
      <c r="J330" s="13" t="n">
        <v>0</v>
      </c>
      <c r="K330" s="13" t="s">
        <v>85</v>
      </c>
      <c r="L330" s="13" t="n">
        <v>3</v>
      </c>
      <c r="M330" s="13" t="n">
        <v>1233260.4</v>
      </c>
      <c r="N330" s="13" t="n">
        <v>411086.8</v>
      </c>
      <c r="O330" s="13" t="n">
        <v>1359.24</v>
      </c>
      <c r="P330" s="13" t="n">
        <v>0</v>
      </c>
      <c r="Q330" s="13" t="n">
        <v>3</v>
      </c>
      <c r="R330" s="13" t="s">
        <v>93</v>
      </c>
      <c r="S330" s="13" t="s">
        <v>152</v>
      </c>
      <c r="T330" s="13" t="n">
        <v>1</v>
      </c>
      <c r="U330" s="13" t="n">
        <f aca="false">IF(B330="Individual",1,0)</f>
        <v>1</v>
      </c>
      <c r="V330" s="13" t="n">
        <f aca="false">IF(B330="Company",1,0)</f>
        <v>0</v>
      </c>
      <c r="W330" s="13" t="n">
        <f aca="false">IF(H330="Home",1,0)</f>
        <v>1</v>
      </c>
      <c r="X330" s="13" t="n">
        <f aca="false">IF(H330="Investment",1,0)</f>
        <v>0</v>
      </c>
      <c r="Y330" s="13" t="n">
        <f aca="false">IF(K330="Website",1,0)</f>
        <v>1</v>
      </c>
      <c r="Z330" s="13" t="n">
        <f aca="false">IF(K330="Agency",1,0)</f>
        <v>0</v>
      </c>
      <c r="AA330" s="13" t="n">
        <f aca="false">IF(K330="Client",1,0)</f>
        <v>0</v>
      </c>
      <c r="AB330" s="13" t="n">
        <f aca="false">(D330-AVERAGE(D$2:D$2001))/STDEV(D$2:D$2001)</f>
        <v>1.3183367198256</v>
      </c>
      <c r="AC330" s="13" t="n">
        <f aca="false">(I330-AVERAGE(I$2:I$2001))/STDEV(I$2:I$2001)</f>
        <v>-0.727948160798201</v>
      </c>
      <c r="AD330" s="13" t="n">
        <f aca="false">(L330-AVERAGE(L$2:L$2001))/STDEV(L$2:L$2001)</f>
        <v>-0.777063122173208</v>
      </c>
      <c r="AE330" s="13" t="n">
        <f aca="false">(M330-AVERAGE(M$2:M$2001))/STDEV(M$2:M$2001)</f>
        <v>-0.077954830214438</v>
      </c>
      <c r="AF330" s="13" t="n">
        <f aca="false">(N330-AVERAGE(N$2:N$2001))/STDEV(N$2:N$2001)</f>
        <v>0.917888294738017</v>
      </c>
      <c r="AG330" s="13" t="n">
        <f aca="false">(O330-AVERAGE(O$2:O$2001))/STDEV(O$2:O$2001)</f>
        <v>0.962885781460156</v>
      </c>
      <c r="AH330" s="0" t="str">
        <f aca="false">IF(B330="Company","C3 - Corporate Buyers",IF(AND(H330="Investment",M330&gt;'Segmentation Summary'!$C$1),"C1 - Global Investors",IF(AND(I330&gt;=4,M330&gt;'Segmentation Summary'!$C$1),"C4 - Luxury Investors",IF(AND(D330&lt;'Segmentation Summary'!$C$2,J330=1),"C2 - First-Time Buyers","C5 - Other Individual Buyers"))))</f>
        <v>C5 - Other Individual Buyers</v>
      </c>
    </row>
    <row r="331" customFormat="false" ht="15" hidden="false" customHeight="true" outlineLevel="0" collapsed="false">
      <c r="A331" s="13" t="s">
        <v>730</v>
      </c>
      <c r="B331" s="13" t="s">
        <v>34</v>
      </c>
      <c r="C331" s="13" t="s">
        <v>731</v>
      </c>
      <c r="D331" s="13" t="n">
        <v>25</v>
      </c>
      <c r="E331" s="13" t="s">
        <v>83</v>
      </c>
      <c r="F331" s="13" t="s">
        <v>33</v>
      </c>
      <c r="G331" s="13" t="s">
        <v>95</v>
      </c>
      <c r="H331" s="13" t="s">
        <v>43</v>
      </c>
      <c r="I331" s="13" t="n">
        <v>2</v>
      </c>
      <c r="J331" s="13" t="n">
        <v>1</v>
      </c>
      <c r="K331" s="13" t="s">
        <v>85</v>
      </c>
      <c r="L331" s="13" t="n">
        <v>3</v>
      </c>
      <c r="M331" s="13" t="n">
        <v>1090587.66</v>
      </c>
      <c r="N331" s="13" t="n">
        <v>363529.22</v>
      </c>
      <c r="O331" s="13" t="n">
        <v>1175.45</v>
      </c>
      <c r="P331" s="13" t="n">
        <v>0</v>
      </c>
      <c r="Q331" s="13" t="n">
        <v>3</v>
      </c>
      <c r="R331" s="13" t="s">
        <v>117</v>
      </c>
      <c r="S331" s="13" t="s">
        <v>135</v>
      </c>
      <c r="T331" s="13" t="n">
        <v>1</v>
      </c>
      <c r="U331" s="13" t="n">
        <f aca="false">IF(B331="Individual",1,0)</f>
        <v>1</v>
      </c>
      <c r="V331" s="13" t="n">
        <f aca="false">IF(B331="Company",1,0)</f>
        <v>0</v>
      </c>
      <c r="W331" s="13" t="n">
        <f aca="false">IF(H331="Home",1,0)</f>
        <v>0</v>
      </c>
      <c r="X331" s="13" t="n">
        <f aca="false">IF(H331="Investment",1,0)</f>
        <v>1</v>
      </c>
      <c r="Y331" s="13" t="n">
        <f aca="false">IF(K331="Website",1,0)</f>
        <v>1</v>
      </c>
      <c r="Z331" s="13" t="n">
        <f aca="false">IF(K331="Agency",1,0)</f>
        <v>0</v>
      </c>
      <c r="AA331" s="13" t="n">
        <f aca="false">IF(K331="Client",1,0)</f>
        <v>0</v>
      </c>
      <c r="AB331" s="13" t="n">
        <f aca="false">(D331-AVERAGE(D$2:D$2001))/STDEV(D$2:D$2001)</f>
        <v>-1.68011096555826</v>
      </c>
      <c r="AC331" s="13" t="n">
        <f aca="false">(I331-AVERAGE(I$2:I$2001))/STDEV(I$2:I$2001)</f>
        <v>-0.727948160798201</v>
      </c>
      <c r="AD331" s="13" t="n">
        <f aca="false">(L331-AVERAGE(L$2:L$2001))/STDEV(L$2:L$2001)</f>
        <v>-0.777063122173208</v>
      </c>
      <c r="AE331" s="13" t="n">
        <f aca="false">(M331-AVERAGE(M$2:M$2001))/STDEV(M$2:M$2001)</f>
        <v>-0.488133559196742</v>
      </c>
      <c r="AF331" s="13" t="n">
        <f aca="false">(N331-AVERAGE(N$2:N$2001))/STDEV(N$2:N$2001)</f>
        <v>0.235783628470416</v>
      </c>
      <c r="AG331" s="13" t="n">
        <f aca="false">(O331-AVERAGE(O$2:O$2001))/STDEV(O$2:O$2001)</f>
        <v>0.127182625451656</v>
      </c>
      <c r="AH331" s="0" t="str">
        <f aca="false">IF(B331="Company","C3 - Corporate Buyers",IF(AND(H331="Investment",M331&gt;'Segmentation Summary'!$C$1),"C1 - Global Investors",IF(AND(I331&gt;=4,M331&gt;'Segmentation Summary'!$C$1),"C4 - Luxury Investors",IF(AND(D331&lt;'Segmentation Summary'!$C$2,J331=1),"C2 - First-Time Buyers","C5 - Other Individual Buyers"))))</f>
        <v>C2 - First-Time Buyers</v>
      </c>
    </row>
    <row r="332" customFormat="false" ht="15" hidden="false" customHeight="true" outlineLevel="0" collapsed="false">
      <c r="A332" s="13" t="s">
        <v>732</v>
      </c>
      <c r="B332" s="13" t="s">
        <v>34</v>
      </c>
      <c r="C332" s="13" t="s">
        <v>733</v>
      </c>
      <c r="D332" s="13" t="n">
        <v>49</v>
      </c>
      <c r="E332" s="13" t="s">
        <v>83</v>
      </c>
      <c r="F332" s="13" t="s">
        <v>33</v>
      </c>
      <c r="G332" s="13" t="s">
        <v>95</v>
      </c>
      <c r="H332" s="13" t="s">
        <v>41</v>
      </c>
      <c r="I332" s="13" t="n">
        <v>4</v>
      </c>
      <c r="J332" s="13" t="n">
        <v>0</v>
      </c>
      <c r="K332" s="13" t="s">
        <v>91</v>
      </c>
      <c r="L332" s="13" t="n">
        <v>4</v>
      </c>
      <c r="M332" s="13" t="n">
        <v>1766882.53</v>
      </c>
      <c r="N332" s="13" t="n">
        <v>441720.6325</v>
      </c>
      <c r="O332" s="13" t="n">
        <v>1406.6075</v>
      </c>
      <c r="P332" s="13" t="n">
        <v>0</v>
      </c>
      <c r="Q332" s="13" t="n">
        <v>4</v>
      </c>
      <c r="R332" s="13" t="s">
        <v>101</v>
      </c>
      <c r="S332" s="13" t="s">
        <v>111</v>
      </c>
      <c r="T332" s="13" t="n">
        <v>1</v>
      </c>
      <c r="U332" s="13" t="n">
        <f aca="false">IF(B332="Individual",1,0)</f>
        <v>1</v>
      </c>
      <c r="V332" s="13" t="n">
        <f aca="false">IF(B332="Company",1,0)</f>
        <v>0</v>
      </c>
      <c r="W332" s="13" t="n">
        <f aca="false">IF(H332="Home",1,0)</f>
        <v>1</v>
      </c>
      <c r="X332" s="13" t="n">
        <f aca="false">IF(H332="Investment",1,0)</f>
        <v>0</v>
      </c>
      <c r="Y332" s="13" t="n">
        <f aca="false">IF(K332="Website",1,0)</f>
        <v>0</v>
      </c>
      <c r="Z332" s="13" t="n">
        <f aca="false">IF(K332="Agency",1,0)</f>
        <v>1</v>
      </c>
      <c r="AA332" s="13" t="n">
        <f aca="false">IF(K332="Client",1,0)</f>
        <v>0</v>
      </c>
      <c r="AB332" s="13" t="n">
        <f aca="false">(D332-AVERAGE(D$2:D$2001))/STDEV(D$2:D$2001)</f>
        <v>-0.296212033842633</v>
      </c>
      <c r="AC332" s="13" t="n">
        <f aca="false">(I332-AVERAGE(I$2:I$2001))/STDEV(I$2:I$2001)</f>
        <v>0.686917069130275</v>
      </c>
      <c r="AD332" s="13" t="n">
        <f aca="false">(L332-AVERAGE(L$2:L$2001))/STDEV(L$2:L$2001)</f>
        <v>0.413838214490712</v>
      </c>
      <c r="AE332" s="13" t="n">
        <f aca="false">(M332-AVERAGE(M$2:M$2001))/STDEV(M$2:M$2001)</f>
        <v>1.45618860209246</v>
      </c>
      <c r="AF332" s="13" t="n">
        <f aca="false">(N332-AVERAGE(N$2:N$2001))/STDEV(N$2:N$2001)</f>
        <v>1.3572605271752</v>
      </c>
      <c r="AG332" s="13" t="n">
        <f aca="false">(O332-AVERAGE(O$2:O$2001))/STDEV(O$2:O$2001)</f>
        <v>1.17826838792532</v>
      </c>
      <c r="AH332" s="0" t="str">
        <f aca="false">IF(B332="Company","C3 - Corporate Buyers",IF(AND(H332="Investment",M332&gt;'Segmentation Summary'!$C$1),"C1 - Global Investors",IF(AND(I332&gt;=4,M332&gt;'Segmentation Summary'!$C$1),"C4 - Luxury Investors",IF(AND(D332&lt;'Segmentation Summary'!$C$2,J332=1),"C2 - First-Time Buyers","C5 - Other Individual Buyers"))))</f>
        <v>C4 - Luxury Investors</v>
      </c>
    </row>
    <row r="333" customFormat="false" ht="15" hidden="false" customHeight="true" outlineLevel="0" collapsed="false">
      <c r="A333" s="13" t="s">
        <v>734</v>
      </c>
      <c r="B333" s="13" t="s">
        <v>34</v>
      </c>
      <c r="C333" s="13" t="s">
        <v>735</v>
      </c>
      <c r="D333" s="13" t="n">
        <v>64</v>
      </c>
      <c r="E333" s="13" t="s">
        <v>83</v>
      </c>
      <c r="F333" s="13" t="s">
        <v>33</v>
      </c>
      <c r="G333" s="13" t="s">
        <v>95</v>
      </c>
      <c r="H333" s="13" t="s">
        <v>43</v>
      </c>
      <c r="I333" s="13" t="n">
        <v>4</v>
      </c>
      <c r="J333" s="13" t="n">
        <v>0</v>
      </c>
      <c r="K333" s="13" t="s">
        <v>85</v>
      </c>
      <c r="L333" s="13" t="n">
        <v>3</v>
      </c>
      <c r="M333" s="13" t="n">
        <v>1007397.56</v>
      </c>
      <c r="N333" s="13" t="n">
        <v>335799.186666667</v>
      </c>
      <c r="O333" s="13" t="n">
        <v>1110.62333333333</v>
      </c>
      <c r="P333" s="13" t="n">
        <v>0</v>
      </c>
      <c r="Q333" s="13" t="n">
        <v>3</v>
      </c>
      <c r="R333" s="13" t="s">
        <v>117</v>
      </c>
      <c r="S333" s="13" t="s">
        <v>112</v>
      </c>
      <c r="T333" s="13" t="n">
        <v>1</v>
      </c>
      <c r="U333" s="13" t="n">
        <f aca="false">IF(B333="Individual",1,0)</f>
        <v>1</v>
      </c>
      <c r="V333" s="13" t="n">
        <f aca="false">IF(B333="Company",1,0)</f>
        <v>0</v>
      </c>
      <c r="W333" s="13" t="n">
        <f aca="false">IF(H333="Home",1,0)</f>
        <v>0</v>
      </c>
      <c r="X333" s="13" t="n">
        <f aca="false">IF(H333="Investment",1,0)</f>
        <v>1</v>
      </c>
      <c r="Y333" s="13" t="n">
        <f aca="false">IF(K333="Website",1,0)</f>
        <v>1</v>
      </c>
      <c r="Z333" s="13" t="n">
        <f aca="false">IF(K333="Agency",1,0)</f>
        <v>0</v>
      </c>
      <c r="AA333" s="13" t="n">
        <f aca="false">IF(K333="Client",1,0)</f>
        <v>0</v>
      </c>
      <c r="AB333" s="13" t="n">
        <f aca="false">(D333-AVERAGE(D$2:D$2001))/STDEV(D$2:D$2001)</f>
        <v>0.568724798479635</v>
      </c>
      <c r="AC333" s="13" t="n">
        <f aca="false">(I333-AVERAGE(I$2:I$2001))/STDEV(I$2:I$2001)</f>
        <v>0.686917069130275</v>
      </c>
      <c r="AD333" s="13" t="n">
        <f aca="false">(L333-AVERAGE(L$2:L$2001))/STDEV(L$2:L$2001)</f>
        <v>-0.777063122173208</v>
      </c>
      <c r="AE333" s="13" t="n">
        <f aca="false">(M333-AVERAGE(M$2:M$2001))/STDEV(M$2:M$2001)</f>
        <v>-0.727301948910927</v>
      </c>
      <c r="AF333" s="13" t="n">
        <f aca="false">(N333-AVERAGE(N$2:N$2001))/STDEV(N$2:N$2001)</f>
        <v>-0.161940249246291</v>
      </c>
      <c r="AG333" s="13" t="n">
        <f aca="false">(O333-AVERAGE(O$2:O$2001))/STDEV(O$2:O$2001)</f>
        <v>-0.167587764269478</v>
      </c>
      <c r="AH333" s="0" t="str">
        <f aca="false">IF(B333="Company","C3 - Corporate Buyers",IF(AND(H333="Investment",M333&gt;'Segmentation Summary'!$C$1),"C1 - Global Investors",IF(AND(I333&gt;=4,M333&gt;'Segmentation Summary'!$C$1),"C4 - Luxury Investors",IF(AND(D333&lt;'Segmentation Summary'!$C$2,J333=1),"C2 - First-Time Buyers","C5 - Other Individual Buyers"))))</f>
        <v>C5 - Other Individual Buyers</v>
      </c>
    </row>
    <row r="334" customFormat="false" ht="15" hidden="false" customHeight="true" outlineLevel="0" collapsed="false">
      <c r="A334" s="13" t="s">
        <v>736</v>
      </c>
      <c r="B334" s="13" t="s">
        <v>34</v>
      </c>
      <c r="C334" s="13" t="s">
        <v>737</v>
      </c>
      <c r="D334" s="13" t="n">
        <v>69</v>
      </c>
      <c r="E334" s="13" t="s">
        <v>83</v>
      </c>
      <c r="F334" s="13" t="s">
        <v>33</v>
      </c>
      <c r="G334" s="13" t="s">
        <v>145</v>
      </c>
      <c r="H334" s="13" t="s">
        <v>43</v>
      </c>
      <c r="I334" s="13" t="n">
        <v>1</v>
      </c>
      <c r="J334" s="13" t="n">
        <v>1</v>
      </c>
      <c r="K334" s="13" t="s">
        <v>85</v>
      </c>
      <c r="L334" s="13" t="n">
        <v>4</v>
      </c>
      <c r="M334" s="13" t="n">
        <v>2032565.11</v>
      </c>
      <c r="N334" s="13" t="n">
        <v>508141.2775</v>
      </c>
      <c r="O334" s="13" t="n">
        <v>1555.2975</v>
      </c>
      <c r="P334" s="13" t="n">
        <v>0</v>
      </c>
      <c r="Q334" s="13" t="n">
        <v>4</v>
      </c>
      <c r="R334" s="13" t="s">
        <v>98</v>
      </c>
      <c r="S334" s="13" t="s">
        <v>93</v>
      </c>
      <c r="T334" s="13" t="n">
        <v>1</v>
      </c>
      <c r="U334" s="13" t="n">
        <f aca="false">IF(B334="Individual",1,0)</f>
        <v>1</v>
      </c>
      <c r="V334" s="13" t="n">
        <f aca="false">IF(B334="Company",1,0)</f>
        <v>0</v>
      </c>
      <c r="W334" s="13" t="n">
        <f aca="false">IF(H334="Home",1,0)</f>
        <v>0</v>
      </c>
      <c r="X334" s="13" t="n">
        <f aca="false">IF(H334="Investment",1,0)</f>
        <v>1</v>
      </c>
      <c r="Y334" s="13" t="n">
        <f aca="false">IF(K334="Website",1,0)</f>
        <v>1</v>
      </c>
      <c r="Z334" s="13" t="n">
        <f aca="false">IF(K334="Agency",1,0)</f>
        <v>0</v>
      </c>
      <c r="AA334" s="13" t="n">
        <f aca="false">IF(K334="Client",1,0)</f>
        <v>0</v>
      </c>
      <c r="AB334" s="13" t="n">
        <f aca="false">(D334-AVERAGE(D$2:D$2001))/STDEV(D$2:D$2001)</f>
        <v>0.857037075920391</v>
      </c>
      <c r="AC334" s="13" t="n">
        <f aca="false">(I334-AVERAGE(I$2:I$2001))/STDEV(I$2:I$2001)</f>
        <v>-1.43538077576244</v>
      </c>
      <c r="AD334" s="13" t="n">
        <f aca="false">(L334-AVERAGE(L$2:L$2001))/STDEV(L$2:L$2001)</f>
        <v>0.413838214490712</v>
      </c>
      <c r="AE334" s="13" t="n">
        <f aca="false">(M334-AVERAGE(M$2:M$2001))/STDEV(M$2:M$2001)</f>
        <v>2.22001596657105</v>
      </c>
      <c r="AF334" s="13" t="n">
        <f aca="false">(N334-AVERAGE(N$2:N$2001))/STDEV(N$2:N$2001)</f>
        <v>2.30991269936319</v>
      </c>
      <c r="AG334" s="13" t="n">
        <f aca="false">(O334-AVERAGE(O$2:O$2001))/STDEV(O$2:O$2001)</f>
        <v>1.8543699291784</v>
      </c>
      <c r="AH334" s="0" t="str">
        <f aca="false">IF(B334="Company","C3 - Corporate Buyers",IF(AND(H334="Investment",M334&gt;'Segmentation Summary'!$C$1),"C1 - Global Investors",IF(AND(I334&gt;=4,M334&gt;'Segmentation Summary'!$C$1),"C4 - Luxury Investors",IF(AND(D334&lt;'Segmentation Summary'!$C$2,J334=1),"C2 - First-Time Buyers","C5 - Other Individual Buyers"))))</f>
        <v>C1 - Global Investors</v>
      </c>
    </row>
    <row r="335" customFormat="false" ht="15" hidden="false" customHeight="true" outlineLevel="0" collapsed="false">
      <c r="A335" s="13" t="s">
        <v>738</v>
      </c>
      <c r="B335" s="13" t="s">
        <v>34</v>
      </c>
      <c r="C335" s="13" t="s">
        <v>739</v>
      </c>
      <c r="D335" s="13" t="n">
        <v>49</v>
      </c>
      <c r="E335" s="13" t="s">
        <v>83</v>
      </c>
      <c r="F335" s="13" t="s">
        <v>33</v>
      </c>
      <c r="G335" s="13" t="s">
        <v>145</v>
      </c>
      <c r="H335" s="13" t="s">
        <v>41</v>
      </c>
      <c r="I335" s="13" t="n">
        <v>1</v>
      </c>
      <c r="J335" s="13" t="n">
        <v>1</v>
      </c>
      <c r="K335" s="13" t="s">
        <v>85</v>
      </c>
      <c r="L335" s="13" t="n">
        <v>3</v>
      </c>
      <c r="M335" s="13" t="n">
        <v>1275809.71</v>
      </c>
      <c r="N335" s="13" t="n">
        <v>425269.903333333</v>
      </c>
      <c r="O335" s="13" t="n">
        <v>1277.27333333333</v>
      </c>
      <c r="P335" s="13" t="n">
        <v>1</v>
      </c>
      <c r="Q335" s="13" t="n">
        <v>2</v>
      </c>
      <c r="R335" s="13" t="s">
        <v>103</v>
      </c>
      <c r="S335" s="13" t="s">
        <v>87</v>
      </c>
      <c r="T335" s="13" t="n">
        <v>1</v>
      </c>
      <c r="U335" s="13" t="n">
        <f aca="false">IF(B335="Individual",1,0)</f>
        <v>1</v>
      </c>
      <c r="V335" s="13" t="n">
        <f aca="false">IF(B335="Company",1,0)</f>
        <v>0</v>
      </c>
      <c r="W335" s="13" t="n">
        <f aca="false">IF(H335="Home",1,0)</f>
        <v>1</v>
      </c>
      <c r="X335" s="13" t="n">
        <f aca="false">IF(H335="Investment",1,0)</f>
        <v>0</v>
      </c>
      <c r="Y335" s="13" t="n">
        <f aca="false">IF(K335="Website",1,0)</f>
        <v>1</v>
      </c>
      <c r="Z335" s="13" t="n">
        <f aca="false">IF(K335="Agency",1,0)</f>
        <v>0</v>
      </c>
      <c r="AA335" s="13" t="n">
        <f aca="false">IF(K335="Client",1,0)</f>
        <v>0</v>
      </c>
      <c r="AB335" s="13" t="n">
        <f aca="false">(D335-AVERAGE(D$2:D$2001))/STDEV(D$2:D$2001)</f>
        <v>-0.296212033842633</v>
      </c>
      <c r="AC335" s="13" t="n">
        <f aca="false">(I335-AVERAGE(I$2:I$2001))/STDEV(I$2:I$2001)</f>
        <v>-1.43538077576244</v>
      </c>
      <c r="AD335" s="13" t="n">
        <f aca="false">(L335-AVERAGE(L$2:L$2001))/STDEV(L$2:L$2001)</f>
        <v>-0.777063122173208</v>
      </c>
      <c r="AE335" s="13" t="n">
        <f aca="false">(M335-AVERAGE(M$2:M$2001))/STDEV(M$2:M$2001)</f>
        <v>0.0443728260349202</v>
      </c>
      <c r="AF335" s="13" t="n">
        <f aca="false">(N335-AVERAGE(N$2:N$2001))/STDEV(N$2:N$2001)</f>
        <v>1.12131245899999</v>
      </c>
      <c r="AG335" s="13" t="n">
        <f aca="false">(O335-AVERAGE(O$2:O$2001))/STDEV(O$2:O$2001)</f>
        <v>0.590178876727402</v>
      </c>
      <c r="AH335" s="0" t="str">
        <f aca="false">IF(B335="Company","C3 - Corporate Buyers",IF(AND(H335="Investment",M335&gt;'Segmentation Summary'!$C$1),"C1 - Global Investors",IF(AND(I335&gt;=4,M335&gt;'Segmentation Summary'!$C$1),"C4 - Luxury Investors",IF(AND(D335&lt;'Segmentation Summary'!$C$2,J335=1),"C2 - First-Time Buyers","C5 - Other Individual Buyers"))))</f>
        <v>C2 - First-Time Buyers</v>
      </c>
    </row>
    <row r="336" customFormat="false" ht="15" hidden="false" customHeight="true" outlineLevel="0" collapsed="false">
      <c r="A336" s="13" t="s">
        <v>740</v>
      </c>
      <c r="B336" s="13" t="s">
        <v>34</v>
      </c>
      <c r="C336" s="13" t="s">
        <v>741</v>
      </c>
      <c r="D336" s="13" t="n">
        <v>34</v>
      </c>
      <c r="E336" s="13" t="s">
        <v>83</v>
      </c>
      <c r="F336" s="13" t="s">
        <v>33</v>
      </c>
      <c r="G336" s="13" t="s">
        <v>100</v>
      </c>
      <c r="H336" s="13" t="s">
        <v>41</v>
      </c>
      <c r="I336" s="13" t="n">
        <v>4</v>
      </c>
      <c r="J336" s="13" t="n">
        <v>0</v>
      </c>
      <c r="K336" s="13" t="s">
        <v>91</v>
      </c>
      <c r="L336" s="13" t="n">
        <v>3</v>
      </c>
      <c r="M336" s="13" t="n">
        <v>1001006.54</v>
      </c>
      <c r="N336" s="13" t="n">
        <v>333668.846666667</v>
      </c>
      <c r="O336" s="13" t="n">
        <v>1111.29666666667</v>
      </c>
      <c r="P336" s="13" t="n">
        <v>0</v>
      </c>
      <c r="Q336" s="13" t="n">
        <v>3</v>
      </c>
      <c r="R336" s="13" t="s">
        <v>121</v>
      </c>
      <c r="S336" s="13" t="s">
        <v>125</v>
      </c>
      <c r="T336" s="13" t="n">
        <v>1</v>
      </c>
      <c r="U336" s="13" t="n">
        <f aca="false">IF(B336="Individual",1,0)</f>
        <v>1</v>
      </c>
      <c r="V336" s="13" t="n">
        <f aca="false">IF(B336="Company",1,0)</f>
        <v>0</v>
      </c>
      <c r="W336" s="13" t="n">
        <f aca="false">IF(H336="Home",1,0)</f>
        <v>1</v>
      </c>
      <c r="X336" s="13" t="n">
        <f aca="false">IF(H336="Investment",1,0)</f>
        <v>0</v>
      </c>
      <c r="Y336" s="13" t="n">
        <f aca="false">IF(K336="Website",1,0)</f>
        <v>0</v>
      </c>
      <c r="Z336" s="13" t="n">
        <f aca="false">IF(K336="Agency",1,0)</f>
        <v>1</v>
      </c>
      <c r="AA336" s="13" t="n">
        <f aca="false">IF(K336="Client",1,0)</f>
        <v>0</v>
      </c>
      <c r="AB336" s="13" t="n">
        <f aca="false">(D336-AVERAGE(D$2:D$2001))/STDEV(D$2:D$2001)</f>
        <v>-1.1611488661649</v>
      </c>
      <c r="AC336" s="13" t="n">
        <f aca="false">(I336-AVERAGE(I$2:I$2001))/STDEV(I$2:I$2001)</f>
        <v>0.686917069130275</v>
      </c>
      <c r="AD336" s="13" t="n">
        <f aca="false">(L336-AVERAGE(L$2:L$2001))/STDEV(L$2:L$2001)</f>
        <v>-0.777063122173208</v>
      </c>
      <c r="AE336" s="13" t="n">
        <f aca="false">(M336-AVERAGE(M$2:M$2001))/STDEV(M$2:M$2001)</f>
        <v>-0.745675889584531</v>
      </c>
      <c r="AF336" s="13" t="n">
        <f aca="false">(N336-AVERAGE(N$2:N$2001))/STDEV(N$2:N$2001)</f>
        <v>-0.192495102010803</v>
      </c>
      <c r="AG336" s="13" t="n">
        <f aca="false">(O336-AVERAGE(O$2:O$2001))/STDEV(O$2:O$2001)</f>
        <v>-0.16452608087148</v>
      </c>
      <c r="AH336" s="0" t="str">
        <f aca="false">IF(B336="Company","C3 - Corporate Buyers",IF(AND(H336="Investment",M336&gt;'Segmentation Summary'!$C$1),"C1 - Global Investors",IF(AND(I336&gt;=4,M336&gt;'Segmentation Summary'!$C$1),"C4 - Luxury Investors",IF(AND(D336&lt;'Segmentation Summary'!$C$2,J336=1),"C2 - First-Time Buyers","C5 - Other Individual Buyers"))))</f>
        <v>C5 - Other Individual Buyers</v>
      </c>
    </row>
    <row r="337" customFormat="false" ht="15" hidden="false" customHeight="true" outlineLevel="0" collapsed="false">
      <c r="A337" s="13" t="s">
        <v>742</v>
      </c>
      <c r="B337" s="13" t="s">
        <v>34</v>
      </c>
      <c r="C337" s="13" t="s">
        <v>743</v>
      </c>
      <c r="D337" s="13" t="n">
        <v>25</v>
      </c>
      <c r="E337" s="13" t="s">
        <v>83</v>
      </c>
      <c r="F337" s="13" t="s">
        <v>40</v>
      </c>
      <c r="G337" s="13" t="s">
        <v>239</v>
      </c>
      <c r="H337" s="13" t="s">
        <v>43</v>
      </c>
      <c r="I337" s="13" t="n">
        <v>3</v>
      </c>
      <c r="J337" s="13" t="n">
        <v>0</v>
      </c>
      <c r="K337" s="13" t="s">
        <v>85</v>
      </c>
      <c r="L337" s="13" t="n">
        <v>4</v>
      </c>
      <c r="M337" s="13" t="n">
        <v>1679056.13</v>
      </c>
      <c r="N337" s="13" t="n">
        <v>419764.0325</v>
      </c>
      <c r="O337" s="13" t="n">
        <v>1423.1725</v>
      </c>
      <c r="P337" s="13" t="n">
        <v>0</v>
      </c>
      <c r="Q337" s="13" t="n">
        <v>4</v>
      </c>
      <c r="R337" s="13" t="s">
        <v>124</v>
      </c>
      <c r="S337" s="13" t="s">
        <v>133</v>
      </c>
      <c r="T337" s="13" t="n">
        <v>1</v>
      </c>
      <c r="U337" s="13" t="n">
        <f aca="false">IF(B337="Individual",1,0)</f>
        <v>1</v>
      </c>
      <c r="V337" s="13" t="n">
        <f aca="false">IF(B337="Company",1,0)</f>
        <v>0</v>
      </c>
      <c r="W337" s="13" t="n">
        <f aca="false">IF(H337="Home",1,0)</f>
        <v>0</v>
      </c>
      <c r="X337" s="13" t="n">
        <f aca="false">IF(H337="Investment",1,0)</f>
        <v>1</v>
      </c>
      <c r="Y337" s="13" t="n">
        <f aca="false">IF(K337="Website",1,0)</f>
        <v>1</v>
      </c>
      <c r="Z337" s="13" t="n">
        <f aca="false">IF(K337="Agency",1,0)</f>
        <v>0</v>
      </c>
      <c r="AA337" s="13" t="n">
        <f aca="false">IF(K337="Client",1,0)</f>
        <v>0</v>
      </c>
      <c r="AB337" s="13" t="n">
        <f aca="false">(D337-AVERAGE(D$2:D$2001))/STDEV(D$2:D$2001)</f>
        <v>-1.68011096555826</v>
      </c>
      <c r="AC337" s="13" t="n">
        <f aca="false">(I337-AVERAGE(I$2:I$2001))/STDEV(I$2:I$2001)</f>
        <v>-0.0205155458339628</v>
      </c>
      <c r="AD337" s="13" t="n">
        <f aca="false">(L337-AVERAGE(L$2:L$2001))/STDEV(L$2:L$2001)</f>
        <v>0.413838214490712</v>
      </c>
      <c r="AE337" s="13" t="n">
        <f aca="false">(M337-AVERAGE(M$2:M$2001))/STDEV(M$2:M$2001)</f>
        <v>1.20369102530876</v>
      </c>
      <c r="AF337" s="13" t="n">
        <f aca="false">(N337-AVERAGE(N$2:N$2001))/STDEV(N$2:N$2001)</f>
        <v>1.04234334014905</v>
      </c>
      <c r="AG337" s="13" t="n">
        <f aca="false">(O337-AVERAGE(O$2:O$2001))/STDEV(O$2:O$2001)</f>
        <v>1.25359034656986</v>
      </c>
      <c r="AH337" s="0" t="str">
        <f aca="false">IF(B337="Company","C3 - Corporate Buyers",IF(AND(H337="Investment",M337&gt;'Segmentation Summary'!$C$1),"C1 - Global Investors",IF(AND(I337&gt;=4,M337&gt;'Segmentation Summary'!$C$1),"C4 - Luxury Investors",IF(AND(D337&lt;'Segmentation Summary'!$C$2,J337=1),"C2 - First-Time Buyers","C5 - Other Individual Buyers"))))</f>
        <v>C1 - Global Investors</v>
      </c>
    </row>
    <row r="338" customFormat="false" ht="15" hidden="false" customHeight="true" outlineLevel="0" collapsed="false">
      <c r="A338" s="13" t="s">
        <v>744</v>
      </c>
      <c r="B338" s="13" t="s">
        <v>34</v>
      </c>
      <c r="C338" s="13" t="s">
        <v>745</v>
      </c>
      <c r="D338" s="13" t="n">
        <v>26</v>
      </c>
      <c r="E338" s="13" t="s">
        <v>83</v>
      </c>
      <c r="F338" s="13" t="s">
        <v>33</v>
      </c>
      <c r="G338" s="13" t="s">
        <v>106</v>
      </c>
      <c r="H338" s="13" t="s">
        <v>43</v>
      </c>
      <c r="I338" s="13" t="n">
        <v>4</v>
      </c>
      <c r="J338" s="13" t="n">
        <v>1</v>
      </c>
      <c r="K338" s="13" t="s">
        <v>91</v>
      </c>
      <c r="L338" s="13" t="n">
        <v>3</v>
      </c>
      <c r="M338" s="13" t="n">
        <v>972186.46</v>
      </c>
      <c r="N338" s="13" t="n">
        <v>324062.153333333</v>
      </c>
      <c r="O338" s="13" t="n">
        <v>1052.45333333333</v>
      </c>
      <c r="P338" s="13" t="n">
        <v>0</v>
      </c>
      <c r="Q338" s="13" t="n">
        <v>3</v>
      </c>
      <c r="R338" s="13" t="s">
        <v>86</v>
      </c>
      <c r="S338" s="13" t="s">
        <v>111</v>
      </c>
      <c r="T338" s="13" t="n">
        <v>1</v>
      </c>
      <c r="U338" s="13" t="n">
        <f aca="false">IF(B338="Individual",1,0)</f>
        <v>1</v>
      </c>
      <c r="V338" s="13" t="n">
        <f aca="false">IF(B338="Company",1,0)</f>
        <v>0</v>
      </c>
      <c r="W338" s="13" t="n">
        <f aca="false">IF(H338="Home",1,0)</f>
        <v>0</v>
      </c>
      <c r="X338" s="13" t="n">
        <f aca="false">IF(H338="Investment",1,0)</f>
        <v>1</v>
      </c>
      <c r="Y338" s="13" t="n">
        <f aca="false">IF(K338="Website",1,0)</f>
        <v>0</v>
      </c>
      <c r="Z338" s="13" t="n">
        <f aca="false">IF(K338="Agency",1,0)</f>
        <v>1</v>
      </c>
      <c r="AA338" s="13" t="n">
        <f aca="false">IF(K338="Client",1,0)</f>
        <v>0</v>
      </c>
      <c r="AB338" s="13" t="n">
        <f aca="false">(D338-AVERAGE(D$2:D$2001))/STDEV(D$2:D$2001)</f>
        <v>-1.62244851007011</v>
      </c>
      <c r="AC338" s="13" t="n">
        <f aca="false">(I338-AVERAGE(I$2:I$2001))/STDEV(I$2:I$2001)</f>
        <v>0.686917069130275</v>
      </c>
      <c r="AD338" s="13" t="n">
        <f aca="false">(L338-AVERAGE(L$2:L$2001))/STDEV(L$2:L$2001)</f>
        <v>-0.777063122173208</v>
      </c>
      <c r="AE338" s="13" t="n">
        <f aca="false">(M338-AVERAGE(M$2:M$2001))/STDEV(M$2:M$2001)</f>
        <v>-0.828532529076899</v>
      </c>
      <c r="AF338" s="13" t="n">
        <f aca="false">(N338-AVERAGE(N$2:N$2001))/STDEV(N$2:N$2001)</f>
        <v>-0.330281136331074</v>
      </c>
      <c r="AG338" s="13" t="n">
        <f aca="false">(O338-AVERAGE(O$2:O$2001))/STDEV(O$2:O$2001)</f>
        <v>-0.432089927526535</v>
      </c>
      <c r="AH338" s="0" t="str">
        <f aca="false">IF(B338="Company","C3 - Corporate Buyers",IF(AND(H338="Investment",M338&gt;'Segmentation Summary'!$C$1),"C1 - Global Investors",IF(AND(I338&gt;=4,M338&gt;'Segmentation Summary'!$C$1),"C4 - Luxury Investors",IF(AND(D338&lt;'Segmentation Summary'!$C$2,J338=1),"C2 - First-Time Buyers","C5 - Other Individual Buyers"))))</f>
        <v>C2 - First-Time Buyers</v>
      </c>
    </row>
    <row r="339" customFormat="false" ht="15" hidden="false" customHeight="true" outlineLevel="0" collapsed="false">
      <c r="A339" s="13" t="s">
        <v>746</v>
      </c>
      <c r="B339" s="13" t="s">
        <v>34</v>
      </c>
      <c r="C339" s="13" t="s">
        <v>747</v>
      </c>
      <c r="D339" s="13" t="n">
        <v>34</v>
      </c>
      <c r="E339" s="13" t="s">
        <v>83</v>
      </c>
      <c r="F339" s="13" t="s">
        <v>33</v>
      </c>
      <c r="G339" s="13" t="s">
        <v>95</v>
      </c>
      <c r="H339" s="13" t="s">
        <v>41</v>
      </c>
      <c r="I339" s="13" t="n">
        <v>4</v>
      </c>
      <c r="J339" s="13" t="n">
        <v>0</v>
      </c>
      <c r="K339" s="13" t="s">
        <v>91</v>
      </c>
      <c r="L339" s="13" t="n">
        <v>4</v>
      </c>
      <c r="M339" s="13" t="n">
        <v>1120376.44</v>
      </c>
      <c r="N339" s="13" t="n">
        <v>280094.11</v>
      </c>
      <c r="O339" s="13" t="n">
        <v>947.7475</v>
      </c>
      <c r="P339" s="13" t="n">
        <v>0</v>
      </c>
      <c r="Q339" s="13" t="n">
        <v>4</v>
      </c>
      <c r="R339" s="13" t="s">
        <v>121</v>
      </c>
      <c r="S339" s="13" t="s">
        <v>135</v>
      </c>
      <c r="T339" s="13" t="n">
        <v>1</v>
      </c>
      <c r="U339" s="13" t="n">
        <f aca="false">IF(B339="Individual",1,0)</f>
        <v>1</v>
      </c>
      <c r="V339" s="13" t="n">
        <f aca="false">IF(B339="Company",1,0)</f>
        <v>0</v>
      </c>
      <c r="W339" s="13" t="n">
        <f aca="false">IF(H339="Home",1,0)</f>
        <v>1</v>
      </c>
      <c r="X339" s="13" t="n">
        <f aca="false">IF(H339="Investment",1,0)</f>
        <v>0</v>
      </c>
      <c r="Y339" s="13" t="n">
        <f aca="false">IF(K339="Website",1,0)</f>
        <v>0</v>
      </c>
      <c r="Z339" s="13" t="n">
        <f aca="false">IF(K339="Agency",1,0)</f>
        <v>1</v>
      </c>
      <c r="AA339" s="13" t="n">
        <f aca="false">IF(K339="Client",1,0)</f>
        <v>0</v>
      </c>
      <c r="AB339" s="13" t="n">
        <f aca="false">(D339-AVERAGE(D$2:D$2001))/STDEV(D$2:D$2001)</f>
        <v>-1.1611488661649</v>
      </c>
      <c r="AC339" s="13" t="n">
        <f aca="false">(I339-AVERAGE(I$2:I$2001))/STDEV(I$2:I$2001)</f>
        <v>0.686917069130275</v>
      </c>
      <c r="AD339" s="13" t="n">
        <f aca="false">(L339-AVERAGE(L$2:L$2001))/STDEV(L$2:L$2001)</f>
        <v>0.413838214490712</v>
      </c>
      <c r="AE339" s="13" t="n">
        <f aca="false">(M339-AVERAGE(M$2:M$2001))/STDEV(M$2:M$2001)</f>
        <v>-0.402491943858496</v>
      </c>
      <c r="AF339" s="13" t="n">
        <f aca="false">(N339-AVERAGE(N$2:N$2001))/STDEV(N$2:N$2001)</f>
        <v>-0.960902112510317</v>
      </c>
      <c r="AG339" s="13" t="n">
        <f aca="false">(O339-AVERAGE(O$2:O$2001))/STDEV(O$2:O$2001)</f>
        <v>-0.908193063546797</v>
      </c>
      <c r="AH339" s="0" t="str">
        <f aca="false">IF(B339="Company","C3 - Corporate Buyers",IF(AND(H339="Investment",M339&gt;'Segmentation Summary'!$C$1),"C1 - Global Investors",IF(AND(I339&gt;=4,M339&gt;'Segmentation Summary'!$C$1),"C4 - Luxury Investors",IF(AND(D339&lt;'Segmentation Summary'!$C$2,J339=1),"C2 - First-Time Buyers","C5 - Other Individual Buyers"))))</f>
        <v>C5 - Other Individual Buyers</v>
      </c>
    </row>
    <row r="340" customFormat="false" ht="15" hidden="false" customHeight="true" outlineLevel="0" collapsed="false">
      <c r="A340" s="13" t="s">
        <v>748</v>
      </c>
      <c r="B340" s="13" t="s">
        <v>34</v>
      </c>
      <c r="C340" s="13" t="s">
        <v>749</v>
      </c>
      <c r="D340" s="13" t="n">
        <v>57</v>
      </c>
      <c r="E340" s="13" t="s">
        <v>83</v>
      </c>
      <c r="F340" s="13" t="s">
        <v>33</v>
      </c>
      <c r="G340" s="13" t="s">
        <v>106</v>
      </c>
      <c r="H340" s="13" t="s">
        <v>41</v>
      </c>
      <c r="I340" s="13" t="n">
        <v>3</v>
      </c>
      <c r="J340" s="13" t="n">
        <v>0</v>
      </c>
      <c r="K340" s="13" t="s">
        <v>85</v>
      </c>
      <c r="L340" s="13" t="n">
        <v>4</v>
      </c>
      <c r="M340" s="13" t="n">
        <v>1398358.69</v>
      </c>
      <c r="N340" s="13" t="n">
        <v>349589.6725</v>
      </c>
      <c r="O340" s="13" t="n">
        <v>1086.2275</v>
      </c>
      <c r="P340" s="13" t="n">
        <v>0</v>
      </c>
      <c r="Q340" s="13" t="n">
        <v>4</v>
      </c>
      <c r="R340" s="13" t="s">
        <v>111</v>
      </c>
      <c r="S340" s="13" t="s">
        <v>154</v>
      </c>
      <c r="T340" s="13" t="n">
        <v>1</v>
      </c>
      <c r="U340" s="13" t="n">
        <f aca="false">IF(B340="Individual",1,0)</f>
        <v>1</v>
      </c>
      <c r="V340" s="13" t="n">
        <f aca="false">IF(B340="Company",1,0)</f>
        <v>0</v>
      </c>
      <c r="W340" s="13" t="n">
        <f aca="false">IF(H340="Home",1,0)</f>
        <v>1</v>
      </c>
      <c r="X340" s="13" t="n">
        <f aca="false">IF(H340="Investment",1,0)</f>
        <v>0</v>
      </c>
      <c r="Y340" s="13" t="n">
        <f aca="false">IF(K340="Website",1,0)</f>
        <v>1</v>
      </c>
      <c r="Z340" s="13" t="n">
        <f aca="false">IF(K340="Agency",1,0)</f>
        <v>0</v>
      </c>
      <c r="AA340" s="13" t="n">
        <f aca="false">IF(K340="Client",1,0)</f>
        <v>0</v>
      </c>
      <c r="AB340" s="13" t="n">
        <f aca="false">(D340-AVERAGE(D$2:D$2001))/STDEV(D$2:D$2001)</f>
        <v>0.165087610062577</v>
      </c>
      <c r="AC340" s="13" t="n">
        <f aca="false">(I340-AVERAGE(I$2:I$2001))/STDEV(I$2:I$2001)</f>
        <v>-0.0205155458339628</v>
      </c>
      <c r="AD340" s="13" t="n">
        <f aca="false">(L340-AVERAGE(L$2:L$2001))/STDEV(L$2:L$2001)</f>
        <v>0.413838214490712</v>
      </c>
      <c r="AE340" s="13" t="n">
        <f aca="false">(M340-AVERAGE(M$2:M$2001))/STDEV(M$2:M$2001)</f>
        <v>0.396696506469443</v>
      </c>
      <c r="AF340" s="13" t="n">
        <f aca="false">(N340-AVERAGE(N$2:N$2001))/STDEV(N$2:N$2001)</f>
        <v>0.0358527153455503</v>
      </c>
      <c r="AG340" s="13" t="n">
        <f aca="false">(O340-AVERAGE(O$2:O$2001))/STDEV(O$2:O$2001)</f>
        <v>-0.278516949263881</v>
      </c>
      <c r="AH340" s="0" t="str">
        <f aca="false">IF(B340="Company","C3 - Corporate Buyers",IF(AND(H340="Investment",M340&gt;'Segmentation Summary'!$C$1),"C1 - Global Investors",IF(AND(I340&gt;=4,M340&gt;'Segmentation Summary'!$C$1),"C4 - Luxury Investors",IF(AND(D340&lt;'Segmentation Summary'!$C$2,J340=1),"C2 - First-Time Buyers","C5 - Other Individual Buyers"))))</f>
        <v>C5 - Other Individual Buyers</v>
      </c>
    </row>
    <row r="341" customFormat="false" ht="15" hidden="false" customHeight="true" outlineLevel="0" collapsed="false">
      <c r="A341" s="13" t="s">
        <v>750</v>
      </c>
      <c r="B341" s="13" t="s">
        <v>34</v>
      </c>
      <c r="C341" s="13" t="s">
        <v>749</v>
      </c>
      <c r="D341" s="13" t="n">
        <v>79</v>
      </c>
      <c r="E341" s="13" t="s">
        <v>83</v>
      </c>
      <c r="F341" s="13" t="s">
        <v>35</v>
      </c>
      <c r="G341" s="13" t="s">
        <v>185</v>
      </c>
      <c r="H341" s="13" t="s">
        <v>41</v>
      </c>
      <c r="I341" s="13" t="n">
        <v>4</v>
      </c>
      <c r="J341" s="13" t="n">
        <v>1</v>
      </c>
      <c r="K341" s="13" t="s">
        <v>85</v>
      </c>
      <c r="L341" s="13" t="n">
        <v>3</v>
      </c>
      <c r="M341" s="13" t="n">
        <v>1349121.32</v>
      </c>
      <c r="N341" s="13" t="n">
        <v>449707.106666667</v>
      </c>
      <c r="O341" s="13" t="n">
        <v>1463.22</v>
      </c>
      <c r="P341" s="13" t="n">
        <v>0</v>
      </c>
      <c r="Q341" s="13" t="n">
        <v>3</v>
      </c>
      <c r="R341" s="13" t="s">
        <v>215</v>
      </c>
      <c r="S341" s="13" t="s">
        <v>114</v>
      </c>
      <c r="T341" s="13" t="n">
        <v>1</v>
      </c>
      <c r="U341" s="13" t="n">
        <f aca="false">IF(B341="Individual",1,0)</f>
        <v>1</v>
      </c>
      <c r="V341" s="13" t="n">
        <f aca="false">IF(B341="Company",1,0)</f>
        <v>0</v>
      </c>
      <c r="W341" s="13" t="n">
        <f aca="false">IF(H341="Home",1,0)</f>
        <v>1</v>
      </c>
      <c r="X341" s="13" t="n">
        <f aca="false">IF(H341="Investment",1,0)</f>
        <v>0</v>
      </c>
      <c r="Y341" s="13" t="n">
        <f aca="false">IF(K341="Website",1,0)</f>
        <v>1</v>
      </c>
      <c r="Z341" s="13" t="n">
        <f aca="false">IF(K341="Agency",1,0)</f>
        <v>0</v>
      </c>
      <c r="AA341" s="13" t="n">
        <f aca="false">IF(K341="Client",1,0)</f>
        <v>0</v>
      </c>
      <c r="AB341" s="13" t="n">
        <f aca="false">(D341-AVERAGE(D$2:D$2001))/STDEV(D$2:D$2001)</f>
        <v>1.4336616308019</v>
      </c>
      <c r="AC341" s="13" t="n">
        <f aca="false">(I341-AVERAGE(I$2:I$2001))/STDEV(I$2:I$2001)</f>
        <v>0.686917069130275</v>
      </c>
      <c r="AD341" s="13" t="n">
        <f aca="false">(L341-AVERAGE(L$2:L$2001))/STDEV(L$2:L$2001)</f>
        <v>-0.777063122173208</v>
      </c>
      <c r="AE341" s="13" t="n">
        <f aca="false">(M341-AVERAGE(M$2:M$2001))/STDEV(M$2:M$2001)</f>
        <v>0.25514093078602</v>
      </c>
      <c r="AF341" s="13" t="n">
        <f aca="false">(N341-AVERAGE(N$2:N$2001))/STDEV(N$2:N$2001)</f>
        <v>1.47180822485261</v>
      </c>
      <c r="AG341" s="13" t="n">
        <f aca="false">(O341-AVERAGE(O$2:O$2001))/STDEV(O$2:O$2001)</f>
        <v>1.43568851371852</v>
      </c>
      <c r="AH341" s="0" t="str">
        <f aca="false">IF(B341="Company","C3 - Corporate Buyers",IF(AND(H341="Investment",M341&gt;'Segmentation Summary'!$C$1),"C1 - Global Investors",IF(AND(I341&gt;=4,M341&gt;'Segmentation Summary'!$C$1),"C4 - Luxury Investors",IF(AND(D341&lt;'Segmentation Summary'!$C$2,J341=1),"C2 - First-Time Buyers","C5 - Other Individual Buyers"))))</f>
        <v>C4 - Luxury Investors</v>
      </c>
    </row>
    <row r="342" customFormat="false" ht="15" hidden="false" customHeight="true" outlineLevel="0" collapsed="false">
      <c r="A342" s="13" t="s">
        <v>751</v>
      </c>
      <c r="B342" s="13" t="s">
        <v>34</v>
      </c>
      <c r="C342" s="13" t="s">
        <v>752</v>
      </c>
      <c r="D342" s="13" t="n">
        <v>62</v>
      </c>
      <c r="E342" s="13" t="s">
        <v>83</v>
      </c>
      <c r="F342" s="13" t="s">
        <v>33</v>
      </c>
      <c r="G342" s="13" t="s">
        <v>106</v>
      </c>
      <c r="H342" s="13" t="s">
        <v>41</v>
      </c>
      <c r="I342" s="13" t="n">
        <v>5</v>
      </c>
      <c r="J342" s="13" t="n">
        <v>0</v>
      </c>
      <c r="K342" s="13" t="s">
        <v>91</v>
      </c>
      <c r="L342" s="13" t="n">
        <v>4</v>
      </c>
      <c r="M342" s="13" t="n">
        <v>1606138.12</v>
      </c>
      <c r="N342" s="13" t="n">
        <v>401534.53</v>
      </c>
      <c r="O342" s="13" t="n">
        <v>1313.38</v>
      </c>
      <c r="P342" s="13" t="n">
        <v>2</v>
      </c>
      <c r="Q342" s="13" t="n">
        <v>2</v>
      </c>
      <c r="R342" s="13" t="s">
        <v>101</v>
      </c>
      <c r="S342" s="13" t="s">
        <v>133</v>
      </c>
      <c r="T342" s="13" t="n">
        <v>1</v>
      </c>
      <c r="U342" s="13" t="n">
        <f aca="false">IF(B342="Individual",1,0)</f>
        <v>1</v>
      </c>
      <c r="V342" s="13" t="n">
        <f aca="false">IF(B342="Company",1,0)</f>
        <v>0</v>
      </c>
      <c r="W342" s="13" t="n">
        <f aca="false">IF(H342="Home",1,0)</f>
        <v>1</v>
      </c>
      <c r="X342" s="13" t="n">
        <f aca="false">IF(H342="Investment",1,0)</f>
        <v>0</v>
      </c>
      <c r="Y342" s="13" t="n">
        <f aca="false">IF(K342="Website",1,0)</f>
        <v>0</v>
      </c>
      <c r="Z342" s="13" t="n">
        <f aca="false">IF(K342="Agency",1,0)</f>
        <v>1</v>
      </c>
      <c r="AA342" s="13" t="n">
        <f aca="false">IF(K342="Client",1,0)</f>
        <v>0</v>
      </c>
      <c r="AB342" s="13" t="n">
        <f aca="false">(D342-AVERAGE(D$2:D$2001))/STDEV(D$2:D$2001)</f>
        <v>0.453399887503333</v>
      </c>
      <c r="AC342" s="13" t="n">
        <f aca="false">(I342-AVERAGE(I$2:I$2001))/STDEV(I$2:I$2001)</f>
        <v>1.39434968409451</v>
      </c>
      <c r="AD342" s="13" t="n">
        <f aca="false">(L342-AVERAGE(L$2:L$2001))/STDEV(L$2:L$2001)</f>
        <v>0.413838214490712</v>
      </c>
      <c r="AE342" s="13" t="n">
        <f aca="false">(M342-AVERAGE(M$2:M$2001))/STDEV(M$2:M$2001)</f>
        <v>0.994054505664437</v>
      </c>
      <c r="AF342" s="13" t="n">
        <f aca="false">(N342-AVERAGE(N$2:N$2001))/STDEV(N$2:N$2001)</f>
        <v>0.780882838605724</v>
      </c>
      <c r="AG342" s="13" t="n">
        <f aca="false">(O342-AVERAGE(O$2:O$2001))/STDEV(O$2:O$2001)</f>
        <v>0.754357859731282</v>
      </c>
      <c r="AH342" s="0" t="str">
        <f aca="false">IF(B342="Company","C3 - Corporate Buyers",IF(AND(H342="Investment",M342&gt;'Segmentation Summary'!$C$1),"C1 - Global Investors",IF(AND(I342&gt;=4,M342&gt;'Segmentation Summary'!$C$1),"C4 - Luxury Investors",IF(AND(D342&lt;'Segmentation Summary'!$C$2,J342=1),"C2 - First-Time Buyers","C5 - Other Individual Buyers"))))</f>
        <v>C4 - Luxury Investors</v>
      </c>
    </row>
    <row r="343" customFormat="false" ht="15" hidden="false" customHeight="true" outlineLevel="0" collapsed="false">
      <c r="A343" s="13" t="s">
        <v>753</v>
      </c>
      <c r="B343" s="13" t="s">
        <v>34</v>
      </c>
      <c r="C343" s="13" t="s">
        <v>754</v>
      </c>
      <c r="D343" s="13" t="n">
        <v>65</v>
      </c>
      <c r="E343" s="13" t="s">
        <v>83</v>
      </c>
      <c r="F343" s="13" t="s">
        <v>33</v>
      </c>
      <c r="G343" s="13" t="s">
        <v>95</v>
      </c>
      <c r="H343" s="13" t="s">
        <v>41</v>
      </c>
      <c r="I343" s="13" t="n">
        <v>4</v>
      </c>
      <c r="J343" s="13" t="n">
        <v>0</v>
      </c>
      <c r="K343" s="13" t="s">
        <v>91</v>
      </c>
      <c r="L343" s="13" t="n">
        <v>4</v>
      </c>
      <c r="M343" s="13" t="n">
        <v>1360152.99</v>
      </c>
      <c r="N343" s="13" t="n">
        <v>340038.2475</v>
      </c>
      <c r="O343" s="13" t="n">
        <v>1239.145</v>
      </c>
      <c r="P343" s="13" t="n">
        <v>0</v>
      </c>
      <c r="Q343" s="13" t="n">
        <v>4</v>
      </c>
      <c r="R343" s="13" t="s">
        <v>92</v>
      </c>
      <c r="S343" s="13" t="s">
        <v>152</v>
      </c>
      <c r="T343" s="13" t="n">
        <v>1</v>
      </c>
      <c r="U343" s="13" t="n">
        <f aca="false">IF(B343="Individual",1,0)</f>
        <v>1</v>
      </c>
      <c r="V343" s="13" t="n">
        <f aca="false">IF(B343="Company",1,0)</f>
        <v>0</v>
      </c>
      <c r="W343" s="13" t="n">
        <f aca="false">IF(H343="Home",1,0)</f>
        <v>1</v>
      </c>
      <c r="X343" s="13" t="n">
        <f aca="false">IF(H343="Investment",1,0)</f>
        <v>0</v>
      </c>
      <c r="Y343" s="13" t="n">
        <f aca="false">IF(K343="Website",1,0)</f>
        <v>0</v>
      </c>
      <c r="Z343" s="13" t="n">
        <f aca="false">IF(K343="Agency",1,0)</f>
        <v>1</v>
      </c>
      <c r="AA343" s="13" t="n">
        <f aca="false">IF(K343="Client",1,0)</f>
        <v>0</v>
      </c>
      <c r="AB343" s="13" t="n">
        <f aca="false">(D343-AVERAGE(D$2:D$2001))/STDEV(D$2:D$2001)</f>
        <v>0.626387253967787</v>
      </c>
      <c r="AC343" s="13" t="n">
        <f aca="false">(I343-AVERAGE(I$2:I$2001))/STDEV(I$2:I$2001)</f>
        <v>0.686917069130275</v>
      </c>
      <c r="AD343" s="13" t="n">
        <f aca="false">(L343-AVERAGE(L$2:L$2001))/STDEV(L$2:L$2001)</f>
        <v>0.413838214490712</v>
      </c>
      <c r="AE343" s="13" t="n">
        <f aca="false">(M343-AVERAGE(M$2:M$2001))/STDEV(M$2:M$2001)</f>
        <v>0.286856564614544</v>
      </c>
      <c r="AF343" s="13" t="n">
        <f aca="false">(N343-AVERAGE(N$2:N$2001))/STDEV(N$2:N$2001)</f>
        <v>-0.101140621195228</v>
      </c>
      <c r="AG343" s="13" t="n">
        <f aca="false">(O343-AVERAGE(O$2:O$2001))/STDEV(O$2:O$2001)</f>
        <v>0.416807265105399</v>
      </c>
      <c r="AH343" s="0" t="str">
        <f aca="false">IF(B343="Company","C3 - Corporate Buyers",IF(AND(H343="Investment",M343&gt;'Segmentation Summary'!$C$1),"C1 - Global Investors",IF(AND(I343&gt;=4,M343&gt;'Segmentation Summary'!$C$1),"C4 - Luxury Investors",IF(AND(D343&lt;'Segmentation Summary'!$C$2,J343=1),"C2 - First-Time Buyers","C5 - Other Individual Buyers"))))</f>
        <v>C4 - Luxury Investors</v>
      </c>
    </row>
    <row r="344" customFormat="false" ht="15" hidden="false" customHeight="true" outlineLevel="0" collapsed="false">
      <c r="A344" s="13" t="s">
        <v>755</v>
      </c>
      <c r="B344" s="13" t="s">
        <v>34</v>
      </c>
      <c r="C344" s="13" t="s">
        <v>756</v>
      </c>
      <c r="D344" s="13" t="n">
        <v>52</v>
      </c>
      <c r="E344" s="13" t="s">
        <v>83</v>
      </c>
      <c r="F344" s="13" t="s">
        <v>33</v>
      </c>
      <c r="G344" s="13" t="s">
        <v>120</v>
      </c>
      <c r="H344" s="13" t="s">
        <v>41</v>
      </c>
      <c r="I344" s="13" t="n">
        <v>4</v>
      </c>
      <c r="J344" s="13" t="n">
        <v>1</v>
      </c>
      <c r="K344" s="13" t="s">
        <v>85</v>
      </c>
      <c r="L344" s="13" t="n">
        <v>4</v>
      </c>
      <c r="M344" s="13" t="n">
        <v>1747766.02</v>
      </c>
      <c r="N344" s="13" t="n">
        <v>436941.505</v>
      </c>
      <c r="O344" s="13" t="n">
        <v>1415.4825</v>
      </c>
      <c r="P344" s="13" t="n">
        <v>0</v>
      </c>
      <c r="Q344" s="13" t="n">
        <v>4</v>
      </c>
      <c r="R344" s="13" t="s">
        <v>117</v>
      </c>
      <c r="S344" s="13" t="s">
        <v>128</v>
      </c>
      <c r="T344" s="13" t="n">
        <v>1</v>
      </c>
      <c r="U344" s="13" t="n">
        <f aca="false">IF(B344="Individual",1,0)</f>
        <v>1</v>
      </c>
      <c r="V344" s="13" t="n">
        <f aca="false">IF(B344="Company",1,0)</f>
        <v>0</v>
      </c>
      <c r="W344" s="13" t="n">
        <f aca="false">IF(H344="Home",1,0)</f>
        <v>1</v>
      </c>
      <c r="X344" s="13" t="n">
        <f aca="false">IF(H344="Investment",1,0)</f>
        <v>0</v>
      </c>
      <c r="Y344" s="13" t="n">
        <f aca="false">IF(K344="Website",1,0)</f>
        <v>1</v>
      </c>
      <c r="Z344" s="13" t="n">
        <f aca="false">IF(K344="Agency",1,0)</f>
        <v>0</v>
      </c>
      <c r="AA344" s="13" t="n">
        <f aca="false">IF(K344="Client",1,0)</f>
        <v>0</v>
      </c>
      <c r="AB344" s="13" t="n">
        <f aca="false">(D344-AVERAGE(D$2:D$2001))/STDEV(D$2:D$2001)</f>
        <v>-0.123224667378179</v>
      </c>
      <c r="AC344" s="13" t="n">
        <f aca="false">(I344-AVERAGE(I$2:I$2001))/STDEV(I$2:I$2001)</f>
        <v>0.686917069130275</v>
      </c>
      <c r="AD344" s="13" t="n">
        <f aca="false">(L344-AVERAGE(L$2:L$2001))/STDEV(L$2:L$2001)</f>
        <v>0.413838214490712</v>
      </c>
      <c r="AE344" s="13" t="n">
        <f aca="false">(M344-AVERAGE(M$2:M$2001))/STDEV(M$2:M$2001)</f>
        <v>1.40122935918188</v>
      </c>
      <c r="AF344" s="13" t="n">
        <f aca="false">(N344-AVERAGE(N$2:N$2001))/STDEV(N$2:N$2001)</f>
        <v>1.28871487854384</v>
      </c>
      <c r="AG344" s="13" t="n">
        <f aca="false">(O344-AVERAGE(O$2:O$2001))/STDEV(O$2:O$2001)</f>
        <v>1.21862349706932</v>
      </c>
      <c r="AH344" s="0" t="str">
        <f aca="false">IF(B344="Company","C3 - Corporate Buyers",IF(AND(H344="Investment",M344&gt;'Segmentation Summary'!$C$1),"C1 - Global Investors",IF(AND(I344&gt;=4,M344&gt;'Segmentation Summary'!$C$1),"C4 - Luxury Investors",IF(AND(D344&lt;'Segmentation Summary'!$C$2,J344=1),"C2 - First-Time Buyers","C5 - Other Individual Buyers"))))</f>
        <v>C4 - Luxury Investors</v>
      </c>
    </row>
    <row r="345" customFormat="false" ht="15" hidden="false" customHeight="true" outlineLevel="0" collapsed="false">
      <c r="A345" s="13" t="s">
        <v>757</v>
      </c>
      <c r="B345" s="13" t="s">
        <v>34</v>
      </c>
      <c r="C345" s="13" t="s">
        <v>758</v>
      </c>
      <c r="D345" s="13" t="n">
        <v>50</v>
      </c>
      <c r="E345" s="13" t="s">
        <v>83</v>
      </c>
      <c r="F345" s="13" t="s">
        <v>33</v>
      </c>
      <c r="G345" s="13" t="s">
        <v>95</v>
      </c>
      <c r="H345" s="13" t="s">
        <v>41</v>
      </c>
      <c r="I345" s="13" t="n">
        <v>5</v>
      </c>
      <c r="J345" s="13" t="n">
        <v>1</v>
      </c>
      <c r="K345" s="13" t="s">
        <v>91</v>
      </c>
      <c r="L345" s="13" t="n">
        <v>4</v>
      </c>
      <c r="M345" s="13" t="n">
        <v>1521440.86</v>
      </c>
      <c r="N345" s="13" t="n">
        <v>380360.215</v>
      </c>
      <c r="O345" s="13" t="n">
        <v>1227.17</v>
      </c>
      <c r="P345" s="13" t="n">
        <v>1</v>
      </c>
      <c r="Q345" s="13" t="n">
        <v>3</v>
      </c>
      <c r="R345" s="13" t="s">
        <v>86</v>
      </c>
      <c r="S345" s="13" t="s">
        <v>215</v>
      </c>
      <c r="T345" s="13" t="n">
        <v>1</v>
      </c>
      <c r="U345" s="13" t="n">
        <f aca="false">IF(B345="Individual",1,0)</f>
        <v>1</v>
      </c>
      <c r="V345" s="13" t="n">
        <f aca="false">IF(B345="Company",1,0)</f>
        <v>0</v>
      </c>
      <c r="W345" s="13" t="n">
        <f aca="false">IF(H345="Home",1,0)</f>
        <v>1</v>
      </c>
      <c r="X345" s="13" t="n">
        <f aca="false">IF(H345="Investment",1,0)</f>
        <v>0</v>
      </c>
      <c r="Y345" s="13" t="n">
        <f aca="false">IF(K345="Website",1,0)</f>
        <v>0</v>
      </c>
      <c r="Z345" s="13" t="n">
        <f aca="false">IF(K345="Agency",1,0)</f>
        <v>1</v>
      </c>
      <c r="AA345" s="13" t="n">
        <f aca="false">IF(K345="Client",1,0)</f>
        <v>0</v>
      </c>
      <c r="AB345" s="13" t="n">
        <f aca="false">(D345-AVERAGE(D$2:D$2001))/STDEV(D$2:D$2001)</f>
        <v>-0.238549578354482</v>
      </c>
      <c r="AC345" s="13" t="n">
        <f aca="false">(I345-AVERAGE(I$2:I$2001))/STDEV(I$2:I$2001)</f>
        <v>1.39434968409451</v>
      </c>
      <c r="AD345" s="13" t="n">
        <f aca="false">(L345-AVERAGE(L$2:L$2001))/STDEV(L$2:L$2001)</f>
        <v>0.413838214490712</v>
      </c>
      <c r="AE345" s="13" t="n">
        <f aca="false">(M345-AVERAGE(M$2:M$2001))/STDEV(M$2:M$2001)</f>
        <v>0.750553087978874</v>
      </c>
      <c r="AF345" s="13" t="n">
        <f aca="false">(N345-AVERAGE(N$2:N$2001))/STDEV(N$2:N$2001)</f>
        <v>0.477185739919878</v>
      </c>
      <c r="AG345" s="13" t="n">
        <f aca="false">(O345-AVERAGE(O$2:O$2001))/STDEV(O$2:O$2001)</f>
        <v>0.362356286851948</v>
      </c>
      <c r="AH345" s="0" t="str">
        <f aca="false">IF(B345="Company","C3 - Corporate Buyers",IF(AND(H345="Investment",M345&gt;'Segmentation Summary'!$C$1),"C1 - Global Investors",IF(AND(I345&gt;=4,M345&gt;'Segmentation Summary'!$C$1),"C4 - Luxury Investors",IF(AND(D345&lt;'Segmentation Summary'!$C$2,J345=1),"C2 - First-Time Buyers","C5 - Other Individual Buyers"))))</f>
        <v>C4 - Luxury Investors</v>
      </c>
    </row>
    <row r="346" customFormat="false" ht="15" hidden="false" customHeight="true" outlineLevel="0" collapsed="false">
      <c r="A346" s="13" t="s">
        <v>759</v>
      </c>
      <c r="B346" s="13" t="s">
        <v>34</v>
      </c>
      <c r="C346" s="13" t="s">
        <v>760</v>
      </c>
      <c r="D346" s="13" t="n">
        <v>52</v>
      </c>
      <c r="E346" s="13" t="s">
        <v>83</v>
      </c>
      <c r="F346" s="13" t="s">
        <v>33</v>
      </c>
      <c r="G346" s="13" t="s">
        <v>162</v>
      </c>
      <c r="H346" s="13" t="s">
        <v>41</v>
      </c>
      <c r="I346" s="13" t="n">
        <v>2</v>
      </c>
      <c r="J346" s="13" t="n">
        <v>1</v>
      </c>
      <c r="K346" s="13" t="s">
        <v>116</v>
      </c>
      <c r="L346" s="13" t="n">
        <v>4</v>
      </c>
      <c r="M346" s="13" t="n">
        <v>1327594.64</v>
      </c>
      <c r="N346" s="13" t="n">
        <v>331898.66</v>
      </c>
      <c r="O346" s="13" t="n">
        <v>1064.2625</v>
      </c>
      <c r="P346" s="13" t="n">
        <v>0</v>
      </c>
      <c r="Q346" s="13" t="n">
        <v>4</v>
      </c>
      <c r="R346" s="13" t="s">
        <v>92</v>
      </c>
      <c r="S346" s="13" t="s">
        <v>112</v>
      </c>
      <c r="T346" s="13" t="n">
        <v>1</v>
      </c>
      <c r="U346" s="13" t="n">
        <f aca="false">IF(B346="Individual",1,0)</f>
        <v>1</v>
      </c>
      <c r="V346" s="13" t="n">
        <f aca="false">IF(B346="Company",1,0)</f>
        <v>0</v>
      </c>
      <c r="W346" s="13" t="n">
        <f aca="false">IF(H346="Home",1,0)</f>
        <v>1</v>
      </c>
      <c r="X346" s="13" t="n">
        <f aca="false">IF(H346="Investment",1,0)</f>
        <v>0</v>
      </c>
      <c r="Y346" s="13" t="n">
        <f aca="false">IF(K346="Website",1,0)</f>
        <v>0</v>
      </c>
      <c r="Z346" s="13" t="n">
        <f aca="false">IF(K346="Agency",1,0)</f>
        <v>0</v>
      </c>
      <c r="AA346" s="13" t="n">
        <f aca="false">IF(K346="Client",1,0)</f>
        <v>1</v>
      </c>
      <c r="AB346" s="13" t="n">
        <f aca="false">(D346-AVERAGE(D$2:D$2001))/STDEV(D$2:D$2001)</f>
        <v>-0.123224667378179</v>
      </c>
      <c r="AC346" s="13" t="n">
        <f aca="false">(I346-AVERAGE(I$2:I$2001))/STDEV(I$2:I$2001)</f>
        <v>-0.727948160798201</v>
      </c>
      <c r="AD346" s="13" t="n">
        <f aca="false">(L346-AVERAGE(L$2:L$2001))/STDEV(L$2:L$2001)</f>
        <v>0.413838214490712</v>
      </c>
      <c r="AE346" s="13" t="n">
        <f aca="false">(M346-AVERAGE(M$2:M$2001))/STDEV(M$2:M$2001)</f>
        <v>0.19325254032258</v>
      </c>
      <c r="AF346" s="13" t="n">
        <f aca="false">(N346-AVERAGE(N$2:N$2001))/STDEV(N$2:N$2001)</f>
        <v>-0.217884379293169</v>
      </c>
      <c r="AG346" s="13" t="n">
        <f aca="false">(O346-AVERAGE(O$2:O$2001))/STDEV(O$2:O$2001)</f>
        <v>-0.378393002486181</v>
      </c>
      <c r="AH346" s="0" t="str">
        <f aca="false">IF(B346="Company","C3 - Corporate Buyers",IF(AND(H346="Investment",M346&gt;'Segmentation Summary'!$C$1),"C1 - Global Investors",IF(AND(I346&gt;=4,M346&gt;'Segmentation Summary'!$C$1),"C4 - Luxury Investors",IF(AND(D346&lt;'Segmentation Summary'!$C$2,J346=1),"C2 - First-Time Buyers","C5 - Other Individual Buyers"))))</f>
        <v>C2 - First-Time Buyers</v>
      </c>
    </row>
    <row r="347" customFormat="false" ht="15" hidden="false" customHeight="true" outlineLevel="0" collapsed="false">
      <c r="A347" s="13" t="s">
        <v>761</v>
      </c>
      <c r="B347" s="13" t="s">
        <v>34</v>
      </c>
      <c r="C347" s="13" t="s">
        <v>762</v>
      </c>
      <c r="D347" s="13" t="n">
        <v>27</v>
      </c>
      <c r="E347" s="13" t="s">
        <v>83</v>
      </c>
      <c r="F347" s="13" t="s">
        <v>35</v>
      </c>
      <c r="G347" s="13" t="s">
        <v>137</v>
      </c>
      <c r="H347" s="13" t="s">
        <v>43</v>
      </c>
      <c r="I347" s="13" t="n">
        <v>4</v>
      </c>
      <c r="J347" s="13" t="n">
        <v>1</v>
      </c>
      <c r="K347" s="13" t="s">
        <v>85</v>
      </c>
      <c r="L347" s="13" t="n">
        <v>4</v>
      </c>
      <c r="M347" s="13" t="n">
        <v>1792447.27</v>
      </c>
      <c r="N347" s="13" t="n">
        <v>448111.8175</v>
      </c>
      <c r="O347" s="13" t="n">
        <v>1338.9</v>
      </c>
      <c r="P347" s="13" t="n">
        <v>1</v>
      </c>
      <c r="Q347" s="13" t="n">
        <v>3</v>
      </c>
      <c r="R347" s="13" t="s">
        <v>92</v>
      </c>
      <c r="S347" s="13" t="s">
        <v>133</v>
      </c>
      <c r="T347" s="13" t="n">
        <v>1</v>
      </c>
      <c r="U347" s="13" t="n">
        <f aca="false">IF(B347="Individual",1,0)</f>
        <v>1</v>
      </c>
      <c r="V347" s="13" t="n">
        <f aca="false">IF(B347="Company",1,0)</f>
        <v>0</v>
      </c>
      <c r="W347" s="13" t="n">
        <f aca="false">IF(H347="Home",1,0)</f>
        <v>0</v>
      </c>
      <c r="X347" s="13" t="n">
        <f aca="false">IF(H347="Investment",1,0)</f>
        <v>1</v>
      </c>
      <c r="Y347" s="13" t="n">
        <f aca="false">IF(K347="Website",1,0)</f>
        <v>1</v>
      </c>
      <c r="Z347" s="13" t="n">
        <f aca="false">IF(K347="Agency",1,0)</f>
        <v>0</v>
      </c>
      <c r="AA347" s="13" t="n">
        <f aca="false">IF(K347="Client",1,0)</f>
        <v>0</v>
      </c>
      <c r="AB347" s="13" t="n">
        <f aca="false">(D347-AVERAGE(D$2:D$2001))/STDEV(D$2:D$2001)</f>
        <v>-1.56478605458196</v>
      </c>
      <c r="AC347" s="13" t="n">
        <f aca="false">(I347-AVERAGE(I$2:I$2001))/STDEV(I$2:I$2001)</f>
        <v>0.686917069130275</v>
      </c>
      <c r="AD347" s="13" t="n">
        <f aca="false">(L347-AVERAGE(L$2:L$2001))/STDEV(L$2:L$2001)</f>
        <v>0.413838214490712</v>
      </c>
      <c r="AE347" s="13" t="n">
        <f aca="false">(M347-AVERAGE(M$2:M$2001))/STDEV(M$2:M$2001)</f>
        <v>1.5296862622619</v>
      </c>
      <c r="AF347" s="13" t="n">
        <f aca="false">(N347-AVERAGE(N$2:N$2001))/STDEV(N$2:N$2001)</f>
        <v>1.4489274520162</v>
      </c>
      <c r="AG347" s="13" t="n">
        <f aca="false">(O347-AVERAGE(O$2:O$2001))/STDEV(O$2:O$2001)</f>
        <v>0.87039869188394</v>
      </c>
      <c r="AH347" s="0" t="str">
        <f aca="false">IF(B347="Company","C3 - Corporate Buyers",IF(AND(H347="Investment",M347&gt;'Segmentation Summary'!$C$1),"C1 - Global Investors",IF(AND(I347&gt;=4,M347&gt;'Segmentation Summary'!$C$1),"C4 - Luxury Investors",IF(AND(D347&lt;'Segmentation Summary'!$C$2,J347=1),"C2 - First-Time Buyers","C5 - Other Individual Buyers"))))</f>
        <v>C1 - Global Investors</v>
      </c>
    </row>
    <row r="348" customFormat="false" ht="15" hidden="false" customHeight="true" outlineLevel="0" collapsed="false">
      <c r="A348" s="13" t="s">
        <v>763</v>
      </c>
      <c r="B348" s="13" t="s">
        <v>34</v>
      </c>
      <c r="C348" s="13" t="s">
        <v>764</v>
      </c>
      <c r="D348" s="13" t="n">
        <v>80</v>
      </c>
      <c r="E348" s="13" t="s">
        <v>83</v>
      </c>
      <c r="F348" s="13" t="s">
        <v>33</v>
      </c>
      <c r="G348" s="13" t="s">
        <v>162</v>
      </c>
      <c r="H348" s="13" t="s">
        <v>43</v>
      </c>
      <c r="I348" s="13" t="n">
        <v>4</v>
      </c>
      <c r="J348" s="13" t="n">
        <v>0</v>
      </c>
      <c r="K348" s="13" t="s">
        <v>85</v>
      </c>
      <c r="L348" s="13" t="n">
        <v>4</v>
      </c>
      <c r="M348" s="13" t="n">
        <v>1489578.01</v>
      </c>
      <c r="N348" s="13" t="n">
        <v>372394.5025</v>
      </c>
      <c r="O348" s="13" t="n">
        <v>1239.145</v>
      </c>
      <c r="P348" s="13" t="n">
        <v>1</v>
      </c>
      <c r="Q348" s="13" t="n">
        <v>3</v>
      </c>
      <c r="R348" s="13" t="s">
        <v>111</v>
      </c>
      <c r="S348" s="13" t="s">
        <v>107</v>
      </c>
      <c r="T348" s="13" t="n">
        <v>1</v>
      </c>
      <c r="U348" s="13" t="n">
        <f aca="false">IF(B348="Individual",1,0)</f>
        <v>1</v>
      </c>
      <c r="V348" s="13" t="n">
        <f aca="false">IF(B348="Company",1,0)</f>
        <v>0</v>
      </c>
      <c r="W348" s="13" t="n">
        <f aca="false">IF(H348="Home",1,0)</f>
        <v>0</v>
      </c>
      <c r="X348" s="13" t="n">
        <f aca="false">IF(H348="Investment",1,0)</f>
        <v>1</v>
      </c>
      <c r="Y348" s="13" t="n">
        <f aca="false">IF(K348="Website",1,0)</f>
        <v>1</v>
      </c>
      <c r="Z348" s="13" t="n">
        <f aca="false">IF(K348="Agency",1,0)</f>
        <v>0</v>
      </c>
      <c r="AA348" s="13" t="n">
        <f aca="false">IF(K348="Client",1,0)</f>
        <v>0</v>
      </c>
      <c r="AB348" s="13" t="n">
        <f aca="false">(D348-AVERAGE(D$2:D$2001))/STDEV(D$2:D$2001)</f>
        <v>1.49132408629005</v>
      </c>
      <c r="AC348" s="13" t="n">
        <f aca="false">(I348-AVERAGE(I$2:I$2001))/STDEV(I$2:I$2001)</f>
        <v>0.686917069130275</v>
      </c>
      <c r="AD348" s="13" t="n">
        <f aca="false">(L348-AVERAGE(L$2:L$2001))/STDEV(L$2:L$2001)</f>
        <v>0.413838214490712</v>
      </c>
      <c r="AE348" s="13" t="n">
        <f aca="false">(M348-AVERAGE(M$2:M$2001))/STDEV(M$2:M$2001)</f>
        <v>0.658948599870257</v>
      </c>
      <c r="AF348" s="13" t="n">
        <f aca="false">(N348-AVERAGE(N$2:N$2001))/STDEV(N$2:N$2001)</f>
        <v>0.362935820845018</v>
      </c>
      <c r="AG348" s="13" t="n">
        <f aca="false">(O348-AVERAGE(O$2:O$2001))/STDEV(O$2:O$2001)</f>
        <v>0.416807265105399</v>
      </c>
      <c r="AH348" s="0" t="str">
        <f aca="false">IF(B348="Company","C3 - Corporate Buyers",IF(AND(H348="Investment",M348&gt;'Segmentation Summary'!$C$1),"C1 - Global Investors",IF(AND(I348&gt;=4,M348&gt;'Segmentation Summary'!$C$1),"C4 - Luxury Investors",IF(AND(D348&lt;'Segmentation Summary'!$C$2,J348=1),"C2 - First-Time Buyers","C5 - Other Individual Buyers"))))</f>
        <v>C1 - Global Investors</v>
      </c>
    </row>
    <row r="349" customFormat="false" ht="15" hidden="false" customHeight="true" outlineLevel="0" collapsed="false">
      <c r="A349" s="13" t="s">
        <v>765</v>
      </c>
      <c r="B349" s="13" t="s">
        <v>34</v>
      </c>
      <c r="C349" s="13" t="s">
        <v>766</v>
      </c>
      <c r="D349" s="13" t="n">
        <v>68</v>
      </c>
      <c r="E349" s="13" t="s">
        <v>83</v>
      </c>
      <c r="F349" s="13" t="s">
        <v>33</v>
      </c>
      <c r="G349" s="13" t="s">
        <v>95</v>
      </c>
      <c r="H349" s="13" t="s">
        <v>41</v>
      </c>
      <c r="I349" s="13" t="n">
        <v>3</v>
      </c>
      <c r="J349" s="13" t="n">
        <v>0</v>
      </c>
      <c r="K349" s="13" t="s">
        <v>85</v>
      </c>
      <c r="L349" s="13" t="n">
        <v>3</v>
      </c>
      <c r="M349" s="13" t="n">
        <v>832665.62</v>
      </c>
      <c r="N349" s="13" t="n">
        <v>277555.206666667</v>
      </c>
      <c r="O349" s="13" t="n">
        <v>862.106666666667</v>
      </c>
      <c r="P349" s="13" t="n">
        <v>0</v>
      </c>
      <c r="Q349" s="13" t="n">
        <v>3</v>
      </c>
      <c r="R349" s="13" t="s">
        <v>92</v>
      </c>
      <c r="S349" s="13" t="s">
        <v>87</v>
      </c>
      <c r="T349" s="13" t="n">
        <v>1</v>
      </c>
      <c r="U349" s="13" t="n">
        <f aca="false">IF(B349="Individual",1,0)</f>
        <v>1</v>
      </c>
      <c r="V349" s="13" t="n">
        <f aca="false">IF(B349="Company",1,0)</f>
        <v>0</v>
      </c>
      <c r="W349" s="13" t="n">
        <f aca="false">IF(H349="Home",1,0)</f>
        <v>1</v>
      </c>
      <c r="X349" s="13" t="n">
        <f aca="false">IF(H349="Investment",1,0)</f>
        <v>0</v>
      </c>
      <c r="Y349" s="13" t="n">
        <f aca="false">IF(K349="Website",1,0)</f>
        <v>1</v>
      </c>
      <c r="Z349" s="13" t="n">
        <f aca="false">IF(K349="Agency",1,0)</f>
        <v>0</v>
      </c>
      <c r="AA349" s="13" t="n">
        <f aca="false">IF(K349="Client",1,0)</f>
        <v>0</v>
      </c>
      <c r="AB349" s="13" t="n">
        <f aca="false">(D349-AVERAGE(D$2:D$2001))/STDEV(D$2:D$2001)</f>
        <v>0.79937462043224</v>
      </c>
      <c r="AC349" s="13" t="n">
        <f aca="false">(I349-AVERAGE(I$2:I$2001))/STDEV(I$2:I$2001)</f>
        <v>-0.0205155458339628</v>
      </c>
      <c r="AD349" s="13" t="n">
        <f aca="false">(L349-AVERAGE(L$2:L$2001))/STDEV(L$2:L$2001)</f>
        <v>-0.777063122173208</v>
      </c>
      <c r="AE349" s="13" t="n">
        <f aca="false">(M349-AVERAGE(M$2:M$2001))/STDEV(M$2:M$2001)</f>
        <v>-1.22964966482227</v>
      </c>
      <c r="AF349" s="13" t="n">
        <f aca="false">(N349-AVERAGE(N$2:N$2001))/STDEV(N$2:N$2001)</f>
        <v>-0.997316871437681</v>
      </c>
      <c r="AG349" s="13" t="n">
        <f aca="false">(O349-AVERAGE(O$2:O$2001))/STDEV(O$2:O$2001)</f>
        <v>-1.29760660454394</v>
      </c>
      <c r="AH349" s="0" t="str">
        <f aca="false">IF(B349="Company","C3 - Corporate Buyers",IF(AND(H349="Investment",M349&gt;'Segmentation Summary'!$C$1),"C1 - Global Investors",IF(AND(I349&gt;=4,M349&gt;'Segmentation Summary'!$C$1),"C4 - Luxury Investors",IF(AND(D349&lt;'Segmentation Summary'!$C$2,J349=1),"C2 - First-Time Buyers","C5 - Other Individual Buyers"))))</f>
        <v>C5 - Other Individual Buyers</v>
      </c>
    </row>
    <row r="350" customFormat="false" ht="15" hidden="false" customHeight="true" outlineLevel="0" collapsed="false">
      <c r="A350" s="13" t="s">
        <v>767</v>
      </c>
      <c r="B350" s="13" t="s">
        <v>34</v>
      </c>
      <c r="C350" s="13" t="s">
        <v>768</v>
      </c>
      <c r="D350" s="13" t="n">
        <v>62</v>
      </c>
      <c r="E350" s="13" t="s">
        <v>83</v>
      </c>
      <c r="F350" s="13" t="s">
        <v>33</v>
      </c>
      <c r="G350" s="13" t="s">
        <v>162</v>
      </c>
      <c r="H350" s="13" t="s">
        <v>43</v>
      </c>
      <c r="I350" s="13" t="n">
        <v>5</v>
      </c>
      <c r="J350" s="13" t="n">
        <v>0</v>
      </c>
      <c r="K350" s="13" t="s">
        <v>91</v>
      </c>
      <c r="L350" s="13" t="n">
        <v>3</v>
      </c>
      <c r="M350" s="13" t="n">
        <v>951259.9</v>
      </c>
      <c r="N350" s="13" t="n">
        <v>317086.633333333</v>
      </c>
      <c r="O350" s="13" t="n">
        <v>1164.97666666667</v>
      </c>
      <c r="P350" s="13" t="n">
        <v>0</v>
      </c>
      <c r="Q350" s="13" t="n">
        <v>3</v>
      </c>
      <c r="R350" s="13" t="s">
        <v>124</v>
      </c>
      <c r="S350" s="13" t="s">
        <v>135</v>
      </c>
      <c r="T350" s="13" t="n">
        <v>1</v>
      </c>
      <c r="U350" s="13" t="n">
        <f aca="false">IF(B350="Individual",1,0)</f>
        <v>1</v>
      </c>
      <c r="V350" s="13" t="n">
        <f aca="false">IF(B350="Company",1,0)</f>
        <v>0</v>
      </c>
      <c r="W350" s="13" t="n">
        <f aca="false">IF(H350="Home",1,0)</f>
        <v>0</v>
      </c>
      <c r="X350" s="13" t="n">
        <f aca="false">IF(H350="Investment",1,0)</f>
        <v>1</v>
      </c>
      <c r="Y350" s="13" t="n">
        <f aca="false">IF(K350="Website",1,0)</f>
        <v>0</v>
      </c>
      <c r="Z350" s="13" t="n">
        <f aca="false">IF(K350="Agency",1,0)</f>
        <v>1</v>
      </c>
      <c r="AA350" s="13" t="n">
        <f aca="false">IF(K350="Client",1,0)</f>
        <v>0</v>
      </c>
      <c r="AB350" s="13" t="n">
        <f aca="false">(D350-AVERAGE(D$2:D$2001))/STDEV(D$2:D$2001)</f>
        <v>0.453399887503333</v>
      </c>
      <c r="AC350" s="13" t="n">
        <f aca="false">(I350-AVERAGE(I$2:I$2001))/STDEV(I$2:I$2001)</f>
        <v>1.39434968409451</v>
      </c>
      <c r="AD350" s="13" t="n">
        <f aca="false">(L350-AVERAGE(L$2:L$2001))/STDEV(L$2:L$2001)</f>
        <v>-0.777063122173208</v>
      </c>
      <c r="AE350" s="13" t="n">
        <f aca="false">(M350-AVERAGE(M$2:M$2001))/STDEV(M$2:M$2001)</f>
        <v>-0.888695597247959</v>
      </c>
      <c r="AF350" s="13" t="n">
        <f aca="false">(N350-AVERAGE(N$2:N$2001))/STDEV(N$2:N$2001)</f>
        <v>-0.430329009701479</v>
      </c>
      <c r="AG350" s="13" t="n">
        <f aca="false">(O350-AVERAGE(O$2:O$2001))/STDEV(O$2:O$2001)</f>
        <v>0.0795598074496272</v>
      </c>
      <c r="AH350" s="0" t="str">
        <f aca="false">IF(B350="Company","C3 - Corporate Buyers",IF(AND(H350="Investment",M350&gt;'Segmentation Summary'!$C$1),"C1 - Global Investors",IF(AND(I350&gt;=4,M350&gt;'Segmentation Summary'!$C$1),"C4 - Luxury Investors",IF(AND(D350&lt;'Segmentation Summary'!$C$2,J350=1),"C2 - First-Time Buyers","C5 - Other Individual Buyers"))))</f>
        <v>C5 - Other Individual Buyers</v>
      </c>
    </row>
    <row r="351" customFormat="false" ht="15" hidden="false" customHeight="true" outlineLevel="0" collapsed="false">
      <c r="A351" s="13" t="s">
        <v>769</v>
      </c>
      <c r="B351" s="13" t="s">
        <v>34</v>
      </c>
      <c r="C351" s="13" t="s">
        <v>768</v>
      </c>
      <c r="D351" s="13" t="n">
        <v>50</v>
      </c>
      <c r="E351" s="13" t="s">
        <v>83</v>
      </c>
      <c r="F351" s="13" t="s">
        <v>35</v>
      </c>
      <c r="G351" s="13" t="s">
        <v>267</v>
      </c>
      <c r="H351" s="13" t="s">
        <v>41</v>
      </c>
      <c r="I351" s="13" t="n">
        <v>2</v>
      </c>
      <c r="J351" s="13" t="n">
        <v>1</v>
      </c>
      <c r="K351" s="13" t="s">
        <v>85</v>
      </c>
      <c r="L351" s="13" t="n">
        <v>4</v>
      </c>
      <c r="M351" s="13" t="n">
        <v>1681311.67</v>
      </c>
      <c r="N351" s="13" t="n">
        <v>420327.9175</v>
      </c>
      <c r="O351" s="13" t="n">
        <v>1271.345</v>
      </c>
      <c r="P351" s="13" t="n">
        <v>0</v>
      </c>
      <c r="Q351" s="13" t="n">
        <v>4</v>
      </c>
      <c r="R351" s="13" t="s">
        <v>101</v>
      </c>
      <c r="S351" s="13" t="s">
        <v>112</v>
      </c>
      <c r="T351" s="13" t="n">
        <v>1</v>
      </c>
      <c r="U351" s="13" t="n">
        <f aca="false">IF(B351="Individual",1,0)</f>
        <v>1</v>
      </c>
      <c r="V351" s="13" t="n">
        <f aca="false">IF(B351="Company",1,0)</f>
        <v>0</v>
      </c>
      <c r="W351" s="13" t="n">
        <f aca="false">IF(H351="Home",1,0)</f>
        <v>1</v>
      </c>
      <c r="X351" s="13" t="n">
        <f aca="false">IF(H351="Investment",1,0)</f>
        <v>0</v>
      </c>
      <c r="Y351" s="13" t="n">
        <f aca="false">IF(K351="Website",1,0)</f>
        <v>1</v>
      </c>
      <c r="Z351" s="13" t="n">
        <f aca="false">IF(K351="Agency",1,0)</f>
        <v>0</v>
      </c>
      <c r="AA351" s="13" t="n">
        <f aca="false">IF(K351="Client",1,0)</f>
        <v>0</v>
      </c>
      <c r="AB351" s="13" t="n">
        <f aca="false">(D351-AVERAGE(D$2:D$2001))/STDEV(D$2:D$2001)</f>
        <v>-0.238549578354482</v>
      </c>
      <c r="AC351" s="13" t="n">
        <f aca="false">(I351-AVERAGE(I$2:I$2001))/STDEV(I$2:I$2001)</f>
        <v>-0.727948160798201</v>
      </c>
      <c r="AD351" s="13" t="n">
        <f aca="false">(L351-AVERAGE(L$2:L$2001))/STDEV(L$2:L$2001)</f>
        <v>0.413838214490712</v>
      </c>
      <c r="AE351" s="13" t="n">
        <f aca="false">(M351-AVERAGE(M$2:M$2001))/STDEV(M$2:M$2001)</f>
        <v>1.21017561746258</v>
      </c>
      <c r="AF351" s="13" t="n">
        <f aca="false">(N351-AVERAGE(N$2:N$2001))/STDEV(N$2:N$2001)</f>
        <v>1.05043098022111</v>
      </c>
      <c r="AG351" s="13" t="n">
        <f aca="false">(O351-AVERAGE(O$2:O$2001))/STDEV(O$2:O$2001)</f>
        <v>0.563222421661652</v>
      </c>
      <c r="AH351" s="0" t="str">
        <f aca="false">IF(B351="Company","C3 - Corporate Buyers",IF(AND(H351="Investment",M351&gt;'Segmentation Summary'!$C$1),"C1 - Global Investors",IF(AND(I351&gt;=4,M351&gt;'Segmentation Summary'!$C$1),"C4 - Luxury Investors",IF(AND(D351&lt;'Segmentation Summary'!$C$2,J351=1),"C2 - First-Time Buyers","C5 - Other Individual Buyers"))))</f>
        <v>C2 - First-Time Buyers</v>
      </c>
    </row>
    <row r="352" customFormat="false" ht="15" hidden="false" customHeight="true" outlineLevel="0" collapsed="false">
      <c r="A352" s="13" t="s">
        <v>770</v>
      </c>
      <c r="B352" s="13" t="s">
        <v>34</v>
      </c>
      <c r="C352" s="13" t="s">
        <v>771</v>
      </c>
      <c r="D352" s="13" t="n">
        <v>49</v>
      </c>
      <c r="E352" s="13" t="s">
        <v>83</v>
      </c>
      <c r="F352" s="13" t="s">
        <v>42</v>
      </c>
      <c r="G352" s="13" t="s">
        <v>288</v>
      </c>
      <c r="H352" s="13" t="s">
        <v>41</v>
      </c>
      <c r="I352" s="13" t="n">
        <v>5</v>
      </c>
      <c r="J352" s="13" t="n">
        <v>1</v>
      </c>
      <c r="K352" s="13" t="s">
        <v>91</v>
      </c>
      <c r="L352" s="13" t="n">
        <v>4</v>
      </c>
      <c r="M352" s="13" t="n">
        <v>1107744.96</v>
      </c>
      <c r="N352" s="13" t="n">
        <v>276936.24</v>
      </c>
      <c r="O352" s="13" t="n">
        <v>984.6475</v>
      </c>
      <c r="P352" s="13" t="n">
        <v>0</v>
      </c>
      <c r="Q352" s="13" t="n">
        <v>4</v>
      </c>
      <c r="R352" s="13" t="s">
        <v>92</v>
      </c>
      <c r="S352" s="13" t="s">
        <v>93</v>
      </c>
      <c r="T352" s="13" t="n">
        <v>1</v>
      </c>
      <c r="U352" s="13" t="n">
        <f aca="false">IF(B352="Individual",1,0)</f>
        <v>1</v>
      </c>
      <c r="V352" s="13" t="n">
        <f aca="false">IF(B352="Company",1,0)</f>
        <v>0</v>
      </c>
      <c r="W352" s="13" t="n">
        <f aca="false">IF(H352="Home",1,0)</f>
        <v>1</v>
      </c>
      <c r="X352" s="13" t="n">
        <f aca="false">IF(H352="Investment",1,0)</f>
        <v>0</v>
      </c>
      <c r="Y352" s="13" t="n">
        <f aca="false">IF(K352="Website",1,0)</f>
        <v>0</v>
      </c>
      <c r="Z352" s="13" t="n">
        <f aca="false">IF(K352="Agency",1,0)</f>
        <v>1</v>
      </c>
      <c r="AA352" s="13" t="n">
        <f aca="false">IF(K352="Client",1,0)</f>
        <v>0</v>
      </c>
      <c r="AB352" s="13" t="n">
        <f aca="false">(D352-AVERAGE(D$2:D$2001))/STDEV(D$2:D$2001)</f>
        <v>-0.296212033842633</v>
      </c>
      <c r="AC352" s="13" t="n">
        <f aca="false">(I352-AVERAGE(I$2:I$2001))/STDEV(I$2:I$2001)</f>
        <v>1.39434968409451</v>
      </c>
      <c r="AD352" s="13" t="n">
        <f aca="false">(L352-AVERAGE(L$2:L$2001))/STDEV(L$2:L$2001)</f>
        <v>0.413838214490712</v>
      </c>
      <c r="AE352" s="13" t="n">
        <f aca="false">(M352-AVERAGE(M$2:M$2001))/STDEV(M$2:M$2001)</f>
        <v>-0.438806970902663</v>
      </c>
      <c r="AF352" s="13" t="n">
        <f aca="false">(N352-AVERAGE(N$2:N$2001))/STDEV(N$2:N$2001)</f>
        <v>-1.00619453198302</v>
      </c>
      <c r="AG352" s="13" t="n">
        <f aca="false">(O352-AVERAGE(O$2:O$2001))/STDEV(O$2:O$2001)</f>
        <v>-0.740406750598792</v>
      </c>
      <c r="AH352" s="0" t="str">
        <f aca="false">IF(B352="Company","C3 - Corporate Buyers",IF(AND(H352="Investment",M352&gt;'Segmentation Summary'!$C$1),"C1 - Global Investors",IF(AND(I352&gt;=4,M352&gt;'Segmentation Summary'!$C$1),"C4 - Luxury Investors",IF(AND(D352&lt;'Segmentation Summary'!$C$2,J352=1),"C2 - First-Time Buyers","C5 - Other Individual Buyers"))))</f>
        <v>C2 - First-Time Buyers</v>
      </c>
    </row>
    <row r="353" customFormat="false" ht="15" hidden="false" customHeight="true" outlineLevel="0" collapsed="false">
      <c r="A353" s="13" t="s">
        <v>772</v>
      </c>
      <c r="B353" s="13" t="s">
        <v>34</v>
      </c>
      <c r="C353" s="13" t="s">
        <v>773</v>
      </c>
      <c r="D353" s="13" t="n">
        <v>79</v>
      </c>
      <c r="E353" s="13" t="s">
        <v>83</v>
      </c>
      <c r="F353" s="13" t="s">
        <v>33</v>
      </c>
      <c r="G353" s="13" t="s">
        <v>95</v>
      </c>
      <c r="H353" s="13" t="s">
        <v>41</v>
      </c>
      <c r="I353" s="13" t="n">
        <v>5</v>
      </c>
      <c r="J353" s="13" t="n">
        <v>1</v>
      </c>
      <c r="K353" s="13" t="s">
        <v>85</v>
      </c>
      <c r="L353" s="13" t="n">
        <v>3</v>
      </c>
      <c r="M353" s="13" t="n">
        <v>695434.77</v>
      </c>
      <c r="N353" s="13" t="n">
        <v>231811.59</v>
      </c>
      <c r="O353" s="13" t="n">
        <v>883.746666666667</v>
      </c>
      <c r="P353" s="13" t="n">
        <v>1</v>
      </c>
      <c r="Q353" s="13" t="n">
        <v>2</v>
      </c>
      <c r="R353" s="13" t="s">
        <v>92</v>
      </c>
      <c r="S353" s="13" t="s">
        <v>87</v>
      </c>
      <c r="T353" s="13" t="n">
        <v>1</v>
      </c>
      <c r="U353" s="13" t="n">
        <f aca="false">IF(B353="Individual",1,0)</f>
        <v>1</v>
      </c>
      <c r="V353" s="13" t="n">
        <f aca="false">IF(B353="Company",1,0)</f>
        <v>0</v>
      </c>
      <c r="W353" s="13" t="n">
        <f aca="false">IF(H353="Home",1,0)</f>
        <v>1</v>
      </c>
      <c r="X353" s="13" t="n">
        <f aca="false">IF(H353="Investment",1,0)</f>
        <v>0</v>
      </c>
      <c r="Y353" s="13" t="n">
        <f aca="false">IF(K353="Website",1,0)</f>
        <v>1</v>
      </c>
      <c r="Z353" s="13" t="n">
        <f aca="false">IF(K353="Agency",1,0)</f>
        <v>0</v>
      </c>
      <c r="AA353" s="13" t="n">
        <f aca="false">IF(K353="Client",1,0)</f>
        <v>0</v>
      </c>
      <c r="AB353" s="13" t="n">
        <f aca="false">(D353-AVERAGE(D$2:D$2001))/STDEV(D$2:D$2001)</f>
        <v>1.4336616308019</v>
      </c>
      <c r="AC353" s="13" t="n">
        <f aca="false">(I353-AVERAGE(I$2:I$2001))/STDEV(I$2:I$2001)</f>
        <v>1.39434968409451</v>
      </c>
      <c r="AD353" s="13" t="n">
        <f aca="false">(L353-AVERAGE(L$2:L$2001))/STDEV(L$2:L$2001)</f>
        <v>-0.777063122173208</v>
      </c>
      <c r="AE353" s="13" t="n">
        <f aca="false">(M353-AVERAGE(M$2:M$2001))/STDEV(M$2:M$2001)</f>
        <v>-1.62418316596734</v>
      </c>
      <c r="AF353" s="13" t="n">
        <f aca="false">(N353-AVERAGE(N$2:N$2001))/STDEV(N$2:N$2001)</f>
        <v>-1.65340438430713</v>
      </c>
      <c r="AG353" s="13" t="n">
        <f aca="false">(O353-AVERAGE(O$2:O$2001))/STDEV(O$2:O$2001)</f>
        <v>-1.19920834405085</v>
      </c>
      <c r="AH353" s="0" t="str">
        <f aca="false">IF(B353="Company","C3 - Corporate Buyers",IF(AND(H353="Investment",M353&gt;'Segmentation Summary'!$C$1),"C1 - Global Investors",IF(AND(I353&gt;=4,M353&gt;'Segmentation Summary'!$C$1),"C4 - Luxury Investors",IF(AND(D353&lt;'Segmentation Summary'!$C$2,J353=1),"C2 - First-Time Buyers","C5 - Other Individual Buyers"))))</f>
        <v>C5 - Other Individual Buyers</v>
      </c>
    </row>
    <row r="354" customFormat="false" ht="15" hidden="false" customHeight="true" outlineLevel="0" collapsed="false">
      <c r="A354" s="13" t="s">
        <v>774</v>
      </c>
      <c r="B354" s="13" t="s">
        <v>34</v>
      </c>
      <c r="C354" s="13" t="s">
        <v>775</v>
      </c>
      <c r="D354" s="13" t="n">
        <v>62</v>
      </c>
      <c r="E354" s="13" t="s">
        <v>83</v>
      </c>
      <c r="F354" s="13" t="s">
        <v>33</v>
      </c>
      <c r="G354" s="13" t="s">
        <v>95</v>
      </c>
      <c r="H354" s="13" t="s">
        <v>41</v>
      </c>
      <c r="I354" s="13" t="n">
        <v>4</v>
      </c>
      <c r="J354" s="13" t="n">
        <v>0</v>
      </c>
      <c r="K354" s="13" t="s">
        <v>85</v>
      </c>
      <c r="L354" s="13" t="n">
        <v>4</v>
      </c>
      <c r="M354" s="13" t="n">
        <v>1412148.94</v>
      </c>
      <c r="N354" s="13" t="n">
        <v>353037.235</v>
      </c>
      <c r="O354" s="13" t="n">
        <v>1144.74</v>
      </c>
      <c r="P354" s="13" t="n">
        <v>1</v>
      </c>
      <c r="Q354" s="13" t="n">
        <v>3</v>
      </c>
      <c r="R354" s="13" t="s">
        <v>121</v>
      </c>
      <c r="S354" s="13" t="s">
        <v>125</v>
      </c>
      <c r="T354" s="13" t="n">
        <v>1</v>
      </c>
      <c r="U354" s="13" t="n">
        <f aca="false">IF(B354="Individual",1,0)</f>
        <v>1</v>
      </c>
      <c r="V354" s="13" t="n">
        <f aca="false">IF(B354="Company",1,0)</f>
        <v>0</v>
      </c>
      <c r="W354" s="13" t="n">
        <f aca="false">IF(H354="Home",1,0)</f>
        <v>1</v>
      </c>
      <c r="X354" s="13" t="n">
        <f aca="false">IF(H354="Investment",1,0)</f>
        <v>0</v>
      </c>
      <c r="Y354" s="13" t="n">
        <f aca="false">IF(K354="Website",1,0)</f>
        <v>1</v>
      </c>
      <c r="Z354" s="13" t="n">
        <f aca="false">IF(K354="Agency",1,0)</f>
        <v>0</v>
      </c>
      <c r="AA354" s="13" t="n">
        <f aca="false">IF(K354="Client",1,0)</f>
        <v>0</v>
      </c>
      <c r="AB354" s="13" t="n">
        <f aca="false">(D354-AVERAGE(D$2:D$2001))/STDEV(D$2:D$2001)</f>
        <v>0.453399887503333</v>
      </c>
      <c r="AC354" s="13" t="n">
        <f aca="false">(I354-AVERAGE(I$2:I$2001))/STDEV(I$2:I$2001)</f>
        <v>0.686917069130275</v>
      </c>
      <c r="AD354" s="13" t="n">
        <f aca="false">(L354-AVERAGE(L$2:L$2001))/STDEV(L$2:L$2001)</f>
        <v>0.413838214490712</v>
      </c>
      <c r="AE354" s="13" t="n">
        <f aca="false">(M354-AVERAGE(M$2:M$2001))/STDEV(M$2:M$2001)</f>
        <v>0.43634295341753</v>
      </c>
      <c r="AF354" s="13" t="n">
        <f aca="false">(N354-AVERAGE(N$2:N$2001))/STDEV(N$2:N$2001)</f>
        <v>0.0853001108711257</v>
      </c>
      <c r="AG354" s="13" t="n">
        <f aca="false">(O354-AVERAGE(O$2:O$2001))/STDEV(O$2:O$2001)</f>
        <v>-0.0124574198229568</v>
      </c>
      <c r="AH354" s="0" t="str">
        <f aca="false">IF(B354="Company","C3 - Corporate Buyers",IF(AND(H354="Investment",M354&gt;'Segmentation Summary'!$C$1),"C1 - Global Investors",IF(AND(I354&gt;=4,M354&gt;'Segmentation Summary'!$C$1),"C4 - Luxury Investors",IF(AND(D354&lt;'Segmentation Summary'!$C$2,J354=1),"C2 - First-Time Buyers","C5 - Other Individual Buyers"))))</f>
        <v>C4 - Luxury Investors</v>
      </c>
    </row>
    <row r="355" customFormat="false" ht="15" hidden="false" customHeight="true" outlineLevel="0" collapsed="false">
      <c r="A355" s="13" t="s">
        <v>776</v>
      </c>
      <c r="B355" s="13" t="s">
        <v>34</v>
      </c>
      <c r="C355" s="13" t="s">
        <v>777</v>
      </c>
      <c r="D355" s="13" t="n">
        <v>84</v>
      </c>
      <c r="E355" s="13" t="s">
        <v>83</v>
      </c>
      <c r="F355" s="13" t="s">
        <v>37</v>
      </c>
      <c r="G355" s="13" t="s">
        <v>572</v>
      </c>
      <c r="H355" s="13" t="s">
        <v>41</v>
      </c>
      <c r="I355" s="13" t="n">
        <v>3</v>
      </c>
      <c r="J355" s="13" t="n">
        <v>0</v>
      </c>
      <c r="K355" s="13" t="s">
        <v>85</v>
      </c>
      <c r="L355" s="13" t="n">
        <v>4</v>
      </c>
      <c r="M355" s="13" t="n">
        <v>1769126.22</v>
      </c>
      <c r="N355" s="13" t="n">
        <v>442281.555</v>
      </c>
      <c r="O355" s="13" t="n">
        <v>1431.4575</v>
      </c>
      <c r="P355" s="13" t="n">
        <v>0</v>
      </c>
      <c r="Q355" s="13" t="n">
        <v>4</v>
      </c>
      <c r="R355" s="13" t="s">
        <v>150</v>
      </c>
      <c r="S355" s="13" t="s">
        <v>154</v>
      </c>
      <c r="T355" s="13" t="n">
        <v>1</v>
      </c>
      <c r="U355" s="13" t="n">
        <f aca="false">IF(B355="Individual",1,0)</f>
        <v>1</v>
      </c>
      <c r="V355" s="13" t="n">
        <f aca="false">IF(B355="Company",1,0)</f>
        <v>0</v>
      </c>
      <c r="W355" s="13" t="n">
        <f aca="false">IF(H355="Home",1,0)</f>
        <v>1</v>
      </c>
      <c r="X355" s="13" t="n">
        <f aca="false">IF(H355="Investment",1,0)</f>
        <v>0</v>
      </c>
      <c r="Y355" s="13" t="n">
        <f aca="false">IF(K355="Website",1,0)</f>
        <v>1</v>
      </c>
      <c r="Z355" s="13" t="n">
        <f aca="false">IF(K355="Agency",1,0)</f>
        <v>0</v>
      </c>
      <c r="AA355" s="13" t="n">
        <f aca="false">IF(K355="Client",1,0)</f>
        <v>0</v>
      </c>
      <c r="AB355" s="13" t="n">
        <f aca="false">(D355-AVERAGE(D$2:D$2001))/STDEV(D$2:D$2001)</f>
        <v>1.72197390824266</v>
      </c>
      <c r="AC355" s="13" t="n">
        <f aca="false">(I355-AVERAGE(I$2:I$2001))/STDEV(I$2:I$2001)</f>
        <v>-0.0205155458339628</v>
      </c>
      <c r="AD355" s="13" t="n">
        <f aca="false">(L355-AVERAGE(L$2:L$2001))/STDEV(L$2:L$2001)</f>
        <v>0.413838214490712</v>
      </c>
      <c r="AE355" s="13" t="n">
        <f aca="false">(M355-AVERAGE(M$2:M$2001))/STDEV(M$2:M$2001)</f>
        <v>1.46263912594467</v>
      </c>
      <c r="AF355" s="13" t="n">
        <f aca="false">(N355-AVERAGE(N$2:N$2001))/STDEV(N$2:N$2001)</f>
        <v>1.36530567696341</v>
      </c>
      <c r="AG355" s="13" t="n">
        <f aca="false">(O355-AVERAGE(O$2:O$2001))/STDEV(O$2:O$2001)</f>
        <v>1.29126269352852</v>
      </c>
      <c r="AH355" s="0" t="str">
        <f aca="false">IF(B355="Company","C3 - Corporate Buyers",IF(AND(H355="Investment",M355&gt;'Segmentation Summary'!$C$1),"C1 - Global Investors",IF(AND(I355&gt;=4,M355&gt;'Segmentation Summary'!$C$1),"C4 - Luxury Investors",IF(AND(D355&lt;'Segmentation Summary'!$C$2,J355=1),"C2 - First-Time Buyers","C5 - Other Individual Buyers"))))</f>
        <v>C5 - Other Individual Buyers</v>
      </c>
    </row>
    <row r="356" customFormat="false" ht="15" hidden="false" customHeight="true" outlineLevel="0" collapsed="false">
      <c r="A356" s="13" t="s">
        <v>778</v>
      </c>
      <c r="B356" s="13" t="s">
        <v>34</v>
      </c>
      <c r="C356" s="13" t="s">
        <v>779</v>
      </c>
      <c r="D356" s="13" t="n">
        <v>57</v>
      </c>
      <c r="E356" s="13" t="s">
        <v>83</v>
      </c>
      <c r="F356" s="13" t="s">
        <v>33</v>
      </c>
      <c r="G356" s="13" t="s">
        <v>95</v>
      </c>
      <c r="H356" s="13" t="s">
        <v>43</v>
      </c>
      <c r="I356" s="13" t="n">
        <v>1</v>
      </c>
      <c r="J356" s="13" t="n">
        <v>1</v>
      </c>
      <c r="K356" s="13" t="s">
        <v>91</v>
      </c>
      <c r="L356" s="13" t="n">
        <v>4</v>
      </c>
      <c r="M356" s="13" t="n">
        <v>1529455.73</v>
      </c>
      <c r="N356" s="13" t="n">
        <v>382363.9325</v>
      </c>
      <c r="O356" s="13" t="n">
        <v>1183.04</v>
      </c>
      <c r="P356" s="13" t="n">
        <v>2</v>
      </c>
      <c r="Q356" s="13" t="n">
        <v>2</v>
      </c>
      <c r="R356" s="13" t="s">
        <v>92</v>
      </c>
      <c r="S356" s="13" t="s">
        <v>152</v>
      </c>
      <c r="T356" s="13" t="n">
        <v>1</v>
      </c>
      <c r="U356" s="13" t="n">
        <f aca="false">IF(B356="Individual",1,0)</f>
        <v>1</v>
      </c>
      <c r="V356" s="13" t="n">
        <f aca="false">IF(B356="Company",1,0)</f>
        <v>0</v>
      </c>
      <c r="W356" s="13" t="n">
        <f aca="false">IF(H356="Home",1,0)</f>
        <v>0</v>
      </c>
      <c r="X356" s="13" t="n">
        <f aca="false">IF(H356="Investment",1,0)</f>
        <v>1</v>
      </c>
      <c r="Y356" s="13" t="n">
        <f aca="false">IF(K356="Website",1,0)</f>
        <v>0</v>
      </c>
      <c r="Z356" s="13" t="n">
        <f aca="false">IF(K356="Agency",1,0)</f>
        <v>1</v>
      </c>
      <c r="AA356" s="13" t="n">
        <f aca="false">IF(K356="Client",1,0)</f>
        <v>0</v>
      </c>
      <c r="AB356" s="13" t="n">
        <f aca="false">(D356-AVERAGE(D$2:D$2001))/STDEV(D$2:D$2001)</f>
        <v>0.165087610062577</v>
      </c>
      <c r="AC356" s="13" t="n">
        <f aca="false">(I356-AVERAGE(I$2:I$2001))/STDEV(I$2:I$2001)</f>
        <v>-1.43538077576244</v>
      </c>
      <c r="AD356" s="13" t="n">
        <f aca="false">(L356-AVERAGE(L$2:L$2001))/STDEV(L$2:L$2001)</f>
        <v>0.413838214490712</v>
      </c>
      <c r="AE356" s="13" t="n">
        <f aca="false">(M356-AVERAGE(M$2:M$2001))/STDEV(M$2:M$2001)</f>
        <v>0.773595535958484</v>
      </c>
      <c r="AF356" s="13" t="n">
        <f aca="false">(N356-AVERAGE(N$2:N$2001))/STDEV(N$2:N$2001)</f>
        <v>0.505924482653045</v>
      </c>
      <c r="AG356" s="13" t="n">
        <f aca="false">(O356-AVERAGE(O$2:O$2001))/STDEV(O$2:O$2001)</f>
        <v>0.161694769497058</v>
      </c>
      <c r="AH356" s="0" t="str">
        <f aca="false">IF(B356="Company","C3 - Corporate Buyers",IF(AND(H356="Investment",M356&gt;'Segmentation Summary'!$C$1),"C1 - Global Investors",IF(AND(I356&gt;=4,M356&gt;'Segmentation Summary'!$C$1),"C4 - Luxury Investors",IF(AND(D356&lt;'Segmentation Summary'!$C$2,J356=1),"C2 - First-Time Buyers","C5 - Other Individual Buyers"))))</f>
        <v>C1 - Global Investors</v>
      </c>
    </row>
    <row r="357" customFormat="false" ht="15" hidden="false" customHeight="true" outlineLevel="0" collapsed="false">
      <c r="A357" s="13" t="s">
        <v>780</v>
      </c>
      <c r="B357" s="13" t="s">
        <v>34</v>
      </c>
      <c r="C357" s="13" t="s">
        <v>781</v>
      </c>
      <c r="D357" s="13" t="n">
        <v>62</v>
      </c>
      <c r="E357" s="13" t="s">
        <v>90</v>
      </c>
      <c r="F357" s="13" t="s">
        <v>33</v>
      </c>
      <c r="G357" s="13" t="s">
        <v>123</v>
      </c>
      <c r="H357" s="13" t="s">
        <v>41</v>
      </c>
      <c r="I357" s="13" t="n">
        <v>2</v>
      </c>
      <c r="J357" s="13" t="n">
        <v>0</v>
      </c>
      <c r="K357" s="13" t="s">
        <v>85</v>
      </c>
      <c r="L357" s="13" t="n">
        <v>3</v>
      </c>
      <c r="M357" s="13" t="n">
        <v>706503.59</v>
      </c>
      <c r="N357" s="13" t="n">
        <v>235501.196666667</v>
      </c>
      <c r="O357" s="13" t="n">
        <v>736.043333333333</v>
      </c>
      <c r="P357" s="13" t="n">
        <v>0</v>
      </c>
      <c r="Q357" s="13" t="n">
        <v>3</v>
      </c>
      <c r="R357" s="13" t="s">
        <v>101</v>
      </c>
      <c r="S357" s="13" t="s">
        <v>164</v>
      </c>
      <c r="T357" s="13" t="n">
        <v>1</v>
      </c>
      <c r="U357" s="13" t="n">
        <f aca="false">IF(B357="Individual",1,0)</f>
        <v>1</v>
      </c>
      <c r="V357" s="13" t="n">
        <f aca="false">IF(B357="Company",1,0)</f>
        <v>0</v>
      </c>
      <c r="W357" s="13" t="n">
        <f aca="false">IF(H357="Home",1,0)</f>
        <v>1</v>
      </c>
      <c r="X357" s="13" t="n">
        <f aca="false">IF(H357="Investment",1,0)</f>
        <v>0</v>
      </c>
      <c r="Y357" s="13" t="n">
        <f aca="false">IF(K357="Website",1,0)</f>
        <v>1</v>
      </c>
      <c r="Z357" s="13" t="n">
        <f aca="false">IF(K357="Agency",1,0)</f>
        <v>0</v>
      </c>
      <c r="AA357" s="13" t="n">
        <f aca="false">IF(K357="Client",1,0)</f>
        <v>0</v>
      </c>
      <c r="AB357" s="13" t="n">
        <f aca="false">(D357-AVERAGE(D$2:D$2001))/STDEV(D$2:D$2001)</f>
        <v>0.453399887503333</v>
      </c>
      <c r="AC357" s="13" t="n">
        <f aca="false">(I357-AVERAGE(I$2:I$2001))/STDEV(I$2:I$2001)</f>
        <v>-0.727948160798201</v>
      </c>
      <c r="AD357" s="13" t="n">
        <f aca="false">(L357-AVERAGE(L$2:L$2001))/STDEV(L$2:L$2001)</f>
        <v>-0.777063122173208</v>
      </c>
      <c r="AE357" s="13" t="n">
        <f aca="false">(M357-AVERAGE(M$2:M$2001))/STDEV(M$2:M$2001)</f>
        <v>-1.59236072729452</v>
      </c>
      <c r="AF357" s="13" t="n">
        <f aca="false">(N357-AVERAGE(N$2:N$2001))/STDEV(N$2:N$2001)</f>
        <v>-1.60048541904385</v>
      </c>
      <c r="AG357" s="13" t="n">
        <f aca="false">(O357-AVERAGE(O$2:O$2001))/STDEV(O$2:O$2001)</f>
        <v>-1.87082345814652</v>
      </c>
      <c r="AH357" s="0" t="str">
        <f aca="false">IF(B357="Company","C3 - Corporate Buyers",IF(AND(H357="Investment",M357&gt;'Segmentation Summary'!$C$1),"C1 - Global Investors",IF(AND(I357&gt;=4,M357&gt;'Segmentation Summary'!$C$1),"C4 - Luxury Investors",IF(AND(D357&lt;'Segmentation Summary'!$C$2,J357=1),"C2 - First-Time Buyers","C5 - Other Individual Buyers"))))</f>
        <v>C5 - Other Individual Buyers</v>
      </c>
    </row>
    <row r="358" customFormat="false" ht="15" hidden="false" customHeight="true" outlineLevel="0" collapsed="false">
      <c r="A358" s="13" t="s">
        <v>782</v>
      </c>
      <c r="B358" s="13" t="s">
        <v>34</v>
      </c>
      <c r="C358" s="13" t="s">
        <v>783</v>
      </c>
      <c r="D358" s="13" t="n">
        <v>83</v>
      </c>
      <c r="E358" s="13" t="s">
        <v>90</v>
      </c>
      <c r="F358" s="13" t="s">
        <v>33</v>
      </c>
      <c r="G358" s="13" t="s">
        <v>97</v>
      </c>
      <c r="H358" s="13" t="s">
        <v>41</v>
      </c>
      <c r="I358" s="13" t="n">
        <v>5</v>
      </c>
      <c r="J358" s="13" t="n">
        <v>0</v>
      </c>
      <c r="K358" s="13" t="s">
        <v>85</v>
      </c>
      <c r="L358" s="13" t="n">
        <v>3</v>
      </c>
      <c r="M358" s="13" t="n">
        <v>1054166.95</v>
      </c>
      <c r="N358" s="13" t="n">
        <v>351388.983333333</v>
      </c>
      <c r="O358" s="13" t="n">
        <v>1102.86333333333</v>
      </c>
      <c r="P358" s="13" t="n">
        <v>0</v>
      </c>
      <c r="Q358" s="13" t="n">
        <v>3</v>
      </c>
      <c r="R358" s="13" t="s">
        <v>101</v>
      </c>
      <c r="S358" s="13" t="s">
        <v>114</v>
      </c>
      <c r="T358" s="13" t="n">
        <v>1</v>
      </c>
      <c r="U358" s="13" t="n">
        <f aca="false">IF(B358="Individual",1,0)</f>
        <v>1</v>
      </c>
      <c r="V358" s="13" t="n">
        <f aca="false">IF(B358="Company",1,0)</f>
        <v>0</v>
      </c>
      <c r="W358" s="13" t="n">
        <f aca="false">IF(H358="Home",1,0)</f>
        <v>1</v>
      </c>
      <c r="X358" s="13" t="n">
        <f aca="false">IF(H358="Investment",1,0)</f>
        <v>0</v>
      </c>
      <c r="Y358" s="13" t="n">
        <f aca="false">IF(K358="Website",1,0)</f>
        <v>1</v>
      </c>
      <c r="Z358" s="13" t="n">
        <f aca="false">IF(K358="Agency",1,0)</f>
        <v>0</v>
      </c>
      <c r="AA358" s="13" t="n">
        <f aca="false">IF(K358="Client",1,0)</f>
        <v>0</v>
      </c>
      <c r="AB358" s="13" t="n">
        <f aca="false">(D358-AVERAGE(D$2:D$2001))/STDEV(D$2:D$2001)</f>
        <v>1.66431145275451</v>
      </c>
      <c r="AC358" s="13" t="n">
        <f aca="false">(I358-AVERAGE(I$2:I$2001))/STDEV(I$2:I$2001)</f>
        <v>1.39434968409451</v>
      </c>
      <c r="AD358" s="13" t="n">
        <f aca="false">(L358-AVERAGE(L$2:L$2001))/STDEV(L$2:L$2001)</f>
        <v>-0.777063122173208</v>
      </c>
      <c r="AE358" s="13" t="n">
        <f aca="false">(M358-AVERAGE(M$2:M$2001))/STDEV(M$2:M$2001)</f>
        <v>-0.592841722342926</v>
      </c>
      <c r="AF358" s="13" t="n">
        <f aca="false">(N358-AVERAGE(N$2:N$2001))/STDEV(N$2:N$2001)</f>
        <v>0.0616597121583042</v>
      </c>
      <c r="AG358" s="13" t="n">
        <f aca="false">(O358-AVERAGE(O$2:O$2001))/STDEV(O$2:O$2001)</f>
        <v>-0.202872907588624</v>
      </c>
      <c r="AH358" s="0" t="str">
        <f aca="false">IF(B358="Company","C3 - Corporate Buyers",IF(AND(H358="Investment",M358&gt;'Segmentation Summary'!$C$1),"C1 - Global Investors",IF(AND(I358&gt;=4,M358&gt;'Segmentation Summary'!$C$1),"C4 - Luxury Investors",IF(AND(D358&lt;'Segmentation Summary'!$C$2,J358=1),"C2 - First-Time Buyers","C5 - Other Individual Buyers"))))</f>
        <v>C5 - Other Individual Buyers</v>
      </c>
    </row>
    <row r="359" customFormat="false" ht="15" hidden="false" customHeight="true" outlineLevel="0" collapsed="false">
      <c r="A359" s="13" t="s">
        <v>784</v>
      </c>
      <c r="B359" s="13" t="s">
        <v>34</v>
      </c>
      <c r="C359" s="13" t="s">
        <v>785</v>
      </c>
      <c r="D359" s="13" t="n">
        <v>31</v>
      </c>
      <c r="E359" s="13" t="s">
        <v>90</v>
      </c>
      <c r="F359" s="13" t="s">
        <v>35</v>
      </c>
      <c r="G359" s="13" t="s">
        <v>137</v>
      </c>
      <c r="H359" s="13" t="s">
        <v>41</v>
      </c>
      <c r="I359" s="13" t="n">
        <v>4</v>
      </c>
      <c r="J359" s="13" t="n">
        <v>1</v>
      </c>
      <c r="K359" s="13" t="s">
        <v>85</v>
      </c>
      <c r="L359" s="13" t="n">
        <v>3</v>
      </c>
      <c r="M359" s="13" t="n">
        <v>1553786.78</v>
      </c>
      <c r="N359" s="13" t="n">
        <v>517928.926666667</v>
      </c>
      <c r="O359" s="13" t="n">
        <v>1584.73333333333</v>
      </c>
      <c r="P359" s="13" t="n">
        <v>1</v>
      </c>
      <c r="Q359" s="13" t="n">
        <v>2</v>
      </c>
      <c r="R359" s="13" t="s">
        <v>111</v>
      </c>
      <c r="S359" s="13" t="s">
        <v>103</v>
      </c>
      <c r="T359" s="13" t="n">
        <v>1</v>
      </c>
      <c r="U359" s="13" t="n">
        <f aca="false">IF(B359="Individual",1,0)</f>
        <v>1</v>
      </c>
      <c r="V359" s="13" t="n">
        <f aca="false">IF(B359="Company",1,0)</f>
        <v>0</v>
      </c>
      <c r="W359" s="13" t="n">
        <f aca="false">IF(H359="Home",1,0)</f>
        <v>1</v>
      </c>
      <c r="X359" s="13" t="n">
        <f aca="false">IF(H359="Investment",1,0)</f>
        <v>0</v>
      </c>
      <c r="Y359" s="13" t="n">
        <f aca="false">IF(K359="Website",1,0)</f>
        <v>1</v>
      </c>
      <c r="Z359" s="13" t="n">
        <f aca="false">IF(K359="Agency",1,0)</f>
        <v>0</v>
      </c>
      <c r="AA359" s="13" t="n">
        <f aca="false">IF(K359="Client",1,0)</f>
        <v>0</v>
      </c>
      <c r="AB359" s="13" t="n">
        <f aca="false">(D359-AVERAGE(D$2:D$2001))/STDEV(D$2:D$2001)</f>
        <v>-1.33413623262935</v>
      </c>
      <c r="AC359" s="13" t="n">
        <f aca="false">(I359-AVERAGE(I$2:I$2001))/STDEV(I$2:I$2001)</f>
        <v>0.686917069130275</v>
      </c>
      <c r="AD359" s="13" t="n">
        <f aca="false">(L359-AVERAGE(L$2:L$2001))/STDEV(L$2:L$2001)</f>
        <v>-0.777063122173208</v>
      </c>
      <c r="AE359" s="13" t="n">
        <f aca="false">(M359-AVERAGE(M$2:M$2001))/STDEV(M$2:M$2001)</f>
        <v>0.843546384058863</v>
      </c>
      <c r="AF359" s="13" t="n">
        <f aca="false">(N359-AVERAGE(N$2:N$2001))/STDEV(N$2:N$2001)</f>
        <v>2.4502941310587</v>
      </c>
      <c r="AG359" s="13" t="n">
        <f aca="false">(O359-AVERAGE(O$2:O$2001))/STDEV(O$2:O$2001)</f>
        <v>1.98821626911204</v>
      </c>
      <c r="AH359" s="0" t="str">
        <f aca="false">IF(B359="Company","C3 - Corporate Buyers",IF(AND(H359="Investment",M359&gt;'Segmentation Summary'!$C$1),"C1 - Global Investors",IF(AND(I359&gt;=4,M359&gt;'Segmentation Summary'!$C$1),"C4 - Luxury Investors",IF(AND(D359&lt;'Segmentation Summary'!$C$2,J359=1),"C2 - First-Time Buyers","C5 - Other Individual Buyers"))))</f>
        <v>C4 - Luxury Investors</v>
      </c>
    </row>
    <row r="360" customFormat="false" ht="15" hidden="false" customHeight="true" outlineLevel="0" collapsed="false">
      <c r="A360" s="13" t="s">
        <v>786</v>
      </c>
      <c r="B360" s="13" t="s">
        <v>34</v>
      </c>
      <c r="C360" s="13" t="s">
        <v>787</v>
      </c>
      <c r="D360" s="13" t="n">
        <v>50</v>
      </c>
      <c r="E360" s="13" t="s">
        <v>90</v>
      </c>
      <c r="F360" s="13" t="s">
        <v>33</v>
      </c>
      <c r="G360" s="13" t="s">
        <v>265</v>
      </c>
      <c r="H360" s="13" t="s">
        <v>43</v>
      </c>
      <c r="I360" s="13" t="n">
        <v>2</v>
      </c>
      <c r="J360" s="13" t="n">
        <v>0</v>
      </c>
      <c r="K360" s="13" t="s">
        <v>116</v>
      </c>
      <c r="L360" s="13" t="n">
        <v>4</v>
      </c>
      <c r="M360" s="13" t="n">
        <v>1162770.88</v>
      </c>
      <c r="N360" s="13" t="n">
        <v>290692.72</v>
      </c>
      <c r="O360" s="13" t="n">
        <v>942.035</v>
      </c>
      <c r="P360" s="13" t="n">
        <v>1</v>
      </c>
      <c r="Q360" s="13" t="n">
        <v>3</v>
      </c>
      <c r="R360" s="13" t="s">
        <v>92</v>
      </c>
      <c r="S360" s="13" t="s">
        <v>125</v>
      </c>
      <c r="T360" s="13" t="n">
        <v>1</v>
      </c>
      <c r="U360" s="13" t="n">
        <f aca="false">IF(B360="Individual",1,0)</f>
        <v>1</v>
      </c>
      <c r="V360" s="13" t="n">
        <f aca="false">IF(B360="Company",1,0)</f>
        <v>0</v>
      </c>
      <c r="W360" s="13" t="n">
        <f aca="false">IF(H360="Home",1,0)</f>
        <v>0</v>
      </c>
      <c r="X360" s="13" t="n">
        <f aca="false">IF(H360="Investment",1,0)</f>
        <v>1</v>
      </c>
      <c r="Y360" s="13" t="n">
        <f aca="false">IF(K360="Website",1,0)</f>
        <v>0</v>
      </c>
      <c r="Z360" s="13" t="n">
        <f aca="false">IF(K360="Agency",1,0)</f>
        <v>0</v>
      </c>
      <c r="AA360" s="13" t="n">
        <f aca="false">IF(K360="Client",1,0)</f>
        <v>1</v>
      </c>
      <c r="AB360" s="13" t="n">
        <f aca="false">(D360-AVERAGE(D$2:D$2001))/STDEV(D$2:D$2001)</f>
        <v>-0.238549578354482</v>
      </c>
      <c r="AC360" s="13" t="n">
        <f aca="false">(I360-AVERAGE(I$2:I$2001))/STDEV(I$2:I$2001)</f>
        <v>-0.727948160798201</v>
      </c>
      <c r="AD360" s="13" t="n">
        <f aca="false">(L360-AVERAGE(L$2:L$2001))/STDEV(L$2:L$2001)</f>
        <v>0.413838214490712</v>
      </c>
      <c r="AE360" s="13" t="n">
        <f aca="false">(M360-AVERAGE(M$2:M$2001))/STDEV(M$2:M$2001)</f>
        <v>-0.280609532999095</v>
      </c>
      <c r="AF360" s="13" t="n">
        <f aca="false">(N360-AVERAGE(N$2:N$2001))/STDEV(N$2:N$2001)</f>
        <v>-0.808889303259922</v>
      </c>
      <c r="AG360" s="13" t="n">
        <f aca="false">(O360-AVERAGE(O$2:O$2001))/STDEV(O$2:O$2001)</f>
        <v>-0.934168112671877</v>
      </c>
      <c r="AH360" s="0" t="str">
        <f aca="false">IF(B360="Company","C3 - Corporate Buyers",IF(AND(H360="Investment",M360&gt;'Segmentation Summary'!$C$1),"C1 - Global Investors",IF(AND(I360&gt;=4,M360&gt;'Segmentation Summary'!$C$1),"C4 - Luxury Investors",IF(AND(D360&lt;'Segmentation Summary'!$C$2,J360=1),"C2 - First-Time Buyers","C5 - Other Individual Buyers"))))</f>
        <v>C5 - Other Individual Buyers</v>
      </c>
    </row>
    <row r="361" customFormat="false" ht="15" hidden="false" customHeight="true" outlineLevel="0" collapsed="false">
      <c r="A361" s="13" t="s">
        <v>788</v>
      </c>
      <c r="B361" s="13" t="s">
        <v>34</v>
      </c>
      <c r="C361" s="13" t="s">
        <v>789</v>
      </c>
      <c r="D361" s="13" t="n">
        <v>35</v>
      </c>
      <c r="E361" s="13" t="s">
        <v>90</v>
      </c>
      <c r="F361" s="13" t="s">
        <v>33</v>
      </c>
      <c r="G361" s="13" t="s">
        <v>157</v>
      </c>
      <c r="H361" s="13" t="s">
        <v>41</v>
      </c>
      <c r="I361" s="13" t="n">
        <v>2</v>
      </c>
      <c r="J361" s="13" t="n">
        <v>1</v>
      </c>
      <c r="K361" s="13" t="s">
        <v>85</v>
      </c>
      <c r="L361" s="13" t="n">
        <v>3</v>
      </c>
      <c r="M361" s="13" t="n">
        <v>972731.09</v>
      </c>
      <c r="N361" s="13" t="n">
        <v>324243.696666667</v>
      </c>
      <c r="O361" s="13" t="n">
        <v>1127.15</v>
      </c>
      <c r="P361" s="13" t="n">
        <v>1</v>
      </c>
      <c r="Q361" s="13" t="n">
        <v>2</v>
      </c>
      <c r="R361" s="13" t="s">
        <v>86</v>
      </c>
      <c r="S361" s="13" t="s">
        <v>103</v>
      </c>
      <c r="T361" s="13" t="n">
        <v>1</v>
      </c>
      <c r="U361" s="13" t="n">
        <f aca="false">IF(B361="Individual",1,0)</f>
        <v>1</v>
      </c>
      <c r="V361" s="13" t="n">
        <f aca="false">IF(B361="Company",1,0)</f>
        <v>0</v>
      </c>
      <c r="W361" s="13" t="n">
        <f aca="false">IF(H361="Home",1,0)</f>
        <v>1</v>
      </c>
      <c r="X361" s="13" t="n">
        <f aca="false">IF(H361="Investment",1,0)</f>
        <v>0</v>
      </c>
      <c r="Y361" s="13" t="n">
        <f aca="false">IF(K361="Website",1,0)</f>
        <v>1</v>
      </c>
      <c r="Z361" s="13" t="n">
        <f aca="false">IF(K361="Agency",1,0)</f>
        <v>0</v>
      </c>
      <c r="AA361" s="13" t="n">
        <f aca="false">IF(K361="Client",1,0)</f>
        <v>0</v>
      </c>
      <c r="AB361" s="13" t="n">
        <f aca="false">(D361-AVERAGE(D$2:D$2001))/STDEV(D$2:D$2001)</f>
        <v>-1.10348641067675</v>
      </c>
      <c r="AC361" s="13" t="n">
        <f aca="false">(I361-AVERAGE(I$2:I$2001))/STDEV(I$2:I$2001)</f>
        <v>-0.727948160798201</v>
      </c>
      <c r="AD361" s="13" t="n">
        <f aca="false">(L361-AVERAGE(L$2:L$2001))/STDEV(L$2:L$2001)</f>
        <v>-0.777063122173208</v>
      </c>
      <c r="AE361" s="13" t="n">
        <f aca="false">(M361-AVERAGE(M$2:M$2001))/STDEV(M$2:M$2001)</f>
        <v>-0.826966738434863</v>
      </c>
      <c r="AF361" s="13" t="n">
        <f aca="false">(N361-AVERAGE(N$2:N$2001))/STDEV(N$2:N$2001)</f>
        <v>-0.327677312612606</v>
      </c>
      <c r="AG361" s="13" t="n">
        <f aca="false">(O361-AVERAGE(O$2:O$2001))/STDEV(O$2:O$2001)</f>
        <v>-0.0924401093827231</v>
      </c>
      <c r="AH361" s="0" t="str">
        <f aca="false">IF(B361="Company","C3 - Corporate Buyers",IF(AND(H361="Investment",M361&gt;'Segmentation Summary'!$C$1),"C1 - Global Investors",IF(AND(I361&gt;=4,M361&gt;'Segmentation Summary'!$C$1),"C4 - Luxury Investors",IF(AND(D361&lt;'Segmentation Summary'!$C$2,J361=1),"C2 - First-Time Buyers","C5 - Other Individual Buyers"))))</f>
        <v>C2 - First-Time Buyers</v>
      </c>
    </row>
    <row r="362" customFormat="false" ht="15" hidden="false" customHeight="true" outlineLevel="0" collapsed="false">
      <c r="A362" s="13" t="s">
        <v>790</v>
      </c>
      <c r="B362" s="13" t="s">
        <v>34</v>
      </c>
      <c r="C362" s="13" t="s">
        <v>791</v>
      </c>
      <c r="D362" s="13" t="n">
        <v>73</v>
      </c>
      <c r="E362" s="13" t="s">
        <v>90</v>
      </c>
      <c r="F362" s="13" t="s">
        <v>33</v>
      </c>
      <c r="G362" s="13" t="s">
        <v>157</v>
      </c>
      <c r="H362" s="13" t="s">
        <v>43</v>
      </c>
      <c r="I362" s="13" t="n">
        <v>4</v>
      </c>
      <c r="J362" s="13" t="n">
        <v>0</v>
      </c>
      <c r="K362" s="13" t="s">
        <v>91</v>
      </c>
      <c r="L362" s="13" t="n">
        <v>3</v>
      </c>
      <c r="M362" s="13" t="n">
        <v>761279.08</v>
      </c>
      <c r="N362" s="13" t="n">
        <v>253759.693333333</v>
      </c>
      <c r="O362" s="13" t="n">
        <v>851.426666666667</v>
      </c>
      <c r="P362" s="13" t="n">
        <v>2</v>
      </c>
      <c r="Q362" s="13" t="n">
        <v>1</v>
      </c>
      <c r="R362" s="13" t="s">
        <v>101</v>
      </c>
      <c r="S362" s="13" t="s">
        <v>112</v>
      </c>
      <c r="T362" s="13" t="n">
        <v>1</v>
      </c>
      <c r="U362" s="13" t="n">
        <f aca="false">IF(B362="Individual",1,0)</f>
        <v>1</v>
      </c>
      <c r="V362" s="13" t="n">
        <f aca="false">IF(B362="Company",1,0)</f>
        <v>0</v>
      </c>
      <c r="W362" s="13" t="n">
        <f aca="false">IF(H362="Home",1,0)</f>
        <v>0</v>
      </c>
      <c r="X362" s="13" t="n">
        <f aca="false">IF(H362="Investment",1,0)</f>
        <v>1</v>
      </c>
      <c r="Y362" s="13" t="n">
        <f aca="false">IF(K362="Website",1,0)</f>
        <v>0</v>
      </c>
      <c r="Z362" s="13" t="n">
        <f aca="false">IF(K362="Agency",1,0)</f>
        <v>1</v>
      </c>
      <c r="AA362" s="13" t="n">
        <f aca="false">IF(K362="Client",1,0)</f>
        <v>0</v>
      </c>
      <c r="AB362" s="13" t="n">
        <f aca="false">(D362-AVERAGE(D$2:D$2001))/STDEV(D$2:D$2001)</f>
        <v>1.087686897873</v>
      </c>
      <c r="AC362" s="13" t="n">
        <f aca="false">(I362-AVERAGE(I$2:I$2001))/STDEV(I$2:I$2001)</f>
        <v>0.686917069130275</v>
      </c>
      <c r="AD362" s="13" t="n">
        <f aca="false">(L362-AVERAGE(L$2:L$2001))/STDEV(L$2:L$2001)</f>
        <v>-0.777063122173208</v>
      </c>
      <c r="AE362" s="13" t="n">
        <f aca="false">(M362-AVERAGE(M$2:M$2001))/STDEV(M$2:M$2001)</f>
        <v>-1.43488326616506</v>
      </c>
      <c r="AF362" s="13" t="n">
        <f aca="false">(N362-AVERAGE(N$2:N$2001))/STDEV(N$2:N$2001)</f>
        <v>-1.33860906252268</v>
      </c>
      <c r="AG362" s="13" t="n">
        <f aca="false">(O362-AVERAGE(O$2:O$2001))/STDEV(O$2:O$2001)</f>
        <v>-1.34616914715328</v>
      </c>
      <c r="AH362" s="0" t="str">
        <f aca="false">IF(B362="Company","C3 - Corporate Buyers",IF(AND(H362="Investment",M362&gt;'Segmentation Summary'!$C$1),"C1 - Global Investors",IF(AND(I362&gt;=4,M362&gt;'Segmentation Summary'!$C$1),"C4 - Luxury Investors",IF(AND(D362&lt;'Segmentation Summary'!$C$2,J362=1),"C2 - First-Time Buyers","C5 - Other Individual Buyers"))))</f>
        <v>C5 - Other Individual Buyers</v>
      </c>
    </row>
    <row r="363" customFormat="false" ht="15" hidden="false" customHeight="true" outlineLevel="0" collapsed="false">
      <c r="A363" s="13" t="s">
        <v>792</v>
      </c>
      <c r="B363" s="13" t="s">
        <v>34</v>
      </c>
      <c r="C363" s="13" t="s">
        <v>793</v>
      </c>
      <c r="D363" s="13" t="n">
        <v>55</v>
      </c>
      <c r="E363" s="13" t="s">
        <v>83</v>
      </c>
      <c r="F363" s="13" t="s">
        <v>33</v>
      </c>
      <c r="G363" s="13" t="s">
        <v>120</v>
      </c>
      <c r="H363" s="13" t="s">
        <v>41</v>
      </c>
      <c r="I363" s="13" t="n">
        <v>5</v>
      </c>
      <c r="J363" s="13" t="n">
        <v>1</v>
      </c>
      <c r="K363" s="13" t="s">
        <v>85</v>
      </c>
      <c r="L363" s="13" t="n">
        <v>4</v>
      </c>
      <c r="M363" s="13" t="n">
        <v>1020913.07</v>
      </c>
      <c r="N363" s="13" t="n">
        <v>255228.2675</v>
      </c>
      <c r="O363" s="13" t="n">
        <v>853.07</v>
      </c>
      <c r="P363" s="13" t="n">
        <v>0</v>
      </c>
      <c r="Q363" s="13" t="n">
        <v>4</v>
      </c>
      <c r="R363" s="13" t="s">
        <v>92</v>
      </c>
      <c r="S363" s="13" t="s">
        <v>141</v>
      </c>
      <c r="T363" s="13" t="n">
        <v>1</v>
      </c>
      <c r="U363" s="13" t="n">
        <f aca="false">IF(B363="Individual",1,0)</f>
        <v>1</v>
      </c>
      <c r="V363" s="13" t="n">
        <f aca="false">IF(B363="Company",1,0)</f>
        <v>0</v>
      </c>
      <c r="W363" s="13" t="n">
        <f aca="false">IF(H363="Home",1,0)</f>
        <v>1</v>
      </c>
      <c r="X363" s="13" t="n">
        <f aca="false">IF(H363="Investment",1,0)</f>
        <v>0</v>
      </c>
      <c r="Y363" s="13" t="n">
        <f aca="false">IF(K363="Website",1,0)</f>
        <v>1</v>
      </c>
      <c r="Z363" s="13" t="n">
        <f aca="false">IF(K363="Agency",1,0)</f>
        <v>0</v>
      </c>
      <c r="AA363" s="13" t="n">
        <f aca="false">IF(K363="Client",1,0)</f>
        <v>0</v>
      </c>
      <c r="AB363" s="13" t="n">
        <f aca="false">(D363-AVERAGE(D$2:D$2001))/STDEV(D$2:D$2001)</f>
        <v>0.0497626990862745</v>
      </c>
      <c r="AC363" s="13" t="n">
        <f aca="false">(I363-AVERAGE(I$2:I$2001))/STDEV(I$2:I$2001)</f>
        <v>1.39434968409451</v>
      </c>
      <c r="AD363" s="13" t="n">
        <f aca="false">(L363-AVERAGE(L$2:L$2001))/STDEV(L$2:L$2001)</f>
        <v>0.413838214490712</v>
      </c>
      <c r="AE363" s="13" t="n">
        <f aca="false">(M363-AVERAGE(M$2:M$2001))/STDEV(M$2:M$2001)</f>
        <v>-0.6884453690671</v>
      </c>
      <c r="AF363" s="13" t="n">
        <f aca="false">(N363-AVERAGE(N$2:N$2001))/STDEV(N$2:N$2001)</f>
        <v>-1.31754572641845</v>
      </c>
      <c r="AG363" s="13" t="n">
        <f aca="false">(O363-AVERAGE(O$2:O$2001))/STDEV(O$2:O$2001)</f>
        <v>-1.33869682084042</v>
      </c>
      <c r="AH363" s="0" t="str">
        <f aca="false">IF(B363="Company","C3 - Corporate Buyers",IF(AND(H363="Investment",M363&gt;'Segmentation Summary'!$C$1),"C1 - Global Investors",IF(AND(I363&gt;=4,M363&gt;'Segmentation Summary'!$C$1),"C4 - Luxury Investors",IF(AND(D363&lt;'Segmentation Summary'!$C$2,J363=1),"C2 - First-Time Buyers","C5 - Other Individual Buyers"))))</f>
        <v>C5 - Other Individual Buyers</v>
      </c>
    </row>
    <row r="364" customFormat="false" ht="15" hidden="false" customHeight="true" outlineLevel="0" collapsed="false">
      <c r="A364" s="13" t="s">
        <v>794</v>
      </c>
      <c r="B364" s="13" t="s">
        <v>34</v>
      </c>
      <c r="C364" s="13" t="s">
        <v>795</v>
      </c>
      <c r="D364" s="13" t="n">
        <v>60</v>
      </c>
      <c r="E364" s="13" t="s">
        <v>83</v>
      </c>
      <c r="F364" s="13" t="s">
        <v>33</v>
      </c>
      <c r="G364" s="13" t="s">
        <v>95</v>
      </c>
      <c r="H364" s="13" t="s">
        <v>41</v>
      </c>
      <c r="I364" s="13" t="n">
        <v>2</v>
      </c>
      <c r="J364" s="13" t="n">
        <v>0</v>
      </c>
      <c r="K364" s="13" t="s">
        <v>116</v>
      </c>
      <c r="L364" s="13" t="n">
        <v>3</v>
      </c>
      <c r="M364" s="13" t="n">
        <v>1539340.87</v>
      </c>
      <c r="N364" s="13" t="n">
        <v>513113.623333333</v>
      </c>
      <c r="O364" s="13" t="n">
        <v>1523.69333333333</v>
      </c>
      <c r="P364" s="13" t="n">
        <v>2</v>
      </c>
      <c r="Q364" s="13" t="n">
        <v>1</v>
      </c>
      <c r="R364" s="13" t="s">
        <v>124</v>
      </c>
      <c r="S364" s="13" t="s">
        <v>215</v>
      </c>
      <c r="T364" s="13" t="n">
        <v>1</v>
      </c>
      <c r="U364" s="13" t="n">
        <f aca="false">IF(B364="Individual",1,0)</f>
        <v>1</v>
      </c>
      <c r="V364" s="13" t="n">
        <f aca="false">IF(B364="Company",1,0)</f>
        <v>0</v>
      </c>
      <c r="W364" s="13" t="n">
        <f aca="false">IF(H364="Home",1,0)</f>
        <v>1</v>
      </c>
      <c r="X364" s="13" t="n">
        <f aca="false">IF(H364="Investment",1,0)</f>
        <v>0</v>
      </c>
      <c r="Y364" s="13" t="n">
        <f aca="false">IF(K364="Website",1,0)</f>
        <v>0</v>
      </c>
      <c r="Z364" s="13" t="n">
        <f aca="false">IF(K364="Agency",1,0)</f>
        <v>0</v>
      </c>
      <c r="AA364" s="13" t="n">
        <f aca="false">IF(K364="Client",1,0)</f>
        <v>1</v>
      </c>
      <c r="AB364" s="13" t="n">
        <f aca="false">(D364-AVERAGE(D$2:D$2001))/STDEV(D$2:D$2001)</f>
        <v>0.338074976527031</v>
      </c>
      <c r="AC364" s="13" t="n">
        <f aca="false">(I364-AVERAGE(I$2:I$2001))/STDEV(I$2:I$2001)</f>
        <v>-0.727948160798201</v>
      </c>
      <c r="AD364" s="13" t="n">
        <f aca="false">(L364-AVERAGE(L$2:L$2001))/STDEV(L$2:L$2001)</f>
        <v>-0.777063122173208</v>
      </c>
      <c r="AE364" s="13" t="n">
        <f aca="false">(M364-AVERAGE(M$2:M$2001))/STDEV(M$2:M$2001)</f>
        <v>0.802014939419945</v>
      </c>
      <c r="AF364" s="13" t="n">
        <f aca="false">(N364-AVERAGE(N$2:N$2001))/STDEV(N$2:N$2001)</f>
        <v>2.38122962287386</v>
      </c>
      <c r="AG364" s="13" t="n">
        <f aca="false">(O364-AVERAGE(O$2:O$2001))/STDEV(O$2:O$2001)</f>
        <v>1.71066405929237</v>
      </c>
      <c r="AH364" s="0" t="str">
        <f aca="false">IF(B364="Company","C3 - Corporate Buyers",IF(AND(H364="Investment",M364&gt;'Segmentation Summary'!$C$1),"C1 - Global Investors",IF(AND(I364&gt;=4,M364&gt;'Segmentation Summary'!$C$1),"C4 - Luxury Investors",IF(AND(D364&lt;'Segmentation Summary'!$C$2,J364=1),"C2 - First-Time Buyers","C5 - Other Individual Buyers"))))</f>
        <v>C5 - Other Individual Buyers</v>
      </c>
    </row>
    <row r="365" customFormat="false" ht="15" hidden="false" customHeight="true" outlineLevel="0" collapsed="false">
      <c r="A365" s="13" t="s">
        <v>796</v>
      </c>
      <c r="B365" s="13" t="s">
        <v>34</v>
      </c>
      <c r="C365" s="13" t="s">
        <v>797</v>
      </c>
      <c r="D365" s="13" t="n">
        <v>63</v>
      </c>
      <c r="E365" s="13" t="s">
        <v>83</v>
      </c>
      <c r="F365" s="13" t="s">
        <v>46</v>
      </c>
      <c r="G365" s="13" t="s">
        <v>359</v>
      </c>
      <c r="H365" s="13" t="s">
        <v>43</v>
      </c>
      <c r="I365" s="13" t="n">
        <v>1</v>
      </c>
      <c r="J365" s="13" t="n">
        <v>0</v>
      </c>
      <c r="K365" s="13" t="s">
        <v>85</v>
      </c>
      <c r="L365" s="13" t="n">
        <v>4</v>
      </c>
      <c r="M365" s="13" t="n">
        <v>1320002.42</v>
      </c>
      <c r="N365" s="13" t="n">
        <v>330000.605</v>
      </c>
      <c r="O365" s="13" t="n">
        <v>1092.085</v>
      </c>
      <c r="P365" s="13" t="n">
        <v>0</v>
      </c>
      <c r="Q365" s="13" t="n">
        <v>4</v>
      </c>
      <c r="R365" s="13" t="s">
        <v>117</v>
      </c>
      <c r="S365" s="13" t="s">
        <v>87</v>
      </c>
      <c r="T365" s="13" t="n">
        <v>1</v>
      </c>
      <c r="U365" s="13" t="n">
        <f aca="false">IF(B365="Individual",1,0)</f>
        <v>1</v>
      </c>
      <c r="V365" s="13" t="n">
        <f aca="false">IF(B365="Company",1,0)</f>
        <v>0</v>
      </c>
      <c r="W365" s="13" t="n">
        <f aca="false">IF(H365="Home",1,0)</f>
        <v>0</v>
      </c>
      <c r="X365" s="13" t="n">
        <f aca="false">IF(H365="Investment",1,0)</f>
        <v>1</v>
      </c>
      <c r="Y365" s="13" t="n">
        <f aca="false">IF(K365="Website",1,0)</f>
        <v>1</v>
      </c>
      <c r="Z365" s="13" t="n">
        <f aca="false">IF(K365="Agency",1,0)</f>
        <v>0</v>
      </c>
      <c r="AA365" s="13" t="n">
        <f aca="false">IF(K365="Client",1,0)</f>
        <v>0</v>
      </c>
      <c r="AB365" s="13" t="n">
        <f aca="false">(D365-AVERAGE(D$2:D$2001))/STDEV(D$2:D$2001)</f>
        <v>0.511062342991484</v>
      </c>
      <c r="AC365" s="13" t="n">
        <f aca="false">(I365-AVERAGE(I$2:I$2001))/STDEV(I$2:I$2001)</f>
        <v>-1.43538077576244</v>
      </c>
      <c r="AD365" s="13" t="n">
        <f aca="false">(L365-AVERAGE(L$2:L$2001))/STDEV(L$2:L$2001)</f>
        <v>0.413838214490712</v>
      </c>
      <c r="AE365" s="13" t="n">
        <f aca="false">(M365-AVERAGE(M$2:M$2001))/STDEV(M$2:M$2001)</f>
        <v>0.171425195100542</v>
      </c>
      <c r="AF365" s="13" t="n">
        <f aca="false">(N365-AVERAGE(N$2:N$2001))/STDEV(N$2:N$2001)</f>
        <v>-0.245107635235388</v>
      </c>
      <c r="AG365" s="13" t="n">
        <f aca="false">(O365-AVERAGE(O$2:O$2001))/STDEV(O$2:O$2001)</f>
        <v>-0.251882577228842</v>
      </c>
      <c r="AH365" s="0" t="str">
        <f aca="false">IF(B365="Company","C3 - Corporate Buyers",IF(AND(H365="Investment",M365&gt;'Segmentation Summary'!$C$1),"C1 - Global Investors",IF(AND(I365&gt;=4,M365&gt;'Segmentation Summary'!$C$1),"C4 - Luxury Investors",IF(AND(D365&lt;'Segmentation Summary'!$C$2,J365=1),"C2 - First-Time Buyers","C5 - Other Individual Buyers"))))</f>
        <v>C1 - Global Investors</v>
      </c>
    </row>
    <row r="366" customFormat="false" ht="15" hidden="false" customHeight="true" outlineLevel="0" collapsed="false">
      <c r="A366" s="13" t="s">
        <v>798</v>
      </c>
      <c r="B366" s="13" t="s">
        <v>34</v>
      </c>
      <c r="C366" s="13" t="s">
        <v>799</v>
      </c>
      <c r="D366" s="13" t="n">
        <v>73</v>
      </c>
      <c r="E366" s="13" t="s">
        <v>83</v>
      </c>
      <c r="F366" s="13" t="s">
        <v>33</v>
      </c>
      <c r="G366" s="13" t="s">
        <v>110</v>
      </c>
      <c r="H366" s="13" t="s">
        <v>41</v>
      </c>
      <c r="I366" s="13" t="n">
        <v>4</v>
      </c>
      <c r="J366" s="13" t="n">
        <v>0</v>
      </c>
      <c r="K366" s="13" t="s">
        <v>85</v>
      </c>
      <c r="L366" s="13" t="n">
        <v>4</v>
      </c>
      <c r="M366" s="13" t="n">
        <v>1080850.85</v>
      </c>
      <c r="N366" s="13" t="n">
        <v>270212.7125</v>
      </c>
      <c r="O366" s="13" t="n">
        <v>859.7125</v>
      </c>
      <c r="P366" s="13" t="n">
        <v>0</v>
      </c>
      <c r="Q366" s="13" t="n">
        <v>4</v>
      </c>
      <c r="R366" s="13" t="s">
        <v>101</v>
      </c>
      <c r="S366" s="13" t="s">
        <v>135</v>
      </c>
      <c r="T366" s="13" t="n">
        <v>1</v>
      </c>
      <c r="U366" s="13" t="n">
        <f aca="false">IF(B366="Individual",1,0)</f>
        <v>1</v>
      </c>
      <c r="V366" s="13" t="n">
        <f aca="false">IF(B366="Company",1,0)</f>
        <v>0</v>
      </c>
      <c r="W366" s="13" t="n">
        <f aca="false">IF(H366="Home",1,0)</f>
        <v>1</v>
      </c>
      <c r="X366" s="13" t="n">
        <f aca="false">IF(H366="Investment",1,0)</f>
        <v>0</v>
      </c>
      <c r="Y366" s="13" t="n">
        <f aca="false">IF(K366="Website",1,0)</f>
        <v>1</v>
      </c>
      <c r="Z366" s="13" t="n">
        <f aca="false">IF(K366="Agency",1,0)</f>
        <v>0</v>
      </c>
      <c r="AA366" s="13" t="n">
        <f aca="false">IF(K366="Client",1,0)</f>
        <v>0</v>
      </c>
      <c r="AB366" s="13" t="n">
        <f aca="false">(D366-AVERAGE(D$2:D$2001))/STDEV(D$2:D$2001)</f>
        <v>1.087686897873</v>
      </c>
      <c r="AC366" s="13" t="n">
        <f aca="false">(I366-AVERAGE(I$2:I$2001))/STDEV(I$2:I$2001)</f>
        <v>0.686917069130275</v>
      </c>
      <c r="AD366" s="13" t="n">
        <f aca="false">(L366-AVERAGE(L$2:L$2001))/STDEV(L$2:L$2001)</f>
        <v>0.413838214490712</v>
      </c>
      <c r="AE366" s="13" t="n">
        <f aca="false">(M366-AVERAGE(M$2:M$2001))/STDEV(M$2:M$2001)</f>
        <v>-0.516126519520782</v>
      </c>
      <c r="AF366" s="13" t="n">
        <f aca="false">(N366-AVERAGE(N$2:N$2001))/STDEV(N$2:N$2001)</f>
        <v>-1.10262814953733</v>
      </c>
      <c r="AG366" s="13" t="n">
        <f aca="false">(O366-AVERAGE(O$2:O$2001))/STDEV(O$2:O$2001)</f>
        <v>-1.3084930109825</v>
      </c>
      <c r="AH366" s="0" t="str">
        <f aca="false">IF(B366="Company","C3 - Corporate Buyers",IF(AND(H366="Investment",M366&gt;'Segmentation Summary'!$C$1),"C1 - Global Investors",IF(AND(I366&gt;=4,M366&gt;'Segmentation Summary'!$C$1),"C4 - Luxury Investors",IF(AND(D366&lt;'Segmentation Summary'!$C$2,J366=1),"C2 - First-Time Buyers","C5 - Other Individual Buyers"))))</f>
        <v>C5 - Other Individual Buyers</v>
      </c>
    </row>
    <row r="367" customFormat="false" ht="15" hidden="false" customHeight="true" outlineLevel="0" collapsed="false">
      <c r="A367" s="13" t="s">
        <v>800</v>
      </c>
      <c r="B367" s="13" t="s">
        <v>34</v>
      </c>
      <c r="C367" s="13" t="s">
        <v>801</v>
      </c>
      <c r="D367" s="13" t="n">
        <v>58</v>
      </c>
      <c r="E367" s="13" t="s">
        <v>83</v>
      </c>
      <c r="F367" s="13" t="s">
        <v>33</v>
      </c>
      <c r="G367" s="13" t="s">
        <v>95</v>
      </c>
      <c r="H367" s="13" t="s">
        <v>43</v>
      </c>
      <c r="I367" s="13" t="n">
        <v>2</v>
      </c>
      <c r="J367" s="13" t="n">
        <v>0</v>
      </c>
      <c r="K367" s="13" t="s">
        <v>85</v>
      </c>
      <c r="L367" s="13" t="n">
        <v>3</v>
      </c>
      <c r="M367" s="13" t="n">
        <v>1018391.27</v>
      </c>
      <c r="N367" s="13" t="n">
        <v>339463.756666667</v>
      </c>
      <c r="O367" s="13" t="n">
        <v>1107.81</v>
      </c>
      <c r="P367" s="13" t="n">
        <v>1</v>
      </c>
      <c r="Q367" s="13" t="n">
        <v>2</v>
      </c>
      <c r="R367" s="13" t="s">
        <v>92</v>
      </c>
      <c r="S367" s="13" t="s">
        <v>215</v>
      </c>
      <c r="T367" s="13" t="n">
        <v>1</v>
      </c>
      <c r="U367" s="13" t="n">
        <f aca="false">IF(B367="Individual",1,0)</f>
        <v>1</v>
      </c>
      <c r="V367" s="13" t="n">
        <f aca="false">IF(B367="Company",1,0)</f>
        <v>0</v>
      </c>
      <c r="W367" s="13" t="n">
        <f aca="false">IF(H367="Home",1,0)</f>
        <v>0</v>
      </c>
      <c r="X367" s="13" t="n">
        <f aca="false">IF(H367="Investment",1,0)</f>
        <v>1</v>
      </c>
      <c r="Y367" s="13" t="n">
        <f aca="false">IF(K367="Website",1,0)</f>
        <v>1</v>
      </c>
      <c r="Z367" s="13" t="n">
        <f aca="false">IF(K367="Agency",1,0)</f>
        <v>0</v>
      </c>
      <c r="AA367" s="13" t="n">
        <f aca="false">IF(K367="Client",1,0)</f>
        <v>0</v>
      </c>
      <c r="AB367" s="13" t="n">
        <f aca="false">(D367-AVERAGE(D$2:D$2001))/STDEV(D$2:D$2001)</f>
        <v>0.222750065550728</v>
      </c>
      <c r="AC367" s="13" t="n">
        <f aca="false">(I367-AVERAGE(I$2:I$2001))/STDEV(I$2:I$2001)</f>
        <v>-0.727948160798201</v>
      </c>
      <c r="AD367" s="13" t="n">
        <f aca="false">(L367-AVERAGE(L$2:L$2001))/STDEV(L$2:L$2001)</f>
        <v>-0.777063122173208</v>
      </c>
      <c r="AE367" s="13" t="n">
        <f aca="false">(M367-AVERAGE(M$2:M$2001))/STDEV(M$2:M$2001)</f>
        <v>-0.695695448646055</v>
      </c>
      <c r="AF367" s="13" t="n">
        <f aca="false">(N367-AVERAGE(N$2:N$2001))/STDEV(N$2:N$2001)</f>
        <v>-0.109380377678725</v>
      </c>
      <c r="AG367" s="13" t="n">
        <f aca="false">(O367-AVERAGE(O$2:O$2001))/STDEV(O$2:O$2001)</f>
        <v>-0.180380144407504</v>
      </c>
      <c r="AH367" s="0" t="str">
        <f aca="false">IF(B367="Company","C3 - Corporate Buyers",IF(AND(H367="Investment",M367&gt;'Segmentation Summary'!$C$1),"C1 - Global Investors",IF(AND(I367&gt;=4,M367&gt;'Segmentation Summary'!$C$1),"C4 - Luxury Investors",IF(AND(D367&lt;'Segmentation Summary'!$C$2,J367=1),"C2 - First-Time Buyers","C5 - Other Individual Buyers"))))</f>
        <v>C5 - Other Individual Buyers</v>
      </c>
    </row>
    <row r="368" customFormat="false" ht="15" hidden="false" customHeight="true" outlineLevel="0" collapsed="false">
      <c r="A368" s="13" t="s">
        <v>802</v>
      </c>
      <c r="B368" s="13" t="s">
        <v>34</v>
      </c>
      <c r="C368" s="13" t="s">
        <v>803</v>
      </c>
      <c r="D368" s="13" t="n">
        <v>40</v>
      </c>
      <c r="E368" s="13" t="s">
        <v>83</v>
      </c>
      <c r="F368" s="13" t="s">
        <v>38</v>
      </c>
      <c r="G368" s="13" t="s">
        <v>339</v>
      </c>
      <c r="H368" s="13" t="s">
        <v>41</v>
      </c>
      <c r="I368" s="13" t="n">
        <v>3</v>
      </c>
      <c r="J368" s="13" t="n">
        <v>0</v>
      </c>
      <c r="K368" s="13" t="s">
        <v>116</v>
      </c>
      <c r="L368" s="13" t="n">
        <v>3</v>
      </c>
      <c r="M368" s="13" t="n">
        <v>1125366.62</v>
      </c>
      <c r="N368" s="13" t="n">
        <v>375122.206666667</v>
      </c>
      <c r="O368" s="13" t="n">
        <v>1182.08</v>
      </c>
      <c r="P368" s="13" t="n">
        <v>0</v>
      </c>
      <c r="Q368" s="13" t="n">
        <v>3</v>
      </c>
      <c r="R368" s="13" t="s">
        <v>92</v>
      </c>
      <c r="S368" s="13" t="s">
        <v>152</v>
      </c>
      <c r="T368" s="13" t="n">
        <v>1</v>
      </c>
      <c r="U368" s="13" t="n">
        <f aca="false">IF(B368="Individual",1,0)</f>
        <v>1</v>
      </c>
      <c r="V368" s="13" t="n">
        <f aca="false">IF(B368="Company",1,0)</f>
        <v>0</v>
      </c>
      <c r="W368" s="13" t="n">
        <f aca="false">IF(H368="Home",1,0)</f>
        <v>1</v>
      </c>
      <c r="X368" s="13" t="n">
        <f aca="false">IF(H368="Investment",1,0)</f>
        <v>0</v>
      </c>
      <c r="Y368" s="13" t="n">
        <f aca="false">IF(K368="Website",1,0)</f>
        <v>0</v>
      </c>
      <c r="Z368" s="13" t="n">
        <f aca="false">IF(K368="Agency",1,0)</f>
        <v>0</v>
      </c>
      <c r="AA368" s="13" t="n">
        <f aca="false">IF(K368="Client",1,0)</f>
        <v>1</v>
      </c>
      <c r="AB368" s="13" t="n">
        <f aca="false">(D368-AVERAGE(D$2:D$2001))/STDEV(D$2:D$2001)</f>
        <v>-0.815174133235994</v>
      </c>
      <c r="AC368" s="13" t="n">
        <f aca="false">(I368-AVERAGE(I$2:I$2001))/STDEV(I$2:I$2001)</f>
        <v>-0.0205155458339628</v>
      </c>
      <c r="AD368" s="13" t="n">
        <f aca="false">(L368-AVERAGE(L$2:L$2001))/STDEV(L$2:L$2001)</f>
        <v>-0.777063122173208</v>
      </c>
      <c r="AE368" s="13" t="n">
        <f aca="false">(M368-AVERAGE(M$2:M$2001))/STDEV(M$2:M$2001)</f>
        <v>-0.388145365179255</v>
      </c>
      <c r="AF368" s="13" t="n">
        <f aca="false">(N368-AVERAGE(N$2:N$2001))/STDEV(N$2:N$2001)</f>
        <v>0.402058495722107</v>
      </c>
      <c r="AG368" s="13" t="n">
        <f aca="false">(O368-AVERAGE(O$2:O$2001))/STDEV(O$2:O$2001)</f>
        <v>0.157329597127679</v>
      </c>
      <c r="AH368" s="0" t="str">
        <f aca="false">IF(B368="Company","C3 - Corporate Buyers",IF(AND(H368="Investment",M368&gt;'Segmentation Summary'!$C$1),"C1 - Global Investors",IF(AND(I368&gt;=4,M368&gt;'Segmentation Summary'!$C$1),"C4 - Luxury Investors",IF(AND(D368&lt;'Segmentation Summary'!$C$2,J368=1),"C2 - First-Time Buyers","C5 - Other Individual Buyers"))))</f>
        <v>C5 - Other Individual Buyers</v>
      </c>
    </row>
    <row r="369" customFormat="false" ht="15" hidden="false" customHeight="true" outlineLevel="0" collapsed="false">
      <c r="A369" s="13" t="s">
        <v>804</v>
      </c>
      <c r="B369" s="13" t="s">
        <v>34</v>
      </c>
      <c r="C369" s="13" t="s">
        <v>805</v>
      </c>
      <c r="D369" s="13" t="n">
        <v>41</v>
      </c>
      <c r="E369" s="13" t="s">
        <v>83</v>
      </c>
      <c r="F369" s="13" t="s">
        <v>33</v>
      </c>
      <c r="G369" s="13" t="s">
        <v>95</v>
      </c>
      <c r="H369" s="13" t="s">
        <v>43</v>
      </c>
      <c r="I369" s="13" t="n">
        <v>1</v>
      </c>
      <c r="J369" s="13" t="n">
        <v>0</v>
      </c>
      <c r="K369" s="13" t="s">
        <v>85</v>
      </c>
      <c r="L369" s="13" t="n">
        <v>3</v>
      </c>
      <c r="M369" s="13" t="n">
        <v>1186634.53</v>
      </c>
      <c r="N369" s="13" t="n">
        <v>395544.843333333</v>
      </c>
      <c r="O369" s="13" t="n">
        <v>1330.85333333333</v>
      </c>
      <c r="P369" s="13" t="n">
        <v>0</v>
      </c>
      <c r="Q369" s="13" t="n">
        <v>3</v>
      </c>
      <c r="R369" s="13" t="s">
        <v>121</v>
      </c>
      <c r="S369" s="13" t="s">
        <v>164</v>
      </c>
      <c r="T369" s="13" t="n">
        <v>1</v>
      </c>
      <c r="U369" s="13" t="n">
        <f aca="false">IF(B369="Individual",1,0)</f>
        <v>1</v>
      </c>
      <c r="V369" s="13" t="n">
        <f aca="false">IF(B369="Company",1,0)</f>
        <v>0</v>
      </c>
      <c r="W369" s="13" t="n">
        <f aca="false">IF(H369="Home",1,0)</f>
        <v>0</v>
      </c>
      <c r="X369" s="13" t="n">
        <f aca="false">IF(H369="Investment",1,0)</f>
        <v>1</v>
      </c>
      <c r="Y369" s="13" t="n">
        <f aca="false">IF(K369="Website",1,0)</f>
        <v>1</v>
      </c>
      <c r="Z369" s="13" t="n">
        <f aca="false">IF(K369="Agency",1,0)</f>
        <v>0</v>
      </c>
      <c r="AA369" s="13" t="n">
        <f aca="false">IF(K369="Client",1,0)</f>
        <v>0</v>
      </c>
      <c r="AB369" s="13" t="n">
        <f aca="false">(D369-AVERAGE(D$2:D$2001))/STDEV(D$2:D$2001)</f>
        <v>-0.757511677747842</v>
      </c>
      <c r="AC369" s="13" t="n">
        <f aca="false">(I369-AVERAGE(I$2:I$2001))/STDEV(I$2:I$2001)</f>
        <v>-1.43538077576244</v>
      </c>
      <c r="AD369" s="13" t="n">
        <f aca="false">(L369-AVERAGE(L$2:L$2001))/STDEV(L$2:L$2001)</f>
        <v>-0.777063122173208</v>
      </c>
      <c r="AE369" s="13" t="n">
        <f aca="false">(M369-AVERAGE(M$2:M$2001))/STDEV(M$2:M$2001)</f>
        <v>-0.212002442213017</v>
      </c>
      <c r="AF369" s="13" t="n">
        <f aca="false">(N369-AVERAGE(N$2:N$2001))/STDEV(N$2:N$2001)</f>
        <v>0.694974488668355</v>
      </c>
      <c r="AG369" s="13" t="n">
        <f aca="false">(O369-AVERAGE(O$2:O$2001))/STDEV(O$2:O$2001)</f>
        <v>0.833810059593366</v>
      </c>
      <c r="AH369" s="0" t="str">
        <f aca="false">IF(B369="Company","C3 - Corporate Buyers",IF(AND(H369="Investment",M369&gt;'Segmentation Summary'!$C$1),"C1 - Global Investors",IF(AND(I369&gt;=4,M369&gt;'Segmentation Summary'!$C$1),"C4 - Luxury Investors",IF(AND(D369&lt;'Segmentation Summary'!$C$2,J369=1),"C2 - First-Time Buyers","C5 - Other Individual Buyers"))))</f>
        <v>C5 - Other Individual Buyers</v>
      </c>
    </row>
    <row r="370" customFormat="false" ht="15" hidden="false" customHeight="true" outlineLevel="0" collapsed="false">
      <c r="A370" s="13" t="s">
        <v>806</v>
      </c>
      <c r="B370" s="13" t="s">
        <v>34</v>
      </c>
      <c r="C370" s="13" t="s">
        <v>807</v>
      </c>
      <c r="D370" s="13" t="n">
        <v>82</v>
      </c>
      <c r="E370" s="13" t="s">
        <v>83</v>
      </c>
      <c r="F370" s="13" t="s">
        <v>33</v>
      </c>
      <c r="G370" s="13" t="s">
        <v>162</v>
      </c>
      <c r="H370" s="13" t="s">
        <v>41</v>
      </c>
      <c r="I370" s="13" t="n">
        <v>3</v>
      </c>
      <c r="J370" s="13" t="n">
        <v>1</v>
      </c>
      <c r="K370" s="13" t="s">
        <v>91</v>
      </c>
      <c r="L370" s="13" t="n">
        <v>4</v>
      </c>
      <c r="M370" s="13" t="n">
        <v>1287568.79</v>
      </c>
      <c r="N370" s="13" t="n">
        <v>321892.1975</v>
      </c>
      <c r="O370" s="13" t="n">
        <v>1014.73</v>
      </c>
      <c r="P370" s="13" t="n">
        <v>1</v>
      </c>
      <c r="Q370" s="13" t="n">
        <v>3</v>
      </c>
      <c r="R370" s="13" t="s">
        <v>101</v>
      </c>
      <c r="S370" s="13" t="s">
        <v>112</v>
      </c>
      <c r="T370" s="13" t="n">
        <v>1</v>
      </c>
      <c r="U370" s="13" t="n">
        <f aca="false">IF(B370="Individual",1,0)</f>
        <v>1</v>
      </c>
      <c r="V370" s="13" t="n">
        <f aca="false">IF(B370="Company",1,0)</f>
        <v>0</v>
      </c>
      <c r="W370" s="13" t="n">
        <f aca="false">IF(H370="Home",1,0)</f>
        <v>1</v>
      </c>
      <c r="X370" s="13" t="n">
        <f aca="false">IF(H370="Investment",1,0)</f>
        <v>0</v>
      </c>
      <c r="Y370" s="13" t="n">
        <f aca="false">IF(K370="Website",1,0)</f>
        <v>0</v>
      </c>
      <c r="Z370" s="13" t="n">
        <f aca="false">IF(K370="Agency",1,0)</f>
        <v>1</v>
      </c>
      <c r="AA370" s="13" t="n">
        <f aca="false">IF(K370="Client",1,0)</f>
        <v>0</v>
      </c>
      <c r="AB370" s="13" t="n">
        <f aca="false">(D370-AVERAGE(D$2:D$2001))/STDEV(D$2:D$2001)</f>
        <v>1.60664899726636</v>
      </c>
      <c r="AC370" s="13" t="n">
        <f aca="false">(I370-AVERAGE(I$2:I$2001))/STDEV(I$2:I$2001)</f>
        <v>-0.0205155458339628</v>
      </c>
      <c r="AD370" s="13" t="n">
        <f aca="false">(L370-AVERAGE(L$2:L$2001))/STDEV(L$2:L$2001)</f>
        <v>0.413838214490712</v>
      </c>
      <c r="AE370" s="13" t="n">
        <f aca="false">(M370-AVERAGE(M$2:M$2001))/STDEV(M$2:M$2001)</f>
        <v>0.0781797360893655</v>
      </c>
      <c r="AF370" s="13" t="n">
        <f aca="false">(N370-AVERAGE(N$2:N$2001))/STDEV(N$2:N$2001)</f>
        <v>-0.361404187577815</v>
      </c>
      <c r="AG370" s="13" t="n">
        <f aca="false">(O370-AVERAGE(O$2:O$2001))/STDEV(O$2:O$2001)</f>
        <v>-0.603619982055206</v>
      </c>
      <c r="AH370" s="0" t="str">
        <f aca="false">IF(B370="Company","C3 - Corporate Buyers",IF(AND(H370="Investment",M370&gt;'Segmentation Summary'!$C$1),"C1 - Global Investors",IF(AND(I370&gt;=4,M370&gt;'Segmentation Summary'!$C$1),"C4 - Luxury Investors",IF(AND(D370&lt;'Segmentation Summary'!$C$2,J370=1),"C2 - First-Time Buyers","C5 - Other Individual Buyers"))))</f>
        <v>C5 - Other Individual Buyers</v>
      </c>
    </row>
    <row r="371" customFormat="false" ht="15" hidden="false" customHeight="true" outlineLevel="0" collapsed="false">
      <c r="A371" s="13" t="s">
        <v>808</v>
      </c>
      <c r="B371" s="13" t="s">
        <v>34</v>
      </c>
      <c r="C371" s="13" t="s">
        <v>809</v>
      </c>
      <c r="D371" s="13" t="n">
        <v>45</v>
      </c>
      <c r="E371" s="13" t="s">
        <v>83</v>
      </c>
      <c r="F371" s="13" t="s">
        <v>33</v>
      </c>
      <c r="G371" s="13" t="s">
        <v>110</v>
      </c>
      <c r="H371" s="13" t="s">
        <v>41</v>
      </c>
      <c r="I371" s="13" t="n">
        <v>4</v>
      </c>
      <c r="J371" s="13" t="n">
        <v>0</v>
      </c>
      <c r="K371" s="13" t="s">
        <v>85</v>
      </c>
      <c r="L371" s="13" t="n">
        <v>3</v>
      </c>
      <c r="M371" s="13" t="n">
        <v>936287.8</v>
      </c>
      <c r="N371" s="13" t="n">
        <v>312095.933333333</v>
      </c>
      <c r="O371" s="13" t="n">
        <v>1078.78666666667</v>
      </c>
      <c r="P371" s="13" t="n">
        <v>0</v>
      </c>
      <c r="Q371" s="13" t="n">
        <v>3</v>
      </c>
      <c r="R371" s="13" t="s">
        <v>101</v>
      </c>
      <c r="S371" s="13" t="s">
        <v>154</v>
      </c>
      <c r="T371" s="13" t="n">
        <v>1</v>
      </c>
      <c r="U371" s="13" t="n">
        <f aca="false">IF(B371="Individual",1,0)</f>
        <v>1</v>
      </c>
      <c r="V371" s="13" t="n">
        <f aca="false">IF(B371="Company",1,0)</f>
        <v>0</v>
      </c>
      <c r="W371" s="13" t="n">
        <f aca="false">IF(H371="Home",1,0)</f>
        <v>1</v>
      </c>
      <c r="X371" s="13" t="n">
        <f aca="false">IF(H371="Investment",1,0)</f>
        <v>0</v>
      </c>
      <c r="Y371" s="13" t="n">
        <f aca="false">IF(K371="Website",1,0)</f>
        <v>1</v>
      </c>
      <c r="Z371" s="13" t="n">
        <f aca="false">IF(K371="Agency",1,0)</f>
        <v>0</v>
      </c>
      <c r="AA371" s="13" t="n">
        <f aca="false">IF(K371="Client",1,0)</f>
        <v>0</v>
      </c>
      <c r="AB371" s="13" t="n">
        <f aca="false">(D371-AVERAGE(D$2:D$2001))/STDEV(D$2:D$2001)</f>
        <v>-0.526861855795238</v>
      </c>
      <c r="AC371" s="13" t="n">
        <f aca="false">(I371-AVERAGE(I$2:I$2001))/STDEV(I$2:I$2001)</f>
        <v>0.686917069130275</v>
      </c>
      <c r="AD371" s="13" t="n">
        <f aca="false">(L371-AVERAGE(L$2:L$2001))/STDEV(L$2:L$2001)</f>
        <v>-0.777063122173208</v>
      </c>
      <c r="AE371" s="13" t="n">
        <f aca="false">(M371-AVERAGE(M$2:M$2001))/STDEV(M$2:M$2001)</f>
        <v>-0.931739818226654</v>
      </c>
      <c r="AF371" s="13" t="n">
        <f aca="false">(N371-AVERAGE(N$2:N$2001))/STDEV(N$2:N$2001)</f>
        <v>-0.501909181735921</v>
      </c>
      <c r="AG371" s="13" t="n">
        <f aca="false">(O371-AVERAGE(O$2:O$2001))/STDEV(O$2:O$2001)</f>
        <v>-0.312350824338678</v>
      </c>
      <c r="AH371" s="0" t="str">
        <f aca="false">IF(B371="Company","C3 - Corporate Buyers",IF(AND(H371="Investment",M371&gt;'Segmentation Summary'!$C$1),"C1 - Global Investors",IF(AND(I371&gt;=4,M371&gt;'Segmentation Summary'!$C$1),"C4 - Luxury Investors",IF(AND(D371&lt;'Segmentation Summary'!$C$2,J371=1),"C2 - First-Time Buyers","C5 - Other Individual Buyers"))))</f>
        <v>C5 - Other Individual Buyers</v>
      </c>
    </row>
    <row r="372" customFormat="false" ht="15" hidden="false" customHeight="true" outlineLevel="0" collapsed="false">
      <c r="A372" s="13" t="s">
        <v>810</v>
      </c>
      <c r="B372" s="13" t="s">
        <v>34</v>
      </c>
      <c r="C372" s="13" t="s">
        <v>811</v>
      </c>
      <c r="D372" s="13" t="n">
        <v>47</v>
      </c>
      <c r="E372" s="13" t="s">
        <v>83</v>
      </c>
      <c r="F372" s="13" t="s">
        <v>33</v>
      </c>
      <c r="G372" s="13" t="s">
        <v>157</v>
      </c>
      <c r="H372" s="13" t="s">
        <v>41</v>
      </c>
      <c r="I372" s="13" t="n">
        <v>1</v>
      </c>
      <c r="J372" s="13" t="n">
        <v>1</v>
      </c>
      <c r="K372" s="13" t="s">
        <v>85</v>
      </c>
      <c r="L372" s="13" t="n">
        <v>4</v>
      </c>
      <c r="M372" s="13" t="n">
        <v>1262931.66</v>
      </c>
      <c r="N372" s="13" t="n">
        <v>315732.915</v>
      </c>
      <c r="O372" s="13" t="n">
        <v>995.0275</v>
      </c>
      <c r="P372" s="13" t="n">
        <v>0</v>
      </c>
      <c r="Q372" s="13" t="n">
        <v>4</v>
      </c>
      <c r="R372" s="13" t="s">
        <v>111</v>
      </c>
      <c r="S372" s="13" t="s">
        <v>125</v>
      </c>
      <c r="T372" s="13" t="n">
        <v>1</v>
      </c>
      <c r="U372" s="13" t="n">
        <f aca="false">IF(B372="Individual",1,0)</f>
        <v>1</v>
      </c>
      <c r="V372" s="13" t="n">
        <f aca="false">IF(B372="Company",1,0)</f>
        <v>0</v>
      </c>
      <c r="W372" s="13" t="n">
        <f aca="false">IF(H372="Home",1,0)</f>
        <v>1</v>
      </c>
      <c r="X372" s="13" t="n">
        <f aca="false">IF(H372="Investment",1,0)</f>
        <v>0</v>
      </c>
      <c r="Y372" s="13" t="n">
        <f aca="false">IF(K372="Website",1,0)</f>
        <v>1</v>
      </c>
      <c r="Z372" s="13" t="n">
        <f aca="false">IF(K372="Agency",1,0)</f>
        <v>0</v>
      </c>
      <c r="AA372" s="13" t="n">
        <f aca="false">IF(K372="Client",1,0)</f>
        <v>0</v>
      </c>
      <c r="AB372" s="13" t="n">
        <f aca="false">(D372-AVERAGE(D$2:D$2001))/STDEV(D$2:D$2001)</f>
        <v>-0.411536944818935</v>
      </c>
      <c r="AC372" s="13" t="n">
        <f aca="false">(I372-AVERAGE(I$2:I$2001))/STDEV(I$2:I$2001)</f>
        <v>-1.43538077576244</v>
      </c>
      <c r="AD372" s="13" t="n">
        <f aca="false">(L372-AVERAGE(L$2:L$2001))/STDEV(L$2:L$2001)</f>
        <v>0.413838214490712</v>
      </c>
      <c r="AE372" s="13" t="n">
        <f aca="false">(M372-AVERAGE(M$2:M$2001))/STDEV(M$2:M$2001)</f>
        <v>0.00734891957058386</v>
      </c>
      <c r="AF372" s="13" t="n">
        <f aca="false">(N372-AVERAGE(N$2:N$2001))/STDEV(N$2:N$2001)</f>
        <v>-0.449745001683798</v>
      </c>
      <c r="AG372" s="13" t="n">
        <f aca="false">(O372-AVERAGE(O$2:O$2001))/STDEV(O$2:O$2001)</f>
        <v>-0.693208324354882</v>
      </c>
      <c r="AH372" s="0" t="str">
        <f aca="false">IF(B372="Company","C3 - Corporate Buyers",IF(AND(H372="Investment",M372&gt;'Segmentation Summary'!$C$1),"C1 - Global Investors",IF(AND(I372&gt;=4,M372&gt;'Segmentation Summary'!$C$1),"C4 - Luxury Investors",IF(AND(D372&lt;'Segmentation Summary'!$C$2,J372=1),"C2 - First-Time Buyers","C5 - Other Individual Buyers"))))</f>
        <v>C2 - First-Time Buyers</v>
      </c>
    </row>
    <row r="373" customFormat="false" ht="15" hidden="false" customHeight="true" outlineLevel="0" collapsed="false">
      <c r="A373" s="13" t="s">
        <v>812</v>
      </c>
      <c r="B373" s="13" t="s">
        <v>34</v>
      </c>
      <c r="C373" s="13" t="s">
        <v>813</v>
      </c>
      <c r="D373" s="13" t="n">
        <v>60</v>
      </c>
      <c r="E373" s="13" t="s">
        <v>90</v>
      </c>
      <c r="F373" s="13" t="s">
        <v>33</v>
      </c>
      <c r="G373" s="13" t="s">
        <v>95</v>
      </c>
      <c r="H373" s="13" t="s">
        <v>41</v>
      </c>
      <c r="I373" s="13" t="n">
        <v>5</v>
      </c>
      <c r="J373" s="13" t="n">
        <v>0</v>
      </c>
      <c r="K373" s="13" t="s">
        <v>116</v>
      </c>
      <c r="L373" s="13" t="n">
        <v>8</v>
      </c>
      <c r="M373" s="13" t="n">
        <v>2026517.4</v>
      </c>
      <c r="N373" s="13" t="n">
        <v>253314.675</v>
      </c>
      <c r="O373" s="13" t="n">
        <v>857.805</v>
      </c>
      <c r="P373" s="13" t="n">
        <v>0</v>
      </c>
      <c r="Q373" s="13" t="n">
        <v>8</v>
      </c>
      <c r="R373" s="13" t="s">
        <v>92</v>
      </c>
      <c r="S373" s="13" t="s">
        <v>114</v>
      </c>
      <c r="T373" s="13" t="n">
        <v>1</v>
      </c>
      <c r="U373" s="13" t="n">
        <f aca="false">IF(B373="Individual",1,0)</f>
        <v>1</v>
      </c>
      <c r="V373" s="13" t="n">
        <f aca="false">IF(B373="Company",1,0)</f>
        <v>0</v>
      </c>
      <c r="W373" s="13" t="n">
        <f aca="false">IF(H373="Home",1,0)</f>
        <v>1</v>
      </c>
      <c r="X373" s="13" t="n">
        <f aca="false">IF(H373="Investment",1,0)</f>
        <v>0</v>
      </c>
      <c r="Y373" s="13" t="n">
        <f aca="false">IF(K373="Website",1,0)</f>
        <v>0</v>
      </c>
      <c r="Z373" s="13" t="n">
        <f aca="false">IF(K373="Agency",1,0)</f>
        <v>0</v>
      </c>
      <c r="AA373" s="13" t="n">
        <f aca="false">IF(K373="Client",1,0)</f>
        <v>1</v>
      </c>
      <c r="AB373" s="13" t="n">
        <f aca="false">(D373-AVERAGE(D$2:D$2001))/STDEV(D$2:D$2001)</f>
        <v>0.338074976527031</v>
      </c>
      <c r="AC373" s="13" t="n">
        <f aca="false">(I373-AVERAGE(I$2:I$2001))/STDEV(I$2:I$2001)</f>
        <v>1.39434968409451</v>
      </c>
      <c r="AD373" s="13" t="n">
        <f aca="false">(L373-AVERAGE(L$2:L$2001))/STDEV(L$2:L$2001)</f>
        <v>5.17744356114639</v>
      </c>
      <c r="AE373" s="13" t="n">
        <f aca="false">(M373-AVERAGE(M$2:M$2001))/STDEV(M$2:M$2001)</f>
        <v>2.20262902915712</v>
      </c>
      <c r="AF373" s="13" t="n">
        <f aca="false">(N373-AVERAGE(N$2:N$2001))/STDEV(N$2:N$2001)</f>
        <v>-1.34499183224605</v>
      </c>
      <c r="AG373" s="13" t="n">
        <f aca="false">(O373-AVERAGE(O$2:O$2001))/STDEV(O$2:O$2001)</f>
        <v>-1.31716651753937</v>
      </c>
      <c r="AH373" s="0" t="str">
        <f aca="false">IF(B373="Company","C3 - Corporate Buyers",IF(AND(H373="Investment",M373&gt;'Segmentation Summary'!$C$1),"C1 - Global Investors",IF(AND(I373&gt;=4,M373&gt;'Segmentation Summary'!$C$1),"C4 - Luxury Investors",IF(AND(D373&lt;'Segmentation Summary'!$C$2,J373=1),"C2 - First-Time Buyers","C5 - Other Individual Buyers"))))</f>
        <v>C4 - Luxury Investors</v>
      </c>
    </row>
    <row r="374" customFormat="false" ht="15" hidden="false" customHeight="true" outlineLevel="0" collapsed="false">
      <c r="A374" s="13" t="s">
        <v>814</v>
      </c>
      <c r="B374" s="13" t="s">
        <v>34</v>
      </c>
      <c r="C374" s="13" t="s">
        <v>815</v>
      </c>
      <c r="D374" s="13" t="n">
        <v>46</v>
      </c>
      <c r="E374" s="13" t="s">
        <v>90</v>
      </c>
      <c r="F374" s="13" t="s">
        <v>33</v>
      </c>
      <c r="G374" s="13" t="s">
        <v>110</v>
      </c>
      <c r="H374" s="13" t="s">
        <v>41</v>
      </c>
      <c r="I374" s="13" t="n">
        <v>3</v>
      </c>
      <c r="J374" s="13" t="n">
        <v>0</v>
      </c>
      <c r="K374" s="13" t="s">
        <v>85</v>
      </c>
      <c r="L374" s="13" t="n">
        <v>3</v>
      </c>
      <c r="M374" s="13" t="n">
        <v>905314.84</v>
      </c>
      <c r="N374" s="13" t="n">
        <v>301771.613333333</v>
      </c>
      <c r="O374" s="13" t="n">
        <v>1010.53</v>
      </c>
      <c r="P374" s="13" t="n">
        <v>0</v>
      </c>
      <c r="Q374" s="13" t="n">
        <v>3</v>
      </c>
      <c r="R374" s="13" t="s">
        <v>128</v>
      </c>
      <c r="S374" s="13" t="s">
        <v>154</v>
      </c>
      <c r="T374" s="13" t="n">
        <v>1</v>
      </c>
      <c r="U374" s="13" t="n">
        <f aca="false">IF(B374="Individual",1,0)</f>
        <v>1</v>
      </c>
      <c r="V374" s="13" t="n">
        <f aca="false">IF(B374="Company",1,0)</f>
        <v>0</v>
      </c>
      <c r="W374" s="13" t="n">
        <f aca="false">IF(H374="Home",1,0)</f>
        <v>1</v>
      </c>
      <c r="X374" s="13" t="n">
        <f aca="false">IF(H374="Investment",1,0)</f>
        <v>0</v>
      </c>
      <c r="Y374" s="13" t="n">
        <f aca="false">IF(K374="Website",1,0)</f>
        <v>1</v>
      </c>
      <c r="Z374" s="13" t="n">
        <f aca="false">IF(K374="Agency",1,0)</f>
        <v>0</v>
      </c>
      <c r="AA374" s="13" t="n">
        <f aca="false">IF(K374="Client",1,0)</f>
        <v>0</v>
      </c>
      <c r="AB374" s="13" t="n">
        <f aca="false">(D374-AVERAGE(D$2:D$2001))/STDEV(D$2:D$2001)</f>
        <v>-0.469199400307086</v>
      </c>
      <c r="AC374" s="13" t="n">
        <f aca="false">(I374-AVERAGE(I$2:I$2001))/STDEV(I$2:I$2001)</f>
        <v>-0.0205155458339628</v>
      </c>
      <c r="AD374" s="13" t="n">
        <f aca="false">(L374-AVERAGE(L$2:L$2001))/STDEV(L$2:L$2001)</f>
        <v>-0.777063122173208</v>
      </c>
      <c r="AE374" s="13" t="n">
        <f aca="false">(M374-AVERAGE(M$2:M$2001))/STDEV(M$2:M$2001)</f>
        <v>-1.02078590625734</v>
      </c>
      <c r="AF374" s="13" t="n">
        <f aca="false">(N374-AVERAGE(N$2:N$2001))/STDEV(N$2:N$2001)</f>
        <v>-0.649987928552725</v>
      </c>
      <c r="AG374" s="13" t="n">
        <f aca="false">(O374-AVERAGE(O$2:O$2001))/STDEV(O$2:O$2001)</f>
        <v>-0.622717611171239</v>
      </c>
      <c r="AH374" s="0" t="str">
        <f aca="false">IF(B374="Company","C3 - Corporate Buyers",IF(AND(H374="Investment",M374&gt;'Segmentation Summary'!$C$1),"C1 - Global Investors",IF(AND(I374&gt;=4,M374&gt;'Segmentation Summary'!$C$1),"C4 - Luxury Investors",IF(AND(D374&lt;'Segmentation Summary'!$C$2,J374=1),"C2 - First-Time Buyers","C5 - Other Individual Buyers"))))</f>
        <v>C5 - Other Individual Buyers</v>
      </c>
    </row>
    <row r="375" customFormat="false" ht="15" hidden="false" customHeight="true" outlineLevel="0" collapsed="false">
      <c r="A375" s="13" t="s">
        <v>816</v>
      </c>
      <c r="B375" s="13" t="s">
        <v>34</v>
      </c>
      <c r="C375" s="13" t="s">
        <v>817</v>
      </c>
      <c r="D375" s="13" t="n">
        <v>30</v>
      </c>
      <c r="E375" s="13" t="s">
        <v>90</v>
      </c>
      <c r="F375" s="13" t="s">
        <v>38</v>
      </c>
      <c r="G375" s="13" t="s">
        <v>127</v>
      </c>
      <c r="H375" s="13" t="s">
        <v>41</v>
      </c>
      <c r="I375" s="13" t="n">
        <v>4</v>
      </c>
      <c r="J375" s="13" t="n">
        <v>0</v>
      </c>
      <c r="K375" s="13" t="s">
        <v>85</v>
      </c>
      <c r="L375" s="13" t="n">
        <v>3</v>
      </c>
      <c r="M375" s="13" t="n">
        <v>803219.7</v>
      </c>
      <c r="N375" s="13" t="n">
        <v>267739.9</v>
      </c>
      <c r="O375" s="13" t="n">
        <v>899.62</v>
      </c>
      <c r="P375" s="13" t="n">
        <v>0</v>
      </c>
      <c r="Q375" s="13" t="n">
        <v>3</v>
      </c>
      <c r="R375" s="13" t="s">
        <v>128</v>
      </c>
      <c r="S375" s="13" t="s">
        <v>152</v>
      </c>
      <c r="T375" s="13" t="n">
        <v>1</v>
      </c>
      <c r="U375" s="13" t="n">
        <f aca="false">IF(B375="Individual",1,0)</f>
        <v>1</v>
      </c>
      <c r="V375" s="13" t="n">
        <f aca="false">IF(B375="Company",1,0)</f>
        <v>0</v>
      </c>
      <c r="W375" s="13" t="n">
        <f aca="false">IF(H375="Home",1,0)</f>
        <v>1</v>
      </c>
      <c r="X375" s="13" t="n">
        <f aca="false">IF(H375="Investment",1,0)</f>
        <v>0</v>
      </c>
      <c r="Y375" s="13" t="n">
        <f aca="false">IF(K375="Website",1,0)</f>
        <v>1</v>
      </c>
      <c r="Z375" s="13" t="n">
        <f aca="false">IF(K375="Agency",1,0)</f>
        <v>0</v>
      </c>
      <c r="AA375" s="13" t="n">
        <f aca="false">IF(K375="Client",1,0)</f>
        <v>0</v>
      </c>
      <c r="AB375" s="13" t="n">
        <f aca="false">(D375-AVERAGE(D$2:D$2001))/STDEV(D$2:D$2001)</f>
        <v>-1.39179868811751</v>
      </c>
      <c r="AC375" s="13" t="n">
        <f aca="false">(I375-AVERAGE(I$2:I$2001))/STDEV(I$2:I$2001)</f>
        <v>0.686917069130275</v>
      </c>
      <c r="AD375" s="13" t="n">
        <f aca="false">(L375-AVERAGE(L$2:L$2001))/STDEV(L$2:L$2001)</f>
        <v>-0.777063122173208</v>
      </c>
      <c r="AE375" s="13" t="n">
        <f aca="false">(M375-AVERAGE(M$2:M$2001))/STDEV(M$2:M$2001)</f>
        <v>-1.31430557063381</v>
      </c>
      <c r="AF375" s="13" t="n">
        <f aca="false">(N375-AVERAGE(N$2:N$2001))/STDEV(N$2:N$2001)</f>
        <v>-1.13809498668621</v>
      </c>
      <c r="AG375" s="13" t="n">
        <f aca="false">(O375-AVERAGE(O$2:O$2001))/STDEV(O$2:O$2001)</f>
        <v>-1.12703143147105</v>
      </c>
      <c r="AH375" s="0" t="str">
        <f aca="false">IF(B375="Company","C3 - Corporate Buyers",IF(AND(H375="Investment",M375&gt;'Segmentation Summary'!$C$1),"C1 - Global Investors",IF(AND(I375&gt;=4,M375&gt;'Segmentation Summary'!$C$1),"C4 - Luxury Investors",IF(AND(D375&lt;'Segmentation Summary'!$C$2,J375=1),"C2 - First-Time Buyers","C5 - Other Individual Buyers"))))</f>
        <v>C5 - Other Individual Buyers</v>
      </c>
    </row>
    <row r="376" customFormat="false" ht="15" hidden="false" customHeight="true" outlineLevel="0" collapsed="false">
      <c r="A376" s="13" t="s">
        <v>818</v>
      </c>
      <c r="B376" s="13" t="s">
        <v>34</v>
      </c>
      <c r="C376" s="13" t="s">
        <v>819</v>
      </c>
      <c r="D376" s="13" t="n">
        <v>26</v>
      </c>
      <c r="E376" s="13" t="s">
        <v>90</v>
      </c>
      <c r="F376" s="13" t="s">
        <v>38</v>
      </c>
      <c r="G376" s="13" t="s">
        <v>665</v>
      </c>
      <c r="H376" s="13" t="s">
        <v>41</v>
      </c>
      <c r="I376" s="13" t="n">
        <v>2</v>
      </c>
      <c r="J376" s="13" t="n">
        <v>1</v>
      </c>
      <c r="K376" s="13" t="s">
        <v>91</v>
      </c>
      <c r="L376" s="13" t="n">
        <v>4</v>
      </c>
      <c r="M376" s="13" t="n">
        <v>1081069.19</v>
      </c>
      <c r="N376" s="13" t="n">
        <v>270267.2975</v>
      </c>
      <c r="O376" s="13" t="n">
        <v>901.245</v>
      </c>
      <c r="P376" s="13" t="n">
        <v>0</v>
      </c>
      <c r="Q376" s="13" t="n">
        <v>4</v>
      </c>
      <c r="R376" s="13" t="s">
        <v>92</v>
      </c>
      <c r="S376" s="13" t="s">
        <v>215</v>
      </c>
      <c r="T376" s="13" t="n">
        <v>1</v>
      </c>
      <c r="U376" s="13" t="n">
        <f aca="false">IF(B376="Individual",1,0)</f>
        <v>1</v>
      </c>
      <c r="V376" s="13" t="n">
        <f aca="false">IF(B376="Company",1,0)</f>
        <v>0</v>
      </c>
      <c r="W376" s="13" t="n">
        <f aca="false">IF(H376="Home",1,0)</f>
        <v>1</v>
      </c>
      <c r="X376" s="13" t="n">
        <f aca="false">IF(H376="Investment",1,0)</f>
        <v>0</v>
      </c>
      <c r="Y376" s="13" t="n">
        <f aca="false">IF(K376="Website",1,0)</f>
        <v>0</v>
      </c>
      <c r="Z376" s="13" t="n">
        <f aca="false">IF(K376="Agency",1,0)</f>
        <v>1</v>
      </c>
      <c r="AA376" s="13" t="n">
        <f aca="false">IF(K376="Client",1,0)</f>
        <v>0</v>
      </c>
      <c r="AB376" s="13" t="n">
        <f aca="false">(D376-AVERAGE(D$2:D$2001))/STDEV(D$2:D$2001)</f>
        <v>-1.62244851007011</v>
      </c>
      <c r="AC376" s="13" t="n">
        <f aca="false">(I376-AVERAGE(I$2:I$2001))/STDEV(I$2:I$2001)</f>
        <v>-0.727948160798201</v>
      </c>
      <c r="AD376" s="13" t="n">
        <f aca="false">(L376-AVERAGE(L$2:L$2001))/STDEV(L$2:L$2001)</f>
        <v>0.413838214490712</v>
      </c>
      <c r="AE376" s="13" t="n">
        <f aca="false">(M376-AVERAGE(M$2:M$2001))/STDEV(M$2:M$2001)</f>
        <v>-0.515498800282433</v>
      </c>
      <c r="AF376" s="13" t="n">
        <f aca="false">(N376-AVERAGE(N$2:N$2001))/STDEV(N$2:N$2001)</f>
        <v>-1.10184525261094</v>
      </c>
      <c r="AG376" s="13" t="n">
        <f aca="false">(O376-AVERAGE(O$2:O$2001))/STDEV(O$2:O$2001)</f>
        <v>-1.11964246782497</v>
      </c>
      <c r="AH376" s="0" t="str">
        <f aca="false">IF(B376="Company","C3 - Corporate Buyers",IF(AND(H376="Investment",M376&gt;'Segmentation Summary'!$C$1),"C1 - Global Investors",IF(AND(I376&gt;=4,M376&gt;'Segmentation Summary'!$C$1),"C4 - Luxury Investors",IF(AND(D376&lt;'Segmentation Summary'!$C$2,J376=1),"C2 - First-Time Buyers","C5 - Other Individual Buyers"))))</f>
        <v>C2 - First-Time Buyers</v>
      </c>
    </row>
    <row r="377" customFormat="false" ht="15" hidden="false" customHeight="true" outlineLevel="0" collapsed="false">
      <c r="A377" s="13" t="s">
        <v>820</v>
      </c>
      <c r="B377" s="13" t="s">
        <v>34</v>
      </c>
      <c r="C377" s="13" t="s">
        <v>821</v>
      </c>
      <c r="D377" s="13" t="n">
        <v>68</v>
      </c>
      <c r="E377" s="13" t="s">
        <v>90</v>
      </c>
      <c r="F377" s="13" t="s">
        <v>33</v>
      </c>
      <c r="G377" s="13" t="s">
        <v>120</v>
      </c>
      <c r="H377" s="13" t="s">
        <v>43</v>
      </c>
      <c r="I377" s="13" t="n">
        <v>5</v>
      </c>
      <c r="J377" s="13" t="n">
        <v>1</v>
      </c>
      <c r="K377" s="13" t="s">
        <v>85</v>
      </c>
      <c r="L377" s="13" t="n">
        <v>3</v>
      </c>
      <c r="M377" s="13" t="n">
        <v>983106.84</v>
      </c>
      <c r="N377" s="13" t="n">
        <v>327702.28</v>
      </c>
      <c r="O377" s="13" t="n">
        <v>1104.51</v>
      </c>
      <c r="P377" s="13" t="n">
        <v>1</v>
      </c>
      <c r="Q377" s="13" t="n">
        <v>2</v>
      </c>
      <c r="R377" s="13" t="s">
        <v>86</v>
      </c>
      <c r="S377" s="13" t="s">
        <v>135</v>
      </c>
      <c r="T377" s="13" t="n">
        <v>1</v>
      </c>
      <c r="U377" s="13" t="n">
        <f aca="false">IF(B377="Individual",1,0)</f>
        <v>1</v>
      </c>
      <c r="V377" s="13" t="n">
        <f aca="false">IF(B377="Company",1,0)</f>
        <v>0</v>
      </c>
      <c r="W377" s="13" t="n">
        <f aca="false">IF(H377="Home",1,0)</f>
        <v>0</v>
      </c>
      <c r="X377" s="13" t="n">
        <f aca="false">IF(H377="Investment",1,0)</f>
        <v>1</v>
      </c>
      <c r="Y377" s="13" t="n">
        <f aca="false">IF(K377="Website",1,0)</f>
        <v>1</v>
      </c>
      <c r="Z377" s="13" t="n">
        <f aca="false">IF(K377="Agency",1,0)</f>
        <v>0</v>
      </c>
      <c r="AA377" s="13" t="n">
        <f aca="false">IF(K377="Client",1,0)</f>
        <v>0</v>
      </c>
      <c r="AB377" s="13" t="n">
        <f aca="false">(D377-AVERAGE(D$2:D$2001))/STDEV(D$2:D$2001)</f>
        <v>0.79937462043224</v>
      </c>
      <c r="AC377" s="13" t="n">
        <f aca="false">(I377-AVERAGE(I$2:I$2001))/STDEV(I$2:I$2001)</f>
        <v>1.39434968409451</v>
      </c>
      <c r="AD377" s="13" t="n">
        <f aca="false">(L377-AVERAGE(L$2:L$2001))/STDEV(L$2:L$2001)</f>
        <v>-0.777063122173208</v>
      </c>
      <c r="AE377" s="13" t="n">
        <f aca="false">(M377-AVERAGE(M$2:M$2001))/STDEV(M$2:M$2001)</f>
        <v>-0.797136849787332</v>
      </c>
      <c r="AF377" s="13" t="n">
        <f aca="false">(N377-AVERAGE(N$2:N$2001))/STDEV(N$2:N$2001)</f>
        <v>-0.278071848450178</v>
      </c>
      <c r="AG377" s="13" t="n">
        <f aca="false">(O377-AVERAGE(O$2:O$2001))/STDEV(O$2:O$2001)</f>
        <v>-0.195385424427244</v>
      </c>
      <c r="AH377" s="0" t="str">
        <f aca="false">IF(B377="Company","C3 - Corporate Buyers",IF(AND(H377="Investment",M377&gt;'Segmentation Summary'!$C$1),"C1 - Global Investors",IF(AND(I377&gt;=4,M377&gt;'Segmentation Summary'!$C$1),"C4 - Luxury Investors",IF(AND(D377&lt;'Segmentation Summary'!$C$2,J377=1),"C2 - First-Time Buyers","C5 - Other Individual Buyers"))))</f>
        <v>C5 - Other Individual Buyers</v>
      </c>
    </row>
    <row r="378" customFormat="false" ht="15" hidden="false" customHeight="true" outlineLevel="0" collapsed="false">
      <c r="A378" s="13" t="s">
        <v>822</v>
      </c>
      <c r="B378" s="13" t="s">
        <v>34</v>
      </c>
      <c r="C378" s="13" t="s">
        <v>823</v>
      </c>
      <c r="D378" s="13" t="n">
        <v>53</v>
      </c>
      <c r="E378" s="13" t="s">
        <v>83</v>
      </c>
      <c r="F378" s="13" t="s">
        <v>33</v>
      </c>
      <c r="G378" s="13" t="s">
        <v>824</v>
      </c>
      <c r="H378" s="13" t="s">
        <v>41</v>
      </c>
      <c r="I378" s="13" t="n">
        <v>3</v>
      </c>
      <c r="J378" s="13" t="n">
        <v>0</v>
      </c>
      <c r="K378" s="13" t="s">
        <v>85</v>
      </c>
      <c r="L378" s="13" t="n">
        <v>8</v>
      </c>
      <c r="M378" s="13" t="n">
        <v>2817926.96</v>
      </c>
      <c r="N378" s="13" t="n">
        <v>352240.87</v>
      </c>
      <c r="O378" s="13" t="n">
        <v>1218.0425</v>
      </c>
      <c r="P378" s="13" t="n">
        <v>1</v>
      </c>
      <c r="Q378" s="13" t="n">
        <v>7</v>
      </c>
      <c r="R378" s="13" t="s">
        <v>92</v>
      </c>
      <c r="S378" s="13" t="s">
        <v>114</v>
      </c>
      <c r="T378" s="13" t="n">
        <v>1</v>
      </c>
      <c r="U378" s="13" t="n">
        <f aca="false">IF(B378="Individual",1,0)</f>
        <v>1</v>
      </c>
      <c r="V378" s="13" t="n">
        <f aca="false">IF(B378="Company",1,0)</f>
        <v>0</v>
      </c>
      <c r="W378" s="13" t="n">
        <f aca="false">IF(H378="Home",1,0)</f>
        <v>1</v>
      </c>
      <c r="X378" s="13" t="n">
        <f aca="false">IF(H378="Investment",1,0)</f>
        <v>0</v>
      </c>
      <c r="Y378" s="13" t="n">
        <f aca="false">IF(K378="Website",1,0)</f>
        <v>1</v>
      </c>
      <c r="Z378" s="13" t="n">
        <f aca="false">IF(K378="Agency",1,0)</f>
        <v>0</v>
      </c>
      <c r="AA378" s="13" t="n">
        <f aca="false">IF(K378="Client",1,0)</f>
        <v>0</v>
      </c>
      <c r="AB378" s="13" t="n">
        <f aca="false">(D378-AVERAGE(D$2:D$2001))/STDEV(D$2:D$2001)</f>
        <v>-0.065562211890028</v>
      </c>
      <c r="AC378" s="13" t="n">
        <f aca="false">(I378-AVERAGE(I$2:I$2001))/STDEV(I$2:I$2001)</f>
        <v>-0.0205155458339628</v>
      </c>
      <c r="AD378" s="13" t="n">
        <f aca="false">(L378-AVERAGE(L$2:L$2001))/STDEV(L$2:L$2001)</f>
        <v>5.17744356114639</v>
      </c>
      <c r="AE378" s="13" t="n">
        <f aca="false">(M378-AVERAGE(M$2:M$2001))/STDEV(M$2:M$2001)</f>
        <v>4.47790156843298</v>
      </c>
      <c r="AF378" s="13" t="n">
        <f aca="false">(N378-AVERAGE(N$2:N$2001))/STDEV(N$2:N$2001)</f>
        <v>0.0738780771479592</v>
      </c>
      <c r="AG378" s="13" t="n">
        <f aca="false">(O378-AVERAGE(O$2:O$2001))/STDEV(O$2:O$2001)</f>
        <v>0.320853046433712</v>
      </c>
      <c r="AH378" s="0" t="str">
        <f aca="false">IF(B378="Company","C3 - Corporate Buyers",IF(AND(H378="Investment",M378&gt;'Segmentation Summary'!$C$1),"C1 - Global Investors",IF(AND(I378&gt;=4,M378&gt;'Segmentation Summary'!$C$1),"C4 - Luxury Investors",IF(AND(D378&lt;'Segmentation Summary'!$C$2,J378=1),"C2 - First-Time Buyers","C5 - Other Individual Buyers"))))</f>
        <v>C5 - Other Individual Buyers</v>
      </c>
    </row>
    <row r="379" customFormat="false" ht="15" hidden="false" customHeight="true" outlineLevel="0" collapsed="false">
      <c r="A379" s="13" t="s">
        <v>825</v>
      </c>
      <c r="B379" s="13" t="s">
        <v>34</v>
      </c>
      <c r="C379" s="13" t="s">
        <v>826</v>
      </c>
      <c r="D379" s="13" t="n">
        <v>60</v>
      </c>
      <c r="E379" s="13" t="s">
        <v>83</v>
      </c>
      <c r="F379" s="13" t="s">
        <v>40</v>
      </c>
      <c r="G379" s="13" t="s">
        <v>219</v>
      </c>
      <c r="H379" s="13" t="s">
        <v>43</v>
      </c>
      <c r="I379" s="13" t="n">
        <v>2</v>
      </c>
      <c r="J379" s="13" t="n">
        <v>0</v>
      </c>
      <c r="K379" s="13" t="s">
        <v>85</v>
      </c>
      <c r="L379" s="13" t="n">
        <v>4</v>
      </c>
      <c r="M379" s="13" t="n">
        <v>1272471.05</v>
      </c>
      <c r="N379" s="13" t="n">
        <v>318117.7625</v>
      </c>
      <c r="O379" s="13" t="n">
        <v>1065.415</v>
      </c>
      <c r="P379" s="13" t="n">
        <v>2</v>
      </c>
      <c r="Q379" s="13" t="n">
        <v>2</v>
      </c>
      <c r="R379" s="13" t="s">
        <v>117</v>
      </c>
      <c r="S379" s="13" t="s">
        <v>215</v>
      </c>
      <c r="T379" s="13" t="n">
        <v>1</v>
      </c>
      <c r="U379" s="13" t="n">
        <f aca="false">IF(B379="Individual",1,0)</f>
        <v>1</v>
      </c>
      <c r="V379" s="13" t="n">
        <f aca="false">IF(B379="Company",1,0)</f>
        <v>0</v>
      </c>
      <c r="W379" s="13" t="n">
        <f aca="false">IF(H379="Home",1,0)</f>
        <v>0</v>
      </c>
      <c r="X379" s="13" t="n">
        <f aca="false">IF(H379="Investment",1,0)</f>
        <v>1</v>
      </c>
      <c r="Y379" s="13" t="n">
        <f aca="false">IF(K379="Website",1,0)</f>
        <v>1</v>
      </c>
      <c r="Z379" s="13" t="n">
        <f aca="false">IF(K379="Agency",1,0)</f>
        <v>0</v>
      </c>
      <c r="AA379" s="13" t="n">
        <f aca="false">IF(K379="Client",1,0)</f>
        <v>0</v>
      </c>
      <c r="AB379" s="13" t="n">
        <f aca="false">(D379-AVERAGE(D$2:D$2001))/STDEV(D$2:D$2001)</f>
        <v>0.338074976527031</v>
      </c>
      <c r="AC379" s="13" t="n">
        <f aca="false">(I379-AVERAGE(I$2:I$2001))/STDEV(I$2:I$2001)</f>
        <v>-0.727948160798201</v>
      </c>
      <c r="AD379" s="13" t="n">
        <f aca="false">(L379-AVERAGE(L$2:L$2001))/STDEV(L$2:L$2001)</f>
        <v>0.413838214490712</v>
      </c>
      <c r="AE379" s="13" t="n">
        <f aca="false">(M379-AVERAGE(M$2:M$2001))/STDEV(M$2:M$2001)</f>
        <v>0.0347743048646951</v>
      </c>
      <c r="AF379" s="13" t="n">
        <f aca="false">(N379-AVERAGE(N$2:N$2001))/STDEV(N$2:N$2001)</f>
        <v>-0.415539821182884</v>
      </c>
      <c r="AG379" s="13" t="n">
        <f aca="false">(O379-AVERAGE(O$2:O$2001))/STDEV(O$2:O$2001)</f>
        <v>-0.373152522115651</v>
      </c>
      <c r="AH379" s="0" t="str">
        <f aca="false">IF(B379="Company","C3 - Corporate Buyers",IF(AND(H379="Investment",M379&gt;'Segmentation Summary'!$C$1),"C1 - Global Investors",IF(AND(I379&gt;=4,M379&gt;'Segmentation Summary'!$C$1),"C4 - Luxury Investors",IF(AND(D379&lt;'Segmentation Summary'!$C$2,J379=1),"C2 - First-Time Buyers","C5 - Other Individual Buyers"))))</f>
        <v>C1 - Global Investors</v>
      </c>
    </row>
    <row r="380" customFormat="false" ht="15" hidden="false" customHeight="true" outlineLevel="0" collapsed="false">
      <c r="A380" s="13" t="s">
        <v>827</v>
      </c>
      <c r="B380" s="13" t="s">
        <v>34</v>
      </c>
      <c r="C380" s="13" t="s">
        <v>828</v>
      </c>
      <c r="D380" s="13" t="n">
        <v>59</v>
      </c>
      <c r="E380" s="13" t="s">
        <v>83</v>
      </c>
      <c r="F380" s="13" t="s">
        <v>33</v>
      </c>
      <c r="G380" s="13" t="s">
        <v>162</v>
      </c>
      <c r="H380" s="13" t="s">
        <v>41</v>
      </c>
      <c r="I380" s="13" t="n">
        <v>5</v>
      </c>
      <c r="J380" s="13" t="n">
        <v>0</v>
      </c>
      <c r="K380" s="13" t="s">
        <v>116</v>
      </c>
      <c r="L380" s="13" t="n">
        <v>3</v>
      </c>
      <c r="M380" s="13" t="n">
        <v>1016661.44</v>
      </c>
      <c r="N380" s="13" t="n">
        <v>338887.146666667</v>
      </c>
      <c r="O380" s="13" t="n">
        <v>1059.15</v>
      </c>
      <c r="P380" s="13" t="n">
        <v>1</v>
      </c>
      <c r="Q380" s="13" t="n">
        <v>2</v>
      </c>
      <c r="R380" s="13" t="s">
        <v>92</v>
      </c>
      <c r="S380" s="13" t="s">
        <v>154</v>
      </c>
      <c r="T380" s="13" t="n">
        <v>1</v>
      </c>
      <c r="U380" s="13" t="n">
        <f aca="false">IF(B380="Individual",1,0)</f>
        <v>1</v>
      </c>
      <c r="V380" s="13" t="n">
        <f aca="false">IF(B380="Company",1,0)</f>
        <v>0</v>
      </c>
      <c r="W380" s="13" t="n">
        <f aca="false">IF(H380="Home",1,0)</f>
        <v>1</v>
      </c>
      <c r="X380" s="13" t="n">
        <f aca="false">IF(H380="Investment",1,0)</f>
        <v>0</v>
      </c>
      <c r="Y380" s="13" t="n">
        <f aca="false">IF(K380="Website",1,0)</f>
        <v>0</v>
      </c>
      <c r="Z380" s="13" t="n">
        <f aca="false">IF(K380="Agency",1,0)</f>
        <v>0</v>
      </c>
      <c r="AA380" s="13" t="n">
        <f aca="false">IF(K380="Client",1,0)</f>
        <v>1</v>
      </c>
      <c r="AB380" s="13" t="n">
        <f aca="false">(D380-AVERAGE(D$2:D$2001))/STDEV(D$2:D$2001)</f>
        <v>0.280412521038879</v>
      </c>
      <c r="AC380" s="13" t="n">
        <f aca="false">(I380-AVERAGE(I$2:I$2001))/STDEV(I$2:I$2001)</f>
        <v>1.39434968409451</v>
      </c>
      <c r="AD380" s="13" t="n">
        <f aca="false">(L380-AVERAGE(L$2:L$2001))/STDEV(L$2:L$2001)</f>
        <v>-0.777063122173208</v>
      </c>
      <c r="AE380" s="13" t="n">
        <f aca="false">(M380-AVERAGE(M$2:M$2001))/STDEV(M$2:M$2001)</f>
        <v>-0.700668644441941</v>
      </c>
      <c r="AF380" s="13" t="n">
        <f aca="false">(N380-AVERAGE(N$2:N$2001))/STDEV(N$2:N$2001)</f>
        <v>-0.11765052875909</v>
      </c>
      <c r="AG380" s="13" t="n">
        <f aca="false">(O380-AVERAGE(O$2:O$2001))/STDEV(O$2:O$2001)</f>
        <v>-0.4016398188804</v>
      </c>
      <c r="AH380" s="0" t="str">
        <f aca="false">IF(B380="Company","C3 - Corporate Buyers",IF(AND(H380="Investment",M380&gt;'Segmentation Summary'!$C$1),"C1 - Global Investors",IF(AND(I380&gt;=4,M380&gt;'Segmentation Summary'!$C$1),"C4 - Luxury Investors",IF(AND(D380&lt;'Segmentation Summary'!$C$2,J380=1),"C2 - First-Time Buyers","C5 - Other Individual Buyers"))))</f>
        <v>C5 - Other Individual Buyers</v>
      </c>
    </row>
    <row r="381" customFormat="false" ht="15" hidden="false" customHeight="true" outlineLevel="0" collapsed="false">
      <c r="A381" s="13" t="s">
        <v>829</v>
      </c>
      <c r="B381" s="13" t="s">
        <v>34</v>
      </c>
      <c r="C381" s="13" t="s">
        <v>830</v>
      </c>
      <c r="D381" s="13" t="n">
        <v>51</v>
      </c>
      <c r="E381" s="13" t="s">
        <v>83</v>
      </c>
      <c r="F381" s="13" t="s">
        <v>33</v>
      </c>
      <c r="G381" s="13" t="s">
        <v>84</v>
      </c>
      <c r="H381" s="13" t="s">
        <v>41</v>
      </c>
      <c r="I381" s="13" t="n">
        <v>4</v>
      </c>
      <c r="J381" s="13" t="n">
        <v>0</v>
      </c>
      <c r="K381" s="13" t="s">
        <v>91</v>
      </c>
      <c r="L381" s="13" t="n">
        <v>3</v>
      </c>
      <c r="M381" s="13" t="n">
        <v>913579.41</v>
      </c>
      <c r="N381" s="13" t="n">
        <v>304526.47</v>
      </c>
      <c r="O381" s="13" t="n">
        <v>1032.28</v>
      </c>
      <c r="P381" s="13" t="n">
        <v>0</v>
      </c>
      <c r="Q381" s="13" t="n">
        <v>3</v>
      </c>
      <c r="R381" s="13" t="s">
        <v>92</v>
      </c>
      <c r="S381" s="13" t="s">
        <v>87</v>
      </c>
      <c r="T381" s="13" t="n">
        <v>1</v>
      </c>
      <c r="U381" s="13" t="n">
        <f aca="false">IF(B381="Individual",1,0)</f>
        <v>1</v>
      </c>
      <c r="V381" s="13" t="n">
        <f aca="false">IF(B381="Company",1,0)</f>
        <v>0</v>
      </c>
      <c r="W381" s="13" t="n">
        <f aca="false">IF(H381="Home",1,0)</f>
        <v>1</v>
      </c>
      <c r="X381" s="13" t="n">
        <f aca="false">IF(H381="Investment",1,0)</f>
        <v>0</v>
      </c>
      <c r="Y381" s="13" t="n">
        <f aca="false">IF(K381="Website",1,0)</f>
        <v>0</v>
      </c>
      <c r="Z381" s="13" t="n">
        <f aca="false">IF(K381="Agency",1,0)</f>
        <v>1</v>
      </c>
      <c r="AA381" s="13" t="n">
        <f aca="false">IF(K381="Client",1,0)</f>
        <v>0</v>
      </c>
      <c r="AB381" s="13" t="n">
        <f aca="false">(D381-AVERAGE(D$2:D$2001))/STDEV(D$2:D$2001)</f>
        <v>-0.18088712286633</v>
      </c>
      <c r="AC381" s="13" t="n">
        <f aca="false">(I381-AVERAGE(I$2:I$2001))/STDEV(I$2:I$2001)</f>
        <v>0.686917069130275</v>
      </c>
      <c r="AD381" s="13" t="n">
        <f aca="false">(L381-AVERAGE(L$2:L$2001))/STDEV(L$2:L$2001)</f>
        <v>-0.777063122173208</v>
      </c>
      <c r="AE381" s="13" t="n">
        <f aca="false">(M381-AVERAGE(M$2:M$2001))/STDEV(M$2:M$2001)</f>
        <v>-0.997025580225999</v>
      </c>
      <c r="AF381" s="13" t="n">
        <f aca="false">(N381-AVERAGE(N$2:N$2001))/STDEV(N$2:N$2001)</f>
        <v>-0.610475813192105</v>
      </c>
      <c r="AG381" s="13" t="n">
        <f aca="false">(O381-AVERAGE(O$2:O$2001))/STDEV(O$2:O$2001)</f>
        <v>-0.523819174677497</v>
      </c>
      <c r="AH381" s="0" t="str">
        <f aca="false">IF(B381="Company","C3 - Corporate Buyers",IF(AND(H381="Investment",M381&gt;'Segmentation Summary'!$C$1),"C1 - Global Investors",IF(AND(I381&gt;=4,M381&gt;'Segmentation Summary'!$C$1),"C4 - Luxury Investors",IF(AND(D381&lt;'Segmentation Summary'!$C$2,J381=1),"C2 - First-Time Buyers","C5 - Other Individual Buyers"))))</f>
        <v>C5 - Other Individual Buyers</v>
      </c>
    </row>
    <row r="382" customFormat="false" ht="15" hidden="false" customHeight="true" outlineLevel="0" collapsed="false">
      <c r="A382" s="13" t="s">
        <v>831</v>
      </c>
      <c r="B382" s="13" t="s">
        <v>34</v>
      </c>
      <c r="C382" s="13" t="s">
        <v>832</v>
      </c>
      <c r="D382" s="13" t="n">
        <v>44</v>
      </c>
      <c r="E382" s="13" t="s">
        <v>83</v>
      </c>
      <c r="F382" s="13" t="s">
        <v>35</v>
      </c>
      <c r="G382" s="13" t="s">
        <v>267</v>
      </c>
      <c r="H382" s="13" t="s">
        <v>41</v>
      </c>
      <c r="I382" s="13" t="n">
        <v>1</v>
      </c>
      <c r="J382" s="13" t="n">
        <v>1</v>
      </c>
      <c r="K382" s="13" t="s">
        <v>85</v>
      </c>
      <c r="L382" s="13" t="n">
        <v>3</v>
      </c>
      <c r="M382" s="13" t="n">
        <v>943082.42</v>
      </c>
      <c r="N382" s="13" t="n">
        <v>314360.806666667</v>
      </c>
      <c r="O382" s="13" t="n">
        <v>1078.78666666667</v>
      </c>
      <c r="P382" s="13" t="n">
        <v>1</v>
      </c>
      <c r="Q382" s="13" t="n">
        <v>2</v>
      </c>
      <c r="R382" s="13" t="s">
        <v>86</v>
      </c>
      <c r="S382" s="13" t="s">
        <v>154</v>
      </c>
      <c r="T382" s="13" t="n">
        <v>1</v>
      </c>
      <c r="U382" s="13" t="n">
        <f aca="false">IF(B382="Individual",1,0)</f>
        <v>1</v>
      </c>
      <c r="V382" s="13" t="n">
        <f aca="false">IF(B382="Company",1,0)</f>
        <v>0</v>
      </c>
      <c r="W382" s="13" t="n">
        <f aca="false">IF(H382="Home",1,0)</f>
        <v>1</v>
      </c>
      <c r="X382" s="13" t="n">
        <f aca="false">IF(H382="Investment",1,0)</f>
        <v>0</v>
      </c>
      <c r="Y382" s="13" t="n">
        <f aca="false">IF(K382="Website",1,0)</f>
        <v>1</v>
      </c>
      <c r="Z382" s="13" t="n">
        <f aca="false">IF(K382="Agency",1,0)</f>
        <v>0</v>
      </c>
      <c r="AA382" s="13" t="n">
        <f aca="false">IF(K382="Client",1,0)</f>
        <v>0</v>
      </c>
      <c r="AB382" s="13" t="n">
        <f aca="false">(D382-AVERAGE(D$2:D$2001))/STDEV(D$2:D$2001)</f>
        <v>-0.584524311283389</v>
      </c>
      <c r="AC382" s="13" t="n">
        <f aca="false">(I382-AVERAGE(I$2:I$2001))/STDEV(I$2:I$2001)</f>
        <v>-1.43538077576244</v>
      </c>
      <c r="AD382" s="13" t="n">
        <f aca="false">(L382-AVERAGE(L$2:L$2001))/STDEV(L$2:L$2001)</f>
        <v>-0.777063122173208</v>
      </c>
      <c r="AE382" s="13" t="n">
        <f aca="false">(M382-AVERAGE(M$2:M$2001))/STDEV(M$2:M$2001)</f>
        <v>-0.912205542824656</v>
      </c>
      <c r="AF382" s="13" t="n">
        <f aca="false">(N382-AVERAGE(N$2:N$2001))/STDEV(N$2:N$2001)</f>
        <v>-0.469424756137054</v>
      </c>
      <c r="AG382" s="13" t="n">
        <f aca="false">(O382-AVERAGE(O$2:O$2001))/STDEV(O$2:O$2001)</f>
        <v>-0.312350824338678</v>
      </c>
      <c r="AH382" s="0" t="str">
        <f aca="false">IF(B382="Company","C3 - Corporate Buyers",IF(AND(H382="Investment",M382&gt;'Segmentation Summary'!$C$1),"C1 - Global Investors",IF(AND(I382&gt;=4,M382&gt;'Segmentation Summary'!$C$1),"C4 - Luxury Investors",IF(AND(D382&lt;'Segmentation Summary'!$C$2,J382=1),"C2 - First-Time Buyers","C5 - Other Individual Buyers"))))</f>
        <v>C2 - First-Time Buyers</v>
      </c>
    </row>
    <row r="383" customFormat="false" ht="15" hidden="false" customHeight="true" outlineLevel="0" collapsed="false">
      <c r="A383" s="13" t="s">
        <v>833</v>
      </c>
      <c r="B383" s="13" t="s">
        <v>34</v>
      </c>
      <c r="C383" s="13" t="s">
        <v>834</v>
      </c>
      <c r="D383" s="13" t="n">
        <v>66</v>
      </c>
      <c r="E383" s="13" t="s">
        <v>83</v>
      </c>
      <c r="F383" s="13" t="s">
        <v>33</v>
      </c>
      <c r="G383" s="13" t="s">
        <v>95</v>
      </c>
      <c r="H383" s="13" t="s">
        <v>43</v>
      </c>
      <c r="I383" s="13" t="n">
        <v>1</v>
      </c>
      <c r="J383" s="13" t="n">
        <v>0</v>
      </c>
      <c r="K383" s="13" t="s">
        <v>91</v>
      </c>
      <c r="L383" s="13" t="n">
        <v>3</v>
      </c>
      <c r="M383" s="13" t="n">
        <v>1133195.2</v>
      </c>
      <c r="N383" s="13" t="n">
        <v>377731.733333333</v>
      </c>
      <c r="O383" s="13" t="n">
        <v>1371.61333333333</v>
      </c>
      <c r="P383" s="13" t="n">
        <v>1</v>
      </c>
      <c r="Q383" s="13" t="n">
        <v>2</v>
      </c>
      <c r="R383" s="13" t="s">
        <v>92</v>
      </c>
      <c r="S383" s="13" t="s">
        <v>128</v>
      </c>
      <c r="T383" s="13" t="n">
        <v>1</v>
      </c>
      <c r="U383" s="13" t="n">
        <f aca="false">IF(B383="Individual",1,0)</f>
        <v>1</v>
      </c>
      <c r="V383" s="13" t="n">
        <f aca="false">IF(B383="Company",1,0)</f>
        <v>0</v>
      </c>
      <c r="W383" s="13" t="n">
        <f aca="false">IF(H383="Home",1,0)</f>
        <v>0</v>
      </c>
      <c r="X383" s="13" t="n">
        <f aca="false">IF(H383="Investment",1,0)</f>
        <v>1</v>
      </c>
      <c r="Y383" s="13" t="n">
        <f aca="false">IF(K383="Website",1,0)</f>
        <v>0</v>
      </c>
      <c r="Z383" s="13" t="n">
        <f aca="false">IF(K383="Agency",1,0)</f>
        <v>1</v>
      </c>
      <c r="AA383" s="13" t="n">
        <f aca="false">IF(K383="Client",1,0)</f>
        <v>0</v>
      </c>
      <c r="AB383" s="13" t="n">
        <f aca="false">(D383-AVERAGE(D$2:D$2001))/STDEV(D$2:D$2001)</f>
        <v>0.684049709455938</v>
      </c>
      <c r="AC383" s="13" t="n">
        <f aca="false">(I383-AVERAGE(I$2:I$2001))/STDEV(I$2:I$2001)</f>
        <v>-1.43538077576244</v>
      </c>
      <c r="AD383" s="13" t="n">
        <f aca="false">(L383-AVERAGE(L$2:L$2001))/STDEV(L$2:L$2001)</f>
        <v>-0.777063122173208</v>
      </c>
      <c r="AE383" s="13" t="n">
        <f aca="false">(M383-AVERAGE(M$2:M$2001))/STDEV(M$2:M$2001)</f>
        <v>-0.365638493900718</v>
      </c>
      <c r="AF383" s="13" t="n">
        <f aca="false">(N383-AVERAGE(N$2:N$2001))/STDEV(N$2:N$2001)</f>
        <v>0.439486184769418</v>
      </c>
      <c r="AG383" s="13" t="n">
        <f aca="false">(O383-AVERAGE(O$2:O$2001))/STDEV(O$2:O$2001)</f>
        <v>1.01914800310991</v>
      </c>
      <c r="AH383" s="0" t="str">
        <f aca="false">IF(B383="Company","C3 - Corporate Buyers",IF(AND(H383="Investment",M383&gt;'Segmentation Summary'!$C$1),"C1 - Global Investors",IF(AND(I383&gt;=4,M383&gt;'Segmentation Summary'!$C$1),"C4 - Luxury Investors",IF(AND(D383&lt;'Segmentation Summary'!$C$2,J383=1),"C2 - First-Time Buyers","C5 - Other Individual Buyers"))))</f>
        <v>C5 - Other Individual Buyers</v>
      </c>
    </row>
    <row r="384" customFormat="false" ht="15" hidden="false" customHeight="true" outlineLevel="0" collapsed="false">
      <c r="A384" s="13" t="s">
        <v>835</v>
      </c>
      <c r="B384" s="13" t="s">
        <v>34</v>
      </c>
      <c r="C384" s="13" t="s">
        <v>836</v>
      </c>
      <c r="D384" s="13" t="n">
        <v>39</v>
      </c>
      <c r="E384" s="13" t="s">
        <v>83</v>
      </c>
      <c r="F384" s="13" t="s">
        <v>33</v>
      </c>
      <c r="G384" s="13" t="s">
        <v>95</v>
      </c>
      <c r="H384" s="13" t="s">
        <v>43</v>
      </c>
      <c r="I384" s="13" t="n">
        <v>4</v>
      </c>
      <c r="J384" s="13" t="n">
        <v>1</v>
      </c>
      <c r="K384" s="13" t="s">
        <v>91</v>
      </c>
      <c r="L384" s="13" t="n">
        <v>4</v>
      </c>
      <c r="M384" s="13" t="n">
        <v>1203571.2</v>
      </c>
      <c r="N384" s="13" t="n">
        <v>300892.8</v>
      </c>
      <c r="O384" s="13" t="n">
        <v>1036.6525</v>
      </c>
      <c r="P384" s="13" t="n">
        <v>0</v>
      </c>
      <c r="Q384" s="13" t="n">
        <v>4</v>
      </c>
      <c r="R384" s="13" t="s">
        <v>150</v>
      </c>
      <c r="S384" s="13" t="s">
        <v>114</v>
      </c>
      <c r="T384" s="13" t="n">
        <v>1</v>
      </c>
      <c r="U384" s="13" t="n">
        <f aca="false">IF(B384="Individual",1,0)</f>
        <v>1</v>
      </c>
      <c r="V384" s="13" t="n">
        <f aca="false">IF(B384="Company",1,0)</f>
        <v>0</v>
      </c>
      <c r="W384" s="13" t="n">
        <f aca="false">IF(H384="Home",1,0)</f>
        <v>0</v>
      </c>
      <c r="X384" s="13" t="n">
        <f aca="false">IF(H384="Investment",1,0)</f>
        <v>1</v>
      </c>
      <c r="Y384" s="13" t="n">
        <f aca="false">IF(K384="Website",1,0)</f>
        <v>0</v>
      </c>
      <c r="Z384" s="13" t="n">
        <f aca="false">IF(K384="Agency",1,0)</f>
        <v>1</v>
      </c>
      <c r="AA384" s="13" t="n">
        <f aca="false">IF(K384="Client",1,0)</f>
        <v>0</v>
      </c>
      <c r="AB384" s="13" t="n">
        <f aca="false">(D384-AVERAGE(D$2:D$2001))/STDEV(D$2:D$2001)</f>
        <v>-0.872836588724145</v>
      </c>
      <c r="AC384" s="13" t="n">
        <f aca="false">(I384-AVERAGE(I$2:I$2001))/STDEV(I$2:I$2001)</f>
        <v>0.686917069130275</v>
      </c>
      <c r="AD384" s="13" t="n">
        <f aca="false">(L384-AVERAGE(L$2:L$2001))/STDEV(L$2:L$2001)</f>
        <v>0.413838214490712</v>
      </c>
      <c r="AE384" s="13" t="n">
        <f aca="false">(M384-AVERAGE(M$2:M$2001))/STDEV(M$2:M$2001)</f>
        <v>-0.163310156820638</v>
      </c>
      <c r="AF384" s="13" t="n">
        <f aca="false">(N384-AVERAGE(N$2:N$2001))/STDEV(N$2:N$2001)</f>
        <v>-0.662592494963477</v>
      </c>
      <c r="AG384" s="13" t="n">
        <f aca="false">(O384-AVERAGE(O$2:O$2001))/STDEV(O$2:O$2001)</f>
        <v>-0.503937178651342</v>
      </c>
      <c r="AH384" s="0" t="str">
        <f aca="false">IF(B384="Company","C3 - Corporate Buyers",IF(AND(H384="Investment",M384&gt;'Segmentation Summary'!$C$1),"C1 - Global Investors",IF(AND(I384&gt;=4,M384&gt;'Segmentation Summary'!$C$1),"C4 - Luxury Investors",IF(AND(D384&lt;'Segmentation Summary'!$C$2,J384=1),"C2 - First-Time Buyers","C5 - Other Individual Buyers"))))</f>
        <v>C2 - First-Time Buyers</v>
      </c>
    </row>
    <row r="385" customFormat="false" ht="15" hidden="false" customHeight="true" outlineLevel="0" collapsed="false">
      <c r="A385" s="13" t="s">
        <v>837</v>
      </c>
      <c r="B385" s="13" t="s">
        <v>34</v>
      </c>
      <c r="C385" s="13" t="s">
        <v>838</v>
      </c>
      <c r="D385" s="13" t="n">
        <v>38</v>
      </c>
      <c r="E385" s="13" t="s">
        <v>83</v>
      </c>
      <c r="F385" s="13" t="s">
        <v>33</v>
      </c>
      <c r="G385" s="13" t="s">
        <v>145</v>
      </c>
      <c r="H385" s="13" t="s">
        <v>41</v>
      </c>
      <c r="I385" s="13" t="n">
        <v>5</v>
      </c>
      <c r="J385" s="13" t="n">
        <v>0</v>
      </c>
      <c r="K385" s="13" t="s">
        <v>91</v>
      </c>
      <c r="L385" s="13" t="n">
        <v>3</v>
      </c>
      <c r="M385" s="13" t="n">
        <v>1119013.61</v>
      </c>
      <c r="N385" s="13" t="n">
        <v>373004.536666667</v>
      </c>
      <c r="O385" s="13" t="n">
        <v>1151.54666666667</v>
      </c>
      <c r="P385" s="13" t="n">
        <v>1</v>
      </c>
      <c r="Q385" s="13" t="n">
        <v>2</v>
      </c>
      <c r="R385" s="13" t="s">
        <v>121</v>
      </c>
      <c r="S385" s="13" t="s">
        <v>103</v>
      </c>
      <c r="T385" s="13" t="n">
        <v>1</v>
      </c>
      <c r="U385" s="13" t="n">
        <f aca="false">IF(B385="Individual",1,0)</f>
        <v>1</v>
      </c>
      <c r="V385" s="13" t="n">
        <f aca="false">IF(B385="Company",1,0)</f>
        <v>0</v>
      </c>
      <c r="W385" s="13" t="n">
        <f aca="false">IF(H385="Home",1,0)</f>
        <v>1</v>
      </c>
      <c r="X385" s="13" t="n">
        <f aca="false">IF(H385="Investment",1,0)</f>
        <v>0</v>
      </c>
      <c r="Y385" s="13" t="n">
        <f aca="false">IF(K385="Website",1,0)</f>
        <v>0</v>
      </c>
      <c r="Z385" s="13" t="n">
        <f aca="false">IF(K385="Agency",1,0)</f>
        <v>1</v>
      </c>
      <c r="AA385" s="13" t="n">
        <f aca="false">IF(K385="Client",1,0)</f>
        <v>0</v>
      </c>
      <c r="AB385" s="13" t="n">
        <f aca="false">(D385-AVERAGE(D$2:D$2001))/STDEV(D$2:D$2001)</f>
        <v>-0.930499044212296</v>
      </c>
      <c r="AC385" s="13" t="n">
        <f aca="false">(I385-AVERAGE(I$2:I$2001))/STDEV(I$2:I$2001)</f>
        <v>1.39434968409451</v>
      </c>
      <c r="AD385" s="13" t="n">
        <f aca="false">(L385-AVERAGE(L$2:L$2001))/STDEV(L$2:L$2001)</f>
        <v>-0.777063122173208</v>
      </c>
      <c r="AE385" s="13" t="n">
        <f aca="false">(M385-AVERAGE(M$2:M$2001))/STDEV(M$2:M$2001)</f>
        <v>-0.406410028541099</v>
      </c>
      <c r="AF385" s="13" t="n">
        <f aca="false">(N385-AVERAGE(N$2:N$2001))/STDEV(N$2:N$2001)</f>
        <v>0.371685365116745</v>
      </c>
      <c r="AG385" s="13" t="n">
        <f aca="false">(O385-AVERAGE(O$2:O$2001))/STDEV(O$2:O$2001)</f>
        <v>0.0184928648238358</v>
      </c>
      <c r="AH385" s="0" t="str">
        <f aca="false">IF(B385="Company","C3 - Corporate Buyers",IF(AND(H385="Investment",M385&gt;'Segmentation Summary'!$C$1),"C1 - Global Investors",IF(AND(I385&gt;=4,M385&gt;'Segmentation Summary'!$C$1),"C4 - Luxury Investors",IF(AND(D385&lt;'Segmentation Summary'!$C$2,J385=1),"C2 - First-Time Buyers","C5 - Other Individual Buyers"))))</f>
        <v>C5 - Other Individual Buyers</v>
      </c>
    </row>
    <row r="386" customFormat="false" ht="15" hidden="false" customHeight="true" outlineLevel="0" collapsed="false">
      <c r="A386" s="13" t="s">
        <v>839</v>
      </c>
      <c r="B386" s="13" t="s">
        <v>34</v>
      </c>
      <c r="C386" s="13" t="s">
        <v>840</v>
      </c>
      <c r="D386" s="13" t="n">
        <v>71</v>
      </c>
      <c r="E386" s="13" t="s">
        <v>83</v>
      </c>
      <c r="F386" s="13" t="s">
        <v>33</v>
      </c>
      <c r="G386" s="13" t="s">
        <v>157</v>
      </c>
      <c r="H386" s="13" t="s">
        <v>41</v>
      </c>
      <c r="I386" s="13" t="n">
        <v>2</v>
      </c>
      <c r="J386" s="13" t="n">
        <v>0</v>
      </c>
      <c r="K386" s="13" t="s">
        <v>91</v>
      </c>
      <c r="L386" s="13" t="n">
        <v>3</v>
      </c>
      <c r="M386" s="13" t="n">
        <v>1418066.39</v>
      </c>
      <c r="N386" s="13" t="n">
        <v>472688.796666667</v>
      </c>
      <c r="O386" s="13" t="n">
        <v>1452.26333333333</v>
      </c>
      <c r="P386" s="13" t="n">
        <v>0</v>
      </c>
      <c r="Q386" s="13" t="n">
        <v>3</v>
      </c>
      <c r="R386" s="13" t="s">
        <v>98</v>
      </c>
      <c r="S386" s="13" t="s">
        <v>215</v>
      </c>
      <c r="T386" s="13" t="n">
        <v>1</v>
      </c>
      <c r="U386" s="13" t="n">
        <f aca="false">IF(B386="Individual",1,0)</f>
        <v>1</v>
      </c>
      <c r="V386" s="13" t="n">
        <f aca="false">IF(B386="Company",1,0)</f>
        <v>0</v>
      </c>
      <c r="W386" s="13" t="n">
        <f aca="false">IF(H386="Home",1,0)</f>
        <v>1</v>
      </c>
      <c r="X386" s="13" t="n">
        <f aca="false">IF(H386="Investment",1,0)</f>
        <v>0</v>
      </c>
      <c r="Y386" s="13" t="n">
        <f aca="false">IF(K386="Website",1,0)</f>
        <v>0</v>
      </c>
      <c r="Z386" s="13" t="n">
        <f aca="false">IF(K386="Agency",1,0)</f>
        <v>1</v>
      </c>
      <c r="AA386" s="13" t="n">
        <f aca="false">IF(K386="Client",1,0)</f>
        <v>0</v>
      </c>
      <c r="AB386" s="13" t="n">
        <f aca="false">(D386-AVERAGE(D$2:D$2001))/STDEV(D$2:D$2001)</f>
        <v>0.972361986896694</v>
      </c>
      <c r="AC386" s="13" t="n">
        <f aca="false">(I386-AVERAGE(I$2:I$2001))/STDEV(I$2:I$2001)</f>
        <v>-0.727948160798201</v>
      </c>
      <c r="AD386" s="13" t="n">
        <f aca="false">(L386-AVERAGE(L$2:L$2001))/STDEV(L$2:L$2001)</f>
        <v>-0.777063122173208</v>
      </c>
      <c r="AE386" s="13" t="n">
        <f aca="false">(M386-AVERAGE(M$2:M$2001))/STDEV(M$2:M$2001)</f>
        <v>0.453355398260296</v>
      </c>
      <c r="AF386" s="13" t="n">
        <f aca="false">(N386-AVERAGE(N$2:N$2001))/STDEV(N$2:N$2001)</f>
        <v>1.80142798237004</v>
      </c>
      <c r="AG386" s="13" t="n">
        <f aca="false">(O386-AVERAGE(O$2:O$2001))/STDEV(O$2:O$2001)</f>
        <v>1.38586795268326</v>
      </c>
      <c r="AH386" s="0" t="str">
        <f aca="false">IF(B386="Company","C3 - Corporate Buyers",IF(AND(H386="Investment",M386&gt;'Segmentation Summary'!$C$1),"C1 - Global Investors",IF(AND(I386&gt;=4,M386&gt;'Segmentation Summary'!$C$1),"C4 - Luxury Investors",IF(AND(D386&lt;'Segmentation Summary'!$C$2,J386=1),"C2 - First-Time Buyers","C5 - Other Individual Buyers"))))</f>
        <v>C5 - Other Individual Buyers</v>
      </c>
    </row>
    <row r="387" customFormat="false" ht="15" hidden="false" customHeight="true" outlineLevel="0" collapsed="false">
      <c r="A387" s="13" t="s">
        <v>841</v>
      </c>
      <c r="B387" s="13" t="s">
        <v>34</v>
      </c>
      <c r="C387" s="13" t="s">
        <v>840</v>
      </c>
      <c r="D387" s="13" t="n">
        <v>58</v>
      </c>
      <c r="E387" s="13" t="s">
        <v>83</v>
      </c>
      <c r="F387" s="13" t="s">
        <v>33</v>
      </c>
      <c r="G387" s="13" t="s">
        <v>120</v>
      </c>
      <c r="H387" s="13" t="s">
        <v>43</v>
      </c>
      <c r="I387" s="13" t="n">
        <v>1</v>
      </c>
      <c r="J387" s="13" t="n">
        <v>1</v>
      </c>
      <c r="K387" s="13" t="s">
        <v>85</v>
      </c>
      <c r="L387" s="13" t="n">
        <v>4</v>
      </c>
      <c r="M387" s="13" t="n">
        <v>1601121.79</v>
      </c>
      <c r="N387" s="13" t="n">
        <v>400280.4475</v>
      </c>
      <c r="O387" s="13" t="n">
        <v>1263.96</v>
      </c>
      <c r="P387" s="13" t="n">
        <v>2</v>
      </c>
      <c r="Q387" s="13" t="n">
        <v>2</v>
      </c>
      <c r="R387" s="13" t="s">
        <v>101</v>
      </c>
      <c r="S387" s="13" t="s">
        <v>114</v>
      </c>
      <c r="T387" s="13" t="n">
        <v>1</v>
      </c>
      <c r="U387" s="13" t="n">
        <f aca="false">IF(B387="Individual",1,0)</f>
        <v>1</v>
      </c>
      <c r="V387" s="13" t="n">
        <f aca="false">IF(B387="Company",1,0)</f>
        <v>0</v>
      </c>
      <c r="W387" s="13" t="n">
        <f aca="false">IF(H387="Home",1,0)</f>
        <v>0</v>
      </c>
      <c r="X387" s="13" t="n">
        <f aca="false">IF(H387="Investment",1,0)</f>
        <v>1</v>
      </c>
      <c r="Y387" s="13" t="n">
        <f aca="false">IF(K387="Website",1,0)</f>
        <v>1</v>
      </c>
      <c r="Z387" s="13" t="n">
        <f aca="false">IF(K387="Agency",1,0)</f>
        <v>0</v>
      </c>
      <c r="AA387" s="13" t="n">
        <f aca="false">IF(K387="Client",1,0)</f>
        <v>0</v>
      </c>
      <c r="AB387" s="13" t="n">
        <f aca="false">(D387-AVERAGE(D$2:D$2001))/STDEV(D$2:D$2001)</f>
        <v>0.222750065550728</v>
      </c>
      <c r="AC387" s="13" t="n">
        <f aca="false">(I387-AVERAGE(I$2:I$2001))/STDEV(I$2:I$2001)</f>
        <v>-1.43538077576244</v>
      </c>
      <c r="AD387" s="13" t="n">
        <f aca="false">(L387-AVERAGE(L$2:L$2001))/STDEV(L$2:L$2001)</f>
        <v>0.413838214490712</v>
      </c>
      <c r="AE387" s="13" t="n">
        <f aca="false">(M387-AVERAGE(M$2:M$2001))/STDEV(M$2:M$2001)</f>
        <v>0.979632746724672</v>
      </c>
      <c r="AF387" s="13" t="n">
        <f aca="false">(N387-AVERAGE(N$2:N$2001))/STDEV(N$2:N$2001)</f>
        <v>0.762895894670929</v>
      </c>
      <c r="AG387" s="13" t="n">
        <f aca="false">(O387-AVERAGE(O$2:O$2001))/STDEV(O$2:O$2001)</f>
        <v>0.529642423799294</v>
      </c>
      <c r="AH387" s="0" t="str">
        <f aca="false">IF(B387="Company","C3 - Corporate Buyers",IF(AND(H387="Investment",M387&gt;'Segmentation Summary'!$C$1),"C1 - Global Investors",IF(AND(I387&gt;=4,M387&gt;'Segmentation Summary'!$C$1),"C4 - Luxury Investors",IF(AND(D387&lt;'Segmentation Summary'!$C$2,J387=1),"C2 - First-Time Buyers","C5 - Other Individual Buyers"))))</f>
        <v>C1 - Global Investors</v>
      </c>
    </row>
    <row r="388" customFormat="false" ht="15" hidden="false" customHeight="true" outlineLevel="0" collapsed="false">
      <c r="A388" s="13" t="s">
        <v>842</v>
      </c>
      <c r="B388" s="13" t="s">
        <v>34</v>
      </c>
      <c r="C388" s="13" t="s">
        <v>843</v>
      </c>
      <c r="D388" s="13" t="n">
        <v>57</v>
      </c>
      <c r="E388" s="13" t="s">
        <v>90</v>
      </c>
      <c r="F388" s="13" t="s">
        <v>33</v>
      </c>
      <c r="G388" s="13" t="s">
        <v>95</v>
      </c>
      <c r="H388" s="13" t="s">
        <v>41</v>
      </c>
      <c r="I388" s="13" t="n">
        <v>5</v>
      </c>
      <c r="J388" s="13" t="n">
        <v>0</v>
      </c>
      <c r="K388" s="13" t="s">
        <v>85</v>
      </c>
      <c r="L388" s="13" t="n">
        <v>4</v>
      </c>
      <c r="M388" s="13" t="n">
        <v>1508032.25</v>
      </c>
      <c r="N388" s="13" t="n">
        <v>377008.0625</v>
      </c>
      <c r="O388" s="13" t="n">
        <v>1307.08</v>
      </c>
      <c r="P388" s="13" t="n">
        <v>0</v>
      </c>
      <c r="Q388" s="13" t="n">
        <v>4</v>
      </c>
      <c r="R388" s="13" t="s">
        <v>86</v>
      </c>
      <c r="S388" s="13" t="s">
        <v>133</v>
      </c>
      <c r="T388" s="13" t="n">
        <v>1</v>
      </c>
      <c r="U388" s="13" t="n">
        <f aca="false">IF(B388="Individual",1,0)</f>
        <v>1</v>
      </c>
      <c r="V388" s="13" t="n">
        <f aca="false">IF(B388="Company",1,0)</f>
        <v>0</v>
      </c>
      <c r="W388" s="13" t="n">
        <f aca="false">IF(H388="Home",1,0)</f>
        <v>1</v>
      </c>
      <c r="X388" s="13" t="n">
        <f aca="false">IF(H388="Investment",1,0)</f>
        <v>0</v>
      </c>
      <c r="Y388" s="13" t="n">
        <f aca="false">IF(K388="Website",1,0)</f>
        <v>1</v>
      </c>
      <c r="Z388" s="13" t="n">
        <f aca="false">IF(K388="Agency",1,0)</f>
        <v>0</v>
      </c>
      <c r="AA388" s="13" t="n">
        <f aca="false">IF(K388="Client",1,0)</f>
        <v>0</v>
      </c>
      <c r="AB388" s="13" t="n">
        <f aca="false">(D388-AVERAGE(D$2:D$2001))/STDEV(D$2:D$2001)</f>
        <v>0.165087610062577</v>
      </c>
      <c r="AC388" s="13" t="n">
        <f aca="false">(I388-AVERAGE(I$2:I$2001))/STDEV(I$2:I$2001)</f>
        <v>1.39434968409451</v>
      </c>
      <c r="AD388" s="13" t="n">
        <f aca="false">(L388-AVERAGE(L$2:L$2001))/STDEV(L$2:L$2001)</f>
        <v>0.413838214490712</v>
      </c>
      <c r="AE388" s="13" t="n">
        <f aca="false">(M388-AVERAGE(M$2:M$2001))/STDEV(M$2:M$2001)</f>
        <v>0.712003841590115</v>
      </c>
      <c r="AF388" s="13" t="n">
        <f aca="false">(N388-AVERAGE(N$2:N$2001))/STDEV(N$2:N$2001)</f>
        <v>0.429106782531999</v>
      </c>
      <c r="AG388" s="13" t="n">
        <f aca="false">(O388-AVERAGE(O$2:O$2001))/STDEV(O$2:O$2001)</f>
        <v>0.725711416057232</v>
      </c>
      <c r="AH388" s="0" t="str">
        <f aca="false">IF(B388="Company","C3 - Corporate Buyers",IF(AND(H388="Investment",M388&gt;'Segmentation Summary'!$C$1),"C1 - Global Investors",IF(AND(I388&gt;=4,M388&gt;'Segmentation Summary'!$C$1),"C4 - Luxury Investors",IF(AND(D388&lt;'Segmentation Summary'!$C$2,J388=1),"C2 - First-Time Buyers","C5 - Other Individual Buyers"))))</f>
        <v>C4 - Luxury Investors</v>
      </c>
    </row>
    <row r="389" customFormat="false" ht="15" hidden="false" customHeight="true" outlineLevel="0" collapsed="false">
      <c r="A389" s="13" t="s">
        <v>844</v>
      </c>
      <c r="B389" s="13" t="s">
        <v>34</v>
      </c>
      <c r="C389" s="13" t="s">
        <v>845</v>
      </c>
      <c r="D389" s="13" t="n">
        <v>60</v>
      </c>
      <c r="E389" s="13" t="s">
        <v>83</v>
      </c>
      <c r="F389" s="13" t="s">
        <v>33</v>
      </c>
      <c r="G389" s="13" t="s">
        <v>95</v>
      </c>
      <c r="H389" s="13" t="s">
        <v>41</v>
      </c>
      <c r="I389" s="13" t="n">
        <v>2</v>
      </c>
      <c r="J389" s="13" t="n">
        <v>0</v>
      </c>
      <c r="K389" s="13" t="s">
        <v>85</v>
      </c>
      <c r="L389" s="13" t="n">
        <v>4</v>
      </c>
      <c r="M389" s="13" t="n">
        <v>1173616.46</v>
      </c>
      <c r="N389" s="13" t="n">
        <v>293404.115</v>
      </c>
      <c r="O389" s="13" t="n">
        <v>995.0275</v>
      </c>
      <c r="P389" s="13" t="n">
        <v>1</v>
      </c>
      <c r="Q389" s="13" t="n">
        <v>3</v>
      </c>
      <c r="R389" s="13" t="s">
        <v>150</v>
      </c>
      <c r="S389" s="13" t="s">
        <v>112</v>
      </c>
      <c r="T389" s="13" t="n">
        <v>1</v>
      </c>
      <c r="U389" s="13" t="n">
        <f aca="false">IF(B389="Individual",1,0)</f>
        <v>1</v>
      </c>
      <c r="V389" s="13" t="n">
        <f aca="false">IF(B389="Company",1,0)</f>
        <v>0</v>
      </c>
      <c r="W389" s="13" t="n">
        <f aca="false">IF(H389="Home",1,0)</f>
        <v>1</v>
      </c>
      <c r="X389" s="13" t="n">
        <f aca="false">IF(H389="Investment",1,0)</f>
        <v>0</v>
      </c>
      <c r="Y389" s="13" t="n">
        <f aca="false">IF(K389="Website",1,0)</f>
        <v>1</v>
      </c>
      <c r="Z389" s="13" t="n">
        <f aca="false">IF(K389="Agency",1,0)</f>
        <v>0</v>
      </c>
      <c r="AA389" s="13" t="n">
        <f aca="false">IF(K389="Client",1,0)</f>
        <v>0</v>
      </c>
      <c r="AB389" s="13" t="n">
        <f aca="false">(D389-AVERAGE(D$2:D$2001))/STDEV(D$2:D$2001)</f>
        <v>0.338074976527031</v>
      </c>
      <c r="AC389" s="13" t="n">
        <f aca="false">(I389-AVERAGE(I$2:I$2001))/STDEV(I$2:I$2001)</f>
        <v>-0.727948160798201</v>
      </c>
      <c r="AD389" s="13" t="n">
        <f aca="false">(L389-AVERAGE(L$2:L$2001))/STDEV(L$2:L$2001)</f>
        <v>0.413838214490712</v>
      </c>
      <c r="AE389" s="13" t="n">
        <f aca="false">(M389-AVERAGE(M$2:M$2001))/STDEV(M$2:M$2001)</f>
        <v>-0.249428900879211</v>
      </c>
      <c r="AF389" s="13" t="n">
        <f aca="false">(N389-AVERAGE(N$2:N$2001))/STDEV(N$2:N$2001)</f>
        <v>-0.770000546060866</v>
      </c>
      <c r="AG389" s="13" t="n">
        <f aca="false">(O389-AVERAGE(O$2:O$2001))/STDEV(O$2:O$2001)</f>
        <v>-0.693208324354882</v>
      </c>
      <c r="AH389" s="0" t="str">
        <f aca="false">IF(B389="Company","C3 - Corporate Buyers",IF(AND(H389="Investment",M389&gt;'Segmentation Summary'!$C$1),"C1 - Global Investors",IF(AND(I389&gt;=4,M389&gt;'Segmentation Summary'!$C$1),"C4 - Luxury Investors",IF(AND(D389&lt;'Segmentation Summary'!$C$2,J389=1),"C2 - First-Time Buyers","C5 - Other Individual Buyers"))))</f>
        <v>C5 - Other Individual Buyers</v>
      </c>
    </row>
    <row r="390" customFormat="false" ht="15" hidden="false" customHeight="true" outlineLevel="0" collapsed="false">
      <c r="A390" s="13" t="s">
        <v>846</v>
      </c>
      <c r="B390" s="13" t="s">
        <v>34</v>
      </c>
      <c r="C390" s="13" t="s">
        <v>847</v>
      </c>
      <c r="D390" s="13" t="n">
        <v>63</v>
      </c>
      <c r="E390" s="13" t="s">
        <v>83</v>
      </c>
      <c r="F390" s="13" t="s">
        <v>33</v>
      </c>
      <c r="G390" s="13" t="s">
        <v>157</v>
      </c>
      <c r="H390" s="13" t="s">
        <v>41</v>
      </c>
      <c r="I390" s="13" t="n">
        <v>3</v>
      </c>
      <c r="J390" s="13" t="n">
        <v>1</v>
      </c>
      <c r="K390" s="13" t="s">
        <v>116</v>
      </c>
      <c r="L390" s="13" t="n">
        <v>4</v>
      </c>
      <c r="M390" s="13" t="n">
        <v>1408304.94</v>
      </c>
      <c r="N390" s="13" t="n">
        <v>352076.235</v>
      </c>
      <c r="O390" s="13" t="n">
        <v>1156.7625</v>
      </c>
      <c r="P390" s="13" t="n">
        <v>1</v>
      </c>
      <c r="Q390" s="13" t="n">
        <v>3</v>
      </c>
      <c r="R390" s="13" t="s">
        <v>117</v>
      </c>
      <c r="S390" s="13" t="s">
        <v>133</v>
      </c>
      <c r="T390" s="13" t="n">
        <v>1</v>
      </c>
      <c r="U390" s="13" t="n">
        <f aca="false">IF(B390="Individual",1,0)</f>
        <v>1</v>
      </c>
      <c r="V390" s="13" t="n">
        <f aca="false">IF(B390="Company",1,0)</f>
        <v>0</v>
      </c>
      <c r="W390" s="13" t="n">
        <f aca="false">IF(H390="Home",1,0)</f>
        <v>1</v>
      </c>
      <c r="X390" s="13" t="n">
        <f aca="false">IF(H390="Investment",1,0)</f>
        <v>0</v>
      </c>
      <c r="Y390" s="13" t="n">
        <f aca="false">IF(K390="Website",1,0)</f>
        <v>0</v>
      </c>
      <c r="Z390" s="13" t="n">
        <f aca="false">IF(K390="Agency",1,0)</f>
        <v>0</v>
      </c>
      <c r="AA390" s="13" t="n">
        <f aca="false">IF(K390="Client",1,0)</f>
        <v>1</v>
      </c>
      <c r="AB390" s="13" t="n">
        <f aca="false">(D390-AVERAGE(D$2:D$2001))/STDEV(D$2:D$2001)</f>
        <v>0.511062342991484</v>
      </c>
      <c r="AC390" s="13" t="n">
        <f aca="false">(I390-AVERAGE(I$2:I$2001))/STDEV(I$2:I$2001)</f>
        <v>-0.0205155458339628</v>
      </c>
      <c r="AD390" s="13" t="n">
        <f aca="false">(L390-AVERAGE(L$2:L$2001))/STDEV(L$2:L$2001)</f>
        <v>0.413838214490712</v>
      </c>
      <c r="AE390" s="13" t="n">
        <f aca="false">(M390-AVERAGE(M$2:M$2001))/STDEV(M$2:M$2001)</f>
        <v>0.425291598868595</v>
      </c>
      <c r="AF390" s="13" t="n">
        <f aca="false">(N390-AVERAGE(N$2:N$2001))/STDEV(N$2:N$2001)</f>
        <v>0.071516764782381</v>
      </c>
      <c r="AG390" s="13" t="n">
        <f aca="false">(O390-AVERAGE(O$2:O$2001))/STDEV(O$2:O$2001)</f>
        <v>0.0422095435216878</v>
      </c>
      <c r="AH390" s="0" t="str">
        <f aca="false">IF(B390="Company","C3 - Corporate Buyers",IF(AND(H390="Investment",M390&gt;'Segmentation Summary'!$C$1),"C1 - Global Investors",IF(AND(I390&gt;=4,M390&gt;'Segmentation Summary'!$C$1),"C4 - Luxury Investors",IF(AND(D390&lt;'Segmentation Summary'!$C$2,J390=1),"C2 - First-Time Buyers","C5 - Other Individual Buyers"))))</f>
        <v>C5 - Other Individual Buyers</v>
      </c>
    </row>
    <row r="391" customFormat="false" ht="15" hidden="false" customHeight="true" outlineLevel="0" collapsed="false">
      <c r="A391" s="13" t="s">
        <v>848</v>
      </c>
      <c r="B391" s="13" t="s">
        <v>34</v>
      </c>
      <c r="C391" s="13" t="s">
        <v>849</v>
      </c>
      <c r="D391" s="13" t="n">
        <v>79</v>
      </c>
      <c r="E391" s="13" t="s">
        <v>83</v>
      </c>
      <c r="F391" s="13" t="s">
        <v>35</v>
      </c>
      <c r="G391" s="13" t="s">
        <v>267</v>
      </c>
      <c r="H391" s="13" t="s">
        <v>41</v>
      </c>
      <c r="I391" s="13" t="n">
        <v>3</v>
      </c>
      <c r="J391" s="13" t="n">
        <v>0</v>
      </c>
      <c r="K391" s="13" t="s">
        <v>91</v>
      </c>
      <c r="L391" s="13" t="n">
        <v>3</v>
      </c>
      <c r="M391" s="13" t="n">
        <v>1515201.05</v>
      </c>
      <c r="N391" s="13" t="n">
        <v>505067.016666667</v>
      </c>
      <c r="O391" s="13" t="n">
        <v>1471.9</v>
      </c>
      <c r="P391" s="13" t="n">
        <v>0</v>
      </c>
      <c r="Q391" s="13" t="n">
        <v>3</v>
      </c>
      <c r="R391" s="13" t="s">
        <v>121</v>
      </c>
      <c r="S391" s="13" t="s">
        <v>125</v>
      </c>
      <c r="T391" s="13" t="n">
        <v>1</v>
      </c>
      <c r="U391" s="13" t="n">
        <f aca="false">IF(B391="Individual",1,0)</f>
        <v>1</v>
      </c>
      <c r="V391" s="13" t="n">
        <f aca="false">IF(B391="Company",1,0)</f>
        <v>0</v>
      </c>
      <c r="W391" s="13" t="n">
        <f aca="false">IF(H391="Home",1,0)</f>
        <v>1</v>
      </c>
      <c r="X391" s="13" t="n">
        <f aca="false">IF(H391="Investment",1,0)</f>
        <v>0</v>
      </c>
      <c r="Y391" s="13" t="n">
        <f aca="false">IF(K391="Website",1,0)</f>
        <v>0</v>
      </c>
      <c r="Z391" s="13" t="n">
        <f aca="false">IF(K391="Agency",1,0)</f>
        <v>1</v>
      </c>
      <c r="AA391" s="13" t="n">
        <f aca="false">IF(K391="Client",1,0)</f>
        <v>0</v>
      </c>
      <c r="AB391" s="13" t="n">
        <f aca="false">(D391-AVERAGE(D$2:D$2001))/STDEV(D$2:D$2001)</f>
        <v>1.4336616308019</v>
      </c>
      <c r="AC391" s="13" t="n">
        <f aca="false">(I391-AVERAGE(I$2:I$2001))/STDEV(I$2:I$2001)</f>
        <v>-0.0205155458339628</v>
      </c>
      <c r="AD391" s="13" t="n">
        <f aca="false">(L391-AVERAGE(L$2:L$2001))/STDEV(L$2:L$2001)</f>
        <v>-0.777063122173208</v>
      </c>
      <c r="AE391" s="13" t="n">
        <f aca="false">(M391-AVERAGE(M$2:M$2001))/STDEV(M$2:M$2001)</f>
        <v>0.732613870333716</v>
      </c>
      <c r="AF391" s="13" t="n">
        <f aca="false">(N391-AVERAGE(N$2:N$2001))/STDEV(N$2:N$2001)</f>
        <v>2.26581946207609</v>
      </c>
      <c r="AG391" s="13" t="n">
        <f aca="false">(O391-AVERAGE(O$2:O$2001))/STDEV(O$2:O$2001)</f>
        <v>1.47515694722498</v>
      </c>
      <c r="AH391" s="0" t="str">
        <f aca="false">IF(B391="Company","C3 - Corporate Buyers",IF(AND(H391="Investment",M391&gt;'Segmentation Summary'!$C$1),"C1 - Global Investors",IF(AND(I391&gt;=4,M391&gt;'Segmentation Summary'!$C$1),"C4 - Luxury Investors",IF(AND(D391&lt;'Segmentation Summary'!$C$2,J391=1),"C2 - First-Time Buyers","C5 - Other Individual Buyers"))))</f>
        <v>C5 - Other Individual Buyers</v>
      </c>
    </row>
    <row r="392" customFormat="false" ht="15" hidden="false" customHeight="true" outlineLevel="0" collapsed="false">
      <c r="A392" s="13" t="s">
        <v>850</v>
      </c>
      <c r="B392" s="13" t="s">
        <v>34</v>
      </c>
      <c r="C392" s="13" t="s">
        <v>851</v>
      </c>
      <c r="D392" s="13" t="n">
        <v>62</v>
      </c>
      <c r="E392" s="13" t="s">
        <v>83</v>
      </c>
      <c r="F392" s="13" t="s">
        <v>33</v>
      </c>
      <c r="G392" s="13" t="s">
        <v>145</v>
      </c>
      <c r="H392" s="13" t="s">
        <v>41</v>
      </c>
      <c r="I392" s="13" t="n">
        <v>2</v>
      </c>
      <c r="J392" s="13" t="n">
        <v>0</v>
      </c>
      <c r="K392" s="13" t="s">
        <v>116</v>
      </c>
      <c r="L392" s="13" t="n">
        <v>4</v>
      </c>
      <c r="M392" s="13" t="n">
        <v>1490327.5</v>
      </c>
      <c r="N392" s="13" t="n">
        <v>372581.875</v>
      </c>
      <c r="O392" s="13" t="n">
        <v>1239.145</v>
      </c>
      <c r="P392" s="13" t="n">
        <v>2</v>
      </c>
      <c r="Q392" s="13" t="n">
        <v>2</v>
      </c>
      <c r="R392" s="13" t="s">
        <v>121</v>
      </c>
      <c r="S392" s="13" t="s">
        <v>125</v>
      </c>
      <c r="T392" s="13" t="n">
        <v>1</v>
      </c>
      <c r="U392" s="13" t="n">
        <f aca="false">IF(B392="Individual",1,0)</f>
        <v>1</v>
      </c>
      <c r="V392" s="13" t="n">
        <f aca="false">IF(B392="Company",1,0)</f>
        <v>0</v>
      </c>
      <c r="W392" s="13" t="n">
        <f aca="false">IF(H392="Home",1,0)</f>
        <v>1</v>
      </c>
      <c r="X392" s="13" t="n">
        <f aca="false">IF(H392="Investment",1,0)</f>
        <v>0</v>
      </c>
      <c r="Y392" s="13" t="n">
        <f aca="false">IF(K392="Website",1,0)</f>
        <v>0</v>
      </c>
      <c r="Z392" s="13" t="n">
        <f aca="false">IF(K392="Agency",1,0)</f>
        <v>0</v>
      </c>
      <c r="AA392" s="13" t="n">
        <f aca="false">IF(K392="Client",1,0)</f>
        <v>1</v>
      </c>
      <c r="AB392" s="13" t="n">
        <f aca="false">(D392-AVERAGE(D$2:D$2001))/STDEV(D$2:D$2001)</f>
        <v>0.453399887503333</v>
      </c>
      <c r="AC392" s="13" t="n">
        <f aca="false">(I392-AVERAGE(I$2:I$2001))/STDEV(I$2:I$2001)</f>
        <v>-0.727948160798201</v>
      </c>
      <c r="AD392" s="13" t="n">
        <f aca="false">(L392-AVERAGE(L$2:L$2001))/STDEV(L$2:L$2001)</f>
        <v>0.413838214490712</v>
      </c>
      <c r="AE392" s="13" t="n">
        <f aca="false">(M392-AVERAGE(M$2:M$2001))/STDEV(M$2:M$2001)</f>
        <v>0.661103355260705</v>
      </c>
      <c r="AF392" s="13" t="n">
        <f aca="false">(N392-AVERAGE(N$2:N$2001))/STDEV(N$2:N$2001)</f>
        <v>0.365623250621307</v>
      </c>
      <c r="AG392" s="13" t="n">
        <f aca="false">(O392-AVERAGE(O$2:O$2001))/STDEV(O$2:O$2001)</f>
        <v>0.416807265105399</v>
      </c>
      <c r="AH392" s="0" t="str">
        <f aca="false">IF(B392="Company","C3 - Corporate Buyers",IF(AND(H392="Investment",M392&gt;'Segmentation Summary'!$C$1),"C1 - Global Investors",IF(AND(I392&gt;=4,M392&gt;'Segmentation Summary'!$C$1),"C4 - Luxury Investors",IF(AND(D392&lt;'Segmentation Summary'!$C$2,J392=1),"C2 - First-Time Buyers","C5 - Other Individual Buyers"))))</f>
        <v>C5 - Other Individual Buyers</v>
      </c>
    </row>
    <row r="393" customFormat="false" ht="15" hidden="false" customHeight="true" outlineLevel="0" collapsed="false">
      <c r="A393" s="13" t="s">
        <v>852</v>
      </c>
      <c r="B393" s="13" t="s">
        <v>34</v>
      </c>
      <c r="C393" s="13" t="s">
        <v>853</v>
      </c>
      <c r="D393" s="13" t="n">
        <v>35</v>
      </c>
      <c r="E393" s="13" t="s">
        <v>83</v>
      </c>
      <c r="F393" s="13" t="s">
        <v>38</v>
      </c>
      <c r="G393" s="13" t="s">
        <v>127</v>
      </c>
      <c r="H393" s="13" t="s">
        <v>41</v>
      </c>
      <c r="I393" s="13" t="n">
        <v>2</v>
      </c>
      <c r="J393" s="13" t="n">
        <v>0</v>
      </c>
      <c r="K393" s="13" t="s">
        <v>91</v>
      </c>
      <c r="L393" s="13" t="n">
        <v>4</v>
      </c>
      <c r="M393" s="13" t="n">
        <v>1368458.37</v>
      </c>
      <c r="N393" s="13" t="n">
        <v>342114.5925</v>
      </c>
      <c r="O393" s="13" t="n">
        <v>1222.37</v>
      </c>
      <c r="P393" s="13" t="n">
        <v>0</v>
      </c>
      <c r="Q393" s="13" t="n">
        <v>4</v>
      </c>
      <c r="R393" s="13" t="s">
        <v>101</v>
      </c>
      <c r="S393" s="13" t="s">
        <v>150</v>
      </c>
      <c r="T393" s="13" t="n">
        <v>1</v>
      </c>
      <c r="U393" s="13" t="n">
        <f aca="false">IF(B393="Individual",1,0)</f>
        <v>1</v>
      </c>
      <c r="V393" s="13" t="n">
        <f aca="false">IF(B393="Company",1,0)</f>
        <v>0</v>
      </c>
      <c r="W393" s="13" t="n">
        <f aca="false">IF(H393="Home",1,0)</f>
        <v>1</v>
      </c>
      <c r="X393" s="13" t="n">
        <f aca="false">IF(H393="Investment",1,0)</f>
        <v>0</v>
      </c>
      <c r="Y393" s="13" t="n">
        <f aca="false">IF(K393="Website",1,0)</f>
        <v>0</v>
      </c>
      <c r="Z393" s="13" t="n">
        <f aca="false">IF(K393="Agency",1,0)</f>
        <v>1</v>
      </c>
      <c r="AA393" s="13" t="n">
        <f aca="false">IF(K393="Client",1,0)</f>
        <v>0</v>
      </c>
      <c r="AB393" s="13" t="n">
        <f aca="false">(D393-AVERAGE(D$2:D$2001))/STDEV(D$2:D$2001)</f>
        <v>-1.10348641067675</v>
      </c>
      <c r="AC393" s="13" t="n">
        <f aca="false">(I393-AVERAGE(I$2:I$2001))/STDEV(I$2:I$2001)</f>
        <v>-0.727948160798201</v>
      </c>
      <c r="AD393" s="13" t="n">
        <f aca="false">(L393-AVERAGE(L$2:L$2001))/STDEV(L$2:L$2001)</f>
        <v>0.413838214490712</v>
      </c>
      <c r="AE393" s="13" t="n">
        <f aca="false">(M393-AVERAGE(M$2:M$2001))/STDEV(M$2:M$2001)</f>
        <v>0.310734217851701</v>
      </c>
      <c r="AF393" s="13" t="n">
        <f aca="false">(N393-AVERAGE(N$2:N$2001))/STDEV(N$2:N$2001)</f>
        <v>-0.0713602031571066</v>
      </c>
      <c r="AG393" s="13" t="n">
        <f aca="false">(O393-AVERAGE(O$2:O$2001))/STDEV(O$2:O$2001)</f>
        <v>0.340530425005052</v>
      </c>
      <c r="AH393" s="0" t="str">
        <f aca="false">IF(B393="Company","C3 - Corporate Buyers",IF(AND(H393="Investment",M393&gt;'Segmentation Summary'!$C$1),"C1 - Global Investors",IF(AND(I393&gt;=4,M393&gt;'Segmentation Summary'!$C$1),"C4 - Luxury Investors",IF(AND(D393&lt;'Segmentation Summary'!$C$2,J393=1),"C2 - First-Time Buyers","C5 - Other Individual Buyers"))))</f>
        <v>C5 - Other Individual Buyers</v>
      </c>
    </row>
    <row r="394" customFormat="false" ht="15" hidden="false" customHeight="true" outlineLevel="0" collapsed="false">
      <c r="A394" s="13" t="s">
        <v>854</v>
      </c>
      <c r="B394" s="13" t="s">
        <v>34</v>
      </c>
      <c r="C394" s="13" t="s">
        <v>855</v>
      </c>
      <c r="D394" s="13" t="n">
        <v>82</v>
      </c>
      <c r="E394" s="13" t="s">
        <v>83</v>
      </c>
      <c r="F394" s="13" t="s">
        <v>33</v>
      </c>
      <c r="G394" s="13" t="s">
        <v>110</v>
      </c>
      <c r="H394" s="13" t="s">
        <v>41</v>
      </c>
      <c r="I394" s="13" t="n">
        <v>4</v>
      </c>
      <c r="J394" s="13" t="n">
        <v>0</v>
      </c>
      <c r="K394" s="13" t="s">
        <v>85</v>
      </c>
      <c r="L394" s="13" t="n">
        <v>4</v>
      </c>
      <c r="M394" s="13" t="n">
        <v>1588383.36</v>
      </c>
      <c r="N394" s="13" t="n">
        <v>397095.84</v>
      </c>
      <c r="O394" s="13" t="n">
        <v>1321.76</v>
      </c>
      <c r="P394" s="13" t="n">
        <v>0</v>
      </c>
      <c r="Q394" s="13" t="n">
        <v>4</v>
      </c>
      <c r="R394" s="13" t="s">
        <v>101</v>
      </c>
      <c r="S394" s="13" t="s">
        <v>135</v>
      </c>
      <c r="T394" s="13" t="n">
        <v>1</v>
      </c>
      <c r="U394" s="13" t="n">
        <f aca="false">IF(B394="Individual",1,0)</f>
        <v>1</v>
      </c>
      <c r="V394" s="13" t="n">
        <f aca="false">IF(B394="Company",1,0)</f>
        <v>0</v>
      </c>
      <c r="W394" s="13" t="n">
        <f aca="false">IF(H394="Home",1,0)</f>
        <v>1</v>
      </c>
      <c r="X394" s="13" t="n">
        <f aca="false">IF(H394="Investment",1,0)</f>
        <v>0</v>
      </c>
      <c r="Y394" s="13" t="n">
        <f aca="false">IF(K394="Website",1,0)</f>
        <v>1</v>
      </c>
      <c r="Z394" s="13" t="n">
        <f aca="false">IF(K394="Agency",1,0)</f>
        <v>0</v>
      </c>
      <c r="AA394" s="13" t="n">
        <f aca="false">IF(K394="Client",1,0)</f>
        <v>0</v>
      </c>
      <c r="AB394" s="13" t="n">
        <f aca="false">(D394-AVERAGE(D$2:D$2001))/STDEV(D$2:D$2001)</f>
        <v>1.60664899726636</v>
      </c>
      <c r="AC394" s="13" t="n">
        <f aca="false">(I394-AVERAGE(I$2:I$2001))/STDEV(I$2:I$2001)</f>
        <v>0.686917069130275</v>
      </c>
      <c r="AD394" s="13" t="n">
        <f aca="false">(L394-AVERAGE(L$2:L$2001))/STDEV(L$2:L$2001)</f>
        <v>0.413838214490712</v>
      </c>
      <c r="AE394" s="13" t="n">
        <f aca="false">(M394-AVERAGE(M$2:M$2001))/STDEV(M$2:M$2001)</f>
        <v>0.943010242477329</v>
      </c>
      <c r="AF394" s="13" t="n">
        <f aca="false">(N394-AVERAGE(N$2:N$2001))/STDEV(N$2:N$2001)</f>
        <v>0.717219986940115</v>
      </c>
      <c r="AG394" s="13" t="n">
        <f aca="false">(O394-AVERAGE(O$2:O$2001))/STDEV(O$2:O$2001)</f>
        <v>0.792462176872319</v>
      </c>
      <c r="AH394" s="0" t="str">
        <f aca="false">IF(B394="Company","C3 - Corporate Buyers",IF(AND(H394="Investment",M394&gt;'Segmentation Summary'!$C$1),"C1 - Global Investors",IF(AND(I394&gt;=4,M394&gt;'Segmentation Summary'!$C$1),"C4 - Luxury Investors",IF(AND(D394&lt;'Segmentation Summary'!$C$2,J394=1),"C2 - First-Time Buyers","C5 - Other Individual Buyers"))))</f>
        <v>C4 - Luxury Investors</v>
      </c>
    </row>
    <row r="395" customFormat="false" ht="15" hidden="false" customHeight="true" outlineLevel="0" collapsed="false">
      <c r="A395" s="13" t="s">
        <v>856</v>
      </c>
      <c r="B395" s="13" t="s">
        <v>34</v>
      </c>
      <c r="C395" s="13" t="s">
        <v>857</v>
      </c>
      <c r="D395" s="13" t="n">
        <v>42</v>
      </c>
      <c r="E395" s="13" t="s">
        <v>83</v>
      </c>
      <c r="F395" s="13" t="s">
        <v>33</v>
      </c>
      <c r="G395" s="13" t="s">
        <v>95</v>
      </c>
      <c r="H395" s="13" t="s">
        <v>43</v>
      </c>
      <c r="I395" s="13" t="n">
        <v>4</v>
      </c>
      <c r="J395" s="13" t="n">
        <v>0</v>
      </c>
      <c r="K395" s="13" t="s">
        <v>91</v>
      </c>
      <c r="L395" s="13" t="n">
        <v>4</v>
      </c>
      <c r="M395" s="13" t="n">
        <v>1679555.42</v>
      </c>
      <c r="N395" s="13" t="n">
        <v>419888.855</v>
      </c>
      <c r="O395" s="13" t="n">
        <v>1293.0725</v>
      </c>
      <c r="P395" s="13" t="n">
        <v>0</v>
      </c>
      <c r="Q395" s="13" t="n">
        <v>4</v>
      </c>
      <c r="R395" s="13" t="s">
        <v>98</v>
      </c>
      <c r="S395" s="13" t="s">
        <v>154</v>
      </c>
      <c r="T395" s="13" t="n">
        <v>1</v>
      </c>
      <c r="U395" s="13" t="n">
        <f aca="false">IF(B395="Individual",1,0)</f>
        <v>1</v>
      </c>
      <c r="V395" s="13" t="n">
        <f aca="false">IF(B395="Company",1,0)</f>
        <v>0</v>
      </c>
      <c r="W395" s="13" t="n">
        <f aca="false">IF(H395="Home",1,0)</f>
        <v>0</v>
      </c>
      <c r="X395" s="13" t="n">
        <f aca="false">IF(H395="Investment",1,0)</f>
        <v>1</v>
      </c>
      <c r="Y395" s="13" t="n">
        <f aca="false">IF(K395="Website",1,0)</f>
        <v>0</v>
      </c>
      <c r="Z395" s="13" t="n">
        <f aca="false">IF(K395="Agency",1,0)</f>
        <v>1</v>
      </c>
      <c r="AA395" s="13" t="n">
        <f aca="false">IF(K395="Client",1,0)</f>
        <v>0</v>
      </c>
      <c r="AB395" s="13" t="n">
        <f aca="false">(D395-AVERAGE(D$2:D$2001))/STDEV(D$2:D$2001)</f>
        <v>-0.699849222259691</v>
      </c>
      <c r="AC395" s="13" t="n">
        <f aca="false">(I395-AVERAGE(I$2:I$2001))/STDEV(I$2:I$2001)</f>
        <v>0.686917069130275</v>
      </c>
      <c r="AD395" s="13" t="n">
        <f aca="false">(L395-AVERAGE(L$2:L$2001))/STDEV(L$2:L$2001)</f>
        <v>0.413838214490712</v>
      </c>
      <c r="AE395" s="13" t="n">
        <f aca="false">(M395-AVERAGE(M$2:M$2001))/STDEV(M$2:M$2001)</f>
        <v>1.20512646516639</v>
      </c>
      <c r="AF395" s="13" t="n">
        <f aca="false">(N395-AVERAGE(N$2:N$2001))/STDEV(N$2:N$2001)</f>
        <v>1.04413363329906</v>
      </c>
      <c r="AG395" s="13" t="n">
        <f aca="false">(O395-AVERAGE(O$2:O$2001))/STDEV(O$2:O$2001)</f>
        <v>0.662018549427986</v>
      </c>
      <c r="AH395" s="0" t="str">
        <f aca="false">IF(B395="Company","C3 - Corporate Buyers",IF(AND(H395="Investment",M395&gt;'Segmentation Summary'!$C$1),"C1 - Global Investors",IF(AND(I395&gt;=4,M395&gt;'Segmentation Summary'!$C$1),"C4 - Luxury Investors",IF(AND(D395&lt;'Segmentation Summary'!$C$2,J395=1),"C2 - First-Time Buyers","C5 - Other Individual Buyers"))))</f>
        <v>C1 - Global Investors</v>
      </c>
    </row>
    <row r="396" customFormat="false" ht="15" hidden="false" customHeight="true" outlineLevel="0" collapsed="false">
      <c r="A396" s="13" t="s">
        <v>858</v>
      </c>
      <c r="B396" s="13" t="s">
        <v>34</v>
      </c>
      <c r="C396" s="13" t="s">
        <v>859</v>
      </c>
      <c r="D396" s="13" t="n">
        <v>69</v>
      </c>
      <c r="E396" s="13" t="s">
        <v>83</v>
      </c>
      <c r="F396" s="13" t="s">
        <v>33</v>
      </c>
      <c r="G396" s="13" t="s">
        <v>95</v>
      </c>
      <c r="H396" s="13" t="s">
        <v>43</v>
      </c>
      <c r="I396" s="13" t="n">
        <v>2</v>
      </c>
      <c r="J396" s="13" t="n">
        <v>0</v>
      </c>
      <c r="K396" s="13" t="s">
        <v>85</v>
      </c>
      <c r="L396" s="13" t="n">
        <v>4</v>
      </c>
      <c r="M396" s="13" t="n">
        <v>1197808.83</v>
      </c>
      <c r="N396" s="13" t="n">
        <v>299452.2075</v>
      </c>
      <c r="O396" s="13" t="n">
        <v>952.0525</v>
      </c>
      <c r="P396" s="13" t="n">
        <v>0</v>
      </c>
      <c r="Q396" s="13" t="n">
        <v>4</v>
      </c>
      <c r="R396" s="13" t="s">
        <v>121</v>
      </c>
      <c r="S396" s="13" t="s">
        <v>133</v>
      </c>
      <c r="T396" s="13" t="n">
        <v>1</v>
      </c>
      <c r="U396" s="13" t="n">
        <f aca="false">IF(B396="Individual",1,0)</f>
        <v>1</v>
      </c>
      <c r="V396" s="13" t="n">
        <f aca="false">IF(B396="Company",1,0)</f>
        <v>0</v>
      </c>
      <c r="W396" s="13" t="n">
        <f aca="false">IF(H396="Home",1,0)</f>
        <v>0</v>
      </c>
      <c r="X396" s="13" t="n">
        <f aca="false">IF(H396="Investment",1,0)</f>
        <v>1</v>
      </c>
      <c r="Y396" s="13" t="n">
        <f aca="false">IF(K396="Website",1,0)</f>
        <v>1</v>
      </c>
      <c r="Z396" s="13" t="n">
        <f aca="false">IF(K396="Agency",1,0)</f>
        <v>0</v>
      </c>
      <c r="AA396" s="13" t="n">
        <f aca="false">IF(K396="Client",1,0)</f>
        <v>0</v>
      </c>
      <c r="AB396" s="13" t="n">
        <f aca="false">(D396-AVERAGE(D$2:D$2001))/STDEV(D$2:D$2001)</f>
        <v>0.857037075920391</v>
      </c>
      <c r="AC396" s="13" t="n">
        <f aca="false">(I396-AVERAGE(I$2:I$2001))/STDEV(I$2:I$2001)</f>
        <v>-0.727948160798201</v>
      </c>
      <c r="AD396" s="13" t="n">
        <f aca="false">(L396-AVERAGE(L$2:L$2001))/STDEV(L$2:L$2001)</f>
        <v>0.413838214490712</v>
      </c>
      <c r="AE396" s="13" t="n">
        <f aca="false">(M396-AVERAGE(M$2:M$2001))/STDEV(M$2:M$2001)</f>
        <v>-0.179876752531393</v>
      </c>
      <c r="AF396" s="13" t="n">
        <f aca="false">(N396-AVERAGE(N$2:N$2001))/STDEV(N$2:N$2001)</f>
        <v>-0.683254498085589</v>
      </c>
      <c r="AG396" s="13" t="n">
        <f aca="false">(O396-AVERAGE(O$2:O$2001))/STDEV(O$2:O$2001)</f>
        <v>-0.888617993702863</v>
      </c>
      <c r="AH396" s="0" t="str">
        <f aca="false">IF(B396="Company","C3 - Corporate Buyers",IF(AND(H396="Investment",M396&gt;'Segmentation Summary'!$C$1),"C1 - Global Investors",IF(AND(I396&gt;=4,M396&gt;'Segmentation Summary'!$C$1),"C4 - Luxury Investors",IF(AND(D396&lt;'Segmentation Summary'!$C$2,J396=1),"C2 - First-Time Buyers","C5 - Other Individual Buyers"))))</f>
        <v>C5 - Other Individual Buyers</v>
      </c>
    </row>
    <row r="397" customFormat="false" ht="15" hidden="false" customHeight="true" outlineLevel="0" collapsed="false">
      <c r="A397" s="13" t="s">
        <v>860</v>
      </c>
      <c r="B397" s="13" t="s">
        <v>34</v>
      </c>
      <c r="C397" s="13" t="s">
        <v>859</v>
      </c>
      <c r="D397" s="13" t="n">
        <v>56</v>
      </c>
      <c r="E397" s="13" t="s">
        <v>83</v>
      </c>
      <c r="F397" s="13" t="s">
        <v>33</v>
      </c>
      <c r="G397" s="13" t="s">
        <v>145</v>
      </c>
      <c r="H397" s="13" t="s">
        <v>41</v>
      </c>
      <c r="I397" s="13" t="n">
        <v>4</v>
      </c>
      <c r="J397" s="13" t="n">
        <v>1</v>
      </c>
      <c r="K397" s="13" t="s">
        <v>91</v>
      </c>
      <c r="L397" s="13" t="n">
        <v>3</v>
      </c>
      <c r="M397" s="13" t="n">
        <v>1035934.63</v>
      </c>
      <c r="N397" s="13" t="n">
        <v>345311.543333333</v>
      </c>
      <c r="O397" s="13" t="n">
        <v>1224.68</v>
      </c>
      <c r="P397" s="13" t="n">
        <v>1</v>
      </c>
      <c r="Q397" s="13" t="n">
        <v>2</v>
      </c>
      <c r="R397" s="13" t="s">
        <v>101</v>
      </c>
      <c r="S397" s="13" t="s">
        <v>128</v>
      </c>
      <c r="T397" s="13" t="n">
        <v>1</v>
      </c>
      <c r="U397" s="13" t="n">
        <f aca="false">IF(B397="Individual",1,0)</f>
        <v>1</v>
      </c>
      <c r="V397" s="13" t="n">
        <f aca="false">IF(B397="Company",1,0)</f>
        <v>0</v>
      </c>
      <c r="W397" s="13" t="n">
        <f aca="false">IF(H397="Home",1,0)</f>
        <v>1</v>
      </c>
      <c r="X397" s="13" t="n">
        <f aca="false">IF(H397="Investment",1,0)</f>
        <v>0</v>
      </c>
      <c r="Y397" s="13" t="n">
        <f aca="false">IF(K397="Website",1,0)</f>
        <v>0</v>
      </c>
      <c r="Z397" s="13" t="n">
        <f aca="false">IF(K397="Agency",1,0)</f>
        <v>1</v>
      </c>
      <c r="AA397" s="13" t="n">
        <f aca="false">IF(K397="Client",1,0)</f>
        <v>0</v>
      </c>
      <c r="AB397" s="13" t="n">
        <f aca="false">(D397-AVERAGE(D$2:D$2001))/STDEV(D$2:D$2001)</f>
        <v>0.107425154574426</v>
      </c>
      <c r="AC397" s="13" t="n">
        <f aca="false">(I397-AVERAGE(I$2:I$2001))/STDEV(I$2:I$2001)</f>
        <v>0.686917069130275</v>
      </c>
      <c r="AD397" s="13" t="n">
        <f aca="false">(L397-AVERAGE(L$2:L$2001))/STDEV(L$2:L$2001)</f>
        <v>-0.777063122173208</v>
      </c>
      <c r="AE397" s="13" t="n">
        <f aca="false">(M397-AVERAGE(M$2:M$2001))/STDEV(M$2:M$2001)</f>
        <v>-0.645258952459895</v>
      </c>
      <c r="AF397" s="13" t="n">
        <f aca="false">(N397-AVERAGE(N$2:N$2001))/STDEV(N$2:N$2001)</f>
        <v>-0.0255072585530181</v>
      </c>
      <c r="AG397" s="13" t="n">
        <f aca="false">(O397-AVERAGE(O$2:O$2001))/STDEV(O$2:O$2001)</f>
        <v>0.351034121018871</v>
      </c>
      <c r="AH397" s="0" t="str">
        <f aca="false">IF(B397="Company","C3 - Corporate Buyers",IF(AND(H397="Investment",M397&gt;'Segmentation Summary'!$C$1),"C1 - Global Investors",IF(AND(I397&gt;=4,M397&gt;'Segmentation Summary'!$C$1),"C4 - Luxury Investors",IF(AND(D397&lt;'Segmentation Summary'!$C$2,J397=1),"C2 - First-Time Buyers","C5 - Other Individual Buyers"))))</f>
        <v>C5 - Other Individual Buyers</v>
      </c>
    </row>
    <row r="398" customFormat="false" ht="15" hidden="false" customHeight="true" outlineLevel="0" collapsed="false">
      <c r="A398" s="13" t="s">
        <v>861</v>
      </c>
      <c r="B398" s="13" t="s">
        <v>34</v>
      </c>
      <c r="C398" s="13" t="s">
        <v>862</v>
      </c>
      <c r="D398" s="13" t="n">
        <v>81</v>
      </c>
      <c r="E398" s="13" t="s">
        <v>83</v>
      </c>
      <c r="F398" s="13" t="s">
        <v>37</v>
      </c>
      <c r="G398" s="13" t="s">
        <v>259</v>
      </c>
      <c r="H398" s="13" t="s">
        <v>43</v>
      </c>
      <c r="I398" s="13" t="n">
        <v>4</v>
      </c>
      <c r="J398" s="13" t="n">
        <v>1</v>
      </c>
      <c r="K398" s="13" t="s">
        <v>91</v>
      </c>
      <c r="L398" s="13" t="n">
        <v>3</v>
      </c>
      <c r="M398" s="13" t="n">
        <v>743057.13</v>
      </c>
      <c r="N398" s="13" t="n">
        <v>247685.71</v>
      </c>
      <c r="O398" s="13" t="n">
        <v>850.246666666667</v>
      </c>
      <c r="P398" s="13" t="n">
        <v>0</v>
      </c>
      <c r="Q398" s="13" t="n">
        <v>3</v>
      </c>
      <c r="R398" s="13" t="s">
        <v>128</v>
      </c>
      <c r="S398" s="13" t="s">
        <v>150</v>
      </c>
      <c r="T398" s="13" t="n">
        <v>1</v>
      </c>
      <c r="U398" s="13" t="n">
        <f aca="false">IF(B398="Individual",1,0)</f>
        <v>1</v>
      </c>
      <c r="V398" s="13" t="n">
        <f aca="false">IF(B398="Company",1,0)</f>
        <v>0</v>
      </c>
      <c r="W398" s="13" t="n">
        <f aca="false">IF(H398="Home",1,0)</f>
        <v>0</v>
      </c>
      <c r="X398" s="13" t="n">
        <f aca="false">IF(H398="Investment",1,0)</f>
        <v>1</v>
      </c>
      <c r="Y398" s="13" t="n">
        <f aca="false">IF(K398="Website",1,0)</f>
        <v>0</v>
      </c>
      <c r="Z398" s="13" t="n">
        <f aca="false">IF(K398="Agency",1,0)</f>
        <v>1</v>
      </c>
      <c r="AA398" s="13" t="n">
        <f aca="false">IF(K398="Client",1,0)</f>
        <v>0</v>
      </c>
      <c r="AB398" s="13" t="n">
        <f aca="false">(D398-AVERAGE(D$2:D$2001))/STDEV(D$2:D$2001)</f>
        <v>1.54898654177821</v>
      </c>
      <c r="AC398" s="13" t="n">
        <f aca="false">(I398-AVERAGE(I$2:I$2001))/STDEV(I$2:I$2001)</f>
        <v>0.686917069130275</v>
      </c>
      <c r="AD398" s="13" t="n">
        <f aca="false">(L398-AVERAGE(L$2:L$2001))/STDEV(L$2:L$2001)</f>
        <v>-0.777063122173208</v>
      </c>
      <c r="AE398" s="13" t="n">
        <f aca="false">(M398-AVERAGE(M$2:M$2001))/STDEV(M$2:M$2001)</f>
        <v>-1.48727068292442</v>
      </c>
      <c r="AF398" s="13" t="n">
        <f aca="false">(N398-AVERAGE(N$2:N$2001))/STDEV(N$2:N$2001)</f>
        <v>-1.42572645526003</v>
      </c>
      <c r="AG398" s="13" t="n">
        <f aca="false">(O398-AVERAGE(O$2:O$2001))/STDEV(O$2:O$2001)</f>
        <v>-1.35153467152397</v>
      </c>
      <c r="AH398" s="0" t="str">
        <f aca="false">IF(B398="Company","C3 - Corporate Buyers",IF(AND(H398="Investment",M398&gt;'Segmentation Summary'!$C$1),"C1 - Global Investors",IF(AND(I398&gt;=4,M398&gt;'Segmentation Summary'!$C$1),"C4 - Luxury Investors",IF(AND(D398&lt;'Segmentation Summary'!$C$2,J398=1),"C2 - First-Time Buyers","C5 - Other Individual Buyers"))))</f>
        <v>C5 - Other Individual Buyers</v>
      </c>
    </row>
    <row r="399" customFormat="false" ht="15" hidden="false" customHeight="true" outlineLevel="0" collapsed="false">
      <c r="A399" s="13" t="s">
        <v>863</v>
      </c>
      <c r="B399" s="13" t="s">
        <v>34</v>
      </c>
      <c r="C399" s="13" t="s">
        <v>864</v>
      </c>
      <c r="D399" s="13" t="n">
        <v>32</v>
      </c>
      <c r="E399" s="13" t="s">
        <v>83</v>
      </c>
      <c r="F399" s="13" t="s">
        <v>33</v>
      </c>
      <c r="G399" s="13" t="s">
        <v>120</v>
      </c>
      <c r="H399" s="13" t="s">
        <v>43</v>
      </c>
      <c r="I399" s="13" t="n">
        <v>2</v>
      </c>
      <c r="J399" s="13" t="n">
        <v>1</v>
      </c>
      <c r="K399" s="13" t="s">
        <v>91</v>
      </c>
      <c r="L399" s="13" t="n">
        <v>3</v>
      </c>
      <c r="M399" s="13" t="n">
        <v>1323306.51</v>
      </c>
      <c r="N399" s="13" t="n">
        <v>441102.17</v>
      </c>
      <c r="O399" s="13" t="n">
        <v>1471.62</v>
      </c>
      <c r="P399" s="13" t="n">
        <v>0</v>
      </c>
      <c r="Q399" s="13" t="n">
        <v>3</v>
      </c>
      <c r="R399" s="13" t="s">
        <v>121</v>
      </c>
      <c r="S399" s="13" t="s">
        <v>154</v>
      </c>
      <c r="T399" s="13" t="n">
        <v>1</v>
      </c>
      <c r="U399" s="13" t="n">
        <f aca="false">IF(B399="Individual",1,0)</f>
        <v>1</v>
      </c>
      <c r="V399" s="13" t="n">
        <f aca="false">IF(B399="Company",1,0)</f>
        <v>0</v>
      </c>
      <c r="W399" s="13" t="n">
        <f aca="false">IF(H399="Home",1,0)</f>
        <v>0</v>
      </c>
      <c r="X399" s="13" t="n">
        <f aca="false">IF(H399="Investment",1,0)</f>
        <v>1</v>
      </c>
      <c r="Y399" s="13" t="n">
        <f aca="false">IF(K399="Website",1,0)</f>
        <v>0</v>
      </c>
      <c r="Z399" s="13" t="n">
        <f aca="false">IF(K399="Agency",1,0)</f>
        <v>1</v>
      </c>
      <c r="AA399" s="13" t="n">
        <f aca="false">IF(K399="Client",1,0)</f>
        <v>0</v>
      </c>
      <c r="AB399" s="13" t="n">
        <f aca="false">(D399-AVERAGE(D$2:D$2001))/STDEV(D$2:D$2001)</f>
        <v>-1.2764737771412</v>
      </c>
      <c r="AC399" s="13" t="n">
        <f aca="false">(I399-AVERAGE(I$2:I$2001))/STDEV(I$2:I$2001)</f>
        <v>-0.727948160798201</v>
      </c>
      <c r="AD399" s="13" t="n">
        <f aca="false">(L399-AVERAGE(L$2:L$2001))/STDEV(L$2:L$2001)</f>
        <v>-0.777063122173208</v>
      </c>
      <c r="AE399" s="13" t="n">
        <f aca="false">(M399-AVERAGE(M$2:M$2001))/STDEV(M$2:M$2001)</f>
        <v>0.180924328828844</v>
      </c>
      <c r="AF399" s="13" t="n">
        <f aca="false">(N399-AVERAGE(N$2:N$2001))/STDEV(N$2:N$2001)</f>
        <v>1.3483900977471</v>
      </c>
      <c r="AG399" s="13" t="n">
        <f aca="false">(O399-AVERAGE(O$2:O$2001))/STDEV(O$2:O$2001)</f>
        <v>1.47388377195058</v>
      </c>
      <c r="AH399" s="0" t="str">
        <f aca="false">IF(B399="Company","C3 - Corporate Buyers",IF(AND(H399="Investment",M399&gt;'Segmentation Summary'!$C$1),"C1 - Global Investors",IF(AND(I399&gt;=4,M399&gt;'Segmentation Summary'!$C$1),"C4 - Luxury Investors",IF(AND(D399&lt;'Segmentation Summary'!$C$2,J399=1),"C2 - First-Time Buyers","C5 - Other Individual Buyers"))))</f>
        <v>C1 - Global Investors</v>
      </c>
    </row>
    <row r="400" customFormat="false" ht="15" hidden="false" customHeight="true" outlineLevel="0" collapsed="false">
      <c r="A400" s="13" t="s">
        <v>865</v>
      </c>
      <c r="B400" s="13" t="s">
        <v>34</v>
      </c>
      <c r="C400" s="13" t="s">
        <v>866</v>
      </c>
      <c r="D400" s="13" t="n">
        <v>71</v>
      </c>
      <c r="E400" s="13" t="s">
        <v>83</v>
      </c>
      <c r="F400" s="13" t="s">
        <v>33</v>
      </c>
      <c r="G400" s="13" t="s">
        <v>97</v>
      </c>
      <c r="H400" s="13" t="s">
        <v>41</v>
      </c>
      <c r="I400" s="13" t="n">
        <v>5</v>
      </c>
      <c r="J400" s="13" t="n">
        <v>0</v>
      </c>
      <c r="K400" s="13" t="s">
        <v>85</v>
      </c>
      <c r="L400" s="13" t="n">
        <v>3</v>
      </c>
      <c r="M400" s="13" t="n">
        <v>882067.47</v>
      </c>
      <c r="N400" s="13" t="n">
        <v>294022.49</v>
      </c>
      <c r="O400" s="13" t="n">
        <v>932.37</v>
      </c>
      <c r="P400" s="13" t="n">
        <v>0</v>
      </c>
      <c r="Q400" s="13" t="n">
        <v>3</v>
      </c>
      <c r="R400" s="13" t="s">
        <v>150</v>
      </c>
      <c r="S400" s="13" t="s">
        <v>164</v>
      </c>
      <c r="T400" s="13" t="n">
        <v>1</v>
      </c>
      <c r="U400" s="13" t="n">
        <f aca="false">IF(B400="Individual",1,0)</f>
        <v>1</v>
      </c>
      <c r="V400" s="13" t="n">
        <f aca="false">IF(B400="Company",1,0)</f>
        <v>0</v>
      </c>
      <c r="W400" s="13" t="n">
        <f aca="false">IF(H400="Home",1,0)</f>
        <v>1</v>
      </c>
      <c r="X400" s="13" t="n">
        <f aca="false">IF(H400="Investment",1,0)</f>
        <v>0</v>
      </c>
      <c r="Y400" s="13" t="n">
        <f aca="false">IF(K400="Website",1,0)</f>
        <v>1</v>
      </c>
      <c r="Z400" s="13" t="n">
        <f aca="false">IF(K400="Agency",1,0)</f>
        <v>0</v>
      </c>
      <c r="AA400" s="13" t="n">
        <f aca="false">IF(K400="Client",1,0)</f>
        <v>0</v>
      </c>
      <c r="AB400" s="13" t="n">
        <f aca="false">(D400-AVERAGE(D$2:D$2001))/STDEV(D$2:D$2001)</f>
        <v>0.972361986896694</v>
      </c>
      <c r="AC400" s="13" t="n">
        <f aca="false">(I400-AVERAGE(I$2:I$2001))/STDEV(I$2:I$2001)</f>
        <v>1.39434968409451</v>
      </c>
      <c r="AD400" s="13" t="n">
        <f aca="false">(L400-AVERAGE(L$2:L$2001))/STDEV(L$2:L$2001)</f>
        <v>-0.777063122173208</v>
      </c>
      <c r="AE400" s="13" t="n">
        <f aca="false">(M400-AVERAGE(M$2:M$2001))/STDEV(M$2:M$2001)</f>
        <v>-1.08762121536251</v>
      </c>
      <c r="AF400" s="13" t="n">
        <f aca="false">(N400-AVERAGE(N$2:N$2001))/STDEV(N$2:N$2001)</f>
        <v>-0.761131371620047</v>
      </c>
      <c r="AG400" s="13" t="n">
        <f aca="false">(O400-AVERAGE(O$2:O$2001))/STDEV(O$2:O$2001)</f>
        <v>-0.97811539491151</v>
      </c>
      <c r="AH400" s="0" t="str">
        <f aca="false">IF(B400="Company","C3 - Corporate Buyers",IF(AND(H400="Investment",M400&gt;'Segmentation Summary'!$C$1),"C1 - Global Investors",IF(AND(I400&gt;=4,M400&gt;'Segmentation Summary'!$C$1),"C4 - Luxury Investors",IF(AND(D400&lt;'Segmentation Summary'!$C$2,J400=1),"C2 - First-Time Buyers","C5 - Other Individual Buyers"))))</f>
        <v>C5 - Other Individual Buyers</v>
      </c>
    </row>
    <row r="401" customFormat="false" ht="15" hidden="false" customHeight="true" outlineLevel="0" collapsed="false">
      <c r="A401" s="13" t="s">
        <v>867</v>
      </c>
      <c r="B401" s="13" t="s">
        <v>34</v>
      </c>
      <c r="C401" s="13" t="s">
        <v>868</v>
      </c>
      <c r="D401" s="13" t="n">
        <v>72</v>
      </c>
      <c r="E401" s="13" t="s">
        <v>83</v>
      </c>
      <c r="F401" s="13" t="s">
        <v>33</v>
      </c>
      <c r="G401" s="13" t="s">
        <v>95</v>
      </c>
      <c r="H401" s="13" t="s">
        <v>41</v>
      </c>
      <c r="I401" s="13" t="n">
        <v>3</v>
      </c>
      <c r="J401" s="13" t="n">
        <v>0</v>
      </c>
      <c r="K401" s="13" t="s">
        <v>91</v>
      </c>
      <c r="L401" s="13" t="n">
        <v>4</v>
      </c>
      <c r="M401" s="13" t="n">
        <v>1840159.66</v>
      </c>
      <c r="N401" s="13" t="n">
        <v>460039.915</v>
      </c>
      <c r="O401" s="13" t="n">
        <v>1572.79</v>
      </c>
      <c r="P401" s="13" t="n">
        <v>0</v>
      </c>
      <c r="Q401" s="13" t="n">
        <v>4</v>
      </c>
      <c r="R401" s="13" t="s">
        <v>117</v>
      </c>
      <c r="S401" s="13" t="s">
        <v>125</v>
      </c>
      <c r="T401" s="13" t="n">
        <v>1</v>
      </c>
      <c r="U401" s="13" t="n">
        <f aca="false">IF(B401="Individual",1,0)</f>
        <v>1</v>
      </c>
      <c r="V401" s="13" t="n">
        <f aca="false">IF(B401="Company",1,0)</f>
        <v>0</v>
      </c>
      <c r="W401" s="13" t="n">
        <f aca="false">IF(H401="Home",1,0)</f>
        <v>1</v>
      </c>
      <c r="X401" s="13" t="n">
        <f aca="false">IF(H401="Investment",1,0)</f>
        <v>0</v>
      </c>
      <c r="Y401" s="13" t="n">
        <f aca="false">IF(K401="Website",1,0)</f>
        <v>0</v>
      </c>
      <c r="Z401" s="13" t="n">
        <f aca="false">IF(K401="Agency",1,0)</f>
        <v>1</v>
      </c>
      <c r="AA401" s="13" t="n">
        <f aca="false">IF(K401="Client",1,0)</f>
        <v>0</v>
      </c>
      <c r="AB401" s="13" t="n">
        <f aca="false">(D401-AVERAGE(D$2:D$2001))/STDEV(D$2:D$2001)</f>
        <v>1.03002444238485</v>
      </c>
      <c r="AC401" s="13" t="n">
        <f aca="false">(I401-AVERAGE(I$2:I$2001))/STDEV(I$2:I$2001)</f>
        <v>-0.0205155458339628</v>
      </c>
      <c r="AD401" s="13" t="n">
        <f aca="false">(L401-AVERAGE(L$2:L$2001))/STDEV(L$2:L$2001)</f>
        <v>0.413838214490712</v>
      </c>
      <c r="AE401" s="13" t="n">
        <f aca="false">(M401-AVERAGE(M$2:M$2001))/STDEV(M$2:M$2001)</f>
        <v>1.66685757814823</v>
      </c>
      <c r="AF401" s="13" t="n">
        <f aca="false">(N401-AVERAGE(N$2:N$2001))/STDEV(N$2:N$2001)</f>
        <v>1.62000871738851</v>
      </c>
      <c r="AG401" s="13" t="n">
        <f aca="false">(O401-AVERAGE(O$2:O$2001))/STDEV(O$2:O$2001)</f>
        <v>1.9339092809194</v>
      </c>
      <c r="AH401" s="0" t="str">
        <f aca="false">IF(B401="Company","C3 - Corporate Buyers",IF(AND(H401="Investment",M401&gt;'Segmentation Summary'!$C$1),"C1 - Global Investors",IF(AND(I401&gt;=4,M401&gt;'Segmentation Summary'!$C$1),"C4 - Luxury Investors",IF(AND(D401&lt;'Segmentation Summary'!$C$2,J401=1),"C2 - First-Time Buyers","C5 - Other Individual Buyers"))))</f>
        <v>C5 - Other Individual Buyers</v>
      </c>
    </row>
    <row r="402" customFormat="false" ht="15" hidden="false" customHeight="true" outlineLevel="0" collapsed="false">
      <c r="A402" s="13" t="s">
        <v>869</v>
      </c>
      <c r="B402" s="13" t="s">
        <v>34</v>
      </c>
      <c r="C402" s="13" t="s">
        <v>870</v>
      </c>
      <c r="D402" s="13" t="n">
        <v>24</v>
      </c>
      <c r="E402" s="13" t="s">
        <v>83</v>
      </c>
      <c r="F402" s="13" t="s">
        <v>33</v>
      </c>
      <c r="G402" s="13" t="s">
        <v>84</v>
      </c>
      <c r="H402" s="13" t="s">
        <v>43</v>
      </c>
      <c r="I402" s="13" t="n">
        <v>3</v>
      </c>
      <c r="J402" s="13" t="n">
        <v>0</v>
      </c>
      <c r="K402" s="13" t="s">
        <v>91</v>
      </c>
      <c r="L402" s="13" t="n">
        <v>3</v>
      </c>
      <c r="M402" s="13" t="n">
        <v>1215611.54</v>
      </c>
      <c r="N402" s="13" t="n">
        <v>405203.846666667</v>
      </c>
      <c r="O402" s="13" t="n">
        <v>1413.86666666667</v>
      </c>
      <c r="P402" s="13" t="n">
        <v>0</v>
      </c>
      <c r="Q402" s="13" t="n">
        <v>3</v>
      </c>
      <c r="R402" s="13" t="s">
        <v>128</v>
      </c>
      <c r="S402" s="13" t="s">
        <v>125</v>
      </c>
      <c r="T402" s="13" t="n">
        <v>1</v>
      </c>
      <c r="U402" s="13" t="n">
        <f aca="false">IF(B402="Individual",1,0)</f>
        <v>1</v>
      </c>
      <c r="V402" s="13" t="n">
        <f aca="false">IF(B402="Company",1,0)</f>
        <v>0</v>
      </c>
      <c r="W402" s="13" t="n">
        <f aca="false">IF(H402="Home",1,0)</f>
        <v>0</v>
      </c>
      <c r="X402" s="13" t="n">
        <f aca="false">IF(H402="Investment",1,0)</f>
        <v>1</v>
      </c>
      <c r="Y402" s="13" t="n">
        <f aca="false">IF(K402="Website",1,0)</f>
        <v>0</v>
      </c>
      <c r="Z402" s="13" t="n">
        <f aca="false">IF(K402="Agency",1,0)</f>
        <v>1</v>
      </c>
      <c r="AA402" s="13" t="n">
        <f aca="false">IF(K402="Client",1,0)</f>
        <v>0</v>
      </c>
      <c r="AB402" s="13" t="n">
        <f aca="false">(D402-AVERAGE(D$2:D$2001))/STDEV(D$2:D$2001)</f>
        <v>-1.73777342104641</v>
      </c>
      <c r="AC402" s="13" t="n">
        <f aca="false">(I402-AVERAGE(I$2:I$2001))/STDEV(I$2:I$2001)</f>
        <v>-0.0205155458339628</v>
      </c>
      <c r="AD402" s="13" t="n">
        <f aca="false">(L402-AVERAGE(L$2:L$2001))/STDEV(L$2:L$2001)</f>
        <v>-0.777063122173208</v>
      </c>
      <c r="AE402" s="13" t="n">
        <f aca="false">(M402-AVERAGE(M$2:M$2001))/STDEV(M$2:M$2001)</f>
        <v>-0.128694634908639</v>
      </c>
      <c r="AF402" s="13" t="n">
        <f aca="false">(N402-AVERAGE(N$2:N$2001))/STDEV(N$2:N$2001)</f>
        <v>0.833510790245548</v>
      </c>
      <c r="AG402" s="13" t="n">
        <f aca="false">(O402-AVERAGE(O$2:O$2001))/STDEV(O$2:O$2001)</f>
        <v>1.21127621475664</v>
      </c>
      <c r="AH402" s="0" t="str">
        <f aca="false">IF(B402="Company","C3 - Corporate Buyers",IF(AND(H402="Investment",M402&gt;'Segmentation Summary'!$C$1),"C1 - Global Investors",IF(AND(I402&gt;=4,M402&gt;'Segmentation Summary'!$C$1),"C4 - Luxury Investors",IF(AND(D402&lt;'Segmentation Summary'!$C$2,J402=1),"C2 - First-Time Buyers","C5 - Other Individual Buyers"))))</f>
        <v>C5 - Other Individual Buyers</v>
      </c>
    </row>
    <row r="403" customFormat="false" ht="15" hidden="false" customHeight="true" outlineLevel="0" collapsed="false">
      <c r="A403" s="13" t="s">
        <v>871</v>
      </c>
      <c r="B403" s="13" t="s">
        <v>34</v>
      </c>
      <c r="C403" s="13" t="s">
        <v>872</v>
      </c>
      <c r="D403" s="13" t="n">
        <v>64</v>
      </c>
      <c r="E403" s="13" t="s">
        <v>83</v>
      </c>
      <c r="F403" s="13" t="s">
        <v>33</v>
      </c>
      <c r="G403" s="13" t="s">
        <v>95</v>
      </c>
      <c r="H403" s="13" t="s">
        <v>41</v>
      </c>
      <c r="I403" s="13" t="n">
        <v>4</v>
      </c>
      <c r="J403" s="13" t="n">
        <v>1</v>
      </c>
      <c r="K403" s="13" t="s">
        <v>91</v>
      </c>
      <c r="L403" s="13" t="n">
        <v>4</v>
      </c>
      <c r="M403" s="13" t="n">
        <v>1129941.35</v>
      </c>
      <c r="N403" s="13" t="n">
        <v>282485.3375</v>
      </c>
      <c r="O403" s="13" t="n">
        <v>825.1325</v>
      </c>
      <c r="P403" s="13" t="n">
        <v>1</v>
      </c>
      <c r="Q403" s="13" t="n">
        <v>3</v>
      </c>
      <c r="R403" s="13" t="s">
        <v>86</v>
      </c>
      <c r="S403" s="13" t="s">
        <v>87</v>
      </c>
      <c r="T403" s="13" t="n">
        <v>1</v>
      </c>
      <c r="U403" s="13" t="n">
        <f aca="false">IF(B403="Individual",1,0)</f>
        <v>1</v>
      </c>
      <c r="V403" s="13" t="n">
        <f aca="false">IF(B403="Company",1,0)</f>
        <v>0</v>
      </c>
      <c r="W403" s="13" t="n">
        <f aca="false">IF(H403="Home",1,0)</f>
        <v>1</v>
      </c>
      <c r="X403" s="13" t="n">
        <f aca="false">IF(H403="Investment",1,0)</f>
        <v>0</v>
      </c>
      <c r="Y403" s="13" t="n">
        <f aca="false">IF(K403="Website",1,0)</f>
        <v>0</v>
      </c>
      <c r="Z403" s="13" t="n">
        <f aca="false">IF(K403="Agency",1,0)</f>
        <v>1</v>
      </c>
      <c r="AA403" s="13" t="n">
        <f aca="false">IF(K403="Client",1,0)</f>
        <v>0</v>
      </c>
      <c r="AB403" s="13" t="n">
        <f aca="false">(D403-AVERAGE(D$2:D$2001))/STDEV(D$2:D$2001)</f>
        <v>0.568724798479635</v>
      </c>
      <c r="AC403" s="13" t="n">
        <f aca="false">(I403-AVERAGE(I$2:I$2001))/STDEV(I$2:I$2001)</f>
        <v>0.686917069130275</v>
      </c>
      <c r="AD403" s="13" t="n">
        <f aca="false">(L403-AVERAGE(L$2:L$2001))/STDEV(L$2:L$2001)</f>
        <v>0.413838214490712</v>
      </c>
      <c r="AE403" s="13" t="n">
        <f aca="false">(M403-AVERAGE(M$2:M$2001))/STDEV(M$2:M$2001)</f>
        <v>-0.374993189530023</v>
      </c>
      <c r="AF403" s="13" t="n">
        <f aca="false">(N403-AVERAGE(N$2:N$2001))/STDEV(N$2:N$2001)</f>
        <v>-0.926605425507795</v>
      </c>
      <c r="AG403" s="13" t="n">
        <f aca="false">(O403-AVERAGE(O$2:O$2001))/STDEV(O$2:O$2001)</f>
        <v>-1.46573015737117</v>
      </c>
      <c r="AH403" s="0" t="str">
        <f aca="false">IF(B403="Company","C3 - Corporate Buyers",IF(AND(H403="Investment",M403&gt;'Segmentation Summary'!$C$1),"C1 - Global Investors",IF(AND(I403&gt;=4,M403&gt;'Segmentation Summary'!$C$1),"C4 - Luxury Investors",IF(AND(D403&lt;'Segmentation Summary'!$C$2,J403=1),"C2 - First-Time Buyers","C5 - Other Individual Buyers"))))</f>
        <v>C5 - Other Individual Buyers</v>
      </c>
    </row>
    <row r="404" customFormat="false" ht="15" hidden="false" customHeight="true" outlineLevel="0" collapsed="false">
      <c r="A404" s="13" t="s">
        <v>873</v>
      </c>
      <c r="B404" s="13" t="s">
        <v>34</v>
      </c>
      <c r="C404" s="13" t="s">
        <v>874</v>
      </c>
      <c r="D404" s="13" t="n">
        <v>76</v>
      </c>
      <c r="E404" s="13" t="s">
        <v>83</v>
      </c>
      <c r="F404" s="13" t="s">
        <v>45</v>
      </c>
      <c r="G404" s="13" t="s">
        <v>196</v>
      </c>
      <c r="H404" s="13" t="s">
        <v>41</v>
      </c>
      <c r="I404" s="13" t="n">
        <v>1</v>
      </c>
      <c r="J404" s="13" t="n">
        <v>1</v>
      </c>
      <c r="K404" s="13" t="s">
        <v>91</v>
      </c>
      <c r="L404" s="13" t="n">
        <v>4</v>
      </c>
      <c r="M404" s="13" t="n">
        <v>1643592.85</v>
      </c>
      <c r="N404" s="13" t="n">
        <v>410898.2125</v>
      </c>
      <c r="O404" s="13" t="n">
        <v>1295.265</v>
      </c>
      <c r="P404" s="13" t="n">
        <v>1</v>
      </c>
      <c r="Q404" s="13" t="n">
        <v>3</v>
      </c>
      <c r="R404" s="13" t="s">
        <v>98</v>
      </c>
      <c r="S404" s="13" t="s">
        <v>112</v>
      </c>
      <c r="T404" s="13" t="n">
        <v>1</v>
      </c>
      <c r="U404" s="13" t="n">
        <f aca="false">IF(B404="Individual",1,0)</f>
        <v>1</v>
      </c>
      <c r="V404" s="13" t="n">
        <f aca="false">IF(B404="Company",1,0)</f>
        <v>0</v>
      </c>
      <c r="W404" s="13" t="n">
        <f aca="false">IF(H404="Home",1,0)</f>
        <v>1</v>
      </c>
      <c r="X404" s="13" t="n">
        <f aca="false">IF(H404="Investment",1,0)</f>
        <v>0</v>
      </c>
      <c r="Y404" s="13" t="n">
        <f aca="false">IF(K404="Website",1,0)</f>
        <v>0</v>
      </c>
      <c r="Z404" s="13" t="n">
        <f aca="false">IF(K404="Agency",1,0)</f>
        <v>1</v>
      </c>
      <c r="AA404" s="13" t="n">
        <f aca="false">IF(K404="Client",1,0)</f>
        <v>0</v>
      </c>
      <c r="AB404" s="13" t="n">
        <f aca="false">(D404-AVERAGE(D$2:D$2001))/STDEV(D$2:D$2001)</f>
        <v>1.26067426433745</v>
      </c>
      <c r="AC404" s="13" t="n">
        <f aca="false">(I404-AVERAGE(I$2:I$2001))/STDEV(I$2:I$2001)</f>
        <v>-1.43538077576244</v>
      </c>
      <c r="AD404" s="13" t="n">
        <f aca="false">(L404-AVERAGE(L$2:L$2001))/STDEV(L$2:L$2001)</f>
        <v>0.413838214490712</v>
      </c>
      <c r="AE404" s="13" t="n">
        <f aca="false">(M404-AVERAGE(M$2:M$2001))/STDEV(M$2:M$2001)</f>
        <v>1.10173543718489</v>
      </c>
      <c r="AF404" s="13" t="n">
        <f aca="false">(N404-AVERAGE(N$2:N$2001))/STDEV(N$2:N$2001)</f>
        <v>0.91518343856683</v>
      </c>
      <c r="AG404" s="13" t="n">
        <f aca="false">(O404-AVERAGE(O$2:O$2001))/STDEV(O$2:O$2001)</f>
        <v>0.671987966532011</v>
      </c>
      <c r="AH404" s="0" t="str">
        <f aca="false">IF(B404="Company","C3 - Corporate Buyers",IF(AND(H404="Investment",M404&gt;'Segmentation Summary'!$C$1),"C1 - Global Investors",IF(AND(I404&gt;=4,M404&gt;'Segmentation Summary'!$C$1),"C4 - Luxury Investors",IF(AND(D404&lt;'Segmentation Summary'!$C$2,J404=1),"C2 - First-Time Buyers","C5 - Other Individual Buyers"))))</f>
        <v>C5 - Other Individual Buyers</v>
      </c>
    </row>
    <row r="405" customFormat="false" ht="15" hidden="false" customHeight="true" outlineLevel="0" collapsed="false">
      <c r="A405" s="13" t="s">
        <v>875</v>
      </c>
      <c r="B405" s="13" t="s">
        <v>34</v>
      </c>
      <c r="C405" s="13" t="s">
        <v>876</v>
      </c>
      <c r="D405" s="13" t="n">
        <v>33</v>
      </c>
      <c r="E405" s="13" t="s">
        <v>83</v>
      </c>
      <c r="F405" s="13" t="s">
        <v>35</v>
      </c>
      <c r="G405" s="13" t="s">
        <v>185</v>
      </c>
      <c r="H405" s="13" t="s">
        <v>41</v>
      </c>
      <c r="I405" s="13" t="n">
        <v>4</v>
      </c>
      <c r="J405" s="13" t="n">
        <v>1</v>
      </c>
      <c r="K405" s="13" t="s">
        <v>91</v>
      </c>
      <c r="L405" s="13" t="n">
        <v>3</v>
      </c>
      <c r="M405" s="13" t="n">
        <v>1001712.37</v>
      </c>
      <c r="N405" s="13" t="n">
        <v>333904.123333333</v>
      </c>
      <c r="O405" s="13" t="n">
        <v>1173.18333333333</v>
      </c>
      <c r="P405" s="13" t="n">
        <v>0</v>
      </c>
      <c r="Q405" s="13" t="n">
        <v>3</v>
      </c>
      <c r="R405" s="13" t="s">
        <v>111</v>
      </c>
      <c r="S405" s="13" t="s">
        <v>135</v>
      </c>
      <c r="T405" s="13" t="n">
        <v>1</v>
      </c>
      <c r="U405" s="13" t="n">
        <f aca="false">IF(B405="Individual",1,0)</f>
        <v>1</v>
      </c>
      <c r="V405" s="13" t="n">
        <f aca="false">IF(B405="Company",1,0)</f>
        <v>0</v>
      </c>
      <c r="W405" s="13" t="n">
        <f aca="false">IF(H405="Home",1,0)</f>
        <v>1</v>
      </c>
      <c r="X405" s="13" t="n">
        <f aca="false">IF(H405="Investment",1,0)</f>
        <v>0</v>
      </c>
      <c r="Y405" s="13" t="n">
        <f aca="false">IF(K405="Website",1,0)</f>
        <v>0</v>
      </c>
      <c r="Z405" s="13" t="n">
        <f aca="false">IF(K405="Agency",1,0)</f>
        <v>1</v>
      </c>
      <c r="AA405" s="13" t="n">
        <f aca="false">IF(K405="Client",1,0)</f>
        <v>0</v>
      </c>
      <c r="AB405" s="13" t="n">
        <f aca="false">(D405-AVERAGE(D$2:D$2001))/STDEV(D$2:D$2001)</f>
        <v>-1.21881132165305</v>
      </c>
      <c r="AC405" s="13" t="n">
        <f aca="false">(I405-AVERAGE(I$2:I$2001))/STDEV(I$2:I$2001)</f>
        <v>0.686917069130275</v>
      </c>
      <c r="AD405" s="13" t="n">
        <f aca="false">(L405-AVERAGE(L$2:L$2001))/STDEV(L$2:L$2001)</f>
        <v>-0.777063122173208</v>
      </c>
      <c r="AE405" s="13" t="n">
        <f aca="false">(M405-AVERAGE(M$2:M$2001))/STDEV(M$2:M$2001)</f>
        <v>-0.743646655042056</v>
      </c>
      <c r="AF405" s="13" t="n">
        <f aca="false">(N405-AVERAGE(N$2:N$2001))/STDEV(N$2:N$2001)</f>
        <v>-0.189120596575565</v>
      </c>
      <c r="AG405" s="13" t="n">
        <f aca="false">(O405-AVERAGE(O$2:O$2001))/STDEV(O$2:O$2001)</f>
        <v>0.116875968468385</v>
      </c>
      <c r="AH405" s="0" t="str">
        <f aca="false">IF(B405="Company","C3 - Corporate Buyers",IF(AND(H405="Investment",M405&gt;'Segmentation Summary'!$C$1),"C1 - Global Investors",IF(AND(I405&gt;=4,M405&gt;'Segmentation Summary'!$C$1),"C4 - Luxury Investors",IF(AND(D405&lt;'Segmentation Summary'!$C$2,J405=1),"C2 - First-Time Buyers","C5 - Other Individual Buyers"))))</f>
        <v>C2 - First-Time Buyers</v>
      </c>
    </row>
    <row r="406" customFormat="false" ht="15" hidden="false" customHeight="true" outlineLevel="0" collapsed="false">
      <c r="A406" s="13" t="s">
        <v>877</v>
      </c>
      <c r="B406" s="13" t="s">
        <v>34</v>
      </c>
      <c r="C406" s="13" t="s">
        <v>878</v>
      </c>
      <c r="D406" s="13" t="n">
        <v>50</v>
      </c>
      <c r="E406" s="13" t="s">
        <v>83</v>
      </c>
      <c r="F406" s="13" t="s">
        <v>33</v>
      </c>
      <c r="G406" s="13" t="s">
        <v>145</v>
      </c>
      <c r="H406" s="13" t="s">
        <v>41</v>
      </c>
      <c r="I406" s="13" t="n">
        <v>1</v>
      </c>
      <c r="J406" s="13" t="n">
        <v>0</v>
      </c>
      <c r="K406" s="13" t="s">
        <v>91</v>
      </c>
      <c r="L406" s="13" t="n">
        <v>4</v>
      </c>
      <c r="M406" s="13" t="n">
        <v>1319490.92</v>
      </c>
      <c r="N406" s="13" t="n">
        <v>329872.73</v>
      </c>
      <c r="O406" s="13" t="n">
        <v>1139.4675</v>
      </c>
      <c r="P406" s="13" t="n">
        <v>0</v>
      </c>
      <c r="Q406" s="13" t="n">
        <v>4</v>
      </c>
      <c r="R406" s="13" t="s">
        <v>121</v>
      </c>
      <c r="S406" s="13" t="s">
        <v>114</v>
      </c>
      <c r="T406" s="13" t="n">
        <v>1</v>
      </c>
      <c r="U406" s="13" t="n">
        <f aca="false">IF(B406="Individual",1,0)</f>
        <v>1</v>
      </c>
      <c r="V406" s="13" t="n">
        <f aca="false">IF(B406="Company",1,0)</f>
        <v>0</v>
      </c>
      <c r="W406" s="13" t="n">
        <f aca="false">IF(H406="Home",1,0)</f>
        <v>1</v>
      </c>
      <c r="X406" s="13" t="n">
        <f aca="false">IF(H406="Investment",1,0)</f>
        <v>0</v>
      </c>
      <c r="Y406" s="13" t="n">
        <f aca="false">IF(K406="Website",1,0)</f>
        <v>0</v>
      </c>
      <c r="Z406" s="13" t="n">
        <f aca="false">IF(K406="Agency",1,0)</f>
        <v>1</v>
      </c>
      <c r="AA406" s="13" t="n">
        <f aca="false">IF(K406="Client",1,0)</f>
        <v>0</v>
      </c>
      <c r="AB406" s="13" t="n">
        <f aca="false">(D406-AVERAGE(D$2:D$2001))/STDEV(D$2:D$2001)</f>
        <v>-0.238549578354482</v>
      </c>
      <c r="AC406" s="13" t="n">
        <f aca="false">(I406-AVERAGE(I$2:I$2001))/STDEV(I$2:I$2001)</f>
        <v>-1.43538077576244</v>
      </c>
      <c r="AD406" s="13" t="n">
        <f aca="false">(L406-AVERAGE(L$2:L$2001))/STDEV(L$2:L$2001)</f>
        <v>0.413838214490712</v>
      </c>
      <c r="AE406" s="13" t="n">
        <f aca="false">(M406-AVERAGE(M$2:M$2001))/STDEV(M$2:M$2001)</f>
        <v>0.169954651954918</v>
      </c>
      <c r="AF406" s="13" t="n">
        <f aca="false">(N406-AVERAGE(N$2:N$2001))/STDEV(N$2:N$2001)</f>
        <v>-0.246941709513325</v>
      </c>
      <c r="AG406" s="13" t="n">
        <f aca="false">(O406-AVERAGE(O$2:O$2001))/STDEV(O$2:O$2001)</f>
        <v>-0.0364317649454055</v>
      </c>
      <c r="AH406" s="0" t="str">
        <f aca="false">IF(B406="Company","C3 - Corporate Buyers",IF(AND(H406="Investment",M406&gt;'Segmentation Summary'!$C$1),"C1 - Global Investors",IF(AND(I406&gt;=4,M406&gt;'Segmentation Summary'!$C$1),"C4 - Luxury Investors",IF(AND(D406&lt;'Segmentation Summary'!$C$2,J406=1),"C2 - First-Time Buyers","C5 - Other Individual Buyers"))))</f>
        <v>C5 - Other Individual Buyers</v>
      </c>
    </row>
    <row r="407" customFormat="false" ht="15" hidden="false" customHeight="true" outlineLevel="0" collapsed="false">
      <c r="A407" s="13" t="s">
        <v>879</v>
      </c>
      <c r="B407" s="13" t="s">
        <v>34</v>
      </c>
      <c r="C407" s="13" t="s">
        <v>880</v>
      </c>
      <c r="D407" s="13" t="n">
        <v>39</v>
      </c>
      <c r="E407" s="13" t="s">
        <v>83</v>
      </c>
      <c r="F407" s="13" t="s">
        <v>33</v>
      </c>
      <c r="G407" s="13" t="s">
        <v>157</v>
      </c>
      <c r="H407" s="13" t="s">
        <v>43</v>
      </c>
      <c r="I407" s="13" t="n">
        <v>4</v>
      </c>
      <c r="J407" s="13" t="n">
        <v>1</v>
      </c>
      <c r="K407" s="13" t="s">
        <v>91</v>
      </c>
      <c r="L407" s="13" t="n">
        <v>4</v>
      </c>
      <c r="M407" s="13" t="n">
        <v>1006481.18</v>
      </c>
      <c r="N407" s="13" t="n">
        <v>251620.295</v>
      </c>
      <c r="O407" s="13" t="n">
        <v>801.065</v>
      </c>
      <c r="P407" s="13" t="n">
        <v>1</v>
      </c>
      <c r="Q407" s="13" t="n">
        <v>3</v>
      </c>
      <c r="R407" s="13" t="s">
        <v>98</v>
      </c>
      <c r="S407" s="13" t="s">
        <v>152</v>
      </c>
      <c r="T407" s="13" t="n">
        <v>1</v>
      </c>
      <c r="U407" s="13" t="n">
        <f aca="false">IF(B407="Individual",1,0)</f>
        <v>1</v>
      </c>
      <c r="V407" s="13" t="n">
        <f aca="false">IF(B407="Company",1,0)</f>
        <v>0</v>
      </c>
      <c r="W407" s="13" t="n">
        <f aca="false">IF(H407="Home",1,0)</f>
        <v>0</v>
      </c>
      <c r="X407" s="13" t="n">
        <f aca="false">IF(H407="Investment",1,0)</f>
        <v>1</v>
      </c>
      <c r="Y407" s="13" t="n">
        <f aca="false">IF(K407="Website",1,0)</f>
        <v>0</v>
      </c>
      <c r="Z407" s="13" t="n">
        <f aca="false">IF(K407="Agency",1,0)</f>
        <v>1</v>
      </c>
      <c r="AA407" s="13" t="n">
        <f aca="false">IF(K407="Client",1,0)</f>
        <v>0</v>
      </c>
      <c r="AB407" s="13" t="n">
        <f aca="false">(D407-AVERAGE(D$2:D$2001))/STDEV(D$2:D$2001)</f>
        <v>-0.872836588724145</v>
      </c>
      <c r="AC407" s="13" t="n">
        <f aca="false">(I407-AVERAGE(I$2:I$2001))/STDEV(I$2:I$2001)</f>
        <v>0.686917069130275</v>
      </c>
      <c r="AD407" s="13" t="n">
        <f aca="false">(L407-AVERAGE(L$2:L$2001))/STDEV(L$2:L$2001)</f>
        <v>0.413838214490712</v>
      </c>
      <c r="AE407" s="13" t="n">
        <f aca="false">(M407-AVERAGE(M$2:M$2001))/STDEV(M$2:M$2001)</f>
        <v>-0.729936506736513</v>
      </c>
      <c r="AF407" s="13" t="n">
        <f aca="false">(N407-AVERAGE(N$2:N$2001))/STDEV(N$2:N$2001)</f>
        <v>-1.36929383635203</v>
      </c>
      <c r="AG407" s="13" t="n">
        <f aca="false">(O407-AVERAGE(O$2:O$2001))/STDEV(O$2:O$2001)</f>
        <v>-1.57516639278787</v>
      </c>
      <c r="AH407" s="0" t="str">
        <f aca="false">IF(B407="Company","C3 - Corporate Buyers",IF(AND(H407="Investment",M407&gt;'Segmentation Summary'!$C$1),"C1 - Global Investors",IF(AND(I407&gt;=4,M407&gt;'Segmentation Summary'!$C$1),"C4 - Luxury Investors",IF(AND(D407&lt;'Segmentation Summary'!$C$2,J407=1),"C2 - First-Time Buyers","C5 - Other Individual Buyers"))))</f>
        <v>C2 - First-Time Buyers</v>
      </c>
    </row>
    <row r="408" customFormat="false" ht="15" hidden="false" customHeight="true" outlineLevel="0" collapsed="false">
      <c r="A408" s="13" t="s">
        <v>881</v>
      </c>
      <c r="B408" s="13" t="s">
        <v>34</v>
      </c>
      <c r="C408" s="13" t="s">
        <v>882</v>
      </c>
      <c r="D408" s="13" t="n">
        <v>46</v>
      </c>
      <c r="E408" s="13" t="s">
        <v>83</v>
      </c>
      <c r="F408" s="13" t="s">
        <v>40</v>
      </c>
      <c r="G408" s="13" t="s">
        <v>239</v>
      </c>
      <c r="H408" s="13" t="s">
        <v>41</v>
      </c>
      <c r="I408" s="13" t="n">
        <v>4</v>
      </c>
      <c r="J408" s="13" t="n">
        <v>0</v>
      </c>
      <c r="K408" s="13" t="s">
        <v>91</v>
      </c>
      <c r="L408" s="13" t="n">
        <v>3</v>
      </c>
      <c r="M408" s="13" t="n">
        <v>1182889.92</v>
      </c>
      <c r="N408" s="13" t="n">
        <v>394296.64</v>
      </c>
      <c r="O408" s="13" t="n">
        <v>1468.69333333333</v>
      </c>
      <c r="P408" s="13" t="n">
        <v>0</v>
      </c>
      <c r="Q408" s="13" t="n">
        <v>3</v>
      </c>
      <c r="R408" s="13" t="s">
        <v>93</v>
      </c>
      <c r="S408" s="13" t="s">
        <v>125</v>
      </c>
      <c r="T408" s="13" t="n">
        <v>1</v>
      </c>
      <c r="U408" s="13" t="n">
        <f aca="false">IF(B408="Individual",1,0)</f>
        <v>1</v>
      </c>
      <c r="V408" s="13" t="n">
        <f aca="false">IF(B408="Company",1,0)</f>
        <v>0</v>
      </c>
      <c r="W408" s="13" t="n">
        <f aca="false">IF(H408="Home",1,0)</f>
        <v>1</v>
      </c>
      <c r="X408" s="13" t="n">
        <f aca="false">IF(H408="Investment",1,0)</f>
        <v>0</v>
      </c>
      <c r="Y408" s="13" t="n">
        <f aca="false">IF(K408="Website",1,0)</f>
        <v>0</v>
      </c>
      <c r="Z408" s="13" t="n">
        <f aca="false">IF(K408="Agency",1,0)</f>
        <v>1</v>
      </c>
      <c r="AA408" s="13" t="n">
        <f aca="false">IF(K408="Client",1,0)</f>
        <v>0</v>
      </c>
      <c r="AB408" s="13" t="n">
        <f aca="false">(D408-AVERAGE(D$2:D$2001))/STDEV(D$2:D$2001)</f>
        <v>-0.469199400307086</v>
      </c>
      <c r="AC408" s="13" t="n">
        <f aca="false">(I408-AVERAGE(I$2:I$2001))/STDEV(I$2:I$2001)</f>
        <v>0.686917069130275</v>
      </c>
      <c r="AD408" s="13" t="n">
        <f aca="false">(L408-AVERAGE(L$2:L$2001))/STDEV(L$2:L$2001)</f>
        <v>-0.777063122173208</v>
      </c>
      <c r="AE408" s="13" t="n">
        <f aca="false">(M408-AVERAGE(M$2:M$2001))/STDEV(M$2:M$2001)</f>
        <v>-0.222768054272717</v>
      </c>
      <c r="AF408" s="13" t="n">
        <f aca="false">(N408-AVERAGE(N$2:N$2001))/STDEV(N$2:N$2001)</f>
        <v>0.677071867926989</v>
      </c>
      <c r="AG408" s="13" t="n">
        <f aca="false">(O408-AVERAGE(O$2:O$2001))/STDEV(O$2:O$2001)</f>
        <v>1.46057605896336</v>
      </c>
      <c r="AH408" s="0" t="str">
        <f aca="false">IF(B408="Company","C3 - Corporate Buyers",IF(AND(H408="Investment",M408&gt;'Segmentation Summary'!$C$1),"C1 - Global Investors",IF(AND(I408&gt;=4,M408&gt;'Segmentation Summary'!$C$1),"C4 - Luxury Investors",IF(AND(D408&lt;'Segmentation Summary'!$C$2,J408=1),"C2 - First-Time Buyers","C5 - Other Individual Buyers"))))</f>
        <v>C5 - Other Individual Buyers</v>
      </c>
    </row>
    <row r="409" customFormat="false" ht="15" hidden="false" customHeight="true" outlineLevel="0" collapsed="false">
      <c r="A409" s="13" t="s">
        <v>883</v>
      </c>
      <c r="B409" s="13" t="s">
        <v>34</v>
      </c>
      <c r="C409" s="13" t="s">
        <v>882</v>
      </c>
      <c r="D409" s="13" t="n">
        <v>31</v>
      </c>
      <c r="E409" s="13" t="s">
        <v>83</v>
      </c>
      <c r="F409" s="13" t="s">
        <v>33</v>
      </c>
      <c r="G409" s="13" t="s">
        <v>120</v>
      </c>
      <c r="H409" s="13" t="s">
        <v>43</v>
      </c>
      <c r="I409" s="13" t="n">
        <v>1</v>
      </c>
      <c r="J409" s="13" t="n">
        <v>0</v>
      </c>
      <c r="K409" s="13" t="s">
        <v>85</v>
      </c>
      <c r="L409" s="13" t="n">
        <v>4</v>
      </c>
      <c r="M409" s="13" t="n">
        <v>1364593.88</v>
      </c>
      <c r="N409" s="13" t="n">
        <v>341148.47</v>
      </c>
      <c r="O409" s="13" t="n">
        <v>1088.3825</v>
      </c>
      <c r="P409" s="13" t="n">
        <v>0</v>
      </c>
      <c r="Q409" s="13" t="n">
        <v>4</v>
      </c>
      <c r="R409" s="13" t="s">
        <v>121</v>
      </c>
      <c r="S409" s="13" t="s">
        <v>125</v>
      </c>
      <c r="T409" s="13" t="n">
        <v>1</v>
      </c>
      <c r="U409" s="13" t="n">
        <f aca="false">IF(B409="Individual",1,0)</f>
        <v>1</v>
      </c>
      <c r="V409" s="13" t="n">
        <f aca="false">IF(B409="Company",1,0)</f>
        <v>0</v>
      </c>
      <c r="W409" s="13" t="n">
        <f aca="false">IF(H409="Home",1,0)</f>
        <v>0</v>
      </c>
      <c r="X409" s="13" t="n">
        <f aca="false">IF(H409="Investment",1,0)</f>
        <v>1</v>
      </c>
      <c r="Y409" s="13" t="n">
        <f aca="false">IF(K409="Website",1,0)</f>
        <v>1</v>
      </c>
      <c r="Z409" s="13" t="n">
        <f aca="false">IF(K409="Agency",1,0)</f>
        <v>0</v>
      </c>
      <c r="AA409" s="13" t="n">
        <f aca="false">IF(K409="Client",1,0)</f>
        <v>0</v>
      </c>
      <c r="AB409" s="13" t="n">
        <f aca="false">(D409-AVERAGE(D$2:D$2001))/STDEV(D$2:D$2001)</f>
        <v>-1.33413623262935</v>
      </c>
      <c r="AC409" s="13" t="n">
        <f aca="false">(I409-AVERAGE(I$2:I$2001))/STDEV(I$2:I$2001)</f>
        <v>-1.43538077576244</v>
      </c>
      <c r="AD409" s="13" t="n">
        <f aca="false">(L409-AVERAGE(L$2:L$2001))/STDEV(L$2:L$2001)</f>
        <v>0.413838214490712</v>
      </c>
      <c r="AE409" s="13" t="n">
        <f aca="false">(M409-AVERAGE(M$2:M$2001))/STDEV(M$2:M$2001)</f>
        <v>0.299623955328076</v>
      </c>
      <c r="AF409" s="13" t="n">
        <f aca="false">(N409-AVERAGE(N$2:N$2001))/STDEV(N$2:N$2001)</f>
        <v>-0.0852170197873085</v>
      </c>
      <c r="AG409" s="13" t="n">
        <f aca="false">(O409-AVERAGE(O$2:O$2001))/STDEV(O$2:O$2001)</f>
        <v>-0.268718046705535</v>
      </c>
      <c r="AH409" s="0" t="str">
        <f aca="false">IF(B409="Company","C3 - Corporate Buyers",IF(AND(H409="Investment",M409&gt;'Segmentation Summary'!$C$1),"C1 - Global Investors",IF(AND(I409&gt;=4,M409&gt;'Segmentation Summary'!$C$1),"C4 - Luxury Investors",IF(AND(D409&lt;'Segmentation Summary'!$C$2,J409=1),"C2 - First-Time Buyers","C5 - Other Individual Buyers"))))</f>
        <v>C1 - Global Investors</v>
      </c>
    </row>
    <row r="410" customFormat="false" ht="15" hidden="false" customHeight="true" outlineLevel="0" collapsed="false">
      <c r="A410" s="13" t="s">
        <v>884</v>
      </c>
      <c r="B410" s="13" t="s">
        <v>34</v>
      </c>
      <c r="C410" s="13" t="s">
        <v>885</v>
      </c>
      <c r="D410" s="13" t="n">
        <v>38</v>
      </c>
      <c r="E410" s="13" t="s">
        <v>83</v>
      </c>
      <c r="F410" s="13" t="s">
        <v>33</v>
      </c>
      <c r="G410" s="13" t="s">
        <v>84</v>
      </c>
      <c r="H410" s="13" t="s">
        <v>41</v>
      </c>
      <c r="I410" s="13" t="n">
        <v>2</v>
      </c>
      <c r="J410" s="13" t="n">
        <v>0</v>
      </c>
      <c r="K410" s="13" t="s">
        <v>91</v>
      </c>
      <c r="L410" s="13" t="n">
        <v>4</v>
      </c>
      <c r="M410" s="13" t="n">
        <v>1282729.71</v>
      </c>
      <c r="N410" s="13" t="n">
        <v>320682.4275</v>
      </c>
      <c r="O410" s="13" t="n">
        <v>1034.0675</v>
      </c>
      <c r="P410" s="13" t="n">
        <v>0</v>
      </c>
      <c r="Q410" s="13" t="n">
        <v>4</v>
      </c>
      <c r="R410" s="13" t="s">
        <v>101</v>
      </c>
      <c r="S410" s="13" t="s">
        <v>135</v>
      </c>
      <c r="T410" s="13" t="n">
        <v>1</v>
      </c>
      <c r="U410" s="13" t="n">
        <f aca="false">IF(B410="Individual",1,0)</f>
        <v>1</v>
      </c>
      <c r="V410" s="13" t="n">
        <f aca="false">IF(B410="Company",1,0)</f>
        <v>0</v>
      </c>
      <c r="W410" s="13" t="n">
        <f aca="false">IF(H410="Home",1,0)</f>
        <v>1</v>
      </c>
      <c r="X410" s="13" t="n">
        <f aca="false">IF(H410="Investment",1,0)</f>
        <v>0</v>
      </c>
      <c r="Y410" s="13" t="n">
        <f aca="false">IF(K410="Website",1,0)</f>
        <v>0</v>
      </c>
      <c r="Z410" s="13" t="n">
        <f aca="false">IF(K410="Agency",1,0)</f>
        <v>1</v>
      </c>
      <c r="AA410" s="13" t="n">
        <f aca="false">IF(K410="Client",1,0)</f>
        <v>0</v>
      </c>
      <c r="AB410" s="13" t="n">
        <f aca="false">(D410-AVERAGE(D$2:D$2001))/STDEV(D$2:D$2001)</f>
        <v>-0.930499044212296</v>
      </c>
      <c r="AC410" s="13" t="n">
        <f aca="false">(I410-AVERAGE(I$2:I$2001))/STDEV(I$2:I$2001)</f>
        <v>-0.727948160798201</v>
      </c>
      <c r="AD410" s="13" t="n">
        <f aca="false">(L410-AVERAGE(L$2:L$2001))/STDEV(L$2:L$2001)</f>
        <v>0.413838214490712</v>
      </c>
      <c r="AE410" s="13" t="n">
        <f aca="false">(M410-AVERAGE(M$2:M$2001))/STDEV(M$2:M$2001)</f>
        <v>0.0642675641927318</v>
      </c>
      <c r="AF410" s="13" t="n">
        <f aca="false">(N410-AVERAGE(N$2:N$2001))/STDEV(N$2:N$2001)</f>
        <v>-0.378755570093716</v>
      </c>
      <c r="AG410" s="13" t="n">
        <f aca="false">(O410-AVERAGE(O$2:O$2001))/STDEV(O$2:O$2001)</f>
        <v>-0.515691314666804</v>
      </c>
      <c r="AH410" s="0" t="str">
        <f aca="false">IF(B410="Company","C3 - Corporate Buyers",IF(AND(H410="Investment",M410&gt;'Segmentation Summary'!$C$1),"C1 - Global Investors",IF(AND(I410&gt;=4,M410&gt;'Segmentation Summary'!$C$1),"C4 - Luxury Investors",IF(AND(D410&lt;'Segmentation Summary'!$C$2,J410=1),"C2 - First-Time Buyers","C5 - Other Individual Buyers"))))</f>
        <v>C5 - Other Individual Buyers</v>
      </c>
    </row>
    <row r="411" customFormat="false" ht="15" hidden="false" customHeight="true" outlineLevel="0" collapsed="false">
      <c r="A411" s="13" t="s">
        <v>886</v>
      </c>
      <c r="B411" s="13" t="s">
        <v>34</v>
      </c>
      <c r="C411" s="13" t="s">
        <v>887</v>
      </c>
      <c r="D411" s="13" t="n">
        <v>31</v>
      </c>
      <c r="E411" s="13" t="s">
        <v>83</v>
      </c>
      <c r="F411" s="13" t="s">
        <v>35</v>
      </c>
      <c r="G411" s="13" t="s">
        <v>137</v>
      </c>
      <c r="H411" s="13" t="s">
        <v>43</v>
      </c>
      <c r="I411" s="13" t="n">
        <v>1</v>
      </c>
      <c r="J411" s="13" t="n">
        <v>0</v>
      </c>
      <c r="K411" s="13" t="s">
        <v>85</v>
      </c>
      <c r="L411" s="13" t="n">
        <v>4</v>
      </c>
      <c r="M411" s="13" t="n">
        <v>1321010.76</v>
      </c>
      <c r="N411" s="13" t="n">
        <v>330252.69</v>
      </c>
      <c r="O411" s="13" t="n">
        <v>1103.3025</v>
      </c>
      <c r="P411" s="13" t="n">
        <v>0</v>
      </c>
      <c r="Q411" s="13" t="n">
        <v>4</v>
      </c>
      <c r="R411" s="13" t="s">
        <v>121</v>
      </c>
      <c r="S411" s="13" t="s">
        <v>164</v>
      </c>
      <c r="T411" s="13" t="n">
        <v>1</v>
      </c>
      <c r="U411" s="13" t="n">
        <f aca="false">IF(B411="Individual",1,0)</f>
        <v>1</v>
      </c>
      <c r="V411" s="13" t="n">
        <f aca="false">IF(B411="Company",1,0)</f>
        <v>0</v>
      </c>
      <c r="W411" s="13" t="n">
        <f aca="false">IF(H411="Home",1,0)</f>
        <v>0</v>
      </c>
      <c r="X411" s="13" t="n">
        <f aca="false">IF(H411="Investment",1,0)</f>
        <v>1</v>
      </c>
      <c r="Y411" s="13" t="n">
        <f aca="false">IF(K411="Website",1,0)</f>
        <v>1</v>
      </c>
      <c r="Z411" s="13" t="n">
        <f aca="false">IF(K411="Agency",1,0)</f>
        <v>0</v>
      </c>
      <c r="AA411" s="13" t="n">
        <f aca="false">IF(K411="Client",1,0)</f>
        <v>0</v>
      </c>
      <c r="AB411" s="13" t="n">
        <f aca="false">(D411-AVERAGE(D$2:D$2001))/STDEV(D$2:D$2001)</f>
        <v>-1.33413623262935</v>
      </c>
      <c r="AC411" s="13" t="n">
        <f aca="false">(I411-AVERAGE(I$2:I$2001))/STDEV(I$2:I$2001)</f>
        <v>-1.43538077576244</v>
      </c>
      <c r="AD411" s="13" t="n">
        <f aca="false">(L411-AVERAGE(L$2:L$2001))/STDEV(L$2:L$2001)</f>
        <v>0.413838214490712</v>
      </c>
      <c r="AE411" s="13" t="n">
        <f aca="false">(M411-AVERAGE(M$2:M$2001))/STDEV(M$2:M$2001)</f>
        <v>0.174324134446503</v>
      </c>
      <c r="AF411" s="13" t="n">
        <f aca="false">(N411-AVERAGE(N$2:N$2001))/STDEV(N$2:N$2001)</f>
        <v>-0.241492052718445</v>
      </c>
      <c r="AG411" s="13" t="n">
        <f aca="false">(O411-AVERAGE(O$2:O$2001))/STDEV(O$2:O$2001)</f>
        <v>-0.200875992798104</v>
      </c>
      <c r="AH411" s="0" t="str">
        <f aca="false">IF(B411="Company","C3 - Corporate Buyers",IF(AND(H411="Investment",M411&gt;'Segmentation Summary'!$C$1),"C1 - Global Investors",IF(AND(I411&gt;=4,M411&gt;'Segmentation Summary'!$C$1),"C4 - Luxury Investors",IF(AND(D411&lt;'Segmentation Summary'!$C$2,J411=1),"C2 - First-Time Buyers","C5 - Other Individual Buyers"))))</f>
        <v>C1 - Global Investors</v>
      </c>
    </row>
    <row r="412" customFormat="false" ht="15" hidden="false" customHeight="true" outlineLevel="0" collapsed="false">
      <c r="A412" s="13" t="s">
        <v>888</v>
      </c>
      <c r="B412" s="13" t="s">
        <v>34</v>
      </c>
      <c r="C412" s="13" t="s">
        <v>887</v>
      </c>
      <c r="D412" s="13" t="n">
        <v>70</v>
      </c>
      <c r="E412" s="13" t="s">
        <v>83</v>
      </c>
      <c r="F412" s="13" t="s">
        <v>33</v>
      </c>
      <c r="G412" s="13" t="s">
        <v>157</v>
      </c>
      <c r="H412" s="13" t="s">
        <v>43</v>
      </c>
      <c r="I412" s="13" t="n">
        <v>2</v>
      </c>
      <c r="J412" s="13" t="n">
        <v>0</v>
      </c>
      <c r="K412" s="13" t="s">
        <v>91</v>
      </c>
      <c r="L412" s="13" t="n">
        <v>3</v>
      </c>
      <c r="M412" s="13" t="n">
        <v>739739.97</v>
      </c>
      <c r="N412" s="13" t="n">
        <v>246579.99</v>
      </c>
      <c r="O412" s="13" t="n">
        <v>973.09</v>
      </c>
      <c r="P412" s="13" t="n">
        <v>0</v>
      </c>
      <c r="Q412" s="13" t="n">
        <v>3</v>
      </c>
      <c r="R412" s="13" t="s">
        <v>124</v>
      </c>
      <c r="S412" s="13" t="s">
        <v>133</v>
      </c>
      <c r="T412" s="13" t="n">
        <v>1</v>
      </c>
      <c r="U412" s="13" t="n">
        <f aca="false">IF(B412="Individual",1,0)</f>
        <v>1</v>
      </c>
      <c r="V412" s="13" t="n">
        <f aca="false">IF(B412="Company",1,0)</f>
        <v>0</v>
      </c>
      <c r="W412" s="13" t="n">
        <f aca="false">IF(H412="Home",1,0)</f>
        <v>0</v>
      </c>
      <c r="X412" s="13" t="n">
        <f aca="false">IF(H412="Investment",1,0)</f>
        <v>1</v>
      </c>
      <c r="Y412" s="13" t="n">
        <f aca="false">IF(K412="Website",1,0)</f>
        <v>0</v>
      </c>
      <c r="Z412" s="13" t="n">
        <f aca="false">IF(K412="Agency",1,0)</f>
        <v>1</v>
      </c>
      <c r="AA412" s="13" t="n">
        <f aca="false">IF(K412="Client",1,0)</f>
        <v>0</v>
      </c>
      <c r="AB412" s="13" t="n">
        <f aca="false">(D412-AVERAGE(D$2:D$2001))/STDEV(D$2:D$2001)</f>
        <v>0.914699531408543</v>
      </c>
      <c r="AC412" s="13" t="n">
        <f aca="false">(I412-AVERAGE(I$2:I$2001))/STDEV(I$2:I$2001)</f>
        <v>-0.727948160798201</v>
      </c>
      <c r="AD412" s="13" t="n">
        <f aca="false">(L412-AVERAGE(L$2:L$2001))/STDEV(L$2:L$2001)</f>
        <v>-0.777063122173208</v>
      </c>
      <c r="AE412" s="13" t="n">
        <f aca="false">(M412-AVERAGE(M$2:M$2001))/STDEV(M$2:M$2001)</f>
        <v>-1.49680739240817</v>
      </c>
      <c r="AF412" s="13" t="n">
        <f aca="false">(N412-AVERAGE(N$2:N$2001))/STDEV(N$2:N$2001)</f>
        <v>-1.44158547860784</v>
      </c>
      <c r="AG412" s="13" t="n">
        <f aca="false">(O412-AVERAGE(O$2:O$2001))/STDEV(O$2:O$2001)</f>
        <v>-0.792959333577019</v>
      </c>
      <c r="AH412" s="0" t="str">
        <f aca="false">IF(B412="Company","C3 - Corporate Buyers",IF(AND(H412="Investment",M412&gt;'Segmentation Summary'!$C$1),"C1 - Global Investors",IF(AND(I412&gt;=4,M412&gt;'Segmentation Summary'!$C$1),"C4 - Luxury Investors",IF(AND(D412&lt;'Segmentation Summary'!$C$2,J412=1),"C2 - First-Time Buyers","C5 - Other Individual Buyers"))))</f>
        <v>C5 - Other Individual Buyers</v>
      </c>
    </row>
    <row r="413" customFormat="false" ht="15" hidden="false" customHeight="true" outlineLevel="0" collapsed="false">
      <c r="A413" s="13" t="s">
        <v>889</v>
      </c>
      <c r="B413" s="13" t="s">
        <v>34</v>
      </c>
      <c r="C413" s="13" t="s">
        <v>890</v>
      </c>
      <c r="D413" s="13" t="n">
        <v>26</v>
      </c>
      <c r="E413" s="13" t="s">
        <v>90</v>
      </c>
      <c r="F413" s="13" t="s">
        <v>37</v>
      </c>
      <c r="G413" s="13" t="s">
        <v>259</v>
      </c>
      <c r="H413" s="13" t="s">
        <v>41</v>
      </c>
      <c r="I413" s="13" t="n">
        <v>2</v>
      </c>
      <c r="J413" s="13" t="n">
        <v>1</v>
      </c>
      <c r="K413" s="13" t="s">
        <v>91</v>
      </c>
      <c r="L413" s="13" t="n">
        <v>4</v>
      </c>
      <c r="M413" s="13" t="n">
        <v>1084602.42</v>
      </c>
      <c r="N413" s="13" t="n">
        <v>271150.605</v>
      </c>
      <c r="O413" s="13" t="n">
        <v>900.39</v>
      </c>
      <c r="P413" s="13" t="n">
        <v>0</v>
      </c>
      <c r="Q413" s="13" t="n">
        <v>4</v>
      </c>
      <c r="R413" s="13" t="s">
        <v>98</v>
      </c>
      <c r="S413" s="13" t="s">
        <v>87</v>
      </c>
      <c r="T413" s="13" t="n">
        <v>1</v>
      </c>
      <c r="U413" s="13" t="n">
        <f aca="false">IF(B413="Individual",1,0)</f>
        <v>1</v>
      </c>
      <c r="V413" s="13" t="n">
        <f aca="false">IF(B413="Company",1,0)</f>
        <v>0</v>
      </c>
      <c r="W413" s="13" t="n">
        <f aca="false">IF(H413="Home",1,0)</f>
        <v>1</v>
      </c>
      <c r="X413" s="13" t="n">
        <f aca="false">IF(H413="Investment",1,0)</f>
        <v>0</v>
      </c>
      <c r="Y413" s="13" t="n">
        <f aca="false">IF(K413="Website",1,0)</f>
        <v>0</v>
      </c>
      <c r="Z413" s="13" t="n">
        <f aca="false">IF(K413="Agency",1,0)</f>
        <v>1</v>
      </c>
      <c r="AA413" s="13" t="n">
        <f aca="false">IF(K413="Client",1,0)</f>
        <v>0</v>
      </c>
      <c r="AB413" s="13" t="n">
        <f aca="false">(D413-AVERAGE(D$2:D$2001))/STDEV(D$2:D$2001)</f>
        <v>-1.62244851007011</v>
      </c>
      <c r="AC413" s="13" t="n">
        <f aca="false">(I413-AVERAGE(I$2:I$2001))/STDEV(I$2:I$2001)</f>
        <v>-0.727948160798201</v>
      </c>
      <c r="AD413" s="13" t="n">
        <f aca="false">(L413-AVERAGE(L$2:L$2001))/STDEV(L$2:L$2001)</f>
        <v>0.413838214490712</v>
      </c>
      <c r="AE413" s="13" t="n">
        <f aca="false">(M413-AVERAGE(M$2:M$2001))/STDEV(M$2:M$2001)</f>
        <v>-0.505340897724438</v>
      </c>
      <c r="AF413" s="13" t="n">
        <f aca="false">(N413-AVERAGE(N$2:N$2001))/STDEV(N$2:N$2001)</f>
        <v>-1.08917622766268</v>
      </c>
      <c r="AG413" s="13" t="n">
        <f aca="false">(O413-AVERAGE(O$2:O$2001))/STDEV(O$2:O$2001)</f>
        <v>-1.12353019946645</v>
      </c>
      <c r="AH413" s="0" t="str">
        <f aca="false">IF(B413="Company","C3 - Corporate Buyers",IF(AND(H413="Investment",M413&gt;'Segmentation Summary'!$C$1),"C1 - Global Investors",IF(AND(I413&gt;=4,M413&gt;'Segmentation Summary'!$C$1),"C4 - Luxury Investors",IF(AND(D413&lt;'Segmentation Summary'!$C$2,J413=1),"C2 - First-Time Buyers","C5 - Other Individual Buyers"))))</f>
        <v>C2 - First-Time Buyers</v>
      </c>
    </row>
    <row r="414" customFormat="false" ht="15" hidden="false" customHeight="true" outlineLevel="0" collapsed="false">
      <c r="A414" s="13" t="s">
        <v>891</v>
      </c>
      <c r="B414" s="13" t="s">
        <v>34</v>
      </c>
      <c r="C414" s="13" t="s">
        <v>892</v>
      </c>
      <c r="D414" s="13" t="n">
        <v>30</v>
      </c>
      <c r="E414" s="13" t="s">
        <v>90</v>
      </c>
      <c r="F414" s="13" t="s">
        <v>33</v>
      </c>
      <c r="G414" s="13" t="s">
        <v>106</v>
      </c>
      <c r="H414" s="13" t="s">
        <v>43</v>
      </c>
      <c r="I414" s="13" t="n">
        <v>5</v>
      </c>
      <c r="J414" s="13" t="n">
        <v>1</v>
      </c>
      <c r="K414" s="13" t="s">
        <v>91</v>
      </c>
      <c r="L414" s="13" t="n">
        <v>4</v>
      </c>
      <c r="M414" s="13" t="n">
        <v>1417025.49</v>
      </c>
      <c r="N414" s="13" t="n">
        <v>354256.3725</v>
      </c>
      <c r="O414" s="13" t="n">
        <v>1246.6175</v>
      </c>
      <c r="P414" s="13" t="n">
        <v>1</v>
      </c>
      <c r="Q414" s="13" t="n">
        <v>3</v>
      </c>
      <c r="R414" s="13" t="s">
        <v>92</v>
      </c>
      <c r="S414" s="13" t="s">
        <v>114</v>
      </c>
      <c r="T414" s="13" t="n">
        <v>1</v>
      </c>
      <c r="U414" s="13" t="n">
        <f aca="false">IF(B414="Individual",1,0)</f>
        <v>1</v>
      </c>
      <c r="V414" s="13" t="n">
        <f aca="false">IF(B414="Company",1,0)</f>
        <v>0</v>
      </c>
      <c r="W414" s="13" t="n">
        <f aca="false">IF(H414="Home",1,0)</f>
        <v>0</v>
      </c>
      <c r="X414" s="13" t="n">
        <f aca="false">IF(H414="Investment",1,0)</f>
        <v>1</v>
      </c>
      <c r="Y414" s="13" t="n">
        <f aca="false">IF(K414="Website",1,0)</f>
        <v>0</v>
      </c>
      <c r="Z414" s="13" t="n">
        <f aca="false">IF(K414="Agency",1,0)</f>
        <v>1</v>
      </c>
      <c r="AA414" s="13" t="n">
        <f aca="false">IF(K414="Client",1,0)</f>
        <v>0</v>
      </c>
      <c r="AB414" s="13" t="n">
        <f aca="false">(D414-AVERAGE(D$2:D$2001))/STDEV(D$2:D$2001)</f>
        <v>-1.39179868811751</v>
      </c>
      <c r="AC414" s="13" t="n">
        <f aca="false">(I414-AVERAGE(I$2:I$2001))/STDEV(I$2:I$2001)</f>
        <v>1.39434968409451</v>
      </c>
      <c r="AD414" s="13" t="n">
        <f aca="false">(L414-AVERAGE(L$2:L$2001))/STDEV(L$2:L$2001)</f>
        <v>0.413838214490712</v>
      </c>
      <c r="AE414" s="13" t="n">
        <f aca="false">(M414-AVERAGE(M$2:M$2001))/STDEV(M$2:M$2001)</f>
        <v>0.450362850146356</v>
      </c>
      <c r="AF414" s="13" t="n">
        <f aca="false">(N414-AVERAGE(N$2:N$2001))/STDEV(N$2:N$2001)</f>
        <v>0.10278584874029</v>
      </c>
      <c r="AG414" s="13" t="n">
        <f aca="false">(O414-AVERAGE(O$2:O$2001))/STDEV(O$2:O$2001)</f>
        <v>0.450785130241008</v>
      </c>
      <c r="AH414" s="0" t="str">
        <f aca="false">IF(B414="Company","C3 - Corporate Buyers",IF(AND(H414="Investment",M414&gt;'Segmentation Summary'!$C$1),"C1 - Global Investors",IF(AND(I414&gt;=4,M414&gt;'Segmentation Summary'!$C$1),"C4 - Luxury Investors",IF(AND(D414&lt;'Segmentation Summary'!$C$2,J414=1),"C2 - First-Time Buyers","C5 - Other Individual Buyers"))))</f>
        <v>C1 - Global Investors</v>
      </c>
    </row>
    <row r="415" customFormat="false" ht="15" hidden="false" customHeight="true" outlineLevel="0" collapsed="false">
      <c r="A415" s="13" t="s">
        <v>893</v>
      </c>
      <c r="B415" s="13" t="s">
        <v>34</v>
      </c>
      <c r="C415" s="13" t="s">
        <v>892</v>
      </c>
      <c r="D415" s="13" t="n">
        <v>42</v>
      </c>
      <c r="E415" s="13" t="s">
        <v>90</v>
      </c>
      <c r="F415" s="13" t="s">
        <v>33</v>
      </c>
      <c r="G415" s="13" t="s">
        <v>100</v>
      </c>
      <c r="H415" s="13" t="s">
        <v>41</v>
      </c>
      <c r="I415" s="13" t="n">
        <v>1</v>
      </c>
      <c r="J415" s="13" t="n">
        <v>0</v>
      </c>
      <c r="K415" s="13" t="s">
        <v>85</v>
      </c>
      <c r="L415" s="13" t="n">
        <v>8</v>
      </c>
      <c r="M415" s="13" t="n">
        <v>2674286.63</v>
      </c>
      <c r="N415" s="13" t="n">
        <v>334285.82875</v>
      </c>
      <c r="O415" s="13" t="n">
        <v>1100.27125</v>
      </c>
      <c r="P415" s="13" t="n">
        <v>0</v>
      </c>
      <c r="Q415" s="13" t="n">
        <v>8</v>
      </c>
      <c r="R415" s="13" t="s">
        <v>121</v>
      </c>
      <c r="S415" s="13" t="s">
        <v>154</v>
      </c>
      <c r="T415" s="13" t="n">
        <v>1</v>
      </c>
      <c r="U415" s="13" t="n">
        <f aca="false">IF(B415="Individual",1,0)</f>
        <v>1</v>
      </c>
      <c r="V415" s="13" t="n">
        <f aca="false">IF(B415="Company",1,0)</f>
        <v>0</v>
      </c>
      <c r="W415" s="13" t="n">
        <f aca="false">IF(H415="Home",1,0)</f>
        <v>1</v>
      </c>
      <c r="X415" s="13" t="n">
        <f aca="false">IF(H415="Investment",1,0)</f>
        <v>0</v>
      </c>
      <c r="Y415" s="13" t="n">
        <f aca="false">IF(K415="Website",1,0)</f>
        <v>1</v>
      </c>
      <c r="Z415" s="13" t="n">
        <f aca="false">IF(K415="Agency",1,0)</f>
        <v>0</v>
      </c>
      <c r="AA415" s="13" t="n">
        <f aca="false">IF(K415="Client",1,0)</f>
        <v>0</v>
      </c>
      <c r="AB415" s="13" t="n">
        <f aca="false">(D415-AVERAGE(D$2:D$2001))/STDEV(D$2:D$2001)</f>
        <v>-0.699849222259691</v>
      </c>
      <c r="AC415" s="13" t="n">
        <f aca="false">(I415-AVERAGE(I$2:I$2001))/STDEV(I$2:I$2001)</f>
        <v>-1.43538077576244</v>
      </c>
      <c r="AD415" s="13" t="n">
        <f aca="false">(L415-AVERAGE(L$2:L$2001))/STDEV(L$2:L$2001)</f>
        <v>5.17744356114639</v>
      </c>
      <c r="AE415" s="13" t="n">
        <f aca="false">(M415-AVERAGE(M$2:M$2001))/STDEV(M$2:M$2001)</f>
        <v>4.0649410548128</v>
      </c>
      <c r="AF415" s="13" t="n">
        <f aca="false">(N415-AVERAGE(N$2:N$2001))/STDEV(N$2:N$2001)</f>
        <v>-0.183645905772371</v>
      </c>
      <c r="AG415" s="13" t="n">
        <f aca="false">(O415-AVERAGE(O$2:O$2001))/STDEV(O$2:O$2001)</f>
        <v>-0.214659251907145</v>
      </c>
      <c r="AH415" s="0" t="str">
        <f aca="false">IF(B415="Company","C3 - Corporate Buyers",IF(AND(H415="Investment",M415&gt;'Segmentation Summary'!$C$1),"C1 - Global Investors",IF(AND(I415&gt;=4,M415&gt;'Segmentation Summary'!$C$1),"C4 - Luxury Investors",IF(AND(D415&lt;'Segmentation Summary'!$C$2,J415=1),"C2 - First-Time Buyers","C5 - Other Individual Buyers"))))</f>
        <v>C5 - Other Individual Buyers</v>
      </c>
    </row>
    <row r="416" customFormat="false" ht="15" hidden="false" customHeight="true" outlineLevel="0" collapsed="false">
      <c r="A416" s="13" t="s">
        <v>894</v>
      </c>
      <c r="B416" s="13" t="s">
        <v>34</v>
      </c>
      <c r="C416" s="13" t="s">
        <v>895</v>
      </c>
      <c r="D416" s="13" t="n">
        <v>25</v>
      </c>
      <c r="E416" s="13" t="s">
        <v>90</v>
      </c>
      <c r="F416" s="13" t="s">
        <v>33</v>
      </c>
      <c r="G416" s="13" t="s">
        <v>106</v>
      </c>
      <c r="H416" s="13" t="s">
        <v>41</v>
      </c>
      <c r="I416" s="13" t="n">
        <v>5</v>
      </c>
      <c r="J416" s="13" t="n">
        <v>0</v>
      </c>
      <c r="K416" s="13" t="s">
        <v>85</v>
      </c>
      <c r="L416" s="13" t="n">
        <v>3</v>
      </c>
      <c r="M416" s="13" t="n">
        <v>1067911.86</v>
      </c>
      <c r="N416" s="13" t="n">
        <v>355970.62</v>
      </c>
      <c r="O416" s="13" t="n">
        <v>1357.19333333333</v>
      </c>
      <c r="P416" s="13" t="n">
        <v>0</v>
      </c>
      <c r="Q416" s="13" t="n">
        <v>3</v>
      </c>
      <c r="R416" s="13" t="s">
        <v>150</v>
      </c>
      <c r="S416" s="13" t="s">
        <v>133</v>
      </c>
      <c r="T416" s="13" t="n">
        <v>1</v>
      </c>
      <c r="U416" s="13" t="n">
        <f aca="false">IF(B416="Individual",1,0)</f>
        <v>1</v>
      </c>
      <c r="V416" s="13" t="n">
        <f aca="false">IF(B416="Company",1,0)</f>
        <v>0</v>
      </c>
      <c r="W416" s="13" t="n">
        <f aca="false">IF(H416="Home",1,0)</f>
        <v>1</v>
      </c>
      <c r="X416" s="13" t="n">
        <f aca="false">IF(H416="Investment",1,0)</f>
        <v>0</v>
      </c>
      <c r="Y416" s="13" t="n">
        <f aca="false">IF(K416="Website",1,0)</f>
        <v>1</v>
      </c>
      <c r="Z416" s="13" t="n">
        <f aca="false">IF(K416="Agency",1,0)</f>
        <v>0</v>
      </c>
      <c r="AA416" s="13" t="n">
        <f aca="false">IF(K416="Client",1,0)</f>
        <v>0</v>
      </c>
      <c r="AB416" s="13" t="n">
        <f aca="false">(D416-AVERAGE(D$2:D$2001))/STDEV(D$2:D$2001)</f>
        <v>-1.68011096555826</v>
      </c>
      <c r="AC416" s="13" t="n">
        <f aca="false">(I416-AVERAGE(I$2:I$2001))/STDEV(I$2:I$2001)</f>
        <v>1.39434968409451</v>
      </c>
      <c r="AD416" s="13" t="n">
        <f aca="false">(L416-AVERAGE(L$2:L$2001))/STDEV(L$2:L$2001)</f>
        <v>-0.777063122173208</v>
      </c>
      <c r="AE416" s="13" t="n">
        <f aca="false">(M416-AVERAGE(M$2:M$2001))/STDEV(M$2:M$2001)</f>
        <v>-0.553325626179242</v>
      </c>
      <c r="AF416" s="13" t="n">
        <f aca="false">(N416-AVERAGE(N$2:N$2001))/STDEV(N$2:N$2001)</f>
        <v>0.127372806673969</v>
      </c>
      <c r="AG416" s="13" t="n">
        <f aca="false">(O416-AVERAGE(O$2:O$2001))/STDEV(O$2:O$2001)</f>
        <v>0.953579476478201</v>
      </c>
      <c r="AH416" s="0" t="str">
        <f aca="false">IF(B416="Company","C3 - Corporate Buyers",IF(AND(H416="Investment",M416&gt;'Segmentation Summary'!$C$1),"C1 - Global Investors",IF(AND(I416&gt;=4,M416&gt;'Segmentation Summary'!$C$1),"C4 - Luxury Investors",IF(AND(D416&lt;'Segmentation Summary'!$C$2,J416=1),"C2 - First-Time Buyers","C5 - Other Individual Buyers"))))</f>
        <v>C5 - Other Individual Buyers</v>
      </c>
    </row>
    <row r="417" customFormat="false" ht="15" hidden="false" customHeight="true" outlineLevel="0" collapsed="false">
      <c r="A417" s="13" t="s">
        <v>896</v>
      </c>
      <c r="B417" s="13" t="s">
        <v>34</v>
      </c>
      <c r="C417" s="13" t="s">
        <v>897</v>
      </c>
      <c r="D417" s="13" t="n">
        <v>62</v>
      </c>
      <c r="E417" s="13" t="s">
        <v>90</v>
      </c>
      <c r="F417" s="13" t="s">
        <v>40</v>
      </c>
      <c r="G417" s="13" t="s">
        <v>239</v>
      </c>
      <c r="H417" s="13" t="s">
        <v>41</v>
      </c>
      <c r="I417" s="13" t="n">
        <v>4</v>
      </c>
      <c r="J417" s="13" t="n">
        <v>0</v>
      </c>
      <c r="K417" s="13" t="s">
        <v>116</v>
      </c>
      <c r="L417" s="13" t="n">
        <v>3</v>
      </c>
      <c r="M417" s="13" t="n">
        <v>933499.38</v>
      </c>
      <c r="N417" s="13" t="n">
        <v>311166.46</v>
      </c>
      <c r="O417" s="13" t="n">
        <v>952.263333333333</v>
      </c>
      <c r="P417" s="13" t="n">
        <v>1</v>
      </c>
      <c r="Q417" s="13" t="n">
        <v>2</v>
      </c>
      <c r="R417" s="13" t="s">
        <v>93</v>
      </c>
      <c r="S417" s="13" t="s">
        <v>87</v>
      </c>
      <c r="T417" s="13" t="n">
        <v>1</v>
      </c>
      <c r="U417" s="13" t="n">
        <f aca="false">IF(B417="Individual",1,0)</f>
        <v>1</v>
      </c>
      <c r="V417" s="13" t="n">
        <f aca="false">IF(B417="Company",1,0)</f>
        <v>0</v>
      </c>
      <c r="W417" s="13" t="n">
        <f aca="false">IF(H417="Home",1,0)</f>
        <v>1</v>
      </c>
      <c r="X417" s="13" t="n">
        <f aca="false">IF(H417="Investment",1,0)</f>
        <v>0</v>
      </c>
      <c r="Y417" s="13" t="n">
        <f aca="false">IF(K417="Website",1,0)</f>
        <v>0</v>
      </c>
      <c r="Z417" s="13" t="n">
        <f aca="false">IF(K417="Agency",1,0)</f>
        <v>0</v>
      </c>
      <c r="AA417" s="13" t="n">
        <f aca="false">IF(K417="Client",1,0)</f>
        <v>1</v>
      </c>
      <c r="AB417" s="13" t="n">
        <f aca="false">(D417-AVERAGE(D$2:D$2001))/STDEV(D$2:D$2001)</f>
        <v>0.453399887503333</v>
      </c>
      <c r="AC417" s="13" t="n">
        <f aca="false">(I417-AVERAGE(I$2:I$2001))/STDEV(I$2:I$2001)</f>
        <v>0.686917069130275</v>
      </c>
      <c r="AD417" s="13" t="n">
        <f aca="false">(L417-AVERAGE(L$2:L$2001))/STDEV(L$2:L$2001)</f>
        <v>-0.777063122173208</v>
      </c>
      <c r="AE417" s="13" t="n">
        <f aca="false">(M417-AVERAGE(M$2:M$2001))/STDEV(M$2:M$2001)</f>
        <v>-0.939756420217118</v>
      </c>
      <c r="AF417" s="13" t="n">
        <f aca="false">(N417-AVERAGE(N$2:N$2001))/STDEV(N$2:N$2001)</f>
        <v>-0.51524034992904</v>
      </c>
      <c r="AG417" s="13" t="n">
        <f aca="false">(O417-AVERAGE(O$2:O$2001))/STDEV(O$2:O$2001)</f>
        <v>-0.887659323034936</v>
      </c>
      <c r="AH417" s="0" t="str">
        <f aca="false">IF(B417="Company","C3 - Corporate Buyers",IF(AND(H417="Investment",M417&gt;'Segmentation Summary'!$C$1),"C1 - Global Investors",IF(AND(I417&gt;=4,M417&gt;'Segmentation Summary'!$C$1),"C4 - Luxury Investors",IF(AND(D417&lt;'Segmentation Summary'!$C$2,J417=1),"C2 - First-Time Buyers","C5 - Other Individual Buyers"))))</f>
        <v>C5 - Other Individual Buyers</v>
      </c>
    </row>
    <row r="418" customFormat="false" ht="15" hidden="false" customHeight="true" outlineLevel="0" collapsed="false">
      <c r="A418" s="13" t="s">
        <v>898</v>
      </c>
      <c r="B418" s="13" t="s">
        <v>34</v>
      </c>
      <c r="C418" s="13" t="s">
        <v>899</v>
      </c>
      <c r="D418" s="13" t="n">
        <v>38</v>
      </c>
      <c r="E418" s="13" t="s">
        <v>90</v>
      </c>
      <c r="F418" s="13" t="s">
        <v>33</v>
      </c>
      <c r="G418" s="13" t="s">
        <v>84</v>
      </c>
      <c r="H418" s="13" t="s">
        <v>41</v>
      </c>
      <c r="I418" s="13" t="n">
        <v>4</v>
      </c>
      <c r="J418" s="13" t="n">
        <v>1</v>
      </c>
      <c r="K418" s="13" t="s">
        <v>91</v>
      </c>
      <c r="L418" s="13" t="n">
        <v>3</v>
      </c>
      <c r="M418" s="13" t="n">
        <v>1114902.43</v>
      </c>
      <c r="N418" s="13" t="n">
        <v>371634.143333333</v>
      </c>
      <c r="O418" s="13" t="n">
        <v>1140.17333333333</v>
      </c>
      <c r="P418" s="13" t="n">
        <v>0</v>
      </c>
      <c r="Q418" s="13" t="n">
        <v>3</v>
      </c>
      <c r="R418" s="13" t="s">
        <v>101</v>
      </c>
      <c r="S418" s="13" t="s">
        <v>114</v>
      </c>
      <c r="T418" s="13" t="n">
        <v>1</v>
      </c>
      <c r="U418" s="13" t="n">
        <f aca="false">IF(B418="Individual",1,0)</f>
        <v>1</v>
      </c>
      <c r="V418" s="13" t="n">
        <f aca="false">IF(B418="Company",1,0)</f>
        <v>0</v>
      </c>
      <c r="W418" s="13" t="n">
        <f aca="false">IF(H418="Home",1,0)</f>
        <v>1</v>
      </c>
      <c r="X418" s="13" t="n">
        <f aca="false">IF(H418="Investment",1,0)</f>
        <v>0</v>
      </c>
      <c r="Y418" s="13" t="n">
        <f aca="false">IF(K418="Website",1,0)</f>
        <v>0</v>
      </c>
      <c r="Z418" s="13" t="n">
        <f aca="false">IF(K418="Agency",1,0)</f>
        <v>1</v>
      </c>
      <c r="AA418" s="13" t="n">
        <f aca="false">IF(K418="Client",1,0)</f>
        <v>0</v>
      </c>
      <c r="AB418" s="13" t="n">
        <f aca="false">(D418-AVERAGE(D$2:D$2001))/STDEV(D$2:D$2001)</f>
        <v>-0.930499044212296</v>
      </c>
      <c r="AC418" s="13" t="n">
        <f aca="false">(I418-AVERAGE(I$2:I$2001))/STDEV(I$2:I$2001)</f>
        <v>0.686917069130275</v>
      </c>
      <c r="AD418" s="13" t="n">
        <f aca="false">(L418-AVERAGE(L$2:L$2001))/STDEV(L$2:L$2001)</f>
        <v>-0.777063122173208</v>
      </c>
      <c r="AE418" s="13" t="n">
        <f aca="false">(M418-AVERAGE(M$2:M$2001))/STDEV(M$2:M$2001)</f>
        <v>-0.418229515480352</v>
      </c>
      <c r="AF418" s="13" t="n">
        <f aca="false">(N418-AVERAGE(N$2:N$2001))/STDEV(N$2:N$2001)</f>
        <v>0.352030208414299</v>
      </c>
      <c r="AG418" s="13" t="n">
        <f aca="false">(O418-AVERAGE(O$2:O$2001))/STDEV(O$2:O$2001)</f>
        <v>-0.0332223022745317</v>
      </c>
      <c r="AH418" s="0" t="str">
        <f aca="false">IF(B418="Company","C3 - Corporate Buyers",IF(AND(H418="Investment",M418&gt;'Segmentation Summary'!$C$1),"C1 - Global Investors",IF(AND(I418&gt;=4,M418&gt;'Segmentation Summary'!$C$1),"C4 - Luxury Investors",IF(AND(D418&lt;'Segmentation Summary'!$C$2,J418=1),"C2 - First-Time Buyers","C5 - Other Individual Buyers"))))</f>
        <v>C2 - First-Time Buyers</v>
      </c>
    </row>
    <row r="419" customFormat="false" ht="15" hidden="false" customHeight="true" outlineLevel="0" collapsed="false">
      <c r="A419" s="13" t="s">
        <v>900</v>
      </c>
      <c r="B419" s="13" t="s">
        <v>34</v>
      </c>
      <c r="C419" s="13" t="s">
        <v>901</v>
      </c>
      <c r="D419" s="13" t="n">
        <v>81</v>
      </c>
      <c r="E419" s="13" t="s">
        <v>90</v>
      </c>
      <c r="F419" s="13" t="s">
        <v>33</v>
      </c>
      <c r="G419" s="13" t="s">
        <v>265</v>
      </c>
      <c r="H419" s="13" t="s">
        <v>41</v>
      </c>
      <c r="I419" s="13" t="n">
        <v>1</v>
      </c>
      <c r="J419" s="13" t="n">
        <v>0</v>
      </c>
      <c r="K419" s="13" t="s">
        <v>85</v>
      </c>
      <c r="L419" s="13" t="n">
        <v>3</v>
      </c>
      <c r="M419" s="13" t="n">
        <v>936104.05</v>
      </c>
      <c r="N419" s="13" t="n">
        <v>312034.683333333</v>
      </c>
      <c r="O419" s="13" t="n">
        <v>1033.48333333333</v>
      </c>
      <c r="P419" s="13" t="n">
        <v>0</v>
      </c>
      <c r="Q419" s="13" t="n">
        <v>3</v>
      </c>
      <c r="R419" s="13" t="s">
        <v>128</v>
      </c>
      <c r="S419" s="13" t="s">
        <v>154</v>
      </c>
      <c r="T419" s="13" t="n">
        <v>1</v>
      </c>
      <c r="U419" s="13" t="n">
        <f aca="false">IF(B419="Individual",1,0)</f>
        <v>1</v>
      </c>
      <c r="V419" s="13" t="n">
        <f aca="false">IF(B419="Company",1,0)</f>
        <v>0</v>
      </c>
      <c r="W419" s="13" t="n">
        <f aca="false">IF(H419="Home",1,0)</f>
        <v>1</v>
      </c>
      <c r="X419" s="13" t="n">
        <f aca="false">IF(H419="Investment",1,0)</f>
        <v>0</v>
      </c>
      <c r="Y419" s="13" t="n">
        <f aca="false">IF(K419="Website",1,0)</f>
        <v>1</v>
      </c>
      <c r="Z419" s="13" t="n">
        <f aca="false">IF(K419="Agency",1,0)</f>
        <v>0</v>
      </c>
      <c r="AA419" s="13" t="n">
        <f aca="false">IF(K419="Client",1,0)</f>
        <v>0</v>
      </c>
      <c r="AB419" s="13" t="n">
        <f aca="false">(D419-AVERAGE(D$2:D$2001))/STDEV(D$2:D$2001)</f>
        <v>1.54898654177821</v>
      </c>
      <c r="AC419" s="13" t="n">
        <f aca="false">(I419-AVERAGE(I$2:I$2001))/STDEV(I$2:I$2001)</f>
        <v>-1.43538077576244</v>
      </c>
      <c r="AD419" s="13" t="n">
        <f aca="false">(L419-AVERAGE(L$2:L$2001))/STDEV(L$2:L$2001)</f>
        <v>-0.777063122173208</v>
      </c>
      <c r="AE419" s="13" t="n">
        <f aca="false">(M419-AVERAGE(M$2:M$2001))/STDEV(M$2:M$2001)</f>
        <v>-0.932268092523836</v>
      </c>
      <c r="AF419" s="13" t="n">
        <f aca="false">(N419-AVERAGE(N$2:N$2001))/STDEV(N$2:N$2001)</f>
        <v>-0.502787672836791</v>
      </c>
      <c r="AG419" s="13" t="n">
        <f aca="false">(O419-AVERAGE(O$2:O$2001))/STDEV(O$2:O$2001)</f>
        <v>-0.518347552367284</v>
      </c>
      <c r="AH419" s="0" t="str">
        <f aca="false">IF(B419="Company","C3 - Corporate Buyers",IF(AND(H419="Investment",M419&gt;'Segmentation Summary'!$C$1),"C1 - Global Investors",IF(AND(I419&gt;=4,M419&gt;'Segmentation Summary'!$C$1),"C4 - Luxury Investors",IF(AND(D419&lt;'Segmentation Summary'!$C$2,J419=1),"C2 - First-Time Buyers","C5 - Other Individual Buyers"))))</f>
        <v>C5 - Other Individual Buyers</v>
      </c>
    </row>
    <row r="420" customFormat="false" ht="15" hidden="false" customHeight="true" outlineLevel="0" collapsed="false">
      <c r="A420" s="13" t="s">
        <v>902</v>
      </c>
      <c r="B420" s="13" t="s">
        <v>34</v>
      </c>
      <c r="C420" s="13" t="s">
        <v>903</v>
      </c>
      <c r="D420" s="13" t="n">
        <v>48</v>
      </c>
      <c r="E420" s="13" t="s">
        <v>90</v>
      </c>
      <c r="F420" s="13" t="s">
        <v>33</v>
      </c>
      <c r="G420" s="13" t="s">
        <v>162</v>
      </c>
      <c r="H420" s="13" t="s">
        <v>41</v>
      </c>
      <c r="I420" s="13" t="n">
        <v>2</v>
      </c>
      <c r="J420" s="13" t="n">
        <v>0</v>
      </c>
      <c r="K420" s="13" t="s">
        <v>116</v>
      </c>
      <c r="L420" s="13" t="n">
        <v>3</v>
      </c>
      <c r="M420" s="13" t="n">
        <v>1633972.21</v>
      </c>
      <c r="N420" s="13" t="n">
        <v>544657.403333333</v>
      </c>
      <c r="O420" s="13" t="n">
        <v>1445.08</v>
      </c>
      <c r="P420" s="13" t="n">
        <v>2</v>
      </c>
      <c r="Q420" s="13" t="n">
        <v>1</v>
      </c>
      <c r="R420" s="13" t="s">
        <v>128</v>
      </c>
      <c r="S420" s="13" t="s">
        <v>114</v>
      </c>
      <c r="T420" s="13" t="n">
        <v>1</v>
      </c>
      <c r="U420" s="13" t="n">
        <f aca="false">IF(B420="Individual",1,0)</f>
        <v>1</v>
      </c>
      <c r="V420" s="13" t="n">
        <f aca="false">IF(B420="Company",1,0)</f>
        <v>0</v>
      </c>
      <c r="W420" s="13" t="n">
        <f aca="false">IF(H420="Home",1,0)</f>
        <v>1</v>
      </c>
      <c r="X420" s="13" t="n">
        <f aca="false">IF(H420="Investment",1,0)</f>
        <v>0</v>
      </c>
      <c r="Y420" s="13" t="n">
        <f aca="false">IF(K420="Website",1,0)</f>
        <v>0</v>
      </c>
      <c r="Z420" s="13" t="n">
        <f aca="false">IF(K420="Agency",1,0)</f>
        <v>0</v>
      </c>
      <c r="AA420" s="13" t="n">
        <f aca="false">IF(K420="Client",1,0)</f>
        <v>1</v>
      </c>
      <c r="AB420" s="13" t="n">
        <f aca="false">(D420-AVERAGE(D$2:D$2001))/STDEV(D$2:D$2001)</f>
        <v>-0.353874489330784</v>
      </c>
      <c r="AC420" s="13" t="n">
        <f aca="false">(I420-AVERAGE(I$2:I$2001))/STDEV(I$2:I$2001)</f>
        <v>-0.727948160798201</v>
      </c>
      <c r="AD420" s="13" t="n">
        <f aca="false">(L420-AVERAGE(L$2:L$2001))/STDEV(L$2:L$2001)</f>
        <v>-0.777063122173208</v>
      </c>
      <c r="AE420" s="13" t="n">
        <f aca="false">(M420-AVERAGE(M$2:M$2001))/STDEV(M$2:M$2001)</f>
        <v>1.07407646121515</v>
      </c>
      <c r="AF420" s="13" t="n">
        <f aca="false">(N420-AVERAGE(N$2:N$2001))/STDEV(N$2:N$2001)</f>
        <v>2.83365297010302</v>
      </c>
      <c r="AG420" s="13" t="n">
        <f aca="false">(O420-AVERAGE(O$2:O$2001))/STDEV(O$2:O$2001)</f>
        <v>1.35320494415546</v>
      </c>
      <c r="AH420" s="0" t="str">
        <f aca="false">IF(B420="Company","C3 - Corporate Buyers",IF(AND(H420="Investment",M420&gt;'Segmentation Summary'!$C$1),"C1 - Global Investors",IF(AND(I420&gt;=4,M420&gt;'Segmentation Summary'!$C$1),"C4 - Luxury Investors",IF(AND(D420&lt;'Segmentation Summary'!$C$2,J420=1),"C2 - First-Time Buyers","C5 - Other Individual Buyers"))))</f>
        <v>C5 - Other Individual Buyers</v>
      </c>
    </row>
    <row r="421" customFormat="false" ht="15" hidden="false" customHeight="true" outlineLevel="0" collapsed="false">
      <c r="A421" s="13" t="s">
        <v>904</v>
      </c>
      <c r="B421" s="13" t="s">
        <v>34</v>
      </c>
      <c r="C421" s="13" t="s">
        <v>905</v>
      </c>
      <c r="D421" s="13" t="n">
        <v>52</v>
      </c>
      <c r="E421" s="13" t="s">
        <v>90</v>
      </c>
      <c r="F421" s="13" t="s">
        <v>33</v>
      </c>
      <c r="G421" s="13" t="s">
        <v>95</v>
      </c>
      <c r="H421" s="13" t="s">
        <v>41</v>
      </c>
      <c r="I421" s="13" t="n">
        <v>4</v>
      </c>
      <c r="J421" s="13" t="n">
        <v>1</v>
      </c>
      <c r="K421" s="13" t="s">
        <v>85</v>
      </c>
      <c r="L421" s="13" t="n">
        <v>3</v>
      </c>
      <c r="M421" s="13" t="n">
        <v>943260.84</v>
      </c>
      <c r="N421" s="13" t="n">
        <v>314420.28</v>
      </c>
      <c r="O421" s="13" t="n">
        <v>1077.33333333333</v>
      </c>
      <c r="P421" s="13" t="n">
        <v>1</v>
      </c>
      <c r="Q421" s="13" t="n">
        <v>2</v>
      </c>
      <c r="R421" s="13" t="s">
        <v>92</v>
      </c>
      <c r="S421" s="13" t="s">
        <v>154</v>
      </c>
      <c r="T421" s="13" t="n">
        <v>1</v>
      </c>
      <c r="U421" s="13" t="n">
        <f aca="false">IF(B421="Individual",1,0)</f>
        <v>1</v>
      </c>
      <c r="V421" s="13" t="n">
        <f aca="false">IF(B421="Company",1,0)</f>
        <v>0</v>
      </c>
      <c r="W421" s="13" t="n">
        <f aca="false">IF(H421="Home",1,0)</f>
        <v>1</v>
      </c>
      <c r="X421" s="13" t="n">
        <f aca="false">IF(H421="Investment",1,0)</f>
        <v>0</v>
      </c>
      <c r="Y421" s="13" t="n">
        <f aca="false">IF(K421="Website",1,0)</f>
        <v>1</v>
      </c>
      <c r="Z421" s="13" t="n">
        <f aca="false">IF(K421="Agency",1,0)</f>
        <v>0</v>
      </c>
      <c r="AA421" s="13" t="n">
        <f aca="false">IF(K421="Client",1,0)</f>
        <v>0</v>
      </c>
      <c r="AB421" s="13" t="n">
        <f aca="false">(D421-AVERAGE(D$2:D$2001))/STDEV(D$2:D$2001)</f>
        <v>-0.123224667378179</v>
      </c>
      <c r="AC421" s="13" t="n">
        <f aca="false">(I421-AVERAGE(I$2:I$2001))/STDEV(I$2:I$2001)</f>
        <v>0.686917069130275</v>
      </c>
      <c r="AD421" s="13" t="n">
        <f aca="false">(L421-AVERAGE(L$2:L$2001))/STDEV(L$2:L$2001)</f>
        <v>-0.777063122173208</v>
      </c>
      <c r="AE421" s="13" t="n">
        <f aca="false">(M421-AVERAGE(M$2:M$2001))/STDEV(M$2:M$2001)</f>
        <v>-0.911692592075795</v>
      </c>
      <c r="AF421" s="13" t="n">
        <f aca="false">(N421-AVERAGE(N$2:N$2001))/STDEV(N$2:N$2001)</f>
        <v>-0.468571747254244</v>
      </c>
      <c r="AG421" s="13" t="n">
        <f aca="false">(O421-AVERAGE(O$2:O$2001))/STDEV(O$2:O$2001)</f>
        <v>-0.318959210286796</v>
      </c>
      <c r="AH421" s="0" t="str">
        <f aca="false">IF(B421="Company","C3 - Corporate Buyers",IF(AND(H421="Investment",M421&gt;'Segmentation Summary'!$C$1),"C1 - Global Investors",IF(AND(I421&gt;=4,M421&gt;'Segmentation Summary'!$C$1),"C4 - Luxury Investors",IF(AND(D421&lt;'Segmentation Summary'!$C$2,J421=1),"C2 - First-Time Buyers","C5 - Other Individual Buyers"))))</f>
        <v>C2 - First-Time Buyers</v>
      </c>
    </row>
    <row r="422" customFormat="false" ht="15" hidden="false" customHeight="true" outlineLevel="0" collapsed="false">
      <c r="A422" s="13" t="s">
        <v>906</v>
      </c>
      <c r="B422" s="13" t="s">
        <v>34</v>
      </c>
      <c r="C422" s="13" t="s">
        <v>907</v>
      </c>
      <c r="D422" s="13" t="n">
        <v>68</v>
      </c>
      <c r="E422" s="13" t="s">
        <v>90</v>
      </c>
      <c r="F422" s="13" t="s">
        <v>40</v>
      </c>
      <c r="G422" s="13" t="s">
        <v>528</v>
      </c>
      <c r="H422" s="13" t="s">
        <v>41</v>
      </c>
      <c r="I422" s="13" t="n">
        <v>5</v>
      </c>
      <c r="J422" s="13" t="n">
        <v>0</v>
      </c>
      <c r="K422" s="13" t="s">
        <v>85</v>
      </c>
      <c r="L422" s="13" t="n">
        <v>3</v>
      </c>
      <c r="M422" s="13" t="n">
        <v>980793.68</v>
      </c>
      <c r="N422" s="13" t="n">
        <v>326931.226666667</v>
      </c>
      <c r="O422" s="13" t="n">
        <v>1089.46</v>
      </c>
      <c r="P422" s="13" t="n">
        <v>2</v>
      </c>
      <c r="Q422" s="13" t="n">
        <v>1</v>
      </c>
      <c r="R422" s="13" t="s">
        <v>215</v>
      </c>
      <c r="S422" s="13" t="s">
        <v>114</v>
      </c>
      <c r="T422" s="13" t="n">
        <v>1</v>
      </c>
      <c r="U422" s="13" t="n">
        <f aca="false">IF(B422="Individual",1,0)</f>
        <v>1</v>
      </c>
      <c r="V422" s="13" t="n">
        <f aca="false">IF(B422="Company",1,0)</f>
        <v>0</v>
      </c>
      <c r="W422" s="13" t="n">
        <f aca="false">IF(H422="Home",1,0)</f>
        <v>1</v>
      </c>
      <c r="X422" s="13" t="n">
        <f aca="false">IF(H422="Investment",1,0)</f>
        <v>0</v>
      </c>
      <c r="Y422" s="13" t="n">
        <f aca="false">IF(K422="Website",1,0)</f>
        <v>1</v>
      </c>
      <c r="Z422" s="13" t="n">
        <f aca="false">IF(K422="Agency",1,0)</f>
        <v>0</v>
      </c>
      <c r="AA422" s="13" t="n">
        <f aca="false">IF(K422="Client",1,0)</f>
        <v>0</v>
      </c>
      <c r="AB422" s="13" t="n">
        <f aca="false">(D422-AVERAGE(D$2:D$2001))/STDEV(D$2:D$2001)</f>
        <v>0.79937462043224</v>
      </c>
      <c r="AC422" s="13" t="n">
        <f aca="false">(I422-AVERAGE(I$2:I$2001))/STDEV(I$2:I$2001)</f>
        <v>1.39434968409451</v>
      </c>
      <c r="AD422" s="13" t="n">
        <f aca="false">(L422-AVERAGE(L$2:L$2001))/STDEV(L$2:L$2001)</f>
        <v>-0.777063122173208</v>
      </c>
      <c r="AE422" s="13" t="n">
        <f aca="false">(M422-AVERAGE(M$2:M$2001))/STDEV(M$2:M$2001)</f>
        <v>-0.803787097260905</v>
      </c>
      <c r="AF422" s="13" t="n">
        <f aca="false">(N422-AVERAGE(N$2:N$2001))/STDEV(N$2:N$2001)</f>
        <v>-0.289130844231874</v>
      </c>
      <c r="AG422" s="13" t="n">
        <f aca="false">(O422-AVERAGE(O$2:O$2001))/STDEV(O$2:O$2001)</f>
        <v>-0.263818595426362</v>
      </c>
      <c r="AH422" s="0" t="str">
        <f aca="false">IF(B422="Company","C3 - Corporate Buyers",IF(AND(H422="Investment",M422&gt;'Segmentation Summary'!$C$1),"C1 - Global Investors",IF(AND(I422&gt;=4,M422&gt;'Segmentation Summary'!$C$1),"C4 - Luxury Investors",IF(AND(D422&lt;'Segmentation Summary'!$C$2,J422=1),"C2 - First-Time Buyers","C5 - Other Individual Buyers"))))</f>
        <v>C5 - Other Individual Buyers</v>
      </c>
    </row>
    <row r="423" customFormat="false" ht="15" hidden="false" customHeight="true" outlineLevel="0" collapsed="false">
      <c r="A423" s="13" t="s">
        <v>908</v>
      </c>
      <c r="B423" s="13" t="s">
        <v>34</v>
      </c>
      <c r="C423" s="13" t="s">
        <v>909</v>
      </c>
      <c r="D423" s="13" t="n">
        <v>73</v>
      </c>
      <c r="E423" s="13" t="s">
        <v>90</v>
      </c>
      <c r="F423" s="13" t="s">
        <v>33</v>
      </c>
      <c r="G423" s="13" t="s">
        <v>95</v>
      </c>
      <c r="H423" s="13" t="s">
        <v>41</v>
      </c>
      <c r="I423" s="13" t="n">
        <v>3</v>
      </c>
      <c r="J423" s="13" t="n">
        <v>0</v>
      </c>
      <c r="K423" s="13" t="s">
        <v>116</v>
      </c>
      <c r="L423" s="13" t="n">
        <v>3</v>
      </c>
      <c r="M423" s="13" t="n">
        <v>782945.97</v>
      </c>
      <c r="N423" s="13" t="n">
        <v>260981.99</v>
      </c>
      <c r="O423" s="13" t="n">
        <v>879.343333333333</v>
      </c>
      <c r="P423" s="13" t="n">
        <v>1</v>
      </c>
      <c r="Q423" s="13" t="n">
        <v>2</v>
      </c>
      <c r="R423" s="13" t="s">
        <v>101</v>
      </c>
      <c r="S423" s="13" t="s">
        <v>152</v>
      </c>
      <c r="T423" s="13" t="n">
        <v>1</v>
      </c>
      <c r="U423" s="13" t="n">
        <f aca="false">IF(B423="Individual",1,0)</f>
        <v>1</v>
      </c>
      <c r="V423" s="13" t="n">
        <f aca="false">IF(B423="Company",1,0)</f>
        <v>0</v>
      </c>
      <c r="W423" s="13" t="n">
        <f aca="false">IF(H423="Home",1,0)</f>
        <v>1</v>
      </c>
      <c r="X423" s="13" t="n">
        <f aca="false">IF(H423="Investment",1,0)</f>
        <v>0</v>
      </c>
      <c r="Y423" s="13" t="n">
        <f aca="false">IF(K423="Website",1,0)</f>
        <v>0</v>
      </c>
      <c r="Z423" s="13" t="n">
        <f aca="false">IF(K423="Agency",1,0)</f>
        <v>0</v>
      </c>
      <c r="AA423" s="13" t="n">
        <f aca="false">IF(K423="Client",1,0)</f>
        <v>1</v>
      </c>
      <c r="AB423" s="13" t="n">
        <f aca="false">(D423-AVERAGE(D$2:D$2001))/STDEV(D$2:D$2001)</f>
        <v>1.087686897873</v>
      </c>
      <c r="AC423" s="13" t="n">
        <f aca="false">(I423-AVERAGE(I$2:I$2001))/STDEV(I$2:I$2001)</f>
        <v>-0.0205155458339628</v>
      </c>
      <c r="AD423" s="13" t="n">
        <f aca="false">(L423-AVERAGE(L$2:L$2001))/STDEV(L$2:L$2001)</f>
        <v>-0.777063122173208</v>
      </c>
      <c r="AE423" s="13" t="n">
        <f aca="false">(M423-AVERAGE(M$2:M$2001))/STDEV(M$2:M$2001)</f>
        <v>-1.37259177725695</v>
      </c>
      <c r="AF423" s="13" t="n">
        <f aca="false">(N423-AVERAGE(N$2:N$2001))/STDEV(N$2:N$2001)</f>
        <v>-1.23502174253073</v>
      </c>
      <c r="AG423" s="13" t="n">
        <f aca="false">(O423-AVERAGE(O$2:O$2001))/STDEV(O$2:O$2001)</f>
        <v>-1.21923054092568</v>
      </c>
      <c r="AH423" s="0" t="str">
        <f aca="false">IF(B423="Company","C3 - Corporate Buyers",IF(AND(H423="Investment",M423&gt;'Segmentation Summary'!$C$1),"C1 - Global Investors",IF(AND(I423&gt;=4,M423&gt;'Segmentation Summary'!$C$1),"C4 - Luxury Investors",IF(AND(D423&lt;'Segmentation Summary'!$C$2,J423=1),"C2 - First-Time Buyers","C5 - Other Individual Buyers"))))</f>
        <v>C5 - Other Individual Buyers</v>
      </c>
    </row>
    <row r="424" customFormat="false" ht="15" hidden="false" customHeight="true" outlineLevel="0" collapsed="false">
      <c r="A424" s="13" t="s">
        <v>910</v>
      </c>
      <c r="B424" s="13" t="s">
        <v>34</v>
      </c>
      <c r="C424" s="13" t="s">
        <v>911</v>
      </c>
      <c r="D424" s="13" t="n">
        <v>37</v>
      </c>
      <c r="E424" s="13" t="s">
        <v>90</v>
      </c>
      <c r="F424" s="13" t="s">
        <v>33</v>
      </c>
      <c r="G424" s="13" t="s">
        <v>120</v>
      </c>
      <c r="H424" s="13" t="s">
        <v>43</v>
      </c>
      <c r="I424" s="13" t="n">
        <v>3</v>
      </c>
      <c r="J424" s="13" t="n">
        <v>1</v>
      </c>
      <c r="K424" s="13" t="s">
        <v>91</v>
      </c>
      <c r="L424" s="13" t="n">
        <v>3</v>
      </c>
      <c r="M424" s="13" t="n">
        <v>1272387.3</v>
      </c>
      <c r="N424" s="13" t="n">
        <v>424129.1</v>
      </c>
      <c r="O424" s="13" t="n">
        <v>1493.24333333333</v>
      </c>
      <c r="P424" s="13" t="n">
        <v>1</v>
      </c>
      <c r="Q424" s="13" t="n">
        <v>2</v>
      </c>
      <c r="R424" s="13" t="s">
        <v>141</v>
      </c>
      <c r="S424" s="13" t="s">
        <v>133</v>
      </c>
      <c r="T424" s="13" t="n">
        <v>1</v>
      </c>
      <c r="U424" s="13" t="n">
        <f aca="false">IF(B424="Individual",1,0)</f>
        <v>1</v>
      </c>
      <c r="V424" s="13" t="n">
        <f aca="false">IF(B424="Company",1,0)</f>
        <v>0</v>
      </c>
      <c r="W424" s="13" t="n">
        <f aca="false">IF(H424="Home",1,0)</f>
        <v>0</v>
      </c>
      <c r="X424" s="13" t="n">
        <f aca="false">IF(H424="Investment",1,0)</f>
        <v>1</v>
      </c>
      <c r="Y424" s="13" t="n">
        <f aca="false">IF(K424="Website",1,0)</f>
        <v>0</v>
      </c>
      <c r="Z424" s="13" t="n">
        <f aca="false">IF(K424="Agency",1,0)</f>
        <v>1</v>
      </c>
      <c r="AA424" s="13" t="n">
        <f aca="false">IF(K424="Client",1,0)</f>
        <v>0</v>
      </c>
      <c r="AB424" s="13" t="n">
        <f aca="false">(D424-AVERAGE(D$2:D$2001))/STDEV(D$2:D$2001)</f>
        <v>-0.988161499700447</v>
      </c>
      <c r="AC424" s="13" t="n">
        <f aca="false">(I424-AVERAGE(I$2:I$2001))/STDEV(I$2:I$2001)</f>
        <v>-0.0205155458339628</v>
      </c>
      <c r="AD424" s="13" t="n">
        <f aca="false">(L424-AVERAGE(L$2:L$2001))/STDEV(L$2:L$2001)</f>
        <v>-0.777063122173208</v>
      </c>
      <c r="AE424" s="13" t="n">
        <f aca="false">(M424-AVERAGE(M$2:M$2001))/STDEV(M$2:M$2001)</f>
        <v>0.0345335267836666</v>
      </c>
      <c r="AF424" s="13" t="n">
        <f aca="false">(N424-AVERAGE(N$2:N$2001))/STDEV(N$2:N$2001)</f>
        <v>1.10495024551141</v>
      </c>
      <c r="AG424" s="13" t="n">
        <f aca="false">(O424-AVERAGE(O$2:O$2001))/STDEV(O$2:O$2001)</f>
        <v>1.57220624820113</v>
      </c>
      <c r="AH424" s="0" t="str">
        <f aca="false">IF(B424="Company","C3 - Corporate Buyers",IF(AND(H424="Investment",M424&gt;'Segmentation Summary'!$C$1),"C1 - Global Investors",IF(AND(I424&gt;=4,M424&gt;'Segmentation Summary'!$C$1),"C4 - Luxury Investors",IF(AND(D424&lt;'Segmentation Summary'!$C$2,J424=1),"C2 - First-Time Buyers","C5 - Other Individual Buyers"))))</f>
        <v>C1 - Global Investors</v>
      </c>
    </row>
    <row r="425" customFormat="false" ht="15" hidden="false" customHeight="true" outlineLevel="0" collapsed="false">
      <c r="A425" s="13" t="s">
        <v>912</v>
      </c>
      <c r="B425" s="13" t="s">
        <v>34</v>
      </c>
      <c r="C425" s="13" t="s">
        <v>913</v>
      </c>
      <c r="D425" s="13" t="n">
        <v>38</v>
      </c>
      <c r="E425" s="13" t="s">
        <v>90</v>
      </c>
      <c r="F425" s="13" t="s">
        <v>33</v>
      </c>
      <c r="G425" s="13" t="s">
        <v>123</v>
      </c>
      <c r="H425" s="13" t="s">
        <v>41</v>
      </c>
      <c r="I425" s="13" t="n">
        <v>5</v>
      </c>
      <c r="J425" s="13" t="n">
        <v>1</v>
      </c>
      <c r="K425" s="13" t="s">
        <v>85</v>
      </c>
      <c r="L425" s="13" t="n">
        <v>3</v>
      </c>
      <c r="M425" s="13" t="n">
        <v>766861.21</v>
      </c>
      <c r="N425" s="13" t="n">
        <v>255620.403333333</v>
      </c>
      <c r="O425" s="13" t="n">
        <v>849.636666666667</v>
      </c>
      <c r="P425" s="13" t="n">
        <v>0</v>
      </c>
      <c r="Q425" s="13" t="n">
        <v>3</v>
      </c>
      <c r="R425" s="13" t="s">
        <v>101</v>
      </c>
      <c r="S425" s="13" t="s">
        <v>150</v>
      </c>
      <c r="T425" s="13" t="n">
        <v>1</v>
      </c>
      <c r="U425" s="13" t="n">
        <f aca="false">IF(B425="Individual",1,0)</f>
        <v>1</v>
      </c>
      <c r="V425" s="13" t="n">
        <f aca="false">IF(B425="Company",1,0)</f>
        <v>0</v>
      </c>
      <c r="W425" s="13" t="n">
        <f aca="false">IF(H425="Home",1,0)</f>
        <v>1</v>
      </c>
      <c r="X425" s="13" t="n">
        <f aca="false">IF(H425="Investment",1,0)</f>
        <v>0</v>
      </c>
      <c r="Y425" s="13" t="n">
        <f aca="false">IF(K425="Website",1,0)</f>
        <v>1</v>
      </c>
      <c r="Z425" s="13" t="n">
        <f aca="false">IF(K425="Agency",1,0)</f>
        <v>0</v>
      </c>
      <c r="AA425" s="13" t="n">
        <f aca="false">IF(K425="Client",1,0)</f>
        <v>0</v>
      </c>
      <c r="AB425" s="13" t="n">
        <f aca="false">(D425-AVERAGE(D$2:D$2001))/STDEV(D$2:D$2001)</f>
        <v>-0.930499044212296</v>
      </c>
      <c r="AC425" s="13" t="n">
        <f aca="false">(I425-AVERAGE(I$2:I$2001))/STDEV(I$2:I$2001)</f>
        <v>1.39434968409451</v>
      </c>
      <c r="AD425" s="13" t="n">
        <f aca="false">(L425-AVERAGE(L$2:L$2001))/STDEV(L$2:L$2001)</f>
        <v>-0.777063122173208</v>
      </c>
      <c r="AE425" s="13" t="n">
        <f aca="false">(M425-AVERAGE(M$2:M$2001))/STDEV(M$2:M$2001)</f>
        <v>-1.4188348536343</v>
      </c>
      <c r="AF425" s="13" t="n">
        <f aca="false">(N425-AVERAGE(N$2:N$2001))/STDEV(N$2:N$2001)</f>
        <v>-1.31192143515453</v>
      </c>
      <c r="AG425" s="13" t="n">
        <f aca="false">(O425-AVERAGE(O$2:O$2001))/STDEV(O$2:O$2001)</f>
        <v>-1.35430837480035</v>
      </c>
      <c r="AH425" s="0" t="str">
        <f aca="false">IF(B425="Company","C3 - Corporate Buyers",IF(AND(H425="Investment",M425&gt;'Segmentation Summary'!$C$1),"C1 - Global Investors",IF(AND(I425&gt;=4,M425&gt;'Segmentation Summary'!$C$1),"C4 - Luxury Investors",IF(AND(D425&lt;'Segmentation Summary'!$C$2,J425=1),"C2 - First-Time Buyers","C5 - Other Individual Buyers"))))</f>
        <v>C2 - First-Time Buyers</v>
      </c>
    </row>
    <row r="426" customFormat="false" ht="15" hidden="false" customHeight="true" outlineLevel="0" collapsed="false">
      <c r="A426" s="13" t="s">
        <v>914</v>
      </c>
      <c r="B426" s="13" t="s">
        <v>34</v>
      </c>
      <c r="C426" s="13" t="s">
        <v>915</v>
      </c>
      <c r="D426" s="13" t="n">
        <v>52</v>
      </c>
      <c r="E426" s="13" t="s">
        <v>90</v>
      </c>
      <c r="F426" s="13" t="s">
        <v>33</v>
      </c>
      <c r="G426" s="13" t="s">
        <v>95</v>
      </c>
      <c r="H426" s="13" t="s">
        <v>43</v>
      </c>
      <c r="I426" s="13" t="n">
        <v>4</v>
      </c>
      <c r="J426" s="13" t="n">
        <v>1</v>
      </c>
      <c r="K426" s="13" t="s">
        <v>91</v>
      </c>
      <c r="L426" s="13" t="n">
        <v>4</v>
      </c>
      <c r="M426" s="13" t="n">
        <v>1097182.39</v>
      </c>
      <c r="N426" s="13" t="n">
        <v>274295.5975</v>
      </c>
      <c r="O426" s="13" t="n">
        <v>987.505</v>
      </c>
      <c r="P426" s="13" t="n">
        <v>1</v>
      </c>
      <c r="Q426" s="13" t="n">
        <v>3</v>
      </c>
      <c r="R426" s="13" t="s">
        <v>121</v>
      </c>
      <c r="S426" s="13" t="s">
        <v>164</v>
      </c>
      <c r="T426" s="13" t="n">
        <v>1</v>
      </c>
      <c r="U426" s="13" t="n">
        <f aca="false">IF(B426="Individual",1,0)</f>
        <v>1</v>
      </c>
      <c r="V426" s="13" t="n">
        <f aca="false">IF(B426="Company",1,0)</f>
        <v>0</v>
      </c>
      <c r="W426" s="13" t="n">
        <f aca="false">IF(H426="Home",1,0)</f>
        <v>0</v>
      </c>
      <c r="X426" s="13" t="n">
        <f aca="false">IF(H426="Investment",1,0)</f>
        <v>1</v>
      </c>
      <c r="Y426" s="13" t="n">
        <f aca="false">IF(K426="Website",1,0)</f>
        <v>0</v>
      </c>
      <c r="Z426" s="13" t="n">
        <f aca="false">IF(K426="Agency",1,0)</f>
        <v>1</v>
      </c>
      <c r="AA426" s="13" t="n">
        <f aca="false">IF(K426="Client",1,0)</f>
        <v>0</v>
      </c>
      <c r="AB426" s="13" t="n">
        <f aca="false">(D426-AVERAGE(D$2:D$2001))/STDEV(D$2:D$2001)</f>
        <v>-0.123224667378179</v>
      </c>
      <c r="AC426" s="13" t="n">
        <f aca="false">(I426-AVERAGE(I$2:I$2001))/STDEV(I$2:I$2001)</f>
        <v>0.686917069130275</v>
      </c>
      <c r="AD426" s="13" t="n">
        <f aca="false">(L426-AVERAGE(L$2:L$2001))/STDEV(L$2:L$2001)</f>
        <v>0.413838214490712</v>
      </c>
      <c r="AE426" s="13" t="n">
        <f aca="false">(M426-AVERAGE(M$2:M$2001))/STDEV(M$2:M$2001)</f>
        <v>-0.469173959981212</v>
      </c>
      <c r="AF426" s="13" t="n">
        <f aca="false">(N426-AVERAGE(N$2:N$2001))/STDEV(N$2:N$2001)</f>
        <v>-1.04406850646184</v>
      </c>
      <c r="AG426" s="13" t="n">
        <f aca="false">(O426-AVERAGE(O$2:O$2001))/STDEV(O$2:O$2001)</f>
        <v>-0.727413542218063</v>
      </c>
      <c r="AH426" s="0" t="str">
        <f aca="false">IF(B426="Company","C3 - Corporate Buyers",IF(AND(H426="Investment",M426&gt;'Segmentation Summary'!$C$1),"C1 - Global Investors",IF(AND(I426&gt;=4,M426&gt;'Segmentation Summary'!$C$1),"C4 - Luxury Investors",IF(AND(D426&lt;'Segmentation Summary'!$C$2,J426=1),"C2 - First-Time Buyers","C5 - Other Individual Buyers"))))</f>
        <v>C2 - First-Time Buyers</v>
      </c>
    </row>
    <row r="427" customFormat="false" ht="15" hidden="false" customHeight="true" outlineLevel="0" collapsed="false">
      <c r="A427" s="13" t="s">
        <v>916</v>
      </c>
      <c r="B427" s="13" t="s">
        <v>34</v>
      </c>
      <c r="C427" s="13" t="s">
        <v>917</v>
      </c>
      <c r="D427" s="13" t="n">
        <v>39</v>
      </c>
      <c r="E427" s="13" t="s">
        <v>90</v>
      </c>
      <c r="F427" s="13" t="s">
        <v>33</v>
      </c>
      <c r="G427" s="13" t="s">
        <v>95</v>
      </c>
      <c r="H427" s="13" t="s">
        <v>41</v>
      </c>
      <c r="I427" s="13" t="n">
        <v>1</v>
      </c>
      <c r="J427" s="13" t="n">
        <v>0</v>
      </c>
      <c r="K427" s="13" t="s">
        <v>116</v>
      </c>
      <c r="L427" s="13" t="n">
        <v>3</v>
      </c>
      <c r="M427" s="13" t="n">
        <v>1014661.78</v>
      </c>
      <c r="N427" s="13" t="n">
        <v>338220.593333333</v>
      </c>
      <c r="O427" s="13" t="n">
        <v>1124.5</v>
      </c>
      <c r="P427" s="13" t="n">
        <v>1</v>
      </c>
      <c r="Q427" s="13" t="n">
        <v>2</v>
      </c>
      <c r="R427" s="13" t="s">
        <v>86</v>
      </c>
      <c r="S427" s="13" t="s">
        <v>215</v>
      </c>
      <c r="T427" s="13" t="n">
        <v>1</v>
      </c>
      <c r="U427" s="13" t="n">
        <f aca="false">IF(B427="Individual",1,0)</f>
        <v>1</v>
      </c>
      <c r="V427" s="13" t="n">
        <f aca="false">IF(B427="Company",1,0)</f>
        <v>0</v>
      </c>
      <c r="W427" s="13" t="n">
        <f aca="false">IF(H427="Home",1,0)</f>
        <v>1</v>
      </c>
      <c r="X427" s="13" t="n">
        <f aca="false">IF(H427="Investment",1,0)</f>
        <v>0</v>
      </c>
      <c r="Y427" s="13" t="n">
        <f aca="false">IF(K427="Website",1,0)</f>
        <v>0</v>
      </c>
      <c r="Z427" s="13" t="n">
        <f aca="false">IF(K427="Agency",1,0)</f>
        <v>0</v>
      </c>
      <c r="AA427" s="13" t="n">
        <f aca="false">IF(K427="Client",1,0)</f>
        <v>1</v>
      </c>
      <c r="AB427" s="13" t="n">
        <f aca="false">(D427-AVERAGE(D$2:D$2001))/STDEV(D$2:D$2001)</f>
        <v>-0.872836588724145</v>
      </c>
      <c r="AC427" s="13" t="n">
        <f aca="false">(I427-AVERAGE(I$2:I$2001))/STDEV(I$2:I$2001)</f>
        <v>-1.43538077576244</v>
      </c>
      <c r="AD427" s="13" t="n">
        <f aca="false">(L427-AVERAGE(L$2:L$2001))/STDEV(L$2:L$2001)</f>
        <v>-0.777063122173208</v>
      </c>
      <c r="AE427" s="13" t="n">
        <f aca="false">(M427-AVERAGE(M$2:M$2001))/STDEV(M$2:M$2001)</f>
        <v>-0.706417591277873</v>
      </c>
      <c r="AF427" s="13" t="n">
        <f aca="false">(N427-AVERAGE(N$2:N$2001))/STDEV(N$2:N$2001)</f>
        <v>-0.127210711152378</v>
      </c>
      <c r="AG427" s="13" t="n">
        <f aca="false">(O427-AVERAGE(O$2:O$2001))/STDEV(O$2:O$2001)</f>
        <v>-0.10448980394403</v>
      </c>
      <c r="AH427" s="0" t="str">
        <f aca="false">IF(B427="Company","C3 - Corporate Buyers",IF(AND(H427="Investment",M427&gt;'Segmentation Summary'!$C$1),"C1 - Global Investors",IF(AND(I427&gt;=4,M427&gt;'Segmentation Summary'!$C$1),"C4 - Luxury Investors",IF(AND(D427&lt;'Segmentation Summary'!$C$2,J427=1),"C2 - First-Time Buyers","C5 - Other Individual Buyers"))))</f>
        <v>C5 - Other Individual Buyers</v>
      </c>
    </row>
    <row r="428" customFormat="false" ht="15" hidden="false" customHeight="true" outlineLevel="0" collapsed="false">
      <c r="A428" s="13" t="s">
        <v>918</v>
      </c>
      <c r="B428" s="13" t="s">
        <v>34</v>
      </c>
      <c r="C428" s="13" t="s">
        <v>919</v>
      </c>
      <c r="D428" s="13" t="n">
        <v>57</v>
      </c>
      <c r="E428" s="13" t="s">
        <v>90</v>
      </c>
      <c r="F428" s="13" t="s">
        <v>38</v>
      </c>
      <c r="G428" s="13" t="s">
        <v>183</v>
      </c>
      <c r="H428" s="13" t="s">
        <v>41</v>
      </c>
      <c r="I428" s="13" t="n">
        <v>3</v>
      </c>
      <c r="J428" s="13" t="n">
        <v>0</v>
      </c>
      <c r="K428" s="13" t="s">
        <v>85</v>
      </c>
      <c r="L428" s="13" t="n">
        <v>3</v>
      </c>
      <c r="M428" s="13" t="n">
        <v>1116579.83</v>
      </c>
      <c r="N428" s="13" t="n">
        <v>372193.276666667</v>
      </c>
      <c r="O428" s="13" t="n">
        <v>1224.68</v>
      </c>
      <c r="P428" s="13" t="n">
        <v>0</v>
      </c>
      <c r="Q428" s="13" t="n">
        <v>3</v>
      </c>
      <c r="R428" s="13" t="s">
        <v>92</v>
      </c>
      <c r="S428" s="13" t="s">
        <v>141</v>
      </c>
      <c r="T428" s="13" t="n">
        <v>1</v>
      </c>
      <c r="U428" s="13" t="n">
        <f aca="false">IF(B428="Individual",1,0)</f>
        <v>1</v>
      </c>
      <c r="V428" s="13" t="n">
        <f aca="false">IF(B428="Company",1,0)</f>
        <v>0</v>
      </c>
      <c r="W428" s="13" t="n">
        <f aca="false">IF(H428="Home",1,0)</f>
        <v>1</v>
      </c>
      <c r="X428" s="13" t="n">
        <f aca="false">IF(H428="Investment",1,0)</f>
        <v>0</v>
      </c>
      <c r="Y428" s="13" t="n">
        <f aca="false">IF(K428="Website",1,0)</f>
        <v>1</v>
      </c>
      <c r="Z428" s="13" t="n">
        <f aca="false">IF(K428="Agency",1,0)</f>
        <v>0</v>
      </c>
      <c r="AA428" s="13" t="n">
        <f aca="false">IF(K428="Client",1,0)</f>
        <v>0</v>
      </c>
      <c r="AB428" s="13" t="n">
        <f aca="false">(D428-AVERAGE(D$2:D$2001))/STDEV(D$2:D$2001)</f>
        <v>0.165087610062577</v>
      </c>
      <c r="AC428" s="13" t="n">
        <f aca="false">(I428-AVERAGE(I$2:I$2001))/STDEV(I$2:I$2001)</f>
        <v>-0.0205155458339628</v>
      </c>
      <c r="AD428" s="13" t="n">
        <f aca="false">(L428-AVERAGE(L$2:L$2001))/STDEV(L$2:L$2001)</f>
        <v>-0.777063122173208</v>
      </c>
      <c r="AE428" s="13" t="n">
        <f aca="false">(M428-AVERAGE(M$2:M$2001))/STDEV(M$2:M$2001)</f>
        <v>-0.413407053950596</v>
      </c>
      <c r="AF428" s="13" t="n">
        <f aca="false">(N428-AVERAGE(N$2:N$2001))/STDEV(N$2:N$2001)</f>
        <v>0.36004969670056</v>
      </c>
      <c r="AG428" s="13" t="n">
        <f aca="false">(O428-AVERAGE(O$2:O$2001))/STDEV(O$2:O$2001)</f>
        <v>0.351034121018871</v>
      </c>
      <c r="AH428" s="0" t="str">
        <f aca="false">IF(B428="Company","C3 - Corporate Buyers",IF(AND(H428="Investment",M428&gt;'Segmentation Summary'!$C$1),"C1 - Global Investors",IF(AND(I428&gt;=4,M428&gt;'Segmentation Summary'!$C$1),"C4 - Luxury Investors",IF(AND(D428&lt;'Segmentation Summary'!$C$2,J428=1),"C2 - First-Time Buyers","C5 - Other Individual Buyers"))))</f>
        <v>C5 - Other Individual Buyers</v>
      </c>
    </row>
    <row r="429" customFormat="false" ht="15" hidden="false" customHeight="true" outlineLevel="0" collapsed="false">
      <c r="A429" s="13" t="s">
        <v>920</v>
      </c>
      <c r="B429" s="13" t="s">
        <v>34</v>
      </c>
      <c r="C429" s="13" t="s">
        <v>921</v>
      </c>
      <c r="D429" s="13" t="n">
        <v>49</v>
      </c>
      <c r="E429" s="13" t="s">
        <v>90</v>
      </c>
      <c r="F429" s="13" t="s">
        <v>33</v>
      </c>
      <c r="G429" s="13" t="s">
        <v>84</v>
      </c>
      <c r="H429" s="13" t="s">
        <v>41</v>
      </c>
      <c r="I429" s="13" t="n">
        <v>2</v>
      </c>
      <c r="J429" s="13" t="n">
        <v>0</v>
      </c>
      <c r="K429" s="13" t="s">
        <v>116</v>
      </c>
      <c r="L429" s="13" t="n">
        <v>3</v>
      </c>
      <c r="M429" s="13" t="n">
        <v>1167255.18</v>
      </c>
      <c r="N429" s="13" t="n">
        <v>389085.06</v>
      </c>
      <c r="O429" s="13" t="n">
        <v>1325.08</v>
      </c>
      <c r="P429" s="13" t="n">
        <v>0</v>
      </c>
      <c r="Q429" s="13" t="n">
        <v>3</v>
      </c>
      <c r="R429" s="13" t="s">
        <v>117</v>
      </c>
      <c r="S429" s="13" t="s">
        <v>150</v>
      </c>
      <c r="T429" s="13" t="n">
        <v>1</v>
      </c>
      <c r="U429" s="13" t="n">
        <f aca="false">IF(B429="Individual",1,0)</f>
        <v>1</v>
      </c>
      <c r="V429" s="13" t="n">
        <f aca="false">IF(B429="Company",1,0)</f>
        <v>0</v>
      </c>
      <c r="W429" s="13" t="n">
        <f aca="false">IF(H429="Home",1,0)</f>
        <v>1</v>
      </c>
      <c r="X429" s="13" t="n">
        <f aca="false">IF(H429="Investment",1,0)</f>
        <v>0</v>
      </c>
      <c r="Y429" s="13" t="n">
        <f aca="false">IF(K429="Website",1,0)</f>
        <v>0</v>
      </c>
      <c r="Z429" s="13" t="n">
        <f aca="false">IF(K429="Agency",1,0)</f>
        <v>0</v>
      </c>
      <c r="AA429" s="13" t="n">
        <f aca="false">IF(K429="Client",1,0)</f>
        <v>1</v>
      </c>
      <c r="AB429" s="13" t="n">
        <f aca="false">(D429-AVERAGE(D$2:D$2001))/STDEV(D$2:D$2001)</f>
        <v>-0.296212033842633</v>
      </c>
      <c r="AC429" s="13" t="n">
        <f aca="false">(I429-AVERAGE(I$2:I$2001))/STDEV(I$2:I$2001)</f>
        <v>-0.727948160798201</v>
      </c>
      <c r="AD429" s="13" t="n">
        <f aca="false">(L429-AVERAGE(L$2:L$2001))/STDEV(L$2:L$2001)</f>
        <v>-0.777063122173208</v>
      </c>
      <c r="AE429" s="13" t="n">
        <f aca="false">(M429-AVERAGE(M$2:M$2001))/STDEV(M$2:M$2001)</f>
        <v>-0.267717340178131</v>
      </c>
      <c r="AF429" s="13" t="n">
        <f aca="false">(N429-AVERAGE(N$2:N$2001))/STDEV(N$2:N$2001)</f>
        <v>0.602323677698914</v>
      </c>
      <c r="AG429" s="13" t="n">
        <f aca="false">(O429-AVERAGE(O$2:O$2001))/STDEV(O$2:O$2001)</f>
        <v>0.807558397983088</v>
      </c>
      <c r="AH429" s="0" t="str">
        <f aca="false">IF(B429="Company","C3 - Corporate Buyers",IF(AND(H429="Investment",M429&gt;'Segmentation Summary'!$C$1),"C1 - Global Investors",IF(AND(I429&gt;=4,M429&gt;'Segmentation Summary'!$C$1),"C4 - Luxury Investors",IF(AND(D429&lt;'Segmentation Summary'!$C$2,J429=1),"C2 - First-Time Buyers","C5 - Other Individual Buyers"))))</f>
        <v>C5 - Other Individual Buyers</v>
      </c>
    </row>
    <row r="430" customFormat="false" ht="15" hidden="false" customHeight="true" outlineLevel="0" collapsed="false">
      <c r="A430" s="13" t="s">
        <v>922</v>
      </c>
      <c r="B430" s="13" t="s">
        <v>34</v>
      </c>
      <c r="C430" s="13" t="s">
        <v>923</v>
      </c>
      <c r="D430" s="13" t="n">
        <v>75</v>
      </c>
      <c r="E430" s="13" t="s">
        <v>90</v>
      </c>
      <c r="F430" s="13" t="s">
        <v>40</v>
      </c>
      <c r="G430" s="13" t="s">
        <v>239</v>
      </c>
      <c r="H430" s="13" t="s">
        <v>43</v>
      </c>
      <c r="I430" s="13" t="n">
        <v>1</v>
      </c>
      <c r="J430" s="13" t="n">
        <v>0</v>
      </c>
      <c r="K430" s="13" t="s">
        <v>85</v>
      </c>
      <c r="L430" s="13" t="n">
        <v>3</v>
      </c>
      <c r="M430" s="13" t="n">
        <v>1070969.53</v>
      </c>
      <c r="N430" s="13" t="n">
        <v>356989.843333333</v>
      </c>
      <c r="O430" s="13" t="n">
        <v>1146.26333333333</v>
      </c>
      <c r="P430" s="13" t="n">
        <v>0</v>
      </c>
      <c r="Q430" s="13" t="n">
        <v>3</v>
      </c>
      <c r="R430" s="13" t="s">
        <v>98</v>
      </c>
      <c r="S430" s="13" t="s">
        <v>87</v>
      </c>
      <c r="T430" s="13" t="n">
        <v>1</v>
      </c>
      <c r="U430" s="13" t="n">
        <f aca="false">IF(B430="Individual",1,0)</f>
        <v>1</v>
      </c>
      <c r="V430" s="13" t="n">
        <f aca="false">IF(B430="Company",1,0)</f>
        <v>0</v>
      </c>
      <c r="W430" s="13" t="n">
        <f aca="false">IF(H430="Home",1,0)</f>
        <v>0</v>
      </c>
      <c r="X430" s="13" t="n">
        <f aca="false">IF(H430="Investment",1,0)</f>
        <v>1</v>
      </c>
      <c r="Y430" s="13" t="n">
        <f aca="false">IF(K430="Website",1,0)</f>
        <v>1</v>
      </c>
      <c r="Z430" s="13" t="n">
        <f aca="false">IF(K430="Agency",1,0)</f>
        <v>0</v>
      </c>
      <c r="AA430" s="13" t="n">
        <f aca="false">IF(K430="Client",1,0)</f>
        <v>0</v>
      </c>
      <c r="AB430" s="13" t="n">
        <f aca="false">(D430-AVERAGE(D$2:D$2001))/STDEV(D$2:D$2001)</f>
        <v>1.2030118088493</v>
      </c>
      <c r="AC430" s="13" t="n">
        <f aca="false">(I430-AVERAGE(I$2:I$2001))/STDEV(I$2:I$2001)</f>
        <v>-1.43538077576244</v>
      </c>
      <c r="AD430" s="13" t="n">
        <f aca="false">(L430-AVERAGE(L$2:L$2001))/STDEV(L$2:L$2001)</f>
        <v>-0.777063122173208</v>
      </c>
      <c r="AE430" s="13" t="n">
        <f aca="false">(M430-AVERAGE(M$2:M$2001))/STDEV(M$2:M$2001)</f>
        <v>-0.544534940626786</v>
      </c>
      <c r="AF430" s="13" t="n">
        <f aca="false">(N430-AVERAGE(N$2:N$2001))/STDEV(N$2:N$2001)</f>
        <v>0.14199123325571</v>
      </c>
      <c r="AG430" s="13" t="n">
        <f aca="false">(O430-AVERAGE(O$2:O$2001))/STDEV(O$2:O$2001)</f>
        <v>-0.0055307400562842</v>
      </c>
      <c r="AH430" s="0" t="str">
        <f aca="false">IF(B430="Company","C3 - Corporate Buyers",IF(AND(H430="Investment",M430&gt;'Segmentation Summary'!$C$1),"C1 - Global Investors",IF(AND(I430&gt;=4,M430&gt;'Segmentation Summary'!$C$1),"C4 - Luxury Investors",IF(AND(D430&lt;'Segmentation Summary'!$C$2,J430=1),"C2 - First-Time Buyers","C5 - Other Individual Buyers"))))</f>
        <v>C5 - Other Individual Buyers</v>
      </c>
    </row>
    <row r="431" customFormat="false" ht="15" hidden="false" customHeight="true" outlineLevel="0" collapsed="false">
      <c r="A431" s="13" t="s">
        <v>924</v>
      </c>
      <c r="B431" s="13" t="s">
        <v>34</v>
      </c>
      <c r="C431" s="13" t="s">
        <v>925</v>
      </c>
      <c r="D431" s="13" t="n">
        <v>49</v>
      </c>
      <c r="E431" s="13" t="s">
        <v>90</v>
      </c>
      <c r="F431" s="13" t="s">
        <v>44</v>
      </c>
      <c r="G431" s="13" t="s">
        <v>148</v>
      </c>
      <c r="H431" s="13" t="s">
        <v>41</v>
      </c>
      <c r="I431" s="13" t="n">
        <v>3</v>
      </c>
      <c r="J431" s="13" t="n">
        <v>0</v>
      </c>
      <c r="K431" s="13" t="s">
        <v>85</v>
      </c>
      <c r="L431" s="13" t="n">
        <v>4</v>
      </c>
      <c r="M431" s="13" t="n">
        <v>1178400.08</v>
      </c>
      <c r="N431" s="13" t="n">
        <v>294600.02</v>
      </c>
      <c r="O431" s="13" t="n">
        <v>984.9525</v>
      </c>
      <c r="P431" s="13" t="n">
        <v>2</v>
      </c>
      <c r="Q431" s="13" t="n">
        <v>2</v>
      </c>
      <c r="R431" s="13" t="s">
        <v>150</v>
      </c>
      <c r="S431" s="13" t="s">
        <v>133</v>
      </c>
      <c r="T431" s="13" t="n">
        <v>1</v>
      </c>
      <c r="U431" s="13" t="n">
        <f aca="false">IF(B431="Individual",1,0)</f>
        <v>1</v>
      </c>
      <c r="V431" s="13" t="n">
        <f aca="false">IF(B431="Company",1,0)</f>
        <v>0</v>
      </c>
      <c r="W431" s="13" t="n">
        <f aca="false">IF(H431="Home",1,0)</f>
        <v>1</v>
      </c>
      <c r="X431" s="13" t="n">
        <f aca="false">IF(H431="Investment",1,0)</f>
        <v>0</v>
      </c>
      <c r="Y431" s="13" t="n">
        <f aca="false">IF(K431="Website",1,0)</f>
        <v>1</v>
      </c>
      <c r="Z431" s="13" t="n">
        <f aca="false">IF(K431="Agency",1,0)</f>
        <v>0</v>
      </c>
      <c r="AA431" s="13" t="n">
        <f aca="false">IF(K431="Client",1,0)</f>
        <v>0</v>
      </c>
      <c r="AB431" s="13" t="n">
        <f aca="false">(D431-AVERAGE(D$2:D$2001))/STDEV(D$2:D$2001)</f>
        <v>-0.296212033842633</v>
      </c>
      <c r="AC431" s="13" t="n">
        <f aca="false">(I431-AVERAGE(I$2:I$2001))/STDEV(I$2:I$2001)</f>
        <v>-0.0205155458339628</v>
      </c>
      <c r="AD431" s="13" t="n">
        <f aca="false">(L431-AVERAGE(L$2:L$2001))/STDEV(L$2:L$2001)</f>
        <v>0.413838214490712</v>
      </c>
      <c r="AE431" s="13" t="n">
        <f aca="false">(M431-AVERAGE(M$2:M$2001))/STDEV(M$2:M$2001)</f>
        <v>-0.235676174384056</v>
      </c>
      <c r="AF431" s="13" t="n">
        <f aca="false">(N431-AVERAGE(N$2:N$2001))/STDEV(N$2:N$2001)</f>
        <v>-0.752848025244778</v>
      </c>
      <c r="AG431" s="13" t="n">
        <f aca="false">(O431-AVERAGE(O$2:O$2001))/STDEV(O$2:O$2001)</f>
        <v>-0.739019898960604</v>
      </c>
      <c r="AH431" s="0" t="str">
        <f aca="false">IF(B431="Company","C3 - Corporate Buyers",IF(AND(H431="Investment",M431&gt;'Segmentation Summary'!$C$1),"C1 - Global Investors",IF(AND(I431&gt;=4,M431&gt;'Segmentation Summary'!$C$1),"C4 - Luxury Investors",IF(AND(D431&lt;'Segmentation Summary'!$C$2,J431=1),"C2 - First-Time Buyers","C5 - Other Individual Buyers"))))</f>
        <v>C5 - Other Individual Buyers</v>
      </c>
    </row>
    <row r="432" customFormat="false" ht="15" hidden="false" customHeight="true" outlineLevel="0" collapsed="false">
      <c r="A432" s="13" t="s">
        <v>926</v>
      </c>
      <c r="B432" s="13" t="s">
        <v>34</v>
      </c>
      <c r="C432" s="13" t="s">
        <v>927</v>
      </c>
      <c r="D432" s="13" t="n">
        <v>40</v>
      </c>
      <c r="E432" s="13" t="s">
        <v>90</v>
      </c>
      <c r="F432" s="13" t="s">
        <v>33</v>
      </c>
      <c r="G432" s="13" t="s">
        <v>120</v>
      </c>
      <c r="H432" s="13" t="s">
        <v>41</v>
      </c>
      <c r="I432" s="13" t="n">
        <v>4</v>
      </c>
      <c r="J432" s="13" t="n">
        <v>1</v>
      </c>
      <c r="K432" s="13" t="s">
        <v>91</v>
      </c>
      <c r="L432" s="13" t="n">
        <v>4</v>
      </c>
      <c r="M432" s="13" t="n">
        <v>1273643.37</v>
      </c>
      <c r="N432" s="13" t="n">
        <v>318410.8425</v>
      </c>
      <c r="O432" s="13" t="n">
        <v>1025.3225</v>
      </c>
      <c r="P432" s="13" t="n">
        <v>0</v>
      </c>
      <c r="Q432" s="13" t="n">
        <v>4</v>
      </c>
      <c r="R432" s="13" t="s">
        <v>121</v>
      </c>
      <c r="S432" s="13" t="s">
        <v>87</v>
      </c>
      <c r="T432" s="13" t="n">
        <v>1</v>
      </c>
      <c r="U432" s="13" t="n">
        <f aca="false">IF(B432="Individual",1,0)</f>
        <v>1</v>
      </c>
      <c r="V432" s="13" t="n">
        <f aca="false">IF(B432="Company",1,0)</f>
        <v>0</v>
      </c>
      <c r="W432" s="13" t="n">
        <f aca="false">IF(H432="Home",1,0)</f>
        <v>1</v>
      </c>
      <c r="X432" s="13" t="n">
        <f aca="false">IF(H432="Investment",1,0)</f>
        <v>0</v>
      </c>
      <c r="Y432" s="13" t="n">
        <f aca="false">IF(K432="Website",1,0)</f>
        <v>0</v>
      </c>
      <c r="Z432" s="13" t="n">
        <f aca="false">IF(K432="Agency",1,0)</f>
        <v>1</v>
      </c>
      <c r="AA432" s="13" t="n">
        <f aca="false">IF(K432="Client",1,0)</f>
        <v>0</v>
      </c>
      <c r="AB432" s="13" t="n">
        <f aca="false">(D432-AVERAGE(D$2:D$2001))/STDEV(D$2:D$2001)</f>
        <v>-0.815174133235994</v>
      </c>
      <c r="AC432" s="13" t="n">
        <f aca="false">(I432-AVERAGE(I$2:I$2001))/STDEV(I$2:I$2001)</f>
        <v>0.686917069130275</v>
      </c>
      <c r="AD432" s="13" t="n">
        <f aca="false">(L432-AVERAGE(L$2:L$2001))/STDEV(L$2:L$2001)</f>
        <v>0.413838214490712</v>
      </c>
      <c r="AE432" s="13" t="n">
        <f aca="false">(M432-AVERAGE(M$2:M$2001))/STDEV(M$2:M$2001)</f>
        <v>0.0381446805059042</v>
      </c>
      <c r="AF432" s="13" t="n">
        <f aca="false">(N432-AVERAGE(N$2:N$2001))/STDEV(N$2:N$2001)</f>
        <v>-0.411336259193613</v>
      </c>
      <c r="AG432" s="13" t="n">
        <f aca="false">(O432-AVERAGE(O$2:O$2001))/STDEV(O$2:O$2001)</f>
        <v>-0.555455306719116</v>
      </c>
      <c r="AH432" s="0" t="str">
        <f aca="false">IF(B432="Company","C3 - Corporate Buyers",IF(AND(H432="Investment",M432&gt;'Segmentation Summary'!$C$1),"C1 - Global Investors",IF(AND(I432&gt;=4,M432&gt;'Segmentation Summary'!$C$1),"C4 - Luxury Investors",IF(AND(D432&lt;'Segmentation Summary'!$C$2,J432=1),"C2 - First-Time Buyers","C5 - Other Individual Buyers"))))</f>
        <v>C4 - Luxury Investors</v>
      </c>
    </row>
    <row r="433" customFormat="false" ht="15" hidden="false" customHeight="true" outlineLevel="0" collapsed="false">
      <c r="A433" s="13" t="s">
        <v>928</v>
      </c>
      <c r="B433" s="13" t="s">
        <v>34</v>
      </c>
      <c r="C433" s="13" t="s">
        <v>929</v>
      </c>
      <c r="D433" s="13" t="n">
        <v>58</v>
      </c>
      <c r="E433" s="13" t="s">
        <v>90</v>
      </c>
      <c r="F433" s="13" t="s">
        <v>33</v>
      </c>
      <c r="G433" s="13" t="s">
        <v>95</v>
      </c>
      <c r="H433" s="13" t="s">
        <v>41</v>
      </c>
      <c r="I433" s="13" t="n">
        <v>5</v>
      </c>
      <c r="J433" s="13" t="n">
        <v>0</v>
      </c>
      <c r="K433" s="13" t="s">
        <v>85</v>
      </c>
      <c r="L433" s="13" t="n">
        <v>4</v>
      </c>
      <c r="M433" s="13" t="n">
        <v>1344903.47</v>
      </c>
      <c r="N433" s="13" t="n">
        <v>336225.8675</v>
      </c>
      <c r="O433" s="13" t="n">
        <v>1102.105</v>
      </c>
      <c r="P433" s="13" t="n">
        <v>1</v>
      </c>
      <c r="Q433" s="13" t="n">
        <v>3</v>
      </c>
      <c r="R433" s="13" t="s">
        <v>98</v>
      </c>
      <c r="S433" s="13" t="s">
        <v>164</v>
      </c>
      <c r="T433" s="13" t="n">
        <v>1</v>
      </c>
      <c r="U433" s="13" t="n">
        <f aca="false">IF(B433="Individual",1,0)</f>
        <v>1</v>
      </c>
      <c r="V433" s="13" t="n">
        <f aca="false">IF(B433="Company",1,0)</f>
        <v>0</v>
      </c>
      <c r="W433" s="13" t="n">
        <f aca="false">IF(H433="Home",1,0)</f>
        <v>1</v>
      </c>
      <c r="X433" s="13" t="n">
        <f aca="false">IF(H433="Investment",1,0)</f>
        <v>0</v>
      </c>
      <c r="Y433" s="13" t="n">
        <f aca="false">IF(K433="Website",1,0)</f>
        <v>1</v>
      </c>
      <c r="Z433" s="13" t="n">
        <f aca="false">IF(K433="Agency",1,0)</f>
        <v>0</v>
      </c>
      <c r="AA433" s="13" t="n">
        <f aca="false">IF(K433="Client",1,0)</f>
        <v>0</v>
      </c>
      <c r="AB433" s="13" t="n">
        <f aca="false">(D433-AVERAGE(D$2:D$2001))/STDEV(D$2:D$2001)</f>
        <v>0.222750065550728</v>
      </c>
      <c r="AC433" s="13" t="n">
        <f aca="false">(I433-AVERAGE(I$2:I$2001))/STDEV(I$2:I$2001)</f>
        <v>1.39434968409451</v>
      </c>
      <c r="AD433" s="13" t="n">
        <f aca="false">(L433-AVERAGE(L$2:L$2001))/STDEV(L$2:L$2001)</f>
        <v>0.413838214490712</v>
      </c>
      <c r="AE433" s="13" t="n">
        <f aca="false">(M433-AVERAGE(M$2:M$2001))/STDEV(M$2:M$2001)</f>
        <v>0.243014771632995</v>
      </c>
      <c r="AF433" s="13" t="n">
        <f aca="false">(N433-AVERAGE(N$2:N$2001))/STDEV(N$2:N$2001)</f>
        <v>-0.155820489001481</v>
      </c>
      <c r="AG433" s="13" t="n">
        <f aca="false">(O433-AVERAGE(O$2:O$2001))/STDEV(O$2:O$2001)</f>
        <v>-0.206321090623449</v>
      </c>
      <c r="AH433" s="0" t="str">
        <f aca="false">IF(B433="Company","C3 - Corporate Buyers",IF(AND(H433="Investment",M433&gt;'Segmentation Summary'!$C$1),"C1 - Global Investors",IF(AND(I433&gt;=4,M433&gt;'Segmentation Summary'!$C$1),"C4 - Luxury Investors",IF(AND(D433&lt;'Segmentation Summary'!$C$2,J433=1),"C2 - First-Time Buyers","C5 - Other Individual Buyers"))))</f>
        <v>C4 - Luxury Investors</v>
      </c>
    </row>
    <row r="434" customFormat="false" ht="15" hidden="false" customHeight="true" outlineLevel="0" collapsed="false">
      <c r="A434" s="13" t="s">
        <v>930</v>
      </c>
      <c r="B434" s="13" t="s">
        <v>34</v>
      </c>
      <c r="C434" s="13" t="s">
        <v>931</v>
      </c>
      <c r="D434" s="13" t="n">
        <v>71</v>
      </c>
      <c r="E434" s="13" t="s">
        <v>90</v>
      </c>
      <c r="F434" s="13" t="s">
        <v>33</v>
      </c>
      <c r="G434" s="13" t="s">
        <v>157</v>
      </c>
      <c r="H434" s="13" t="s">
        <v>41</v>
      </c>
      <c r="I434" s="13" t="n">
        <v>3</v>
      </c>
      <c r="J434" s="13" t="n">
        <v>0</v>
      </c>
      <c r="K434" s="13" t="s">
        <v>91</v>
      </c>
      <c r="L434" s="13" t="n">
        <v>4</v>
      </c>
      <c r="M434" s="13" t="n">
        <v>1457041.08</v>
      </c>
      <c r="N434" s="13" t="n">
        <v>364260.27</v>
      </c>
      <c r="O434" s="13" t="n">
        <v>1114.2125</v>
      </c>
      <c r="P434" s="13" t="n">
        <v>0</v>
      </c>
      <c r="Q434" s="13" t="n">
        <v>4</v>
      </c>
      <c r="R434" s="13" t="s">
        <v>92</v>
      </c>
      <c r="S434" s="13" t="s">
        <v>154</v>
      </c>
      <c r="T434" s="13" t="n">
        <v>1</v>
      </c>
      <c r="U434" s="13" t="n">
        <f aca="false">IF(B434="Individual",1,0)</f>
        <v>1</v>
      </c>
      <c r="V434" s="13" t="n">
        <f aca="false">IF(B434="Company",1,0)</f>
        <v>0</v>
      </c>
      <c r="W434" s="13" t="n">
        <f aca="false">IF(H434="Home",1,0)</f>
        <v>1</v>
      </c>
      <c r="X434" s="13" t="n">
        <f aca="false">IF(H434="Investment",1,0)</f>
        <v>0</v>
      </c>
      <c r="Y434" s="13" t="n">
        <f aca="false">IF(K434="Website",1,0)</f>
        <v>0</v>
      </c>
      <c r="Z434" s="13" t="n">
        <f aca="false">IF(K434="Agency",1,0)</f>
        <v>1</v>
      </c>
      <c r="AA434" s="13" t="n">
        <f aca="false">IF(K434="Client",1,0)</f>
        <v>0</v>
      </c>
      <c r="AB434" s="13" t="n">
        <f aca="false">(D434-AVERAGE(D$2:D$2001))/STDEV(D$2:D$2001)</f>
        <v>0.972361986896694</v>
      </c>
      <c r="AC434" s="13" t="n">
        <f aca="false">(I434-AVERAGE(I$2:I$2001))/STDEV(I$2:I$2001)</f>
        <v>-0.0205155458339628</v>
      </c>
      <c r="AD434" s="13" t="n">
        <f aca="false">(L434-AVERAGE(L$2:L$2001))/STDEV(L$2:L$2001)</f>
        <v>0.413838214490712</v>
      </c>
      <c r="AE434" s="13" t="n">
        <f aca="false">(M434-AVERAGE(M$2:M$2001))/STDEV(M$2:M$2001)</f>
        <v>0.565406157267794</v>
      </c>
      <c r="AF434" s="13" t="n">
        <f aca="false">(N434-AVERAGE(N$2:N$2001))/STDEV(N$2:N$2001)</f>
        <v>0.24626886796904</v>
      </c>
      <c r="AG434" s="13" t="n">
        <f aca="false">(O434-AVERAGE(O$2:O$2001))/STDEV(O$2:O$2001)</f>
        <v>-0.151267627641932</v>
      </c>
      <c r="AH434" s="0" t="str">
        <f aca="false">IF(B434="Company","C3 - Corporate Buyers",IF(AND(H434="Investment",M434&gt;'Segmentation Summary'!$C$1),"C1 - Global Investors",IF(AND(I434&gt;=4,M434&gt;'Segmentation Summary'!$C$1),"C4 - Luxury Investors",IF(AND(D434&lt;'Segmentation Summary'!$C$2,J434=1),"C2 - First-Time Buyers","C5 - Other Individual Buyers"))))</f>
        <v>C5 - Other Individual Buyers</v>
      </c>
    </row>
    <row r="435" customFormat="false" ht="15" hidden="false" customHeight="true" outlineLevel="0" collapsed="false">
      <c r="A435" s="13" t="s">
        <v>932</v>
      </c>
      <c r="B435" s="13" t="s">
        <v>34</v>
      </c>
      <c r="C435" s="13" t="s">
        <v>933</v>
      </c>
      <c r="D435" s="13" t="n">
        <v>46</v>
      </c>
      <c r="E435" s="13" t="s">
        <v>90</v>
      </c>
      <c r="F435" s="13" t="s">
        <v>33</v>
      </c>
      <c r="G435" s="13" t="s">
        <v>97</v>
      </c>
      <c r="H435" s="13" t="s">
        <v>41</v>
      </c>
      <c r="I435" s="13" t="n">
        <v>4</v>
      </c>
      <c r="J435" s="13" t="n">
        <v>0</v>
      </c>
      <c r="K435" s="13" t="s">
        <v>85</v>
      </c>
      <c r="L435" s="13" t="n">
        <v>4</v>
      </c>
      <c r="M435" s="13" t="n">
        <v>1034190.9</v>
      </c>
      <c r="N435" s="13" t="n">
        <v>258547.725</v>
      </c>
      <c r="O435" s="13" t="n">
        <v>853.07</v>
      </c>
      <c r="P435" s="13" t="n">
        <v>0</v>
      </c>
      <c r="Q435" s="13" t="n">
        <v>4</v>
      </c>
      <c r="R435" s="13" t="s">
        <v>93</v>
      </c>
      <c r="S435" s="13" t="s">
        <v>114</v>
      </c>
      <c r="T435" s="13" t="n">
        <v>1</v>
      </c>
      <c r="U435" s="13" t="n">
        <f aca="false">IF(B435="Individual",1,0)</f>
        <v>1</v>
      </c>
      <c r="V435" s="13" t="n">
        <f aca="false">IF(B435="Company",1,0)</f>
        <v>0</v>
      </c>
      <c r="W435" s="13" t="n">
        <f aca="false">IF(H435="Home",1,0)</f>
        <v>1</v>
      </c>
      <c r="X435" s="13" t="n">
        <f aca="false">IF(H435="Investment",1,0)</f>
        <v>0</v>
      </c>
      <c r="Y435" s="13" t="n">
        <f aca="false">IF(K435="Website",1,0)</f>
        <v>1</v>
      </c>
      <c r="Z435" s="13" t="n">
        <f aca="false">IF(K435="Agency",1,0)</f>
        <v>0</v>
      </c>
      <c r="AA435" s="13" t="n">
        <f aca="false">IF(K435="Client",1,0)</f>
        <v>0</v>
      </c>
      <c r="AB435" s="13" t="n">
        <f aca="false">(D435-AVERAGE(D$2:D$2001))/STDEV(D$2:D$2001)</f>
        <v>-0.469199400307086</v>
      </c>
      <c r="AC435" s="13" t="n">
        <f aca="false">(I435-AVERAGE(I$2:I$2001))/STDEV(I$2:I$2001)</f>
        <v>0.686917069130275</v>
      </c>
      <c r="AD435" s="13" t="n">
        <f aca="false">(L435-AVERAGE(L$2:L$2001))/STDEV(L$2:L$2001)</f>
        <v>0.413838214490712</v>
      </c>
      <c r="AE435" s="13" t="n">
        <f aca="false">(M435-AVERAGE(M$2:M$2001))/STDEV(M$2:M$2001)</f>
        <v>-0.650272110229826</v>
      </c>
      <c r="AF435" s="13" t="n">
        <f aca="false">(N435-AVERAGE(N$2:N$2001))/STDEV(N$2:N$2001)</f>
        <v>-1.26993570399454</v>
      </c>
      <c r="AG435" s="13" t="n">
        <f aca="false">(O435-AVERAGE(O$2:O$2001))/STDEV(O$2:O$2001)</f>
        <v>-1.33869682084042</v>
      </c>
      <c r="AH435" s="0" t="str">
        <f aca="false">IF(B435="Company","C3 - Corporate Buyers",IF(AND(H435="Investment",M435&gt;'Segmentation Summary'!$C$1),"C1 - Global Investors",IF(AND(I435&gt;=4,M435&gt;'Segmentation Summary'!$C$1),"C4 - Luxury Investors",IF(AND(D435&lt;'Segmentation Summary'!$C$2,J435=1),"C2 - First-Time Buyers","C5 - Other Individual Buyers"))))</f>
        <v>C5 - Other Individual Buyers</v>
      </c>
    </row>
    <row r="436" customFormat="false" ht="15" hidden="false" customHeight="true" outlineLevel="0" collapsed="false">
      <c r="A436" s="13" t="s">
        <v>934</v>
      </c>
      <c r="B436" s="13" t="s">
        <v>34</v>
      </c>
      <c r="C436" s="13" t="s">
        <v>935</v>
      </c>
      <c r="D436" s="13" t="n">
        <v>32</v>
      </c>
      <c r="E436" s="13" t="s">
        <v>90</v>
      </c>
      <c r="F436" s="13" t="s">
        <v>33</v>
      </c>
      <c r="G436" s="13" t="s">
        <v>106</v>
      </c>
      <c r="H436" s="13" t="s">
        <v>41</v>
      </c>
      <c r="I436" s="13" t="n">
        <v>1</v>
      </c>
      <c r="J436" s="13" t="n">
        <v>1</v>
      </c>
      <c r="K436" s="13" t="s">
        <v>91</v>
      </c>
      <c r="L436" s="13" t="n">
        <v>4</v>
      </c>
      <c r="M436" s="13" t="n">
        <v>1681471.91</v>
      </c>
      <c r="N436" s="13" t="n">
        <v>420367.9775</v>
      </c>
      <c r="O436" s="13" t="n">
        <v>1572.79</v>
      </c>
      <c r="P436" s="13" t="n">
        <v>1</v>
      </c>
      <c r="Q436" s="13" t="n">
        <v>3</v>
      </c>
      <c r="R436" s="13" t="s">
        <v>92</v>
      </c>
      <c r="S436" s="13" t="s">
        <v>141</v>
      </c>
      <c r="T436" s="13" t="n">
        <v>1</v>
      </c>
      <c r="U436" s="13" t="n">
        <f aca="false">IF(B436="Individual",1,0)</f>
        <v>1</v>
      </c>
      <c r="V436" s="13" t="n">
        <f aca="false">IF(B436="Company",1,0)</f>
        <v>0</v>
      </c>
      <c r="W436" s="13" t="n">
        <f aca="false">IF(H436="Home",1,0)</f>
        <v>1</v>
      </c>
      <c r="X436" s="13" t="n">
        <f aca="false">IF(H436="Investment",1,0)</f>
        <v>0</v>
      </c>
      <c r="Y436" s="13" t="n">
        <f aca="false">IF(K436="Website",1,0)</f>
        <v>0</v>
      </c>
      <c r="Z436" s="13" t="n">
        <f aca="false">IF(K436="Agency",1,0)</f>
        <v>1</v>
      </c>
      <c r="AA436" s="13" t="n">
        <f aca="false">IF(K436="Client",1,0)</f>
        <v>0</v>
      </c>
      <c r="AB436" s="13" t="n">
        <f aca="false">(D436-AVERAGE(D$2:D$2001))/STDEV(D$2:D$2001)</f>
        <v>-1.2764737771412</v>
      </c>
      <c r="AC436" s="13" t="n">
        <f aca="false">(I436-AVERAGE(I$2:I$2001))/STDEV(I$2:I$2001)</f>
        <v>-1.43538077576244</v>
      </c>
      <c r="AD436" s="13" t="n">
        <f aca="false">(L436-AVERAGE(L$2:L$2001))/STDEV(L$2:L$2001)</f>
        <v>0.413838214490712</v>
      </c>
      <c r="AE436" s="13" t="n">
        <f aca="false">(M436-AVERAGE(M$2:M$2001))/STDEV(M$2:M$2001)</f>
        <v>1.21063630139935</v>
      </c>
      <c r="AF436" s="13" t="n">
        <f aca="false">(N436-AVERAGE(N$2:N$2001))/STDEV(N$2:N$2001)</f>
        <v>1.05100554925786</v>
      </c>
      <c r="AG436" s="13" t="n">
        <f aca="false">(O436-AVERAGE(O$2:O$2001))/STDEV(O$2:O$2001)</f>
        <v>1.9339092809194</v>
      </c>
      <c r="AH436" s="0" t="str">
        <f aca="false">IF(B436="Company","C3 - Corporate Buyers",IF(AND(H436="Investment",M436&gt;'Segmentation Summary'!$C$1),"C1 - Global Investors",IF(AND(I436&gt;=4,M436&gt;'Segmentation Summary'!$C$1),"C4 - Luxury Investors",IF(AND(D436&lt;'Segmentation Summary'!$C$2,J436=1),"C2 - First-Time Buyers","C5 - Other Individual Buyers"))))</f>
        <v>C2 - First-Time Buyers</v>
      </c>
    </row>
    <row r="437" customFormat="false" ht="15" hidden="false" customHeight="true" outlineLevel="0" collapsed="false">
      <c r="A437" s="13" t="s">
        <v>936</v>
      </c>
      <c r="B437" s="13" t="s">
        <v>34</v>
      </c>
      <c r="C437" s="13" t="s">
        <v>937</v>
      </c>
      <c r="D437" s="13" t="n">
        <v>52</v>
      </c>
      <c r="E437" s="13" t="s">
        <v>90</v>
      </c>
      <c r="F437" s="13" t="s">
        <v>42</v>
      </c>
      <c r="G437" s="13" t="s">
        <v>143</v>
      </c>
      <c r="H437" s="13" t="s">
        <v>43</v>
      </c>
      <c r="I437" s="13" t="n">
        <v>4</v>
      </c>
      <c r="J437" s="13" t="n">
        <v>1</v>
      </c>
      <c r="K437" s="13" t="s">
        <v>91</v>
      </c>
      <c r="L437" s="13" t="n">
        <v>3</v>
      </c>
      <c r="M437" s="13" t="n">
        <v>1176582.54</v>
      </c>
      <c r="N437" s="13" t="n">
        <v>392194.18</v>
      </c>
      <c r="O437" s="13" t="n">
        <v>1343.81666666667</v>
      </c>
      <c r="P437" s="13" t="n">
        <v>0</v>
      </c>
      <c r="Q437" s="13" t="n">
        <v>3</v>
      </c>
      <c r="R437" s="13" t="s">
        <v>117</v>
      </c>
      <c r="S437" s="13" t="s">
        <v>87</v>
      </c>
      <c r="T437" s="13" t="n">
        <v>1</v>
      </c>
      <c r="U437" s="13" t="n">
        <f aca="false">IF(B437="Individual",1,0)</f>
        <v>1</v>
      </c>
      <c r="V437" s="13" t="n">
        <f aca="false">IF(B437="Company",1,0)</f>
        <v>0</v>
      </c>
      <c r="W437" s="13" t="n">
        <f aca="false">IF(H437="Home",1,0)</f>
        <v>0</v>
      </c>
      <c r="X437" s="13" t="n">
        <f aca="false">IF(H437="Investment",1,0)</f>
        <v>1</v>
      </c>
      <c r="Y437" s="13" t="n">
        <f aca="false">IF(K437="Website",1,0)</f>
        <v>0</v>
      </c>
      <c r="Z437" s="13" t="n">
        <f aca="false">IF(K437="Agency",1,0)</f>
        <v>1</v>
      </c>
      <c r="AA437" s="13" t="n">
        <f aca="false">IF(K437="Client",1,0)</f>
        <v>0</v>
      </c>
      <c r="AB437" s="13" t="n">
        <f aca="false">(D437-AVERAGE(D$2:D$2001))/STDEV(D$2:D$2001)</f>
        <v>-0.123224667378179</v>
      </c>
      <c r="AC437" s="13" t="n">
        <f aca="false">(I437-AVERAGE(I$2:I$2001))/STDEV(I$2:I$2001)</f>
        <v>0.686917069130275</v>
      </c>
      <c r="AD437" s="13" t="n">
        <f aca="false">(L437-AVERAGE(L$2:L$2001))/STDEV(L$2:L$2001)</f>
        <v>-0.777063122173208</v>
      </c>
      <c r="AE437" s="13" t="n">
        <f aca="false">(M437-AVERAGE(M$2:M$2001))/STDEV(M$2:M$2001)</f>
        <v>-0.240901533111129</v>
      </c>
      <c r="AF437" s="13" t="n">
        <f aca="false">(N437-AVERAGE(N$2:N$2001))/STDEV(N$2:N$2001)</f>
        <v>0.64691688996888</v>
      </c>
      <c r="AG437" s="13" t="n">
        <f aca="false">(O437-AVERAGE(O$2:O$2001))/STDEV(O$2:O$2001)</f>
        <v>0.892755043428517</v>
      </c>
      <c r="AH437" s="0" t="str">
        <f aca="false">IF(B437="Company","C3 - Corporate Buyers",IF(AND(H437="Investment",M437&gt;'Segmentation Summary'!$C$1),"C1 - Global Investors",IF(AND(I437&gt;=4,M437&gt;'Segmentation Summary'!$C$1),"C4 - Luxury Investors",IF(AND(D437&lt;'Segmentation Summary'!$C$2,J437=1),"C2 - First-Time Buyers","C5 - Other Individual Buyers"))))</f>
        <v>C2 - First-Time Buyers</v>
      </c>
    </row>
    <row r="438" customFormat="false" ht="15" hidden="false" customHeight="true" outlineLevel="0" collapsed="false">
      <c r="A438" s="13" t="s">
        <v>938</v>
      </c>
      <c r="B438" s="13" t="s">
        <v>34</v>
      </c>
      <c r="C438" s="13" t="s">
        <v>939</v>
      </c>
      <c r="D438" s="13" t="n">
        <v>74</v>
      </c>
      <c r="E438" s="13" t="s">
        <v>90</v>
      </c>
      <c r="F438" s="13" t="s">
        <v>37</v>
      </c>
      <c r="G438" s="13" t="s">
        <v>940</v>
      </c>
      <c r="H438" s="13" t="s">
        <v>41</v>
      </c>
      <c r="I438" s="13" t="n">
        <v>2</v>
      </c>
      <c r="J438" s="13" t="n">
        <v>0</v>
      </c>
      <c r="K438" s="13" t="s">
        <v>85</v>
      </c>
      <c r="L438" s="13" t="n">
        <v>4</v>
      </c>
      <c r="M438" s="13" t="n">
        <v>1108918.34</v>
      </c>
      <c r="N438" s="13" t="n">
        <v>277229.585</v>
      </c>
      <c r="O438" s="13" t="n">
        <v>941.61</v>
      </c>
      <c r="P438" s="13" t="n">
        <v>0</v>
      </c>
      <c r="Q438" s="13" t="n">
        <v>4</v>
      </c>
      <c r="R438" s="13" t="s">
        <v>117</v>
      </c>
      <c r="S438" s="13" t="s">
        <v>164</v>
      </c>
      <c r="T438" s="13" t="n">
        <v>1</v>
      </c>
      <c r="U438" s="13" t="n">
        <f aca="false">IF(B438="Individual",1,0)</f>
        <v>1</v>
      </c>
      <c r="V438" s="13" t="n">
        <f aca="false">IF(B438="Company",1,0)</f>
        <v>0</v>
      </c>
      <c r="W438" s="13" t="n">
        <f aca="false">IF(H438="Home",1,0)</f>
        <v>1</v>
      </c>
      <c r="X438" s="13" t="n">
        <f aca="false">IF(H438="Investment",1,0)</f>
        <v>0</v>
      </c>
      <c r="Y438" s="13" t="n">
        <f aca="false">IF(K438="Website",1,0)</f>
        <v>1</v>
      </c>
      <c r="Z438" s="13" t="n">
        <f aca="false">IF(K438="Agency",1,0)</f>
        <v>0</v>
      </c>
      <c r="AA438" s="13" t="n">
        <f aca="false">IF(K438="Client",1,0)</f>
        <v>0</v>
      </c>
      <c r="AB438" s="13" t="n">
        <f aca="false">(D438-AVERAGE(D$2:D$2001))/STDEV(D$2:D$2001)</f>
        <v>1.14534935336115</v>
      </c>
      <c r="AC438" s="13" t="n">
        <f aca="false">(I438-AVERAGE(I$2:I$2001))/STDEV(I$2:I$2001)</f>
        <v>-0.727948160798201</v>
      </c>
      <c r="AD438" s="13" t="n">
        <f aca="false">(L438-AVERAGE(L$2:L$2001))/STDEV(L$2:L$2001)</f>
        <v>0.413838214490712</v>
      </c>
      <c r="AE438" s="13" t="n">
        <f aca="false">(M438-AVERAGE(M$2:M$2001))/STDEV(M$2:M$2001)</f>
        <v>-0.435433547801563</v>
      </c>
      <c r="AF438" s="13" t="n">
        <f aca="false">(N438-AVERAGE(N$2:N$2001))/STDEV(N$2:N$2001)</f>
        <v>-1.00198716917511</v>
      </c>
      <c r="AG438" s="13" t="n">
        <f aca="false">(O438-AVERAGE(O$2:O$2001))/STDEV(O$2:O$2001)</f>
        <v>-0.936100610856237</v>
      </c>
      <c r="AH438" s="0" t="str">
        <f aca="false">IF(B438="Company","C3 - Corporate Buyers",IF(AND(H438="Investment",M438&gt;'Segmentation Summary'!$C$1),"C1 - Global Investors",IF(AND(I438&gt;=4,M438&gt;'Segmentation Summary'!$C$1),"C4 - Luxury Investors",IF(AND(D438&lt;'Segmentation Summary'!$C$2,J438=1),"C2 - First-Time Buyers","C5 - Other Individual Buyers"))))</f>
        <v>C5 - Other Individual Buyers</v>
      </c>
    </row>
    <row r="439" customFormat="false" ht="15" hidden="false" customHeight="true" outlineLevel="0" collapsed="false">
      <c r="A439" s="13" t="s">
        <v>941</v>
      </c>
      <c r="B439" s="13" t="s">
        <v>34</v>
      </c>
      <c r="C439" s="13" t="s">
        <v>942</v>
      </c>
      <c r="D439" s="13" t="n">
        <v>57</v>
      </c>
      <c r="E439" s="13" t="s">
        <v>90</v>
      </c>
      <c r="F439" s="13" t="s">
        <v>33</v>
      </c>
      <c r="G439" s="13" t="s">
        <v>95</v>
      </c>
      <c r="H439" s="13" t="s">
        <v>41</v>
      </c>
      <c r="I439" s="13" t="n">
        <v>2</v>
      </c>
      <c r="J439" s="13" t="n">
        <v>0</v>
      </c>
      <c r="K439" s="13" t="s">
        <v>85</v>
      </c>
      <c r="L439" s="13" t="n">
        <v>4</v>
      </c>
      <c r="M439" s="13" t="n">
        <v>1602478.07</v>
      </c>
      <c r="N439" s="13" t="n">
        <v>400619.5175</v>
      </c>
      <c r="O439" s="13" t="n">
        <v>1296.5625</v>
      </c>
      <c r="P439" s="13" t="n">
        <v>0</v>
      </c>
      <c r="Q439" s="13" t="n">
        <v>4</v>
      </c>
      <c r="R439" s="13" t="s">
        <v>101</v>
      </c>
      <c r="S439" s="13" t="s">
        <v>135</v>
      </c>
      <c r="T439" s="13" t="n">
        <v>1</v>
      </c>
      <c r="U439" s="13" t="n">
        <f aca="false">IF(B439="Individual",1,0)</f>
        <v>1</v>
      </c>
      <c r="V439" s="13" t="n">
        <f aca="false">IF(B439="Company",1,0)</f>
        <v>0</v>
      </c>
      <c r="W439" s="13" t="n">
        <f aca="false">IF(H439="Home",1,0)</f>
        <v>1</v>
      </c>
      <c r="X439" s="13" t="n">
        <f aca="false">IF(H439="Investment",1,0)</f>
        <v>0</v>
      </c>
      <c r="Y439" s="13" t="n">
        <f aca="false">IF(K439="Website",1,0)</f>
        <v>1</v>
      </c>
      <c r="Z439" s="13" t="n">
        <f aca="false">IF(K439="Agency",1,0)</f>
        <v>0</v>
      </c>
      <c r="AA439" s="13" t="n">
        <f aca="false">IF(K439="Client",1,0)</f>
        <v>0</v>
      </c>
      <c r="AB439" s="13" t="n">
        <f aca="false">(D439-AVERAGE(D$2:D$2001))/STDEV(D$2:D$2001)</f>
        <v>0.165087610062577</v>
      </c>
      <c r="AC439" s="13" t="n">
        <f aca="false">(I439-AVERAGE(I$2:I$2001))/STDEV(I$2:I$2001)</f>
        <v>-0.727948160798201</v>
      </c>
      <c r="AD439" s="13" t="n">
        <f aca="false">(L439-AVERAGE(L$2:L$2001))/STDEV(L$2:L$2001)</f>
        <v>0.413838214490712</v>
      </c>
      <c r="AE439" s="13" t="n">
        <f aca="false">(M439-AVERAGE(M$2:M$2001))/STDEV(M$2:M$2001)</f>
        <v>0.983532000405117</v>
      </c>
      <c r="AF439" s="13" t="n">
        <f aca="false">(N439-AVERAGE(N$2:N$2001))/STDEV(N$2:N$2001)</f>
        <v>0.767759077978224</v>
      </c>
      <c r="AG439" s="13" t="n">
        <f aca="false">(O439-AVERAGE(O$2:O$2001))/STDEV(O$2:O$2001)</f>
        <v>0.6778877698125</v>
      </c>
      <c r="AH439" s="0" t="str">
        <f aca="false">IF(B439="Company","C3 - Corporate Buyers",IF(AND(H439="Investment",M439&gt;'Segmentation Summary'!$C$1),"C1 - Global Investors",IF(AND(I439&gt;=4,M439&gt;'Segmentation Summary'!$C$1),"C4 - Luxury Investors",IF(AND(D439&lt;'Segmentation Summary'!$C$2,J439=1),"C2 - First-Time Buyers","C5 - Other Individual Buyers"))))</f>
        <v>C5 - Other Individual Buyers</v>
      </c>
    </row>
    <row r="440" customFormat="false" ht="15" hidden="false" customHeight="true" outlineLevel="0" collapsed="false">
      <c r="A440" s="13" t="s">
        <v>943</v>
      </c>
      <c r="B440" s="13" t="s">
        <v>34</v>
      </c>
      <c r="C440" s="13" t="s">
        <v>944</v>
      </c>
      <c r="D440" s="13" t="n">
        <v>76</v>
      </c>
      <c r="E440" s="13" t="s">
        <v>83</v>
      </c>
      <c r="F440" s="13" t="s">
        <v>33</v>
      </c>
      <c r="G440" s="13" t="s">
        <v>110</v>
      </c>
      <c r="H440" s="13" t="s">
        <v>41</v>
      </c>
      <c r="I440" s="13" t="n">
        <v>4</v>
      </c>
      <c r="J440" s="13" t="n">
        <v>0</v>
      </c>
      <c r="K440" s="13" t="s">
        <v>116</v>
      </c>
      <c r="L440" s="13" t="n">
        <v>5</v>
      </c>
      <c r="M440" s="13" t="n">
        <v>1398309.27</v>
      </c>
      <c r="N440" s="13" t="n">
        <v>279661.854</v>
      </c>
      <c r="O440" s="13" t="n">
        <v>1000.47</v>
      </c>
      <c r="P440" s="13" t="n">
        <v>2</v>
      </c>
      <c r="Q440" s="13" t="n">
        <v>3</v>
      </c>
      <c r="R440" s="13" t="s">
        <v>101</v>
      </c>
      <c r="S440" s="13" t="s">
        <v>164</v>
      </c>
      <c r="T440" s="13" t="n">
        <v>1</v>
      </c>
      <c r="U440" s="13" t="n">
        <f aca="false">IF(B440="Individual",1,0)</f>
        <v>1</v>
      </c>
      <c r="V440" s="13" t="n">
        <f aca="false">IF(B440="Company",1,0)</f>
        <v>0</v>
      </c>
      <c r="W440" s="13" t="n">
        <f aca="false">IF(H440="Home",1,0)</f>
        <v>1</v>
      </c>
      <c r="X440" s="13" t="n">
        <f aca="false">IF(H440="Investment",1,0)</f>
        <v>0</v>
      </c>
      <c r="Y440" s="13" t="n">
        <f aca="false">IF(K440="Website",1,0)</f>
        <v>0</v>
      </c>
      <c r="Z440" s="13" t="n">
        <f aca="false">IF(K440="Agency",1,0)</f>
        <v>0</v>
      </c>
      <c r="AA440" s="13" t="n">
        <f aca="false">IF(K440="Client",1,0)</f>
        <v>1</v>
      </c>
      <c r="AB440" s="13" t="n">
        <f aca="false">(D440-AVERAGE(D$2:D$2001))/STDEV(D$2:D$2001)</f>
        <v>1.26067426433745</v>
      </c>
      <c r="AC440" s="13" t="n">
        <f aca="false">(I440-AVERAGE(I$2:I$2001))/STDEV(I$2:I$2001)</f>
        <v>0.686917069130275</v>
      </c>
      <c r="AD440" s="13" t="n">
        <f aca="false">(L440-AVERAGE(L$2:L$2001))/STDEV(L$2:L$2001)</f>
        <v>1.60473955115463</v>
      </c>
      <c r="AE440" s="13" t="n">
        <f aca="false">(M440-AVERAGE(M$2:M$2001))/STDEV(M$2:M$2001)</f>
        <v>0.39655442583942</v>
      </c>
      <c r="AF440" s="13" t="n">
        <f aca="false">(N440-AVERAGE(N$2:N$2001))/STDEV(N$2:N$2001)</f>
        <v>-0.967101835764153</v>
      </c>
      <c r="AG440" s="13" t="n">
        <f aca="false">(O440-AVERAGE(O$2:O$2001))/STDEV(O$2:O$2001)</f>
        <v>-0.66846097995869</v>
      </c>
      <c r="AH440" s="0" t="str">
        <f aca="false">IF(B440="Company","C3 - Corporate Buyers",IF(AND(H440="Investment",M440&gt;'Segmentation Summary'!$C$1),"C1 - Global Investors",IF(AND(I440&gt;=4,M440&gt;'Segmentation Summary'!$C$1),"C4 - Luxury Investors",IF(AND(D440&lt;'Segmentation Summary'!$C$2,J440=1),"C2 - First-Time Buyers","C5 - Other Individual Buyers"))))</f>
        <v>C4 - Luxury Investors</v>
      </c>
    </row>
    <row r="441" customFormat="false" ht="15" hidden="false" customHeight="true" outlineLevel="0" collapsed="false">
      <c r="A441" s="13" t="s">
        <v>945</v>
      </c>
      <c r="B441" s="13" t="s">
        <v>34</v>
      </c>
      <c r="C441" s="13" t="s">
        <v>946</v>
      </c>
      <c r="D441" s="13" t="n">
        <v>24</v>
      </c>
      <c r="E441" s="13" t="s">
        <v>83</v>
      </c>
      <c r="F441" s="13" t="s">
        <v>33</v>
      </c>
      <c r="G441" s="13" t="s">
        <v>84</v>
      </c>
      <c r="H441" s="13" t="s">
        <v>41</v>
      </c>
      <c r="I441" s="13" t="n">
        <v>5</v>
      </c>
      <c r="J441" s="13" t="n">
        <v>0</v>
      </c>
      <c r="K441" s="13" t="s">
        <v>91</v>
      </c>
      <c r="L441" s="13" t="n">
        <v>4</v>
      </c>
      <c r="M441" s="13" t="n">
        <v>1181447.25</v>
      </c>
      <c r="N441" s="13" t="n">
        <v>295361.8125</v>
      </c>
      <c r="O441" s="13" t="n">
        <v>896.2525</v>
      </c>
      <c r="P441" s="13" t="n">
        <v>0</v>
      </c>
      <c r="Q441" s="13" t="n">
        <v>4</v>
      </c>
      <c r="R441" s="13" t="s">
        <v>92</v>
      </c>
      <c r="S441" s="13" t="s">
        <v>133</v>
      </c>
      <c r="T441" s="13" t="n">
        <v>1</v>
      </c>
      <c r="U441" s="13" t="n">
        <f aca="false">IF(B441="Individual",1,0)</f>
        <v>1</v>
      </c>
      <c r="V441" s="13" t="n">
        <f aca="false">IF(B441="Company",1,0)</f>
        <v>0</v>
      </c>
      <c r="W441" s="13" t="n">
        <f aca="false">IF(H441="Home",1,0)</f>
        <v>1</v>
      </c>
      <c r="X441" s="13" t="n">
        <f aca="false">IF(H441="Investment",1,0)</f>
        <v>0</v>
      </c>
      <c r="Y441" s="13" t="n">
        <f aca="false">IF(K441="Website",1,0)</f>
        <v>0</v>
      </c>
      <c r="Z441" s="13" t="n">
        <f aca="false">IF(K441="Agency",1,0)</f>
        <v>1</v>
      </c>
      <c r="AA441" s="13" t="n">
        <f aca="false">IF(K441="Client",1,0)</f>
        <v>0</v>
      </c>
      <c r="AB441" s="13" t="n">
        <f aca="false">(D441-AVERAGE(D$2:D$2001))/STDEV(D$2:D$2001)</f>
        <v>-1.73777342104641</v>
      </c>
      <c r="AC441" s="13" t="n">
        <f aca="false">(I441-AVERAGE(I$2:I$2001))/STDEV(I$2:I$2001)</f>
        <v>1.39434968409451</v>
      </c>
      <c r="AD441" s="13" t="n">
        <f aca="false">(L441-AVERAGE(L$2:L$2001))/STDEV(L$2:L$2001)</f>
        <v>0.413838214490712</v>
      </c>
      <c r="AE441" s="13" t="n">
        <f aca="false">(M441-AVERAGE(M$2:M$2001))/STDEV(M$2:M$2001)</f>
        <v>-0.226915675934296</v>
      </c>
      <c r="AF441" s="13" t="n">
        <f aca="false">(N441-AVERAGE(N$2:N$2001))/STDEV(N$2:N$2001)</f>
        <v>-0.741921854927078</v>
      </c>
      <c r="AG441" s="13" t="n">
        <f aca="false">(O441-AVERAGE(O$2:O$2001))/STDEV(O$2:O$2001)</f>
        <v>-1.14234363767302</v>
      </c>
      <c r="AH441" s="0" t="str">
        <f aca="false">IF(B441="Company","C3 - Corporate Buyers",IF(AND(H441="Investment",M441&gt;'Segmentation Summary'!$C$1),"C1 - Global Investors",IF(AND(I441&gt;=4,M441&gt;'Segmentation Summary'!$C$1),"C4 - Luxury Investors",IF(AND(D441&lt;'Segmentation Summary'!$C$2,J441=1),"C2 - First-Time Buyers","C5 - Other Individual Buyers"))))</f>
        <v>C5 - Other Individual Buyers</v>
      </c>
    </row>
    <row r="442" customFormat="false" ht="15" hidden="false" customHeight="true" outlineLevel="0" collapsed="false">
      <c r="A442" s="13" t="s">
        <v>947</v>
      </c>
      <c r="B442" s="13" t="s">
        <v>34</v>
      </c>
      <c r="C442" s="13" t="s">
        <v>948</v>
      </c>
      <c r="D442" s="13" t="n">
        <v>51</v>
      </c>
      <c r="E442" s="13" t="s">
        <v>83</v>
      </c>
      <c r="F442" s="13" t="s">
        <v>44</v>
      </c>
      <c r="G442" s="13" t="s">
        <v>148</v>
      </c>
      <c r="H442" s="13" t="s">
        <v>43</v>
      </c>
      <c r="I442" s="13" t="n">
        <v>4</v>
      </c>
      <c r="J442" s="13" t="n">
        <v>0</v>
      </c>
      <c r="K442" s="13" t="s">
        <v>85</v>
      </c>
      <c r="L442" s="13" t="n">
        <v>3</v>
      </c>
      <c r="M442" s="13" t="n">
        <v>1172514.65</v>
      </c>
      <c r="N442" s="13" t="n">
        <v>390838.216666667</v>
      </c>
      <c r="O442" s="13" t="n">
        <v>1356.74666666667</v>
      </c>
      <c r="P442" s="13" t="n">
        <v>0</v>
      </c>
      <c r="Q442" s="13" t="n">
        <v>3</v>
      </c>
      <c r="R442" s="13" t="s">
        <v>98</v>
      </c>
      <c r="S442" s="13" t="s">
        <v>154</v>
      </c>
      <c r="T442" s="13" t="n">
        <v>1</v>
      </c>
      <c r="U442" s="13" t="n">
        <f aca="false">IF(B442="Individual",1,0)</f>
        <v>1</v>
      </c>
      <c r="V442" s="13" t="n">
        <f aca="false">IF(B442="Company",1,0)</f>
        <v>0</v>
      </c>
      <c r="W442" s="13" t="n">
        <f aca="false">IF(H442="Home",1,0)</f>
        <v>0</v>
      </c>
      <c r="X442" s="13" t="n">
        <f aca="false">IF(H442="Investment",1,0)</f>
        <v>1</v>
      </c>
      <c r="Y442" s="13" t="n">
        <f aca="false">IF(K442="Website",1,0)</f>
        <v>1</v>
      </c>
      <c r="Z442" s="13" t="n">
        <f aca="false">IF(K442="Agency",1,0)</f>
        <v>0</v>
      </c>
      <c r="AA442" s="13" t="n">
        <f aca="false">IF(K442="Client",1,0)</f>
        <v>0</v>
      </c>
      <c r="AB442" s="13" t="n">
        <f aca="false">(D442-AVERAGE(D$2:D$2001))/STDEV(D$2:D$2001)</f>
        <v>-0.18088712286633</v>
      </c>
      <c r="AC442" s="13" t="n">
        <f aca="false">(I442-AVERAGE(I$2:I$2001))/STDEV(I$2:I$2001)</f>
        <v>0.686917069130275</v>
      </c>
      <c r="AD442" s="13" t="n">
        <f aca="false">(L442-AVERAGE(L$2:L$2001))/STDEV(L$2:L$2001)</f>
        <v>-0.777063122173208</v>
      </c>
      <c r="AE442" s="13" t="n">
        <f aca="false">(M442-AVERAGE(M$2:M$2001))/STDEV(M$2:M$2001)</f>
        <v>-0.25259656293841</v>
      </c>
      <c r="AF442" s="13" t="n">
        <f aca="false">(N442-AVERAGE(N$2:N$2001))/STDEV(N$2:N$2001)</f>
        <v>0.627468698598458</v>
      </c>
      <c r="AG442" s="13" t="n">
        <f aca="false">(O442-AVERAGE(O$2:O$2001))/STDEV(O$2:O$2001)</f>
        <v>0.95154845877859</v>
      </c>
      <c r="AH442" s="0" t="str">
        <f aca="false">IF(B442="Company","C3 - Corporate Buyers",IF(AND(H442="Investment",M442&gt;'Segmentation Summary'!$C$1),"C1 - Global Investors",IF(AND(I442&gt;=4,M442&gt;'Segmentation Summary'!$C$1),"C4 - Luxury Investors",IF(AND(D442&lt;'Segmentation Summary'!$C$2,J442=1),"C2 - First-Time Buyers","C5 - Other Individual Buyers"))))</f>
        <v>C5 - Other Individual Buyers</v>
      </c>
    </row>
    <row r="443" customFormat="false" ht="15" hidden="false" customHeight="true" outlineLevel="0" collapsed="false">
      <c r="A443" s="13" t="s">
        <v>949</v>
      </c>
      <c r="B443" s="13" t="s">
        <v>34</v>
      </c>
      <c r="C443" s="13" t="s">
        <v>950</v>
      </c>
      <c r="D443" s="13" t="n">
        <v>33</v>
      </c>
      <c r="E443" s="13" t="s">
        <v>83</v>
      </c>
      <c r="F443" s="13" t="s">
        <v>33</v>
      </c>
      <c r="G443" s="13" t="s">
        <v>120</v>
      </c>
      <c r="H443" s="13" t="s">
        <v>41</v>
      </c>
      <c r="I443" s="13" t="n">
        <v>4</v>
      </c>
      <c r="J443" s="13" t="n">
        <v>1</v>
      </c>
      <c r="K443" s="13" t="s">
        <v>116</v>
      </c>
      <c r="L443" s="13" t="n">
        <v>3</v>
      </c>
      <c r="M443" s="13" t="n">
        <v>1148308.35</v>
      </c>
      <c r="N443" s="13" t="n">
        <v>382769.45</v>
      </c>
      <c r="O443" s="13" t="n">
        <v>1337.05333333333</v>
      </c>
      <c r="P443" s="13" t="n">
        <v>0</v>
      </c>
      <c r="Q443" s="13" t="n">
        <v>3</v>
      </c>
      <c r="R443" s="13" t="s">
        <v>98</v>
      </c>
      <c r="S443" s="13" t="s">
        <v>152</v>
      </c>
      <c r="T443" s="13" t="n">
        <v>1</v>
      </c>
      <c r="U443" s="13" t="n">
        <f aca="false">IF(B443="Individual",1,0)</f>
        <v>1</v>
      </c>
      <c r="V443" s="13" t="n">
        <f aca="false">IF(B443="Company",1,0)</f>
        <v>0</v>
      </c>
      <c r="W443" s="13" t="n">
        <f aca="false">IF(H443="Home",1,0)</f>
        <v>1</v>
      </c>
      <c r="X443" s="13" t="n">
        <f aca="false">IF(H443="Investment",1,0)</f>
        <v>0</v>
      </c>
      <c r="Y443" s="13" t="n">
        <f aca="false">IF(K443="Website",1,0)</f>
        <v>0</v>
      </c>
      <c r="Z443" s="13" t="n">
        <f aca="false">IF(K443="Agency",1,0)</f>
        <v>0</v>
      </c>
      <c r="AA443" s="13" t="n">
        <f aca="false">IF(K443="Client",1,0)</f>
        <v>1</v>
      </c>
      <c r="AB443" s="13" t="n">
        <f aca="false">(D443-AVERAGE(D$2:D$2001))/STDEV(D$2:D$2001)</f>
        <v>-1.21881132165305</v>
      </c>
      <c r="AC443" s="13" t="n">
        <f aca="false">(I443-AVERAGE(I$2:I$2001))/STDEV(I$2:I$2001)</f>
        <v>0.686917069130275</v>
      </c>
      <c r="AD443" s="13" t="n">
        <f aca="false">(L443-AVERAGE(L$2:L$2001))/STDEV(L$2:L$2001)</f>
        <v>-0.777063122173208</v>
      </c>
      <c r="AE443" s="13" t="n">
        <f aca="false">(M443-AVERAGE(M$2:M$2001))/STDEV(M$2:M$2001)</f>
        <v>-0.322188759509137</v>
      </c>
      <c r="AF443" s="13" t="n">
        <f aca="false">(N443-AVERAGE(N$2:N$2001))/STDEV(N$2:N$2001)</f>
        <v>0.511740703306055</v>
      </c>
      <c r="AG443" s="13" t="n">
        <f aca="false">(O443-AVERAGE(O$2:O$2001))/STDEV(O$2:O$2001)</f>
        <v>0.862001797812272</v>
      </c>
      <c r="AH443" s="0" t="str">
        <f aca="false">IF(B443="Company","C3 - Corporate Buyers",IF(AND(H443="Investment",M443&gt;'Segmentation Summary'!$C$1),"C1 - Global Investors",IF(AND(I443&gt;=4,M443&gt;'Segmentation Summary'!$C$1),"C4 - Luxury Investors",IF(AND(D443&lt;'Segmentation Summary'!$C$2,J443=1),"C2 - First-Time Buyers","C5 - Other Individual Buyers"))))</f>
        <v>C2 - First-Time Buyers</v>
      </c>
    </row>
    <row r="444" customFormat="false" ht="15" hidden="false" customHeight="true" outlineLevel="0" collapsed="false">
      <c r="A444" s="13" t="s">
        <v>951</v>
      </c>
      <c r="B444" s="13" t="s">
        <v>34</v>
      </c>
      <c r="C444" s="13" t="s">
        <v>952</v>
      </c>
      <c r="D444" s="13" t="n">
        <v>49</v>
      </c>
      <c r="E444" s="13" t="s">
        <v>83</v>
      </c>
      <c r="F444" s="13" t="s">
        <v>33</v>
      </c>
      <c r="G444" s="13" t="s">
        <v>120</v>
      </c>
      <c r="H444" s="13" t="s">
        <v>41</v>
      </c>
      <c r="I444" s="13" t="n">
        <v>4</v>
      </c>
      <c r="J444" s="13" t="n">
        <v>0</v>
      </c>
      <c r="K444" s="13" t="s">
        <v>85</v>
      </c>
      <c r="L444" s="13" t="n">
        <v>4</v>
      </c>
      <c r="M444" s="13" t="n">
        <v>1478341.12</v>
      </c>
      <c r="N444" s="13" t="n">
        <v>369585.28</v>
      </c>
      <c r="O444" s="13" t="n">
        <v>1190.4075</v>
      </c>
      <c r="P444" s="13" t="n">
        <v>2</v>
      </c>
      <c r="Q444" s="13" t="n">
        <v>2</v>
      </c>
      <c r="R444" s="13" t="s">
        <v>117</v>
      </c>
      <c r="S444" s="13" t="s">
        <v>114</v>
      </c>
      <c r="T444" s="13" t="n">
        <v>1</v>
      </c>
      <c r="U444" s="13" t="n">
        <f aca="false">IF(B444="Individual",1,0)</f>
        <v>1</v>
      </c>
      <c r="V444" s="13" t="n">
        <f aca="false">IF(B444="Company",1,0)</f>
        <v>0</v>
      </c>
      <c r="W444" s="13" t="n">
        <f aca="false">IF(H444="Home",1,0)</f>
        <v>1</v>
      </c>
      <c r="X444" s="13" t="n">
        <f aca="false">IF(H444="Investment",1,0)</f>
        <v>0</v>
      </c>
      <c r="Y444" s="13" t="n">
        <f aca="false">IF(K444="Website",1,0)</f>
        <v>1</v>
      </c>
      <c r="Z444" s="13" t="n">
        <f aca="false">IF(K444="Agency",1,0)</f>
        <v>0</v>
      </c>
      <c r="AA444" s="13" t="n">
        <f aca="false">IF(K444="Client",1,0)</f>
        <v>0</v>
      </c>
      <c r="AB444" s="13" t="n">
        <f aca="false">(D444-AVERAGE(D$2:D$2001))/STDEV(D$2:D$2001)</f>
        <v>-0.296212033842633</v>
      </c>
      <c r="AC444" s="13" t="n">
        <f aca="false">(I444-AVERAGE(I$2:I$2001))/STDEV(I$2:I$2001)</f>
        <v>0.686917069130275</v>
      </c>
      <c r="AD444" s="13" t="n">
        <f aca="false">(L444-AVERAGE(L$2:L$2001))/STDEV(L$2:L$2001)</f>
        <v>0.413838214490712</v>
      </c>
      <c r="AE444" s="13" t="n">
        <f aca="false">(M444-AVERAGE(M$2:M$2001))/STDEV(M$2:M$2001)</f>
        <v>0.626642966306944</v>
      </c>
      <c r="AF444" s="13" t="n">
        <f aca="false">(N444-AVERAGE(N$2:N$2001))/STDEV(N$2:N$2001)</f>
        <v>0.322643952002366</v>
      </c>
      <c r="AG444" s="13" t="n">
        <f aca="false">(O444-AVERAGE(O$2:O$2001))/STDEV(O$2:O$2001)</f>
        <v>0.195195193904766</v>
      </c>
      <c r="AH444" s="0" t="str">
        <f aca="false">IF(B444="Company","C3 - Corporate Buyers",IF(AND(H444="Investment",M444&gt;'Segmentation Summary'!$C$1),"C1 - Global Investors",IF(AND(I444&gt;=4,M444&gt;'Segmentation Summary'!$C$1),"C4 - Luxury Investors",IF(AND(D444&lt;'Segmentation Summary'!$C$2,J444=1),"C2 - First-Time Buyers","C5 - Other Individual Buyers"))))</f>
        <v>C4 - Luxury Investors</v>
      </c>
    </row>
    <row r="445" customFormat="false" ht="15" hidden="false" customHeight="true" outlineLevel="0" collapsed="false">
      <c r="A445" s="13" t="s">
        <v>953</v>
      </c>
      <c r="B445" s="13" t="s">
        <v>34</v>
      </c>
      <c r="C445" s="13" t="s">
        <v>954</v>
      </c>
      <c r="D445" s="13" t="n">
        <v>62</v>
      </c>
      <c r="E445" s="13" t="s">
        <v>83</v>
      </c>
      <c r="F445" s="13" t="s">
        <v>33</v>
      </c>
      <c r="G445" s="13" t="s">
        <v>95</v>
      </c>
      <c r="H445" s="13" t="s">
        <v>43</v>
      </c>
      <c r="I445" s="13" t="n">
        <v>2</v>
      </c>
      <c r="J445" s="13" t="n">
        <v>0</v>
      </c>
      <c r="K445" s="13" t="s">
        <v>85</v>
      </c>
      <c r="L445" s="13" t="n">
        <v>4</v>
      </c>
      <c r="M445" s="13" t="n">
        <v>1116223.63</v>
      </c>
      <c r="N445" s="13" t="n">
        <v>279055.9075</v>
      </c>
      <c r="O445" s="13" t="n">
        <v>872.68</v>
      </c>
      <c r="P445" s="13" t="n">
        <v>0</v>
      </c>
      <c r="Q445" s="13" t="n">
        <v>4</v>
      </c>
      <c r="R445" s="13" t="s">
        <v>101</v>
      </c>
      <c r="S445" s="13" t="s">
        <v>141</v>
      </c>
      <c r="T445" s="13" t="n">
        <v>1</v>
      </c>
      <c r="U445" s="13" t="n">
        <f aca="false">IF(B445="Individual",1,0)</f>
        <v>1</v>
      </c>
      <c r="V445" s="13" t="n">
        <f aca="false">IF(B445="Company",1,0)</f>
        <v>0</v>
      </c>
      <c r="W445" s="13" t="n">
        <f aca="false">IF(H445="Home",1,0)</f>
        <v>0</v>
      </c>
      <c r="X445" s="13" t="n">
        <f aca="false">IF(H445="Investment",1,0)</f>
        <v>1</v>
      </c>
      <c r="Y445" s="13" t="n">
        <f aca="false">IF(K445="Website",1,0)</f>
        <v>1</v>
      </c>
      <c r="Z445" s="13" t="n">
        <f aca="false">IF(K445="Agency",1,0)</f>
        <v>0</v>
      </c>
      <c r="AA445" s="13" t="n">
        <f aca="false">IF(K445="Client",1,0)</f>
        <v>0</v>
      </c>
      <c r="AB445" s="13" t="n">
        <f aca="false">(D445-AVERAGE(D$2:D$2001))/STDEV(D$2:D$2001)</f>
        <v>0.453399887503333</v>
      </c>
      <c r="AC445" s="13" t="n">
        <f aca="false">(I445-AVERAGE(I$2:I$2001))/STDEV(I$2:I$2001)</f>
        <v>-0.727948160798201</v>
      </c>
      <c r="AD445" s="13" t="n">
        <f aca="false">(L445-AVERAGE(L$2:L$2001))/STDEV(L$2:L$2001)</f>
        <v>0.413838214490712</v>
      </c>
      <c r="AE445" s="13" t="n">
        <f aca="false">(M445-AVERAGE(M$2:M$2001))/STDEV(M$2:M$2001)</f>
        <v>-0.414431115472534</v>
      </c>
      <c r="AF445" s="13" t="n">
        <f aca="false">(N445-AVERAGE(N$2:N$2001))/STDEV(N$2:N$2001)</f>
        <v>-0.975792751810734</v>
      </c>
      <c r="AG445" s="13" t="n">
        <f aca="false">(O445-AVERAGE(O$2:O$2001))/STDEV(O$2:O$2001)</f>
        <v>-1.24952908108675</v>
      </c>
      <c r="AH445" s="0" t="str">
        <f aca="false">IF(B445="Company","C3 - Corporate Buyers",IF(AND(H445="Investment",M445&gt;'Segmentation Summary'!$C$1),"C1 - Global Investors",IF(AND(I445&gt;=4,M445&gt;'Segmentation Summary'!$C$1),"C4 - Luxury Investors",IF(AND(D445&lt;'Segmentation Summary'!$C$2,J445=1),"C2 - First-Time Buyers","C5 - Other Individual Buyers"))))</f>
        <v>C5 - Other Individual Buyers</v>
      </c>
    </row>
    <row r="446" customFormat="false" ht="15" hidden="false" customHeight="true" outlineLevel="0" collapsed="false">
      <c r="A446" s="13" t="s">
        <v>955</v>
      </c>
      <c r="B446" s="13" t="s">
        <v>34</v>
      </c>
      <c r="C446" s="13" t="s">
        <v>956</v>
      </c>
      <c r="D446" s="13" t="n">
        <v>26</v>
      </c>
      <c r="E446" s="13" t="s">
        <v>83</v>
      </c>
      <c r="F446" s="13" t="s">
        <v>33</v>
      </c>
      <c r="G446" s="13" t="s">
        <v>106</v>
      </c>
      <c r="H446" s="13" t="s">
        <v>41</v>
      </c>
      <c r="I446" s="13" t="n">
        <v>4</v>
      </c>
      <c r="J446" s="13" t="n">
        <v>0</v>
      </c>
      <c r="K446" s="13" t="s">
        <v>85</v>
      </c>
      <c r="L446" s="13" t="n">
        <v>3</v>
      </c>
      <c r="M446" s="13" t="n">
        <v>822780.32</v>
      </c>
      <c r="N446" s="13" t="n">
        <v>274260.106666667</v>
      </c>
      <c r="O446" s="13" t="n">
        <v>904.046666666667</v>
      </c>
      <c r="P446" s="13" t="n">
        <v>1</v>
      </c>
      <c r="Q446" s="13" t="n">
        <v>2</v>
      </c>
      <c r="R446" s="13" t="s">
        <v>117</v>
      </c>
      <c r="S446" s="13" t="s">
        <v>152</v>
      </c>
      <c r="T446" s="13" t="n">
        <v>1</v>
      </c>
      <c r="U446" s="13" t="n">
        <f aca="false">IF(B446="Individual",1,0)</f>
        <v>1</v>
      </c>
      <c r="V446" s="13" t="n">
        <f aca="false">IF(B446="Company",1,0)</f>
        <v>0</v>
      </c>
      <c r="W446" s="13" t="n">
        <f aca="false">IF(H446="Home",1,0)</f>
        <v>1</v>
      </c>
      <c r="X446" s="13" t="n">
        <f aca="false">IF(H446="Investment",1,0)</f>
        <v>0</v>
      </c>
      <c r="Y446" s="13" t="n">
        <f aca="false">IF(K446="Website",1,0)</f>
        <v>1</v>
      </c>
      <c r="Z446" s="13" t="n">
        <f aca="false">IF(K446="Agency",1,0)</f>
        <v>0</v>
      </c>
      <c r="AA446" s="13" t="n">
        <f aca="false">IF(K446="Client",1,0)</f>
        <v>0</v>
      </c>
      <c r="AB446" s="13" t="n">
        <f aca="false">(D446-AVERAGE(D$2:D$2001))/STDEV(D$2:D$2001)</f>
        <v>-1.62244851007011</v>
      </c>
      <c r="AC446" s="13" t="n">
        <f aca="false">(I446-AVERAGE(I$2:I$2001))/STDEV(I$2:I$2001)</f>
        <v>0.686917069130275</v>
      </c>
      <c r="AD446" s="13" t="n">
        <f aca="false">(L446-AVERAGE(L$2:L$2001))/STDEV(L$2:L$2001)</f>
        <v>-0.777063122173208</v>
      </c>
      <c r="AE446" s="13" t="n">
        <f aca="false">(M446-AVERAGE(M$2:M$2001))/STDEV(M$2:M$2001)</f>
        <v>-1.25806952827767</v>
      </c>
      <c r="AF446" s="13" t="n">
        <f aca="false">(N446-AVERAGE(N$2:N$2001))/STDEV(N$2:N$2001)</f>
        <v>-1.04457754125768</v>
      </c>
      <c r="AG446" s="13" t="n">
        <f aca="false">(O446-AVERAGE(O$2:O$2001))/STDEV(O$2:O$2001)</f>
        <v>-1.10690313665669</v>
      </c>
      <c r="AH446" s="0" t="str">
        <f aca="false">IF(B446="Company","C3 - Corporate Buyers",IF(AND(H446="Investment",M446&gt;'Segmentation Summary'!$C$1),"C1 - Global Investors",IF(AND(I446&gt;=4,M446&gt;'Segmentation Summary'!$C$1),"C4 - Luxury Investors",IF(AND(D446&lt;'Segmentation Summary'!$C$2,J446=1),"C2 - First-Time Buyers","C5 - Other Individual Buyers"))))</f>
        <v>C5 - Other Individual Buyers</v>
      </c>
    </row>
    <row r="447" customFormat="false" ht="15" hidden="false" customHeight="true" outlineLevel="0" collapsed="false">
      <c r="A447" s="13" t="s">
        <v>957</v>
      </c>
      <c r="B447" s="13" t="s">
        <v>34</v>
      </c>
      <c r="C447" s="13" t="s">
        <v>956</v>
      </c>
      <c r="D447" s="13" t="n">
        <v>30</v>
      </c>
      <c r="E447" s="13" t="s">
        <v>83</v>
      </c>
      <c r="F447" s="13" t="s">
        <v>33</v>
      </c>
      <c r="G447" s="13" t="s">
        <v>95</v>
      </c>
      <c r="H447" s="13" t="s">
        <v>41</v>
      </c>
      <c r="I447" s="13" t="n">
        <v>3</v>
      </c>
      <c r="J447" s="13" t="n">
        <v>0</v>
      </c>
      <c r="K447" s="13" t="s">
        <v>85</v>
      </c>
      <c r="L447" s="13" t="n">
        <v>3</v>
      </c>
      <c r="M447" s="13" t="n">
        <v>1140423.38</v>
      </c>
      <c r="N447" s="13" t="n">
        <v>380141.126666667</v>
      </c>
      <c r="O447" s="13" t="n">
        <v>1104.51</v>
      </c>
      <c r="P447" s="13" t="n">
        <v>2</v>
      </c>
      <c r="Q447" s="13" t="n">
        <v>1</v>
      </c>
      <c r="R447" s="13" t="s">
        <v>111</v>
      </c>
      <c r="S447" s="13" t="s">
        <v>215</v>
      </c>
      <c r="T447" s="13" t="n">
        <v>1</v>
      </c>
      <c r="U447" s="13" t="n">
        <f aca="false">IF(B447="Individual",1,0)</f>
        <v>1</v>
      </c>
      <c r="V447" s="13" t="n">
        <f aca="false">IF(B447="Company",1,0)</f>
        <v>0</v>
      </c>
      <c r="W447" s="13" t="n">
        <f aca="false">IF(H447="Home",1,0)</f>
        <v>1</v>
      </c>
      <c r="X447" s="13" t="n">
        <f aca="false">IF(H447="Investment",1,0)</f>
        <v>0</v>
      </c>
      <c r="Y447" s="13" t="n">
        <f aca="false">IF(K447="Website",1,0)</f>
        <v>1</v>
      </c>
      <c r="Z447" s="13" t="n">
        <f aca="false">IF(K447="Agency",1,0)</f>
        <v>0</v>
      </c>
      <c r="AA447" s="13" t="n">
        <f aca="false">IF(K447="Client",1,0)</f>
        <v>0</v>
      </c>
      <c r="AB447" s="13" t="n">
        <f aca="false">(D447-AVERAGE(D$2:D$2001))/STDEV(D$2:D$2001)</f>
        <v>-1.39179868811751</v>
      </c>
      <c r="AC447" s="13" t="n">
        <f aca="false">(I447-AVERAGE(I$2:I$2001))/STDEV(I$2:I$2001)</f>
        <v>-0.0205155458339628</v>
      </c>
      <c r="AD447" s="13" t="n">
        <f aca="false">(L447-AVERAGE(L$2:L$2001))/STDEV(L$2:L$2001)</f>
        <v>-0.777063122173208</v>
      </c>
      <c r="AE447" s="13" t="n">
        <f aca="false">(M447-AVERAGE(M$2:M$2001))/STDEV(M$2:M$2001)</f>
        <v>-0.344857749903965</v>
      </c>
      <c r="AF447" s="13" t="n">
        <f aca="false">(N447-AVERAGE(N$2:N$2001))/STDEV(N$2:N$2001)</f>
        <v>0.474043419084981</v>
      </c>
      <c r="AG447" s="13" t="n">
        <f aca="false">(O447-AVERAGE(O$2:O$2001))/STDEV(O$2:O$2001)</f>
        <v>-0.195385424427244</v>
      </c>
      <c r="AH447" s="0" t="str">
        <f aca="false">IF(B447="Company","C3 - Corporate Buyers",IF(AND(H447="Investment",M447&gt;'Segmentation Summary'!$C$1),"C1 - Global Investors",IF(AND(I447&gt;=4,M447&gt;'Segmentation Summary'!$C$1),"C4 - Luxury Investors",IF(AND(D447&lt;'Segmentation Summary'!$C$2,J447=1),"C2 - First-Time Buyers","C5 - Other Individual Buyers"))))</f>
        <v>C5 - Other Individual Buyers</v>
      </c>
    </row>
    <row r="448" customFormat="false" ht="15" hidden="false" customHeight="true" outlineLevel="0" collapsed="false">
      <c r="A448" s="13" t="s">
        <v>958</v>
      </c>
      <c r="B448" s="13" t="s">
        <v>34</v>
      </c>
      <c r="C448" s="13" t="s">
        <v>959</v>
      </c>
      <c r="D448" s="13" t="n">
        <v>52</v>
      </c>
      <c r="E448" s="13" t="s">
        <v>83</v>
      </c>
      <c r="F448" s="13" t="s">
        <v>33</v>
      </c>
      <c r="G448" s="13" t="s">
        <v>110</v>
      </c>
      <c r="H448" s="13" t="s">
        <v>41</v>
      </c>
      <c r="I448" s="13" t="n">
        <v>1</v>
      </c>
      <c r="J448" s="13" t="n">
        <v>0</v>
      </c>
      <c r="K448" s="13" t="s">
        <v>91</v>
      </c>
      <c r="L448" s="13" t="n">
        <v>4</v>
      </c>
      <c r="M448" s="13" t="n">
        <v>1898878.08</v>
      </c>
      <c r="N448" s="13" t="n">
        <v>474719.52</v>
      </c>
      <c r="O448" s="13" t="n">
        <v>1504.0975</v>
      </c>
      <c r="P448" s="13" t="n">
        <v>2</v>
      </c>
      <c r="Q448" s="13" t="n">
        <v>2</v>
      </c>
      <c r="R448" s="13" t="s">
        <v>101</v>
      </c>
      <c r="S448" s="13" t="s">
        <v>125</v>
      </c>
      <c r="T448" s="13" t="n">
        <v>1</v>
      </c>
      <c r="U448" s="13" t="n">
        <f aca="false">IF(B448="Individual",1,0)</f>
        <v>1</v>
      </c>
      <c r="V448" s="13" t="n">
        <f aca="false">IF(B448="Company",1,0)</f>
        <v>0</v>
      </c>
      <c r="W448" s="13" t="n">
        <f aca="false">IF(H448="Home",1,0)</f>
        <v>1</v>
      </c>
      <c r="X448" s="13" t="n">
        <f aca="false">IF(H448="Investment",1,0)</f>
        <v>0</v>
      </c>
      <c r="Y448" s="13" t="n">
        <f aca="false">IF(K448="Website",1,0)</f>
        <v>0</v>
      </c>
      <c r="Z448" s="13" t="n">
        <f aca="false">IF(K448="Agency",1,0)</f>
        <v>1</v>
      </c>
      <c r="AA448" s="13" t="n">
        <f aca="false">IF(K448="Client",1,0)</f>
        <v>0</v>
      </c>
      <c r="AB448" s="13" t="n">
        <f aca="false">(D448-AVERAGE(D$2:D$2001))/STDEV(D$2:D$2001)</f>
        <v>-0.123224667378179</v>
      </c>
      <c r="AC448" s="13" t="n">
        <f aca="false">(I448-AVERAGE(I$2:I$2001))/STDEV(I$2:I$2001)</f>
        <v>-1.43538077576244</v>
      </c>
      <c r="AD448" s="13" t="n">
        <f aca="false">(L448-AVERAGE(L$2:L$2001))/STDEV(L$2:L$2001)</f>
        <v>0.413838214490712</v>
      </c>
      <c r="AE448" s="13" t="n">
        <f aca="false">(M448-AVERAGE(M$2:M$2001))/STDEV(M$2:M$2001)</f>
        <v>1.83567081383326</v>
      </c>
      <c r="AF448" s="13" t="n">
        <f aca="false">(N448-AVERAGE(N$2:N$2001))/STDEV(N$2:N$2001)</f>
        <v>1.83055406198899</v>
      </c>
      <c r="AG448" s="13" t="n">
        <f aca="false">(O448-AVERAGE(O$2:O$2001))/STDEV(O$2:O$2001)</f>
        <v>1.62156073614486</v>
      </c>
      <c r="AH448" s="0" t="str">
        <f aca="false">IF(B448="Company","C3 - Corporate Buyers",IF(AND(H448="Investment",M448&gt;'Segmentation Summary'!$C$1),"C1 - Global Investors",IF(AND(I448&gt;=4,M448&gt;'Segmentation Summary'!$C$1),"C4 - Luxury Investors",IF(AND(D448&lt;'Segmentation Summary'!$C$2,J448=1),"C2 - First-Time Buyers","C5 - Other Individual Buyers"))))</f>
        <v>C5 - Other Individual Buyers</v>
      </c>
    </row>
    <row r="449" customFormat="false" ht="15" hidden="false" customHeight="true" outlineLevel="0" collapsed="false">
      <c r="A449" s="13" t="s">
        <v>960</v>
      </c>
      <c r="B449" s="13" t="s">
        <v>34</v>
      </c>
      <c r="C449" s="13" t="s">
        <v>961</v>
      </c>
      <c r="D449" s="13" t="n">
        <v>69</v>
      </c>
      <c r="E449" s="13" t="s">
        <v>83</v>
      </c>
      <c r="F449" s="13" t="s">
        <v>33</v>
      </c>
      <c r="G449" s="13" t="s">
        <v>95</v>
      </c>
      <c r="H449" s="13" t="s">
        <v>41</v>
      </c>
      <c r="I449" s="13" t="n">
        <v>5</v>
      </c>
      <c r="J449" s="13" t="n">
        <v>0</v>
      </c>
      <c r="K449" s="13" t="s">
        <v>85</v>
      </c>
      <c r="L449" s="13" t="n">
        <v>4</v>
      </c>
      <c r="M449" s="13" t="n">
        <v>1310147.86</v>
      </c>
      <c r="N449" s="13" t="n">
        <v>327536.965</v>
      </c>
      <c r="O449" s="13" t="n">
        <v>1186.5225</v>
      </c>
      <c r="P449" s="13" t="n">
        <v>0</v>
      </c>
      <c r="Q449" s="13" t="n">
        <v>4</v>
      </c>
      <c r="R449" s="13" t="s">
        <v>124</v>
      </c>
      <c r="S449" s="13" t="s">
        <v>164</v>
      </c>
      <c r="T449" s="13" t="n">
        <v>1</v>
      </c>
      <c r="U449" s="13" t="n">
        <f aca="false">IF(B449="Individual",1,0)</f>
        <v>1</v>
      </c>
      <c r="V449" s="13" t="n">
        <f aca="false">IF(B449="Company",1,0)</f>
        <v>0</v>
      </c>
      <c r="W449" s="13" t="n">
        <f aca="false">IF(H449="Home",1,0)</f>
        <v>1</v>
      </c>
      <c r="X449" s="13" t="n">
        <f aca="false">IF(H449="Investment",1,0)</f>
        <v>0</v>
      </c>
      <c r="Y449" s="13" t="n">
        <f aca="false">IF(K449="Website",1,0)</f>
        <v>1</v>
      </c>
      <c r="Z449" s="13" t="n">
        <f aca="false">IF(K449="Agency",1,0)</f>
        <v>0</v>
      </c>
      <c r="AA449" s="13" t="n">
        <f aca="false">IF(K449="Client",1,0)</f>
        <v>0</v>
      </c>
      <c r="AB449" s="13" t="n">
        <f aca="false">(D449-AVERAGE(D$2:D$2001))/STDEV(D$2:D$2001)</f>
        <v>0.857037075920391</v>
      </c>
      <c r="AC449" s="13" t="n">
        <f aca="false">(I449-AVERAGE(I$2:I$2001))/STDEV(I$2:I$2001)</f>
        <v>1.39434968409451</v>
      </c>
      <c r="AD449" s="13" t="n">
        <f aca="false">(L449-AVERAGE(L$2:L$2001))/STDEV(L$2:L$2001)</f>
        <v>0.413838214490712</v>
      </c>
      <c r="AE449" s="13" t="n">
        <f aca="false">(M449-AVERAGE(M$2:M$2001))/STDEV(M$2:M$2001)</f>
        <v>0.143093707981981</v>
      </c>
      <c r="AF449" s="13" t="n">
        <f aca="false">(N449-AVERAGE(N$2:N$2001))/STDEV(N$2:N$2001)</f>
        <v>-0.280442913859815</v>
      </c>
      <c r="AG449" s="13" t="n">
        <f aca="false">(O449-AVERAGE(O$2:O$2001))/STDEV(O$2:O$2001)</f>
        <v>0.177529886972436</v>
      </c>
      <c r="AH449" s="0" t="str">
        <f aca="false">IF(B449="Company","C3 - Corporate Buyers",IF(AND(H449="Investment",M449&gt;'Segmentation Summary'!$C$1),"C1 - Global Investors",IF(AND(I449&gt;=4,M449&gt;'Segmentation Summary'!$C$1),"C4 - Luxury Investors",IF(AND(D449&lt;'Segmentation Summary'!$C$2,J449=1),"C2 - First-Time Buyers","C5 - Other Individual Buyers"))))</f>
        <v>C4 - Luxury Investors</v>
      </c>
    </row>
    <row r="450" customFormat="false" ht="15" hidden="false" customHeight="true" outlineLevel="0" collapsed="false">
      <c r="A450" s="13" t="s">
        <v>962</v>
      </c>
      <c r="B450" s="13" t="s">
        <v>34</v>
      </c>
      <c r="C450" s="13" t="s">
        <v>963</v>
      </c>
      <c r="D450" s="13" t="n">
        <v>32</v>
      </c>
      <c r="E450" s="13" t="s">
        <v>83</v>
      </c>
      <c r="F450" s="13" t="s">
        <v>33</v>
      </c>
      <c r="G450" s="13" t="s">
        <v>95</v>
      </c>
      <c r="H450" s="13" t="s">
        <v>43</v>
      </c>
      <c r="I450" s="13" t="n">
        <v>2</v>
      </c>
      <c r="J450" s="13" t="n">
        <v>0</v>
      </c>
      <c r="K450" s="13" t="s">
        <v>116</v>
      </c>
      <c r="L450" s="13" t="n">
        <v>4</v>
      </c>
      <c r="M450" s="13" t="n">
        <v>1595817.16</v>
      </c>
      <c r="N450" s="13" t="n">
        <v>398954.29</v>
      </c>
      <c r="O450" s="13" t="n">
        <v>1210.7375</v>
      </c>
      <c r="P450" s="13" t="n">
        <v>1</v>
      </c>
      <c r="Q450" s="13" t="n">
        <v>3</v>
      </c>
      <c r="R450" s="13" t="s">
        <v>121</v>
      </c>
      <c r="S450" s="13" t="s">
        <v>152</v>
      </c>
      <c r="T450" s="13" t="n">
        <v>1</v>
      </c>
      <c r="U450" s="13" t="n">
        <f aca="false">IF(B450="Individual",1,0)</f>
        <v>1</v>
      </c>
      <c r="V450" s="13" t="n">
        <f aca="false">IF(B450="Company",1,0)</f>
        <v>0</v>
      </c>
      <c r="W450" s="13" t="n">
        <f aca="false">IF(H450="Home",1,0)</f>
        <v>0</v>
      </c>
      <c r="X450" s="13" t="n">
        <f aca="false">IF(H450="Investment",1,0)</f>
        <v>1</v>
      </c>
      <c r="Y450" s="13" t="n">
        <f aca="false">IF(K450="Website",1,0)</f>
        <v>0</v>
      </c>
      <c r="Z450" s="13" t="n">
        <f aca="false">IF(K450="Agency",1,0)</f>
        <v>0</v>
      </c>
      <c r="AA450" s="13" t="n">
        <f aca="false">IF(K450="Client",1,0)</f>
        <v>1</v>
      </c>
      <c r="AB450" s="13" t="n">
        <f aca="false">(D450-AVERAGE(D$2:D$2001))/STDEV(D$2:D$2001)</f>
        <v>-1.2764737771412</v>
      </c>
      <c r="AC450" s="13" t="n">
        <f aca="false">(I450-AVERAGE(I$2:I$2001))/STDEV(I$2:I$2001)</f>
        <v>-0.727948160798201</v>
      </c>
      <c r="AD450" s="13" t="n">
        <f aca="false">(L450-AVERAGE(L$2:L$2001))/STDEV(L$2:L$2001)</f>
        <v>0.413838214490712</v>
      </c>
      <c r="AE450" s="13" t="n">
        <f aca="false">(M450-AVERAGE(M$2:M$2001))/STDEV(M$2:M$2001)</f>
        <v>0.964382136193736</v>
      </c>
      <c r="AF450" s="13" t="n">
        <f aca="false">(N450-AVERAGE(N$2:N$2001))/STDEV(N$2:N$2001)</f>
        <v>0.743875199779477</v>
      </c>
      <c r="AG450" s="13" t="n">
        <f aca="false">(O450-AVERAGE(O$2:O$2001))/STDEV(O$2:O$2001)</f>
        <v>0.287636812935468</v>
      </c>
      <c r="AH450" s="0" t="str">
        <f aca="false">IF(B450="Company","C3 - Corporate Buyers",IF(AND(H450="Investment",M450&gt;'Segmentation Summary'!$C$1),"C1 - Global Investors",IF(AND(I450&gt;=4,M450&gt;'Segmentation Summary'!$C$1),"C4 - Luxury Investors",IF(AND(D450&lt;'Segmentation Summary'!$C$2,J450=1),"C2 - First-Time Buyers","C5 - Other Individual Buyers"))))</f>
        <v>C1 - Global Investors</v>
      </c>
    </row>
    <row r="451" customFormat="false" ht="15" hidden="false" customHeight="true" outlineLevel="0" collapsed="false">
      <c r="A451" s="13" t="s">
        <v>964</v>
      </c>
      <c r="B451" s="13" t="s">
        <v>34</v>
      </c>
      <c r="C451" s="13" t="s">
        <v>965</v>
      </c>
      <c r="D451" s="13" t="n">
        <v>66</v>
      </c>
      <c r="E451" s="13" t="s">
        <v>90</v>
      </c>
      <c r="F451" s="13" t="s">
        <v>37</v>
      </c>
      <c r="G451" s="13" t="s">
        <v>572</v>
      </c>
      <c r="H451" s="13" t="s">
        <v>41</v>
      </c>
      <c r="I451" s="13" t="n">
        <v>3</v>
      </c>
      <c r="J451" s="13" t="n">
        <v>0</v>
      </c>
      <c r="K451" s="13" t="s">
        <v>91</v>
      </c>
      <c r="L451" s="13" t="n">
        <v>3</v>
      </c>
      <c r="M451" s="13" t="n">
        <v>1366533.49</v>
      </c>
      <c r="N451" s="13" t="n">
        <v>455511.163333333</v>
      </c>
      <c r="O451" s="13" t="n">
        <v>1599.34333333333</v>
      </c>
      <c r="P451" s="13" t="n">
        <v>1</v>
      </c>
      <c r="Q451" s="13" t="n">
        <v>2</v>
      </c>
      <c r="R451" s="13" t="s">
        <v>111</v>
      </c>
      <c r="S451" s="13" t="s">
        <v>164</v>
      </c>
      <c r="T451" s="13" t="n">
        <v>1</v>
      </c>
      <c r="U451" s="13" t="n">
        <f aca="false">IF(B451="Individual",1,0)</f>
        <v>1</v>
      </c>
      <c r="V451" s="13" t="n">
        <f aca="false">IF(B451="Company",1,0)</f>
        <v>0</v>
      </c>
      <c r="W451" s="13" t="n">
        <f aca="false">IF(H451="Home",1,0)</f>
        <v>1</v>
      </c>
      <c r="X451" s="13" t="n">
        <f aca="false">IF(H451="Investment",1,0)</f>
        <v>0</v>
      </c>
      <c r="Y451" s="13" t="n">
        <f aca="false">IF(K451="Website",1,0)</f>
        <v>0</v>
      </c>
      <c r="Z451" s="13" t="n">
        <f aca="false">IF(K451="Agency",1,0)</f>
        <v>1</v>
      </c>
      <c r="AA451" s="13" t="n">
        <f aca="false">IF(K451="Client",1,0)</f>
        <v>0</v>
      </c>
      <c r="AB451" s="13" t="n">
        <f aca="false">(D451-AVERAGE(D$2:D$2001))/STDEV(D$2:D$2001)</f>
        <v>0.684049709455938</v>
      </c>
      <c r="AC451" s="13" t="n">
        <f aca="false">(I451-AVERAGE(I$2:I$2001))/STDEV(I$2:I$2001)</f>
        <v>-0.0205155458339628</v>
      </c>
      <c r="AD451" s="13" t="n">
        <f aca="false">(L451-AVERAGE(L$2:L$2001))/STDEV(L$2:L$2001)</f>
        <v>-0.777063122173208</v>
      </c>
      <c r="AE451" s="13" t="n">
        <f aca="false">(M451-AVERAGE(M$2:M$2001))/STDEV(M$2:M$2001)</f>
        <v>0.305200260686208</v>
      </c>
      <c r="AF451" s="13" t="n">
        <f aca="false">(N451-AVERAGE(N$2:N$2001))/STDEV(N$2:N$2001)</f>
        <v>1.55505413718908</v>
      </c>
      <c r="AG451" s="13" t="n">
        <f aca="false">(O451-AVERAGE(O$2:O$2001))/STDEV(O$2:O$2001)</f>
        <v>2.05464873610853</v>
      </c>
      <c r="AH451" s="0" t="str">
        <f aca="false">IF(B451="Company","C3 - Corporate Buyers",IF(AND(H451="Investment",M451&gt;'Segmentation Summary'!$C$1),"C1 - Global Investors",IF(AND(I451&gt;=4,M451&gt;'Segmentation Summary'!$C$1),"C4 - Luxury Investors",IF(AND(D451&lt;'Segmentation Summary'!$C$2,J451=1),"C2 - First-Time Buyers","C5 - Other Individual Buyers"))))</f>
        <v>C5 - Other Individual Buyers</v>
      </c>
    </row>
    <row r="452" customFormat="false" ht="15" hidden="false" customHeight="true" outlineLevel="0" collapsed="false">
      <c r="A452" s="13" t="s">
        <v>966</v>
      </c>
      <c r="B452" s="13" t="s">
        <v>34</v>
      </c>
      <c r="C452" s="13" t="s">
        <v>967</v>
      </c>
      <c r="D452" s="13" t="n">
        <v>65</v>
      </c>
      <c r="E452" s="13" t="s">
        <v>90</v>
      </c>
      <c r="F452" s="13" t="s">
        <v>37</v>
      </c>
      <c r="G452" s="13" t="s">
        <v>572</v>
      </c>
      <c r="H452" s="13" t="s">
        <v>41</v>
      </c>
      <c r="I452" s="13" t="n">
        <v>5</v>
      </c>
      <c r="J452" s="13" t="n">
        <v>0</v>
      </c>
      <c r="K452" s="13" t="s">
        <v>91</v>
      </c>
      <c r="L452" s="13" t="n">
        <v>4</v>
      </c>
      <c r="M452" s="13" t="n">
        <v>841611.53</v>
      </c>
      <c r="N452" s="13" t="n">
        <v>210402.8825</v>
      </c>
      <c r="O452" s="13" t="n">
        <v>727.265</v>
      </c>
      <c r="P452" s="13" t="n">
        <v>1</v>
      </c>
      <c r="Q452" s="13" t="n">
        <v>3</v>
      </c>
      <c r="R452" s="13" t="s">
        <v>98</v>
      </c>
      <c r="S452" s="13" t="s">
        <v>93</v>
      </c>
      <c r="T452" s="13" t="n">
        <v>1</v>
      </c>
      <c r="U452" s="13" t="n">
        <f aca="false">IF(B452="Individual",1,0)</f>
        <v>1</v>
      </c>
      <c r="V452" s="13" t="n">
        <f aca="false">IF(B452="Company",1,0)</f>
        <v>0</v>
      </c>
      <c r="W452" s="13" t="n">
        <f aca="false">IF(H452="Home",1,0)</f>
        <v>1</v>
      </c>
      <c r="X452" s="13" t="n">
        <f aca="false">IF(H452="Investment",1,0)</f>
        <v>0</v>
      </c>
      <c r="Y452" s="13" t="n">
        <f aca="false">IF(K452="Website",1,0)</f>
        <v>0</v>
      </c>
      <c r="Z452" s="13" t="n">
        <f aca="false">IF(K452="Agency",1,0)</f>
        <v>1</v>
      </c>
      <c r="AA452" s="13" t="n">
        <f aca="false">IF(K452="Client",1,0)</f>
        <v>0</v>
      </c>
      <c r="AB452" s="13" t="n">
        <f aca="false">(D452-AVERAGE(D$2:D$2001))/STDEV(D$2:D$2001)</f>
        <v>0.626387253967787</v>
      </c>
      <c r="AC452" s="13" t="n">
        <f aca="false">(I452-AVERAGE(I$2:I$2001))/STDEV(I$2:I$2001)</f>
        <v>1.39434968409451</v>
      </c>
      <c r="AD452" s="13" t="n">
        <f aca="false">(L452-AVERAGE(L$2:L$2001))/STDEV(L$2:L$2001)</f>
        <v>0.413838214490712</v>
      </c>
      <c r="AE452" s="13" t="n">
        <f aca="false">(M452-AVERAGE(M$2:M$2001))/STDEV(M$2:M$2001)</f>
        <v>-1.20393051207178</v>
      </c>
      <c r="AF452" s="13" t="n">
        <f aca="false">(N452-AVERAGE(N$2:N$2001))/STDEV(N$2:N$2001)</f>
        <v>-1.9604633070805</v>
      </c>
      <c r="AG452" s="13" t="n">
        <f aca="false">(O452-AVERAGE(O$2:O$2001))/STDEV(O$2:O$2001)</f>
        <v>-1.91073901868388</v>
      </c>
      <c r="AH452" s="0" t="str">
        <f aca="false">IF(B452="Company","C3 - Corporate Buyers",IF(AND(H452="Investment",M452&gt;'Segmentation Summary'!$C$1),"C1 - Global Investors",IF(AND(I452&gt;=4,M452&gt;'Segmentation Summary'!$C$1),"C4 - Luxury Investors",IF(AND(D452&lt;'Segmentation Summary'!$C$2,J452=1),"C2 - First-Time Buyers","C5 - Other Individual Buyers"))))</f>
        <v>C5 - Other Individual Buyers</v>
      </c>
    </row>
    <row r="453" customFormat="false" ht="15" hidden="false" customHeight="true" outlineLevel="0" collapsed="false">
      <c r="A453" s="13" t="s">
        <v>968</v>
      </c>
      <c r="B453" s="13" t="s">
        <v>34</v>
      </c>
      <c r="C453" s="13" t="s">
        <v>969</v>
      </c>
      <c r="D453" s="13" t="n">
        <v>74</v>
      </c>
      <c r="E453" s="13" t="s">
        <v>90</v>
      </c>
      <c r="F453" s="13" t="s">
        <v>33</v>
      </c>
      <c r="G453" s="13" t="s">
        <v>162</v>
      </c>
      <c r="H453" s="13" t="s">
        <v>41</v>
      </c>
      <c r="I453" s="13" t="n">
        <v>5</v>
      </c>
      <c r="J453" s="13" t="n">
        <v>0</v>
      </c>
      <c r="K453" s="13" t="s">
        <v>91</v>
      </c>
      <c r="L453" s="13" t="n">
        <v>4</v>
      </c>
      <c r="M453" s="13" t="n">
        <v>1022792.49</v>
      </c>
      <c r="N453" s="13" t="n">
        <v>255698.1225</v>
      </c>
      <c r="O453" s="13" t="n">
        <v>823.6625</v>
      </c>
      <c r="P453" s="13" t="n">
        <v>0</v>
      </c>
      <c r="Q453" s="13" t="n">
        <v>4</v>
      </c>
      <c r="R453" s="13" t="s">
        <v>98</v>
      </c>
      <c r="S453" s="13" t="s">
        <v>112</v>
      </c>
      <c r="T453" s="13" t="n">
        <v>1</v>
      </c>
      <c r="U453" s="13" t="n">
        <f aca="false">IF(B453="Individual",1,0)</f>
        <v>1</v>
      </c>
      <c r="V453" s="13" t="n">
        <f aca="false">IF(B453="Company",1,0)</f>
        <v>0</v>
      </c>
      <c r="W453" s="13" t="n">
        <f aca="false">IF(H453="Home",1,0)</f>
        <v>1</v>
      </c>
      <c r="X453" s="13" t="n">
        <f aca="false">IF(H453="Investment",1,0)</f>
        <v>0</v>
      </c>
      <c r="Y453" s="13" t="n">
        <f aca="false">IF(K453="Website",1,0)</f>
        <v>0</v>
      </c>
      <c r="Z453" s="13" t="n">
        <f aca="false">IF(K453="Agency",1,0)</f>
        <v>1</v>
      </c>
      <c r="AA453" s="13" t="n">
        <f aca="false">IF(K453="Client",1,0)</f>
        <v>0</v>
      </c>
      <c r="AB453" s="13" t="n">
        <f aca="false">(D453-AVERAGE(D$2:D$2001))/STDEV(D$2:D$2001)</f>
        <v>1.14534935336115</v>
      </c>
      <c r="AC453" s="13" t="n">
        <f aca="false">(I453-AVERAGE(I$2:I$2001))/STDEV(I$2:I$2001)</f>
        <v>1.39434968409451</v>
      </c>
      <c r="AD453" s="13" t="n">
        <f aca="false">(L453-AVERAGE(L$2:L$2001))/STDEV(L$2:L$2001)</f>
        <v>0.413838214490712</v>
      </c>
      <c r="AE453" s="13" t="n">
        <f aca="false">(M453-AVERAGE(M$2:M$2001))/STDEV(M$2:M$2001)</f>
        <v>-0.683042107681471</v>
      </c>
      <c r="AF453" s="13" t="n">
        <f aca="false">(N453-AVERAGE(N$2:N$2001))/STDEV(N$2:N$2001)</f>
        <v>-1.31080673154173</v>
      </c>
      <c r="AG453" s="13" t="n">
        <f aca="false">(O453-AVERAGE(O$2:O$2001))/STDEV(O$2:O$2001)</f>
        <v>-1.47241432756179</v>
      </c>
      <c r="AH453" s="0" t="str">
        <f aca="false">IF(B453="Company","C3 - Corporate Buyers",IF(AND(H453="Investment",M453&gt;'Segmentation Summary'!$C$1),"C1 - Global Investors",IF(AND(I453&gt;=4,M453&gt;'Segmentation Summary'!$C$1),"C4 - Luxury Investors",IF(AND(D453&lt;'Segmentation Summary'!$C$2,J453=1),"C2 - First-Time Buyers","C5 - Other Individual Buyers"))))</f>
        <v>C5 - Other Individual Buyers</v>
      </c>
    </row>
    <row r="454" customFormat="false" ht="15" hidden="false" customHeight="true" outlineLevel="0" collapsed="false">
      <c r="A454" s="13" t="s">
        <v>970</v>
      </c>
      <c r="B454" s="13" t="s">
        <v>34</v>
      </c>
      <c r="C454" s="13" t="s">
        <v>971</v>
      </c>
      <c r="D454" s="13" t="n">
        <v>66</v>
      </c>
      <c r="E454" s="13" t="s">
        <v>90</v>
      </c>
      <c r="F454" s="13" t="s">
        <v>33</v>
      </c>
      <c r="G454" s="13" t="s">
        <v>100</v>
      </c>
      <c r="H454" s="13" t="s">
        <v>41</v>
      </c>
      <c r="I454" s="13" t="n">
        <v>1</v>
      </c>
      <c r="J454" s="13" t="n">
        <v>1</v>
      </c>
      <c r="K454" s="13" t="s">
        <v>91</v>
      </c>
      <c r="L454" s="13" t="n">
        <v>3</v>
      </c>
      <c r="M454" s="13" t="n">
        <v>894972.26</v>
      </c>
      <c r="N454" s="13" t="n">
        <v>298324.086666667</v>
      </c>
      <c r="O454" s="13" t="n">
        <v>1016.74333333333</v>
      </c>
      <c r="P454" s="13" t="n">
        <v>1</v>
      </c>
      <c r="Q454" s="13" t="n">
        <v>2</v>
      </c>
      <c r="R454" s="13" t="s">
        <v>98</v>
      </c>
      <c r="S454" s="13" t="s">
        <v>150</v>
      </c>
      <c r="T454" s="13" t="n">
        <v>1</v>
      </c>
      <c r="U454" s="13" t="n">
        <f aca="false">IF(B454="Individual",1,0)</f>
        <v>1</v>
      </c>
      <c r="V454" s="13" t="n">
        <f aca="false">IF(B454="Company",1,0)</f>
        <v>0</v>
      </c>
      <c r="W454" s="13" t="n">
        <f aca="false">IF(H454="Home",1,0)</f>
        <v>1</v>
      </c>
      <c r="X454" s="13" t="n">
        <f aca="false">IF(H454="Investment",1,0)</f>
        <v>0</v>
      </c>
      <c r="Y454" s="13" t="n">
        <f aca="false">IF(K454="Website",1,0)</f>
        <v>0</v>
      </c>
      <c r="Z454" s="13" t="n">
        <f aca="false">IF(K454="Agency",1,0)</f>
        <v>1</v>
      </c>
      <c r="AA454" s="13" t="n">
        <f aca="false">IF(K454="Client",1,0)</f>
        <v>0</v>
      </c>
      <c r="AB454" s="13" t="n">
        <f aca="false">(D454-AVERAGE(D$2:D$2001))/STDEV(D$2:D$2001)</f>
        <v>0.684049709455938</v>
      </c>
      <c r="AC454" s="13" t="n">
        <f aca="false">(I454-AVERAGE(I$2:I$2001))/STDEV(I$2:I$2001)</f>
        <v>-1.43538077576244</v>
      </c>
      <c r="AD454" s="13" t="n">
        <f aca="false">(L454-AVERAGE(L$2:L$2001))/STDEV(L$2:L$2001)</f>
        <v>-0.777063122173208</v>
      </c>
      <c r="AE454" s="13" t="n">
        <f aca="false">(M454-AVERAGE(M$2:M$2001))/STDEV(M$2:M$2001)</f>
        <v>-1.05052043240998</v>
      </c>
      <c r="AF454" s="13" t="n">
        <f aca="false">(N454-AVERAGE(N$2:N$2001))/STDEV(N$2:N$2001)</f>
        <v>-0.699434810131116</v>
      </c>
      <c r="AG454" s="13" t="n">
        <f aca="false">(O454-AVERAGE(O$2:O$2001))/STDEV(O$2:O$2001)</f>
        <v>-0.594465245558329</v>
      </c>
      <c r="AH454" s="0" t="str">
        <f aca="false">IF(B454="Company","C3 - Corporate Buyers",IF(AND(H454="Investment",M454&gt;'Segmentation Summary'!$C$1),"C1 - Global Investors",IF(AND(I454&gt;=4,M454&gt;'Segmentation Summary'!$C$1),"C4 - Luxury Investors",IF(AND(D454&lt;'Segmentation Summary'!$C$2,J454=1),"C2 - First-Time Buyers","C5 - Other Individual Buyers"))))</f>
        <v>C5 - Other Individual Buyers</v>
      </c>
    </row>
    <row r="455" customFormat="false" ht="15" hidden="false" customHeight="true" outlineLevel="0" collapsed="false">
      <c r="A455" s="13" t="s">
        <v>972</v>
      </c>
      <c r="B455" s="13" t="s">
        <v>34</v>
      </c>
      <c r="C455" s="13" t="s">
        <v>973</v>
      </c>
      <c r="D455" s="13" t="n">
        <v>34</v>
      </c>
      <c r="E455" s="13" t="s">
        <v>90</v>
      </c>
      <c r="F455" s="13" t="s">
        <v>33</v>
      </c>
      <c r="G455" s="13" t="s">
        <v>145</v>
      </c>
      <c r="H455" s="13" t="s">
        <v>41</v>
      </c>
      <c r="I455" s="13" t="n">
        <v>1</v>
      </c>
      <c r="J455" s="13" t="n">
        <v>0</v>
      </c>
      <c r="K455" s="13" t="s">
        <v>85</v>
      </c>
      <c r="L455" s="13" t="n">
        <v>6</v>
      </c>
      <c r="M455" s="13" t="n">
        <v>2066651.14</v>
      </c>
      <c r="N455" s="13" t="n">
        <v>344441.856666667</v>
      </c>
      <c r="O455" s="13" t="n">
        <v>1135.37</v>
      </c>
      <c r="P455" s="13" t="n">
        <v>2</v>
      </c>
      <c r="Q455" s="13" t="n">
        <v>4</v>
      </c>
      <c r="R455" s="13" t="s">
        <v>98</v>
      </c>
      <c r="S455" s="13" t="s">
        <v>87</v>
      </c>
      <c r="T455" s="13" t="n">
        <v>1</v>
      </c>
      <c r="U455" s="13" t="n">
        <f aca="false">IF(B455="Individual",1,0)</f>
        <v>1</v>
      </c>
      <c r="V455" s="13" t="n">
        <f aca="false">IF(B455="Company",1,0)</f>
        <v>0</v>
      </c>
      <c r="W455" s="13" t="n">
        <f aca="false">IF(H455="Home",1,0)</f>
        <v>1</v>
      </c>
      <c r="X455" s="13" t="n">
        <f aca="false">IF(H455="Investment",1,0)</f>
        <v>0</v>
      </c>
      <c r="Y455" s="13" t="n">
        <f aca="false">IF(K455="Website",1,0)</f>
        <v>1</v>
      </c>
      <c r="Z455" s="13" t="n">
        <f aca="false">IF(K455="Agency",1,0)</f>
        <v>0</v>
      </c>
      <c r="AA455" s="13" t="n">
        <f aca="false">IF(K455="Client",1,0)</f>
        <v>0</v>
      </c>
      <c r="AB455" s="13" t="n">
        <f aca="false">(D455-AVERAGE(D$2:D$2001))/STDEV(D$2:D$2001)</f>
        <v>-1.1611488661649</v>
      </c>
      <c r="AC455" s="13" t="n">
        <f aca="false">(I455-AVERAGE(I$2:I$2001))/STDEV(I$2:I$2001)</f>
        <v>-1.43538077576244</v>
      </c>
      <c r="AD455" s="13" t="n">
        <f aca="false">(L455-AVERAGE(L$2:L$2001))/STDEV(L$2:L$2001)</f>
        <v>2.79564088781855</v>
      </c>
      <c r="AE455" s="13" t="n">
        <f aca="false">(M455-AVERAGE(M$2:M$2001))/STDEV(M$2:M$2001)</f>
        <v>2.31801201305795</v>
      </c>
      <c r="AF455" s="13" t="n">
        <f aca="false">(N455-AVERAGE(N$2:N$2001))/STDEV(N$2:N$2001)</f>
        <v>-0.0379809238136053</v>
      </c>
      <c r="AG455" s="13" t="n">
        <f aca="false">(O455-AVERAGE(O$2:O$2001))/STDEV(O$2:O$2001)</f>
        <v>-0.0550633209699166</v>
      </c>
      <c r="AH455" s="0" t="str">
        <f aca="false">IF(B455="Company","C3 - Corporate Buyers",IF(AND(H455="Investment",M455&gt;'Segmentation Summary'!$C$1),"C1 - Global Investors",IF(AND(I455&gt;=4,M455&gt;'Segmentation Summary'!$C$1),"C4 - Luxury Investors",IF(AND(D455&lt;'Segmentation Summary'!$C$2,J455=1),"C2 - First-Time Buyers","C5 - Other Individual Buyers"))))</f>
        <v>C5 - Other Individual Buyers</v>
      </c>
    </row>
    <row r="456" customFormat="false" ht="15" hidden="false" customHeight="true" outlineLevel="0" collapsed="false">
      <c r="A456" s="13" t="s">
        <v>974</v>
      </c>
      <c r="B456" s="13" t="s">
        <v>34</v>
      </c>
      <c r="C456" s="13" t="s">
        <v>973</v>
      </c>
      <c r="D456" s="13" t="n">
        <v>40</v>
      </c>
      <c r="E456" s="13" t="s">
        <v>90</v>
      </c>
      <c r="F456" s="13" t="s">
        <v>33</v>
      </c>
      <c r="G456" s="13" t="s">
        <v>95</v>
      </c>
      <c r="H456" s="13" t="s">
        <v>43</v>
      </c>
      <c r="I456" s="13" t="n">
        <v>3</v>
      </c>
      <c r="J456" s="13" t="n">
        <v>0</v>
      </c>
      <c r="K456" s="13" t="s">
        <v>85</v>
      </c>
      <c r="L456" s="13" t="n">
        <v>3</v>
      </c>
      <c r="M456" s="13" t="n">
        <v>1210500.79</v>
      </c>
      <c r="N456" s="13" t="n">
        <v>403500.263333333</v>
      </c>
      <c r="O456" s="13" t="n">
        <v>1317.73333333333</v>
      </c>
      <c r="P456" s="13" t="n">
        <v>0</v>
      </c>
      <c r="Q456" s="13" t="n">
        <v>3</v>
      </c>
      <c r="R456" s="13" t="s">
        <v>98</v>
      </c>
      <c r="S456" s="13" t="s">
        <v>150</v>
      </c>
      <c r="T456" s="13" t="n">
        <v>1</v>
      </c>
      <c r="U456" s="13" t="n">
        <f aca="false">IF(B456="Individual",1,0)</f>
        <v>1</v>
      </c>
      <c r="V456" s="13" t="n">
        <f aca="false">IF(B456="Company",1,0)</f>
        <v>0</v>
      </c>
      <c r="W456" s="13" t="n">
        <f aca="false">IF(H456="Home",1,0)</f>
        <v>0</v>
      </c>
      <c r="X456" s="13" t="n">
        <f aca="false">IF(H456="Investment",1,0)</f>
        <v>1</v>
      </c>
      <c r="Y456" s="13" t="n">
        <f aca="false">IF(K456="Website",1,0)</f>
        <v>1</v>
      </c>
      <c r="Z456" s="13" t="n">
        <f aca="false">IF(K456="Agency",1,0)</f>
        <v>0</v>
      </c>
      <c r="AA456" s="13" t="n">
        <f aca="false">IF(K456="Client",1,0)</f>
        <v>0</v>
      </c>
      <c r="AB456" s="13" t="n">
        <f aca="false">(D456-AVERAGE(D$2:D$2001))/STDEV(D$2:D$2001)</f>
        <v>-0.815174133235994</v>
      </c>
      <c r="AC456" s="13" t="n">
        <f aca="false">(I456-AVERAGE(I$2:I$2001))/STDEV(I$2:I$2001)</f>
        <v>-0.0205155458339628</v>
      </c>
      <c r="AD456" s="13" t="n">
        <f aca="false">(L456-AVERAGE(L$2:L$2001))/STDEV(L$2:L$2001)</f>
        <v>-0.777063122173208</v>
      </c>
      <c r="AE456" s="13" t="n">
        <f aca="false">(M456-AVERAGE(M$2:M$2001))/STDEV(M$2:M$2001)</f>
        <v>-0.143387847775697</v>
      </c>
      <c r="AF456" s="13" t="n">
        <f aca="false">(N456-AVERAGE(N$2:N$2001))/STDEV(N$2:N$2001)</f>
        <v>0.80907678538149</v>
      </c>
      <c r="AG456" s="13" t="n">
        <f aca="false">(O456-AVERAGE(O$2:O$2001))/STDEV(O$2:O$2001)</f>
        <v>0.774152703878519</v>
      </c>
      <c r="AH456" s="0" t="str">
        <f aca="false">IF(B456="Company","C3 - Corporate Buyers",IF(AND(H456="Investment",M456&gt;'Segmentation Summary'!$C$1),"C1 - Global Investors",IF(AND(I456&gt;=4,M456&gt;'Segmentation Summary'!$C$1),"C4 - Luxury Investors",IF(AND(D456&lt;'Segmentation Summary'!$C$2,J456=1),"C2 - First-Time Buyers","C5 - Other Individual Buyers"))))</f>
        <v>C5 - Other Individual Buyers</v>
      </c>
    </row>
    <row r="457" customFormat="false" ht="15" hidden="false" customHeight="true" outlineLevel="0" collapsed="false">
      <c r="A457" s="13" t="s">
        <v>975</v>
      </c>
      <c r="B457" s="13" t="s">
        <v>34</v>
      </c>
      <c r="C457" s="13" t="s">
        <v>976</v>
      </c>
      <c r="D457" s="13" t="n">
        <v>40</v>
      </c>
      <c r="E457" s="13" t="s">
        <v>90</v>
      </c>
      <c r="F457" s="13" t="s">
        <v>37</v>
      </c>
      <c r="G457" s="13" t="s">
        <v>676</v>
      </c>
      <c r="H457" s="13" t="s">
        <v>43</v>
      </c>
      <c r="I457" s="13" t="n">
        <v>1</v>
      </c>
      <c r="J457" s="13" t="n">
        <v>0</v>
      </c>
      <c r="K457" s="13" t="s">
        <v>85</v>
      </c>
      <c r="L457" s="13" t="n">
        <v>4</v>
      </c>
      <c r="M457" s="13" t="n">
        <v>1261072.17</v>
      </c>
      <c r="N457" s="13" t="n">
        <v>315268.0425</v>
      </c>
      <c r="O457" s="13" t="n">
        <v>1014.9825</v>
      </c>
      <c r="P457" s="13" t="n">
        <v>0</v>
      </c>
      <c r="Q457" s="13" t="n">
        <v>4</v>
      </c>
      <c r="R457" s="13" t="s">
        <v>124</v>
      </c>
      <c r="S457" s="13" t="s">
        <v>133</v>
      </c>
      <c r="T457" s="13" t="n">
        <v>1</v>
      </c>
      <c r="U457" s="13" t="n">
        <f aca="false">IF(B457="Individual",1,0)</f>
        <v>1</v>
      </c>
      <c r="V457" s="13" t="n">
        <f aca="false">IF(B457="Company",1,0)</f>
        <v>0</v>
      </c>
      <c r="W457" s="13" t="n">
        <f aca="false">IF(H457="Home",1,0)</f>
        <v>0</v>
      </c>
      <c r="X457" s="13" t="n">
        <f aca="false">IF(H457="Investment",1,0)</f>
        <v>1</v>
      </c>
      <c r="Y457" s="13" t="n">
        <f aca="false">IF(K457="Website",1,0)</f>
        <v>1</v>
      </c>
      <c r="Z457" s="13" t="n">
        <f aca="false">IF(K457="Agency",1,0)</f>
        <v>0</v>
      </c>
      <c r="AA457" s="13" t="n">
        <f aca="false">IF(K457="Client",1,0)</f>
        <v>0</v>
      </c>
      <c r="AB457" s="13" t="n">
        <f aca="false">(D457-AVERAGE(D$2:D$2001))/STDEV(D$2:D$2001)</f>
        <v>-0.815174133235994</v>
      </c>
      <c r="AC457" s="13" t="n">
        <f aca="false">(I457-AVERAGE(I$2:I$2001))/STDEV(I$2:I$2001)</f>
        <v>-1.43538077576244</v>
      </c>
      <c r="AD457" s="13" t="n">
        <f aca="false">(L457-AVERAGE(L$2:L$2001))/STDEV(L$2:L$2001)</f>
        <v>0.413838214490712</v>
      </c>
      <c r="AE457" s="13" t="n">
        <f aca="false">(M457-AVERAGE(M$2:M$2001))/STDEV(M$2:M$2001)</f>
        <v>0.002002956180834</v>
      </c>
      <c r="AF457" s="13" t="n">
        <f aca="false">(N457-AVERAGE(N$2:N$2001))/STDEV(N$2:N$2001)</f>
        <v>-0.45641253399872</v>
      </c>
      <c r="AG457" s="13" t="n">
        <f aca="false">(O457-AVERAGE(O$2:O$2001))/STDEV(O$2:O$2001)</f>
        <v>-0.602471850780969</v>
      </c>
      <c r="AH457" s="0" t="str">
        <f aca="false">IF(B457="Company","C3 - Corporate Buyers",IF(AND(H457="Investment",M457&gt;'Segmentation Summary'!$C$1),"C1 - Global Investors",IF(AND(I457&gt;=4,M457&gt;'Segmentation Summary'!$C$1),"C4 - Luxury Investors",IF(AND(D457&lt;'Segmentation Summary'!$C$2,J457=1),"C2 - First-Time Buyers","C5 - Other Individual Buyers"))))</f>
        <v>C1 - Global Investors</v>
      </c>
    </row>
    <row r="458" customFormat="false" ht="15" hidden="false" customHeight="true" outlineLevel="0" collapsed="false">
      <c r="A458" s="13" t="s">
        <v>977</v>
      </c>
      <c r="B458" s="13" t="s">
        <v>34</v>
      </c>
      <c r="C458" s="13" t="s">
        <v>978</v>
      </c>
      <c r="D458" s="13" t="n">
        <v>46</v>
      </c>
      <c r="E458" s="13" t="s">
        <v>90</v>
      </c>
      <c r="F458" s="13" t="s">
        <v>33</v>
      </c>
      <c r="G458" s="13" t="s">
        <v>265</v>
      </c>
      <c r="H458" s="13" t="s">
        <v>41</v>
      </c>
      <c r="I458" s="13" t="n">
        <v>4</v>
      </c>
      <c r="J458" s="13" t="n">
        <v>0</v>
      </c>
      <c r="K458" s="13" t="s">
        <v>91</v>
      </c>
      <c r="L458" s="13" t="n">
        <v>3</v>
      </c>
      <c r="M458" s="13" t="n">
        <v>1310435.53</v>
      </c>
      <c r="N458" s="13" t="n">
        <v>436811.843333333</v>
      </c>
      <c r="O458" s="13" t="n">
        <v>1465.92</v>
      </c>
      <c r="P458" s="13" t="n">
        <v>0</v>
      </c>
      <c r="Q458" s="13" t="n">
        <v>3</v>
      </c>
      <c r="R458" s="13" t="s">
        <v>86</v>
      </c>
      <c r="S458" s="13" t="s">
        <v>103</v>
      </c>
      <c r="T458" s="13" t="n">
        <v>1</v>
      </c>
      <c r="U458" s="13" t="n">
        <f aca="false">IF(B458="Individual",1,0)</f>
        <v>1</v>
      </c>
      <c r="V458" s="13" t="n">
        <f aca="false">IF(B458="Company",1,0)</f>
        <v>0</v>
      </c>
      <c r="W458" s="13" t="n">
        <f aca="false">IF(H458="Home",1,0)</f>
        <v>1</v>
      </c>
      <c r="X458" s="13" t="n">
        <f aca="false">IF(H458="Investment",1,0)</f>
        <v>0</v>
      </c>
      <c r="Y458" s="13" t="n">
        <f aca="false">IF(K458="Website",1,0)</f>
        <v>0</v>
      </c>
      <c r="Z458" s="13" t="n">
        <f aca="false">IF(K458="Agency",1,0)</f>
        <v>1</v>
      </c>
      <c r="AA458" s="13" t="n">
        <f aca="false">IF(K458="Client",1,0)</f>
        <v>0</v>
      </c>
      <c r="AB458" s="13" t="n">
        <f aca="false">(D458-AVERAGE(D$2:D$2001))/STDEV(D$2:D$2001)</f>
        <v>-0.469199400307086</v>
      </c>
      <c r="AC458" s="13" t="n">
        <f aca="false">(I458-AVERAGE(I$2:I$2001))/STDEV(I$2:I$2001)</f>
        <v>0.686917069130275</v>
      </c>
      <c r="AD458" s="13" t="n">
        <f aca="false">(L458-AVERAGE(L$2:L$2001))/STDEV(L$2:L$2001)</f>
        <v>-0.777063122173208</v>
      </c>
      <c r="AE458" s="13" t="n">
        <f aca="false">(M458-AVERAGE(M$2:M$2001))/STDEV(M$2:M$2001)</f>
        <v>0.143920748346989</v>
      </c>
      <c r="AF458" s="13" t="n">
        <f aca="false">(N458-AVERAGE(N$2:N$2001))/STDEV(N$2:N$2001)</f>
        <v>1.28685517862073</v>
      </c>
      <c r="AG458" s="13" t="n">
        <f aca="false">(O458-AVERAGE(O$2:O$2001))/STDEV(O$2:O$2001)</f>
        <v>1.44796556100739</v>
      </c>
      <c r="AH458" s="0" t="str">
        <f aca="false">IF(B458="Company","C3 - Corporate Buyers",IF(AND(H458="Investment",M458&gt;'Segmentation Summary'!$C$1),"C1 - Global Investors",IF(AND(I458&gt;=4,M458&gt;'Segmentation Summary'!$C$1),"C4 - Luxury Investors",IF(AND(D458&lt;'Segmentation Summary'!$C$2,J458=1),"C2 - First-Time Buyers","C5 - Other Individual Buyers"))))</f>
        <v>C4 - Luxury Investors</v>
      </c>
    </row>
    <row r="459" customFormat="false" ht="15" hidden="false" customHeight="true" outlineLevel="0" collapsed="false">
      <c r="A459" s="13" t="s">
        <v>979</v>
      </c>
      <c r="B459" s="13" t="s">
        <v>34</v>
      </c>
      <c r="C459" s="13" t="s">
        <v>980</v>
      </c>
      <c r="D459" s="13" t="n">
        <v>32</v>
      </c>
      <c r="E459" s="13" t="s">
        <v>90</v>
      </c>
      <c r="F459" s="13" t="s">
        <v>33</v>
      </c>
      <c r="G459" s="13" t="s">
        <v>95</v>
      </c>
      <c r="H459" s="13" t="s">
        <v>41</v>
      </c>
      <c r="I459" s="13" t="n">
        <v>3</v>
      </c>
      <c r="J459" s="13" t="n">
        <v>0</v>
      </c>
      <c r="K459" s="13" t="s">
        <v>85</v>
      </c>
      <c r="L459" s="13" t="n">
        <v>3</v>
      </c>
      <c r="M459" s="13" t="n">
        <v>872825.73</v>
      </c>
      <c r="N459" s="13" t="n">
        <v>290941.91</v>
      </c>
      <c r="O459" s="13" t="n">
        <v>1072.72666666667</v>
      </c>
      <c r="P459" s="13" t="n">
        <v>0</v>
      </c>
      <c r="Q459" s="13" t="n">
        <v>3</v>
      </c>
      <c r="R459" s="13" t="s">
        <v>101</v>
      </c>
      <c r="S459" s="13" t="s">
        <v>150</v>
      </c>
      <c r="T459" s="13" t="n">
        <v>1</v>
      </c>
      <c r="U459" s="13" t="n">
        <f aca="false">IF(B459="Individual",1,0)</f>
        <v>1</v>
      </c>
      <c r="V459" s="13" t="n">
        <f aca="false">IF(B459="Company",1,0)</f>
        <v>0</v>
      </c>
      <c r="W459" s="13" t="n">
        <f aca="false">IF(H459="Home",1,0)</f>
        <v>1</v>
      </c>
      <c r="X459" s="13" t="n">
        <f aca="false">IF(H459="Investment",1,0)</f>
        <v>0</v>
      </c>
      <c r="Y459" s="13" t="n">
        <f aca="false">IF(K459="Website",1,0)</f>
        <v>1</v>
      </c>
      <c r="Z459" s="13" t="n">
        <f aca="false">IF(K459="Agency",1,0)</f>
        <v>0</v>
      </c>
      <c r="AA459" s="13" t="n">
        <f aca="false">IF(K459="Client",1,0)</f>
        <v>0</v>
      </c>
      <c r="AB459" s="13" t="n">
        <f aca="false">(D459-AVERAGE(D$2:D$2001))/STDEV(D$2:D$2001)</f>
        <v>-1.2764737771412</v>
      </c>
      <c r="AC459" s="13" t="n">
        <f aca="false">(I459-AVERAGE(I$2:I$2001))/STDEV(I$2:I$2001)</f>
        <v>-0.0205155458339628</v>
      </c>
      <c r="AD459" s="13" t="n">
        <f aca="false">(L459-AVERAGE(L$2:L$2001))/STDEV(L$2:L$2001)</f>
        <v>-0.777063122173208</v>
      </c>
      <c r="AE459" s="13" t="n">
        <f aca="false">(M459-AVERAGE(M$2:M$2001))/STDEV(M$2:M$2001)</f>
        <v>-1.11419086816924</v>
      </c>
      <c r="AF459" s="13" t="n">
        <f aca="false">(N459-AVERAGE(N$2:N$2001))/STDEV(N$2:N$2001)</f>
        <v>-0.805315242893788</v>
      </c>
      <c r="AG459" s="13" t="n">
        <f aca="false">(O459-AVERAGE(O$2:O$2001))/STDEV(O$2:O$2001)</f>
        <v>-0.339905974920383</v>
      </c>
      <c r="AH459" s="0" t="str">
        <f aca="false">IF(B459="Company","C3 - Corporate Buyers",IF(AND(H459="Investment",M459&gt;'Segmentation Summary'!$C$1),"C1 - Global Investors",IF(AND(I459&gt;=4,M459&gt;'Segmentation Summary'!$C$1),"C4 - Luxury Investors",IF(AND(D459&lt;'Segmentation Summary'!$C$2,J459=1),"C2 - First-Time Buyers","C5 - Other Individual Buyers"))))</f>
        <v>C5 - Other Individual Buyers</v>
      </c>
    </row>
    <row r="460" customFormat="false" ht="15" hidden="false" customHeight="true" outlineLevel="0" collapsed="false">
      <c r="A460" s="13" t="s">
        <v>981</v>
      </c>
      <c r="B460" s="13" t="s">
        <v>34</v>
      </c>
      <c r="C460" s="13" t="s">
        <v>980</v>
      </c>
      <c r="D460" s="13" t="n">
        <v>50</v>
      </c>
      <c r="E460" s="13" t="s">
        <v>90</v>
      </c>
      <c r="F460" s="13" t="s">
        <v>47</v>
      </c>
      <c r="G460" s="13" t="s">
        <v>982</v>
      </c>
      <c r="H460" s="13" t="s">
        <v>41</v>
      </c>
      <c r="I460" s="13" t="n">
        <v>3</v>
      </c>
      <c r="J460" s="13" t="n">
        <v>0</v>
      </c>
      <c r="K460" s="13" t="s">
        <v>85</v>
      </c>
      <c r="L460" s="13" t="n">
        <v>3</v>
      </c>
      <c r="M460" s="13" t="n">
        <v>1033995.96</v>
      </c>
      <c r="N460" s="13" t="n">
        <v>344665.32</v>
      </c>
      <c r="O460" s="13" t="n">
        <v>1092.54</v>
      </c>
      <c r="P460" s="13" t="n">
        <v>0</v>
      </c>
      <c r="Q460" s="13" t="n">
        <v>3</v>
      </c>
      <c r="R460" s="13" t="s">
        <v>215</v>
      </c>
      <c r="S460" s="13" t="s">
        <v>125</v>
      </c>
      <c r="T460" s="13" t="n">
        <v>1</v>
      </c>
      <c r="U460" s="13" t="n">
        <f aca="false">IF(B460="Individual",1,0)</f>
        <v>1</v>
      </c>
      <c r="V460" s="13" t="n">
        <f aca="false">IF(B460="Company",1,0)</f>
        <v>0</v>
      </c>
      <c r="W460" s="13" t="n">
        <f aca="false">IF(H460="Home",1,0)</f>
        <v>1</v>
      </c>
      <c r="X460" s="13" t="n">
        <f aca="false">IF(H460="Investment",1,0)</f>
        <v>0</v>
      </c>
      <c r="Y460" s="13" t="n">
        <f aca="false">IF(K460="Website",1,0)</f>
        <v>1</v>
      </c>
      <c r="Z460" s="13" t="n">
        <f aca="false">IF(K460="Agency",1,0)</f>
        <v>0</v>
      </c>
      <c r="AA460" s="13" t="n">
        <f aca="false">IF(K460="Client",1,0)</f>
        <v>0</v>
      </c>
      <c r="AB460" s="13" t="n">
        <f aca="false">(D460-AVERAGE(D$2:D$2001))/STDEV(D$2:D$2001)</f>
        <v>-0.238549578354482</v>
      </c>
      <c r="AC460" s="13" t="n">
        <f aca="false">(I460-AVERAGE(I$2:I$2001))/STDEV(I$2:I$2001)</f>
        <v>-0.0205155458339628</v>
      </c>
      <c r="AD460" s="13" t="n">
        <f aca="false">(L460-AVERAGE(L$2:L$2001))/STDEV(L$2:L$2001)</f>
        <v>-0.777063122173208</v>
      </c>
      <c r="AE460" s="13" t="n">
        <f aca="false">(M460-AVERAGE(M$2:M$2001))/STDEV(M$2:M$2001)</f>
        <v>-0.650832555353596</v>
      </c>
      <c r="AF460" s="13" t="n">
        <f aca="false">(N460-AVERAGE(N$2:N$2001))/STDEV(N$2:N$2001)</f>
        <v>-0.0347758536143612</v>
      </c>
      <c r="AG460" s="13" t="n">
        <f aca="false">(O460-AVERAGE(O$2:O$2001))/STDEV(O$2:O$2001)</f>
        <v>-0.249813667407938</v>
      </c>
      <c r="AH460" s="0" t="str">
        <f aca="false">IF(B460="Company","C3 - Corporate Buyers",IF(AND(H460="Investment",M460&gt;'Segmentation Summary'!$C$1),"C1 - Global Investors",IF(AND(I460&gt;=4,M460&gt;'Segmentation Summary'!$C$1),"C4 - Luxury Investors",IF(AND(D460&lt;'Segmentation Summary'!$C$2,J460=1),"C2 - First-Time Buyers","C5 - Other Individual Buyers"))))</f>
        <v>C5 - Other Individual Buyers</v>
      </c>
    </row>
    <row r="461" customFormat="false" ht="15" hidden="false" customHeight="true" outlineLevel="0" collapsed="false">
      <c r="A461" s="13" t="s">
        <v>983</v>
      </c>
      <c r="B461" s="13" t="s">
        <v>34</v>
      </c>
      <c r="C461" s="13" t="s">
        <v>984</v>
      </c>
      <c r="D461" s="13" t="n">
        <v>44</v>
      </c>
      <c r="E461" s="13" t="s">
        <v>83</v>
      </c>
      <c r="F461" s="13" t="s">
        <v>33</v>
      </c>
      <c r="G461" s="13" t="s">
        <v>95</v>
      </c>
      <c r="H461" s="13" t="s">
        <v>41</v>
      </c>
      <c r="I461" s="13" t="n">
        <v>5</v>
      </c>
      <c r="J461" s="13" t="n">
        <v>0</v>
      </c>
      <c r="K461" s="13" t="s">
        <v>85</v>
      </c>
      <c r="L461" s="13" t="n">
        <v>5</v>
      </c>
      <c r="M461" s="13" t="n">
        <v>1880012.18</v>
      </c>
      <c r="N461" s="13" t="n">
        <v>376002.436</v>
      </c>
      <c r="O461" s="13" t="n">
        <v>1191.826</v>
      </c>
      <c r="P461" s="13" t="n">
        <v>2</v>
      </c>
      <c r="Q461" s="13" t="n">
        <v>3</v>
      </c>
      <c r="R461" s="13" t="s">
        <v>86</v>
      </c>
      <c r="S461" s="13" t="s">
        <v>133</v>
      </c>
      <c r="T461" s="13" t="n">
        <v>1</v>
      </c>
      <c r="U461" s="13" t="n">
        <f aca="false">IF(B461="Individual",1,0)</f>
        <v>1</v>
      </c>
      <c r="V461" s="13" t="n">
        <f aca="false">IF(B461="Company",1,0)</f>
        <v>0</v>
      </c>
      <c r="W461" s="13" t="n">
        <f aca="false">IF(H461="Home",1,0)</f>
        <v>1</v>
      </c>
      <c r="X461" s="13" t="n">
        <f aca="false">IF(H461="Investment",1,0)</f>
        <v>0</v>
      </c>
      <c r="Y461" s="13" t="n">
        <f aca="false">IF(K461="Website",1,0)</f>
        <v>1</v>
      </c>
      <c r="Z461" s="13" t="n">
        <f aca="false">IF(K461="Agency",1,0)</f>
        <v>0</v>
      </c>
      <c r="AA461" s="13" t="n">
        <f aca="false">IF(K461="Client",1,0)</f>
        <v>0</v>
      </c>
      <c r="AB461" s="13" t="n">
        <f aca="false">(D461-AVERAGE(D$2:D$2001))/STDEV(D$2:D$2001)</f>
        <v>-0.584524311283389</v>
      </c>
      <c r="AC461" s="13" t="n">
        <f aca="false">(I461-AVERAGE(I$2:I$2001))/STDEV(I$2:I$2001)</f>
        <v>1.39434968409451</v>
      </c>
      <c r="AD461" s="13" t="n">
        <f aca="false">(L461-AVERAGE(L$2:L$2001))/STDEV(L$2:L$2001)</f>
        <v>1.60473955115463</v>
      </c>
      <c r="AE461" s="13" t="n">
        <f aca="false">(M461-AVERAGE(M$2:M$2001))/STDEV(M$2:M$2001)</f>
        <v>1.78143206518999</v>
      </c>
      <c r="AF461" s="13" t="n">
        <f aca="false">(N461-AVERAGE(N$2:N$2001))/STDEV(N$2:N$2001)</f>
        <v>0.414683371412839</v>
      </c>
      <c r="AG461" s="13" t="n">
        <f aca="false">(O461-AVERAGE(O$2:O$2001))/STDEV(O$2:O$2001)</f>
        <v>0.201645190785979</v>
      </c>
      <c r="AH461" s="0" t="str">
        <f aca="false">IF(B461="Company","C3 - Corporate Buyers",IF(AND(H461="Investment",M461&gt;'Segmentation Summary'!$C$1),"C1 - Global Investors",IF(AND(I461&gt;=4,M461&gt;'Segmentation Summary'!$C$1),"C4 - Luxury Investors",IF(AND(D461&lt;'Segmentation Summary'!$C$2,J461=1),"C2 - First-Time Buyers","C5 - Other Individual Buyers"))))</f>
        <v>C4 - Luxury Investors</v>
      </c>
    </row>
    <row r="462" customFormat="false" ht="15" hidden="false" customHeight="true" outlineLevel="0" collapsed="false">
      <c r="A462" s="13" t="s">
        <v>985</v>
      </c>
      <c r="B462" s="13" t="s">
        <v>34</v>
      </c>
      <c r="C462" s="13" t="s">
        <v>986</v>
      </c>
      <c r="D462" s="13" t="n">
        <v>84</v>
      </c>
      <c r="E462" s="13" t="s">
        <v>83</v>
      </c>
      <c r="F462" s="13" t="s">
        <v>33</v>
      </c>
      <c r="G462" s="13" t="s">
        <v>84</v>
      </c>
      <c r="H462" s="13" t="s">
        <v>41</v>
      </c>
      <c r="I462" s="13" t="n">
        <v>5</v>
      </c>
      <c r="J462" s="13" t="n">
        <v>0</v>
      </c>
      <c r="K462" s="13" t="s">
        <v>91</v>
      </c>
      <c r="L462" s="13" t="n">
        <v>3</v>
      </c>
      <c r="M462" s="13" t="n">
        <v>1167625.18</v>
      </c>
      <c r="N462" s="13" t="n">
        <v>389208.393333333</v>
      </c>
      <c r="O462" s="13" t="n">
        <v>1321.50333333333</v>
      </c>
      <c r="P462" s="13" t="n">
        <v>0</v>
      </c>
      <c r="Q462" s="13" t="n">
        <v>3</v>
      </c>
      <c r="R462" s="13" t="s">
        <v>121</v>
      </c>
      <c r="S462" s="13" t="s">
        <v>125</v>
      </c>
      <c r="T462" s="13" t="n">
        <v>1</v>
      </c>
      <c r="U462" s="13" t="n">
        <f aca="false">IF(B462="Individual",1,0)</f>
        <v>1</v>
      </c>
      <c r="V462" s="13" t="n">
        <f aca="false">IF(B462="Company",1,0)</f>
        <v>0</v>
      </c>
      <c r="W462" s="13" t="n">
        <f aca="false">IF(H462="Home",1,0)</f>
        <v>1</v>
      </c>
      <c r="X462" s="13" t="n">
        <f aca="false">IF(H462="Investment",1,0)</f>
        <v>0</v>
      </c>
      <c r="Y462" s="13" t="n">
        <f aca="false">IF(K462="Website",1,0)</f>
        <v>0</v>
      </c>
      <c r="Z462" s="13" t="n">
        <f aca="false">IF(K462="Agency",1,0)</f>
        <v>1</v>
      </c>
      <c r="AA462" s="13" t="n">
        <f aca="false">IF(K462="Client",1,0)</f>
        <v>0</v>
      </c>
      <c r="AB462" s="13" t="n">
        <f aca="false">(D462-AVERAGE(D$2:D$2001))/STDEV(D$2:D$2001)</f>
        <v>1.72197390824266</v>
      </c>
      <c r="AC462" s="13" t="n">
        <f aca="false">(I462-AVERAGE(I$2:I$2001))/STDEV(I$2:I$2001)</f>
        <v>1.39434968409451</v>
      </c>
      <c r="AD462" s="13" t="n">
        <f aca="false">(L462-AVERAGE(L$2:L$2001))/STDEV(L$2:L$2001)</f>
        <v>-0.777063122173208</v>
      </c>
      <c r="AE462" s="13" t="n">
        <f aca="false">(M462-AVERAGE(M$2:M$2001))/STDEV(M$2:M$2001)</f>
        <v>-0.266653604178363</v>
      </c>
      <c r="AF462" s="13" t="n">
        <f aca="false">(N462-AVERAGE(N$2:N$2001))/STDEV(N$2:N$2001)</f>
        <v>0.604092612160524</v>
      </c>
      <c r="AG462" s="13" t="n">
        <f aca="false">(O462-AVERAGE(O$2:O$2001))/STDEV(O$2:O$2001)</f>
        <v>0.791295099537435</v>
      </c>
      <c r="AH462" s="0" t="str">
        <f aca="false">IF(B462="Company","C3 - Corporate Buyers",IF(AND(H462="Investment",M462&gt;'Segmentation Summary'!$C$1),"C1 - Global Investors",IF(AND(I462&gt;=4,M462&gt;'Segmentation Summary'!$C$1),"C4 - Luxury Investors",IF(AND(D462&lt;'Segmentation Summary'!$C$2,J462=1),"C2 - First-Time Buyers","C5 - Other Individual Buyers"))))</f>
        <v>C5 - Other Individual Buyers</v>
      </c>
    </row>
    <row r="463" customFormat="false" ht="15" hidden="false" customHeight="true" outlineLevel="0" collapsed="false">
      <c r="A463" s="13" t="s">
        <v>987</v>
      </c>
      <c r="B463" s="13" t="s">
        <v>34</v>
      </c>
      <c r="C463" s="13" t="s">
        <v>988</v>
      </c>
      <c r="D463" s="13" t="n">
        <v>62</v>
      </c>
      <c r="E463" s="13" t="s">
        <v>83</v>
      </c>
      <c r="F463" s="13" t="s">
        <v>33</v>
      </c>
      <c r="G463" s="13" t="s">
        <v>120</v>
      </c>
      <c r="H463" s="13" t="s">
        <v>41</v>
      </c>
      <c r="I463" s="13" t="n">
        <v>3</v>
      </c>
      <c r="J463" s="13" t="n">
        <v>1</v>
      </c>
      <c r="K463" s="13" t="s">
        <v>85</v>
      </c>
      <c r="L463" s="13" t="n">
        <v>3</v>
      </c>
      <c r="M463" s="13" t="n">
        <v>979418.98</v>
      </c>
      <c r="N463" s="13" t="n">
        <v>326472.993333333</v>
      </c>
      <c r="O463" s="13" t="n">
        <v>1106.35333333333</v>
      </c>
      <c r="P463" s="13" t="n">
        <v>0</v>
      </c>
      <c r="Q463" s="13" t="n">
        <v>3</v>
      </c>
      <c r="R463" s="13" t="s">
        <v>111</v>
      </c>
      <c r="S463" s="13" t="s">
        <v>164</v>
      </c>
      <c r="T463" s="13" t="n">
        <v>1</v>
      </c>
      <c r="U463" s="13" t="n">
        <f aca="false">IF(B463="Individual",1,0)</f>
        <v>1</v>
      </c>
      <c r="V463" s="13" t="n">
        <f aca="false">IF(B463="Company",1,0)</f>
        <v>0</v>
      </c>
      <c r="W463" s="13" t="n">
        <f aca="false">IF(H463="Home",1,0)</f>
        <v>1</v>
      </c>
      <c r="X463" s="13" t="n">
        <f aca="false">IF(H463="Investment",1,0)</f>
        <v>0</v>
      </c>
      <c r="Y463" s="13" t="n">
        <f aca="false">IF(K463="Website",1,0)</f>
        <v>1</v>
      </c>
      <c r="Z463" s="13" t="n">
        <f aca="false">IF(K463="Agency",1,0)</f>
        <v>0</v>
      </c>
      <c r="AA463" s="13" t="n">
        <f aca="false">IF(K463="Client",1,0)</f>
        <v>0</v>
      </c>
      <c r="AB463" s="13" t="n">
        <f aca="false">(D463-AVERAGE(D$2:D$2001))/STDEV(D$2:D$2001)</f>
        <v>0.453399887503333</v>
      </c>
      <c r="AC463" s="13" t="n">
        <f aca="false">(I463-AVERAGE(I$2:I$2001))/STDEV(I$2:I$2001)</f>
        <v>-0.0205155458339628</v>
      </c>
      <c r="AD463" s="13" t="n">
        <f aca="false">(L463-AVERAGE(L$2:L$2001))/STDEV(L$2:L$2001)</f>
        <v>-0.777063122173208</v>
      </c>
      <c r="AE463" s="13" t="n">
        <f aca="false">(M463-AVERAGE(M$2:M$2001))/STDEV(M$2:M$2001)</f>
        <v>-0.807739307744365</v>
      </c>
      <c r="AF463" s="13" t="n">
        <f aca="false">(N463-AVERAGE(N$2:N$2001))/STDEV(N$2:N$2001)</f>
        <v>-0.295703152892375</v>
      </c>
      <c r="AG463" s="13" t="n">
        <f aca="false">(O463-AVERAGE(O$2:O$2001))/STDEV(O$2:O$2001)</f>
        <v>-0.187003687204111</v>
      </c>
      <c r="AH463" s="0" t="str">
        <f aca="false">IF(B463="Company","C3 - Corporate Buyers",IF(AND(H463="Investment",M463&gt;'Segmentation Summary'!$C$1),"C1 - Global Investors",IF(AND(I463&gt;=4,M463&gt;'Segmentation Summary'!$C$1),"C4 - Luxury Investors",IF(AND(D463&lt;'Segmentation Summary'!$C$2,J463=1),"C2 - First-Time Buyers","C5 - Other Individual Buyers"))))</f>
        <v>C5 - Other Individual Buyers</v>
      </c>
    </row>
    <row r="464" customFormat="false" ht="15" hidden="false" customHeight="true" outlineLevel="0" collapsed="false">
      <c r="A464" s="13" t="s">
        <v>989</v>
      </c>
      <c r="B464" s="13" t="s">
        <v>34</v>
      </c>
      <c r="C464" s="13" t="s">
        <v>990</v>
      </c>
      <c r="D464" s="13" t="n">
        <v>71</v>
      </c>
      <c r="E464" s="13" t="s">
        <v>83</v>
      </c>
      <c r="F464" s="13" t="s">
        <v>38</v>
      </c>
      <c r="G464" s="13" t="s">
        <v>665</v>
      </c>
      <c r="H464" s="13" t="s">
        <v>41</v>
      </c>
      <c r="I464" s="13" t="n">
        <v>4</v>
      </c>
      <c r="J464" s="13" t="n">
        <v>0</v>
      </c>
      <c r="K464" s="13" t="s">
        <v>85</v>
      </c>
      <c r="L464" s="13" t="n">
        <v>3</v>
      </c>
      <c r="M464" s="13" t="n">
        <v>1358111.07</v>
      </c>
      <c r="N464" s="13" t="n">
        <v>452703.69</v>
      </c>
      <c r="O464" s="13" t="n">
        <v>1493.24333333333</v>
      </c>
      <c r="P464" s="13" t="n">
        <v>0</v>
      </c>
      <c r="Q464" s="13" t="n">
        <v>3</v>
      </c>
      <c r="R464" s="13" t="s">
        <v>117</v>
      </c>
      <c r="S464" s="13" t="s">
        <v>112</v>
      </c>
      <c r="T464" s="13" t="n">
        <v>1</v>
      </c>
      <c r="U464" s="13" t="n">
        <f aca="false">IF(B464="Individual",1,0)</f>
        <v>1</v>
      </c>
      <c r="V464" s="13" t="n">
        <f aca="false">IF(B464="Company",1,0)</f>
        <v>0</v>
      </c>
      <c r="W464" s="13" t="n">
        <f aca="false">IF(H464="Home",1,0)</f>
        <v>1</v>
      </c>
      <c r="X464" s="13" t="n">
        <f aca="false">IF(H464="Investment",1,0)</f>
        <v>0</v>
      </c>
      <c r="Y464" s="13" t="n">
        <f aca="false">IF(K464="Website",1,0)</f>
        <v>1</v>
      </c>
      <c r="Z464" s="13" t="n">
        <f aca="false">IF(K464="Agency",1,0)</f>
        <v>0</v>
      </c>
      <c r="AA464" s="13" t="n">
        <f aca="false">IF(K464="Client",1,0)</f>
        <v>0</v>
      </c>
      <c r="AB464" s="13" t="n">
        <f aca="false">(D464-AVERAGE(D$2:D$2001))/STDEV(D$2:D$2001)</f>
        <v>0.972361986896694</v>
      </c>
      <c r="AC464" s="13" t="n">
        <f aca="false">(I464-AVERAGE(I$2:I$2001))/STDEV(I$2:I$2001)</f>
        <v>0.686917069130275</v>
      </c>
      <c r="AD464" s="13" t="n">
        <f aca="false">(L464-AVERAGE(L$2:L$2001))/STDEV(L$2:L$2001)</f>
        <v>-0.777063122173208</v>
      </c>
      <c r="AE464" s="13" t="n">
        <f aca="false">(M464-AVERAGE(M$2:M$2001))/STDEV(M$2:M$2001)</f>
        <v>0.280986121877665</v>
      </c>
      <c r="AF464" s="13" t="n">
        <f aca="false">(N464-AVERAGE(N$2:N$2001))/STDEV(N$2:N$2001)</f>
        <v>1.51478735613991</v>
      </c>
      <c r="AG464" s="13" t="n">
        <f aca="false">(O464-AVERAGE(O$2:O$2001))/STDEV(O$2:O$2001)</f>
        <v>1.57220624820113</v>
      </c>
      <c r="AH464" s="0" t="str">
        <f aca="false">IF(B464="Company","C3 - Corporate Buyers",IF(AND(H464="Investment",M464&gt;'Segmentation Summary'!$C$1),"C1 - Global Investors",IF(AND(I464&gt;=4,M464&gt;'Segmentation Summary'!$C$1),"C4 - Luxury Investors",IF(AND(D464&lt;'Segmentation Summary'!$C$2,J464=1),"C2 - First-Time Buyers","C5 - Other Individual Buyers"))))</f>
        <v>C4 - Luxury Investors</v>
      </c>
    </row>
    <row r="465" customFormat="false" ht="15" hidden="false" customHeight="true" outlineLevel="0" collapsed="false">
      <c r="A465" s="13" t="s">
        <v>991</v>
      </c>
      <c r="B465" s="13" t="s">
        <v>34</v>
      </c>
      <c r="C465" s="13" t="s">
        <v>992</v>
      </c>
      <c r="D465" s="13" t="n">
        <v>25</v>
      </c>
      <c r="E465" s="13" t="s">
        <v>83</v>
      </c>
      <c r="F465" s="13" t="s">
        <v>33</v>
      </c>
      <c r="G465" s="13" t="s">
        <v>145</v>
      </c>
      <c r="H465" s="13" t="s">
        <v>41</v>
      </c>
      <c r="I465" s="13" t="n">
        <v>2</v>
      </c>
      <c r="J465" s="13" t="n">
        <v>1</v>
      </c>
      <c r="K465" s="13" t="s">
        <v>91</v>
      </c>
      <c r="L465" s="13" t="n">
        <v>3</v>
      </c>
      <c r="M465" s="13" t="n">
        <v>974596.63</v>
      </c>
      <c r="N465" s="13" t="n">
        <v>324865.543333333</v>
      </c>
      <c r="O465" s="13" t="n">
        <v>1049.51333333333</v>
      </c>
      <c r="P465" s="13" t="n">
        <v>0</v>
      </c>
      <c r="Q465" s="13" t="n">
        <v>3</v>
      </c>
      <c r="R465" s="13" t="s">
        <v>86</v>
      </c>
      <c r="S465" s="13" t="s">
        <v>215</v>
      </c>
      <c r="T465" s="13" t="n">
        <v>1</v>
      </c>
      <c r="U465" s="13" t="n">
        <f aca="false">IF(B465="Individual",1,0)</f>
        <v>1</v>
      </c>
      <c r="V465" s="13" t="n">
        <f aca="false">IF(B465="Company",1,0)</f>
        <v>0</v>
      </c>
      <c r="W465" s="13" t="n">
        <f aca="false">IF(H465="Home",1,0)</f>
        <v>1</v>
      </c>
      <c r="X465" s="13" t="n">
        <f aca="false">IF(H465="Investment",1,0)</f>
        <v>0</v>
      </c>
      <c r="Y465" s="13" t="n">
        <f aca="false">IF(K465="Website",1,0)</f>
        <v>0</v>
      </c>
      <c r="Z465" s="13" t="n">
        <f aca="false">IF(K465="Agency",1,0)</f>
        <v>1</v>
      </c>
      <c r="AA465" s="13" t="n">
        <f aca="false">IF(K465="Client",1,0)</f>
        <v>0</v>
      </c>
      <c r="AB465" s="13" t="n">
        <f aca="false">(D465-AVERAGE(D$2:D$2001))/STDEV(D$2:D$2001)</f>
        <v>-1.68011096555826</v>
      </c>
      <c r="AC465" s="13" t="n">
        <f aca="false">(I465-AVERAGE(I$2:I$2001))/STDEV(I$2:I$2001)</f>
        <v>-0.727948160798201</v>
      </c>
      <c r="AD465" s="13" t="n">
        <f aca="false">(L465-AVERAGE(L$2:L$2001))/STDEV(L$2:L$2001)</f>
        <v>-0.777063122173208</v>
      </c>
      <c r="AE465" s="13" t="n">
        <f aca="false">(M465-AVERAGE(M$2:M$2001))/STDEV(M$2:M$2001)</f>
        <v>-0.821603381524036</v>
      </c>
      <c r="AF465" s="13" t="n">
        <f aca="false">(N465-AVERAGE(N$2:N$2001))/STDEV(N$2:N$2001)</f>
        <v>-0.318758345057154</v>
      </c>
      <c r="AG465" s="13" t="n">
        <f aca="false">(O465-AVERAGE(O$2:O$2001))/STDEV(O$2:O$2001)</f>
        <v>-0.445458267907758</v>
      </c>
      <c r="AH465" s="0" t="str">
        <f aca="false">IF(B465="Company","C3 - Corporate Buyers",IF(AND(H465="Investment",M465&gt;'Segmentation Summary'!$C$1),"C1 - Global Investors",IF(AND(I465&gt;=4,M465&gt;'Segmentation Summary'!$C$1),"C4 - Luxury Investors",IF(AND(D465&lt;'Segmentation Summary'!$C$2,J465=1),"C2 - First-Time Buyers","C5 - Other Individual Buyers"))))</f>
        <v>C2 - First-Time Buyers</v>
      </c>
    </row>
    <row r="466" customFormat="false" ht="15" hidden="false" customHeight="true" outlineLevel="0" collapsed="false">
      <c r="A466" s="13" t="s">
        <v>993</v>
      </c>
      <c r="B466" s="13" t="s">
        <v>34</v>
      </c>
      <c r="C466" s="13" t="s">
        <v>994</v>
      </c>
      <c r="D466" s="13" t="n">
        <v>75</v>
      </c>
      <c r="E466" s="13" t="s">
        <v>83</v>
      </c>
      <c r="F466" s="13" t="s">
        <v>33</v>
      </c>
      <c r="G466" s="13" t="s">
        <v>265</v>
      </c>
      <c r="H466" s="13" t="s">
        <v>41</v>
      </c>
      <c r="I466" s="13" t="n">
        <v>2</v>
      </c>
      <c r="J466" s="13" t="n">
        <v>1</v>
      </c>
      <c r="K466" s="13" t="s">
        <v>85</v>
      </c>
      <c r="L466" s="13" t="n">
        <v>4</v>
      </c>
      <c r="M466" s="13" t="n">
        <v>1337265.67</v>
      </c>
      <c r="N466" s="13" t="n">
        <v>334316.4175</v>
      </c>
      <c r="O466" s="13" t="n">
        <v>1073.7375</v>
      </c>
      <c r="P466" s="13" t="n">
        <v>0</v>
      </c>
      <c r="Q466" s="13" t="n">
        <v>4</v>
      </c>
      <c r="R466" s="13" t="s">
        <v>86</v>
      </c>
      <c r="S466" s="13" t="s">
        <v>114</v>
      </c>
      <c r="T466" s="13" t="n">
        <v>1</v>
      </c>
      <c r="U466" s="13" t="n">
        <f aca="false">IF(B466="Individual",1,0)</f>
        <v>1</v>
      </c>
      <c r="V466" s="13" t="n">
        <f aca="false">IF(B466="Company",1,0)</f>
        <v>0</v>
      </c>
      <c r="W466" s="13" t="n">
        <f aca="false">IF(H466="Home",1,0)</f>
        <v>1</v>
      </c>
      <c r="X466" s="13" t="n">
        <f aca="false">IF(H466="Investment",1,0)</f>
        <v>0</v>
      </c>
      <c r="Y466" s="13" t="n">
        <f aca="false">IF(K466="Website",1,0)</f>
        <v>1</v>
      </c>
      <c r="Z466" s="13" t="n">
        <f aca="false">IF(K466="Agency",1,0)</f>
        <v>0</v>
      </c>
      <c r="AA466" s="13" t="n">
        <f aca="false">IF(K466="Client",1,0)</f>
        <v>0</v>
      </c>
      <c r="AB466" s="13" t="n">
        <f aca="false">(D466-AVERAGE(D$2:D$2001))/STDEV(D$2:D$2001)</f>
        <v>1.2030118088493</v>
      </c>
      <c r="AC466" s="13" t="n">
        <f aca="false">(I466-AVERAGE(I$2:I$2001))/STDEV(I$2:I$2001)</f>
        <v>-0.727948160798201</v>
      </c>
      <c r="AD466" s="13" t="n">
        <f aca="false">(L466-AVERAGE(L$2:L$2001))/STDEV(L$2:L$2001)</f>
        <v>0.413838214490712</v>
      </c>
      <c r="AE466" s="13" t="n">
        <f aca="false">(M466-AVERAGE(M$2:M$2001))/STDEV(M$2:M$2001)</f>
        <v>0.221056385635635</v>
      </c>
      <c r="AF466" s="13" t="n">
        <f aca="false">(N466-AVERAGE(N$2:N$2001))/STDEV(N$2:N$2001)</f>
        <v>-0.183207180145241</v>
      </c>
      <c r="AG466" s="13" t="n">
        <f aca="false">(O466-AVERAGE(O$2:O$2001))/STDEV(O$2:O$2001)</f>
        <v>-0.335309660611322</v>
      </c>
      <c r="AH466" s="0" t="str">
        <f aca="false">IF(B466="Company","C3 - Corporate Buyers",IF(AND(H466="Investment",M466&gt;'Segmentation Summary'!$C$1),"C1 - Global Investors",IF(AND(I466&gt;=4,M466&gt;'Segmentation Summary'!$C$1),"C4 - Luxury Investors",IF(AND(D466&lt;'Segmentation Summary'!$C$2,J466=1),"C2 - First-Time Buyers","C5 - Other Individual Buyers"))))</f>
        <v>C5 - Other Individual Buyers</v>
      </c>
    </row>
    <row r="467" customFormat="false" ht="15" hidden="false" customHeight="true" outlineLevel="0" collapsed="false">
      <c r="A467" s="13" t="s">
        <v>995</v>
      </c>
      <c r="B467" s="13" t="s">
        <v>34</v>
      </c>
      <c r="C467" s="13" t="s">
        <v>996</v>
      </c>
      <c r="D467" s="13" t="n">
        <v>49</v>
      </c>
      <c r="E467" s="13" t="s">
        <v>83</v>
      </c>
      <c r="F467" s="13" t="s">
        <v>33</v>
      </c>
      <c r="G467" s="13" t="s">
        <v>95</v>
      </c>
      <c r="H467" s="13" t="s">
        <v>41</v>
      </c>
      <c r="I467" s="13" t="n">
        <v>1</v>
      </c>
      <c r="J467" s="13" t="n">
        <v>0</v>
      </c>
      <c r="K467" s="13" t="s">
        <v>85</v>
      </c>
      <c r="L467" s="13" t="n">
        <v>4</v>
      </c>
      <c r="M467" s="13" t="n">
        <v>1331463.63</v>
      </c>
      <c r="N467" s="13" t="n">
        <v>332865.9075</v>
      </c>
      <c r="O467" s="13" t="n">
        <v>1146.9925</v>
      </c>
      <c r="P467" s="13" t="n">
        <v>0</v>
      </c>
      <c r="Q467" s="13" t="n">
        <v>4</v>
      </c>
      <c r="R467" s="13" t="s">
        <v>117</v>
      </c>
      <c r="S467" s="13" t="s">
        <v>152</v>
      </c>
      <c r="T467" s="13" t="n">
        <v>1</v>
      </c>
      <c r="U467" s="13" t="n">
        <f aca="false">IF(B467="Individual",1,0)</f>
        <v>1</v>
      </c>
      <c r="V467" s="13" t="n">
        <f aca="false">IF(B467="Company",1,0)</f>
        <v>0</v>
      </c>
      <c r="W467" s="13" t="n">
        <f aca="false">IF(H467="Home",1,0)</f>
        <v>1</v>
      </c>
      <c r="X467" s="13" t="n">
        <f aca="false">IF(H467="Investment",1,0)</f>
        <v>0</v>
      </c>
      <c r="Y467" s="13" t="n">
        <f aca="false">IF(K467="Website",1,0)</f>
        <v>1</v>
      </c>
      <c r="Z467" s="13" t="n">
        <f aca="false">IF(K467="Agency",1,0)</f>
        <v>0</v>
      </c>
      <c r="AA467" s="13" t="n">
        <f aca="false">IF(K467="Client",1,0)</f>
        <v>0</v>
      </c>
      <c r="AB467" s="13" t="n">
        <f aca="false">(D467-AVERAGE(D$2:D$2001))/STDEV(D$2:D$2001)</f>
        <v>-0.296212033842633</v>
      </c>
      <c r="AC467" s="13" t="n">
        <f aca="false">(I467-AVERAGE(I$2:I$2001))/STDEV(I$2:I$2001)</f>
        <v>-1.43538077576244</v>
      </c>
      <c r="AD467" s="13" t="n">
        <f aca="false">(L467-AVERAGE(L$2:L$2001))/STDEV(L$2:L$2001)</f>
        <v>0.413838214490712</v>
      </c>
      <c r="AE467" s="13" t="n">
        <f aca="false">(M467-AVERAGE(M$2:M$2001))/STDEV(M$2:M$2001)</f>
        <v>0.204375740175931</v>
      </c>
      <c r="AF467" s="13" t="n">
        <f aca="false">(N467-AVERAGE(N$2:N$2001))/STDEV(N$2:N$2001)</f>
        <v>-0.204011427112135</v>
      </c>
      <c r="AG467" s="13" t="n">
        <f aca="false">(O467-AVERAGE(O$2:O$2001))/STDEV(O$2:O$2001)</f>
        <v>-0.00221517944584596</v>
      </c>
      <c r="AH467" s="0" t="str">
        <f aca="false">IF(B467="Company","C3 - Corporate Buyers",IF(AND(H467="Investment",M467&gt;'Segmentation Summary'!$C$1),"C1 - Global Investors",IF(AND(I467&gt;=4,M467&gt;'Segmentation Summary'!$C$1),"C4 - Luxury Investors",IF(AND(D467&lt;'Segmentation Summary'!$C$2,J467=1),"C2 - First-Time Buyers","C5 - Other Individual Buyers"))))</f>
        <v>C5 - Other Individual Buyers</v>
      </c>
    </row>
    <row r="468" customFormat="false" ht="15" hidden="false" customHeight="true" outlineLevel="0" collapsed="false">
      <c r="A468" s="13" t="s">
        <v>997</v>
      </c>
      <c r="B468" s="13" t="s">
        <v>34</v>
      </c>
      <c r="C468" s="13" t="s">
        <v>998</v>
      </c>
      <c r="D468" s="13" t="n">
        <v>26</v>
      </c>
      <c r="E468" s="13" t="s">
        <v>83</v>
      </c>
      <c r="F468" s="13" t="s">
        <v>33</v>
      </c>
      <c r="G468" s="13" t="s">
        <v>110</v>
      </c>
      <c r="H468" s="13" t="s">
        <v>43</v>
      </c>
      <c r="I468" s="13" t="n">
        <v>5</v>
      </c>
      <c r="J468" s="13" t="n">
        <v>1</v>
      </c>
      <c r="K468" s="13" t="s">
        <v>85</v>
      </c>
      <c r="L468" s="13" t="n">
        <v>3</v>
      </c>
      <c r="M468" s="13" t="n">
        <v>893996.19</v>
      </c>
      <c r="N468" s="13" t="n">
        <v>297998.73</v>
      </c>
      <c r="O468" s="13" t="n">
        <v>1025.01333333333</v>
      </c>
      <c r="P468" s="13" t="n">
        <v>0</v>
      </c>
      <c r="Q468" s="13" t="n">
        <v>3</v>
      </c>
      <c r="R468" s="13" t="s">
        <v>121</v>
      </c>
      <c r="S468" s="13" t="s">
        <v>135</v>
      </c>
      <c r="T468" s="13" t="n">
        <v>1</v>
      </c>
      <c r="U468" s="13" t="n">
        <f aca="false">IF(B468="Individual",1,0)</f>
        <v>1</v>
      </c>
      <c r="V468" s="13" t="n">
        <f aca="false">IF(B468="Company",1,0)</f>
        <v>0</v>
      </c>
      <c r="W468" s="13" t="n">
        <f aca="false">IF(H468="Home",1,0)</f>
        <v>0</v>
      </c>
      <c r="X468" s="13" t="n">
        <f aca="false">IF(H468="Investment",1,0)</f>
        <v>1</v>
      </c>
      <c r="Y468" s="13" t="n">
        <f aca="false">IF(K468="Website",1,0)</f>
        <v>1</v>
      </c>
      <c r="Z468" s="13" t="n">
        <f aca="false">IF(K468="Agency",1,0)</f>
        <v>0</v>
      </c>
      <c r="AA468" s="13" t="n">
        <f aca="false">IF(K468="Client",1,0)</f>
        <v>0</v>
      </c>
      <c r="AB468" s="13" t="n">
        <f aca="false">(D468-AVERAGE(D$2:D$2001))/STDEV(D$2:D$2001)</f>
        <v>-1.62244851007011</v>
      </c>
      <c r="AC468" s="13" t="n">
        <f aca="false">(I468-AVERAGE(I$2:I$2001))/STDEV(I$2:I$2001)</f>
        <v>1.39434968409451</v>
      </c>
      <c r="AD468" s="13" t="n">
        <f aca="false">(L468-AVERAGE(L$2:L$2001))/STDEV(L$2:L$2001)</f>
        <v>-0.777063122173208</v>
      </c>
      <c r="AE468" s="13" t="n">
        <f aca="false">(M468-AVERAGE(M$2:M$2001))/STDEV(M$2:M$2001)</f>
        <v>-1.05332659672699</v>
      </c>
      <c r="AF468" s="13" t="n">
        <f aca="false">(N468-AVERAGE(N$2:N$2001))/STDEV(N$2:N$2001)</f>
        <v>-0.704101307049901</v>
      </c>
      <c r="AG468" s="13" t="n">
        <f aca="false">(O468-AVERAGE(O$2:O$2001))/STDEV(O$2:O$2001)</f>
        <v>-0.556861104417951</v>
      </c>
      <c r="AH468" s="0" t="str">
        <f aca="false">IF(B468="Company","C3 - Corporate Buyers",IF(AND(H468="Investment",M468&gt;'Segmentation Summary'!$C$1),"C1 - Global Investors",IF(AND(I468&gt;=4,M468&gt;'Segmentation Summary'!$C$1),"C4 - Luxury Investors",IF(AND(D468&lt;'Segmentation Summary'!$C$2,J468=1),"C2 - First-Time Buyers","C5 - Other Individual Buyers"))))</f>
        <v>C2 - First-Time Buyers</v>
      </c>
    </row>
    <row r="469" customFormat="false" ht="15" hidden="false" customHeight="true" outlineLevel="0" collapsed="false">
      <c r="A469" s="13" t="s">
        <v>999</v>
      </c>
      <c r="B469" s="13" t="s">
        <v>34</v>
      </c>
      <c r="C469" s="13" t="s">
        <v>1000</v>
      </c>
      <c r="D469" s="13" t="n">
        <v>51</v>
      </c>
      <c r="E469" s="13" t="s">
        <v>83</v>
      </c>
      <c r="F469" s="13" t="s">
        <v>33</v>
      </c>
      <c r="G469" s="13" t="s">
        <v>95</v>
      </c>
      <c r="H469" s="13" t="s">
        <v>41</v>
      </c>
      <c r="I469" s="13" t="n">
        <v>4</v>
      </c>
      <c r="J469" s="13" t="n">
        <v>0</v>
      </c>
      <c r="K469" s="13" t="s">
        <v>85</v>
      </c>
      <c r="L469" s="13" t="n">
        <v>3</v>
      </c>
      <c r="M469" s="13" t="n">
        <v>878368.79</v>
      </c>
      <c r="N469" s="13" t="n">
        <v>292789.596666667</v>
      </c>
      <c r="O469" s="13" t="n">
        <v>934.433333333333</v>
      </c>
      <c r="P469" s="13" t="n">
        <v>0</v>
      </c>
      <c r="Q469" s="13" t="n">
        <v>3</v>
      </c>
      <c r="R469" s="13" t="s">
        <v>121</v>
      </c>
      <c r="S469" s="13" t="s">
        <v>154</v>
      </c>
      <c r="T469" s="13" t="n">
        <v>1</v>
      </c>
      <c r="U469" s="13" t="n">
        <f aca="false">IF(B469="Individual",1,0)</f>
        <v>1</v>
      </c>
      <c r="V469" s="13" t="n">
        <f aca="false">IF(B469="Company",1,0)</f>
        <v>0</v>
      </c>
      <c r="W469" s="13" t="n">
        <f aca="false">IF(H469="Home",1,0)</f>
        <v>1</v>
      </c>
      <c r="X469" s="13" t="n">
        <f aca="false">IF(H469="Investment",1,0)</f>
        <v>0</v>
      </c>
      <c r="Y469" s="13" t="n">
        <f aca="false">IF(K469="Website",1,0)</f>
        <v>1</v>
      </c>
      <c r="Z469" s="13" t="n">
        <f aca="false">IF(K469="Agency",1,0)</f>
        <v>0</v>
      </c>
      <c r="AA469" s="13" t="n">
        <f aca="false">IF(K469="Client",1,0)</f>
        <v>0</v>
      </c>
      <c r="AB469" s="13" t="n">
        <f aca="false">(D469-AVERAGE(D$2:D$2001))/STDEV(D$2:D$2001)</f>
        <v>-0.18088712286633</v>
      </c>
      <c r="AC469" s="13" t="n">
        <f aca="false">(I469-AVERAGE(I$2:I$2001))/STDEV(I$2:I$2001)</f>
        <v>0.686917069130275</v>
      </c>
      <c r="AD469" s="13" t="n">
        <f aca="false">(L469-AVERAGE(L$2:L$2001))/STDEV(L$2:L$2001)</f>
        <v>-0.777063122173208</v>
      </c>
      <c r="AE469" s="13" t="n">
        <f aca="false">(M469-AVERAGE(M$2:M$2001))/STDEV(M$2:M$2001)</f>
        <v>-1.09825478041013</v>
      </c>
      <c r="AF469" s="13" t="n">
        <f aca="false">(N469-AVERAGE(N$2:N$2001))/STDEV(N$2:N$2001)</f>
        <v>-0.778814405442975</v>
      </c>
      <c r="AG469" s="13" t="n">
        <f aca="false">(O469-AVERAGE(O$2:O$2001))/STDEV(O$2:O$2001)</f>
        <v>-0.968733305687048</v>
      </c>
      <c r="AH469" s="0" t="str">
        <f aca="false">IF(B469="Company","C3 - Corporate Buyers",IF(AND(H469="Investment",M469&gt;'Segmentation Summary'!$C$1),"C1 - Global Investors",IF(AND(I469&gt;=4,M469&gt;'Segmentation Summary'!$C$1),"C4 - Luxury Investors",IF(AND(D469&lt;'Segmentation Summary'!$C$2,J469=1),"C2 - First-Time Buyers","C5 - Other Individual Buyers"))))</f>
        <v>C5 - Other Individual Buyers</v>
      </c>
    </row>
    <row r="470" customFormat="false" ht="15" hidden="false" customHeight="true" outlineLevel="0" collapsed="false">
      <c r="A470" s="13" t="s">
        <v>1001</v>
      </c>
      <c r="B470" s="13" t="s">
        <v>34</v>
      </c>
      <c r="C470" s="13" t="s">
        <v>1002</v>
      </c>
      <c r="D470" s="13" t="n">
        <v>38</v>
      </c>
      <c r="E470" s="13" t="s">
        <v>90</v>
      </c>
      <c r="F470" s="13" t="s">
        <v>33</v>
      </c>
      <c r="G470" s="13" t="s">
        <v>95</v>
      </c>
      <c r="H470" s="13" t="s">
        <v>43</v>
      </c>
      <c r="I470" s="13" t="n">
        <v>1</v>
      </c>
      <c r="J470" s="13" t="n">
        <v>0</v>
      </c>
      <c r="K470" s="13" t="s">
        <v>91</v>
      </c>
      <c r="L470" s="13" t="n">
        <v>3</v>
      </c>
      <c r="M470" s="13" t="n">
        <v>1047958.11</v>
      </c>
      <c r="N470" s="13" t="n">
        <v>349319.37</v>
      </c>
      <c r="O470" s="13" t="n">
        <v>1113.29</v>
      </c>
      <c r="P470" s="13" t="n">
        <v>3</v>
      </c>
      <c r="Q470" s="13" t="n">
        <v>0</v>
      </c>
      <c r="R470" s="13" t="s">
        <v>150</v>
      </c>
      <c r="S470" s="13" t="s">
        <v>125</v>
      </c>
      <c r="T470" s="13" t="n">
        <v>1</v>
      </c>
      <c r="U470" s="13" t="n">
        <f aca="false">IF(B470="Individual",1,0)</f>
        <v>1</v>
      </c>
      <c r="V470" s="13" t="n">
        <f aca="false">IF(B470="Company",1,0)</f>
        <v>0</v>
      </c>
      <c r="W470" s="13" t="n">
        <f aca="false">IF(H470="Home",1,0)</f>
        <v>0</v>
      </c>
      <c r="X470" s="13" t="n">
        <f aca="false">IF(H470="Investment",1,0)</f>
        <v>1</v>
      </c>
      <c r="Y470" s="13" t="n">
        <f aca="false">IF(K470="Website",1,0)</f>
        <v>0</v>
      </c>
      <c r="Z470" s="13" t="n">
        <f aca="false">IF(K470="Agency",1,0)</f>
        <v>1</v>
      </c>
      <c r="AA470" s="13" t="n">
        <f aca="false">IF(K470="Client",1,0)</f>
        <v>0</v>
      </c>
      <c r="AB470" s="13" t="n">
        <f aca="false">(D470-AVERAGE(D$2:D$2001))/STDEV(D$2:D$2001)</f>
        <v>-0.930499044212296</v>
      </c>
      <c r="AC470" s="13" t="n">
        <f aca="false">(I470-AVERAGE(I$2:I$2001))/STDEV(I$2:I$2001)</f>
        <v>-1.43538077576244</v>
      </c>
      <c r="AD470" s="13" t="n">
        <f aca="false">(L470-AVERAGE(L$2:L$2001))/STDEV(L$2:L$2001)</f>
        <v>-0.777063122173208</v>
      </c>
      <c r="AE470" s="13" t="n">
        <f aca="false">(M470-AVERAGE(M$2:M$2001))/STDEV(M$2:M$2001)</f>
        <v>-0.610691902409941</v>
      </c>
      <c r="AF470" s="13" t="n">
        <f aca="false">(N470-AVERAGE(N$2:N$2001))/STDEV(N$2:N$2001)</f>
        <v>0.0319758444754642</v>
      </c>
      <c r="AG470" s="13" t="n">
        <f aca="false">(O470-AVERAGE(O$2:O$2001))/STDEV(O$2:O$2001)</f>
        <v>-0.155462285465632</v>
      </c>
      <c r="AH470" s="0" t="str">
        <f aca="false">IF(B470="Company","C3 - Corporate Buyers",IF(AND(H470="Investment",M470&gt;'Segmentation Summary'!$C$1),"C1 - Global Investors",IF(AND(I470&gt;=4,M470&gt;'Segmentation Summary'!$C$1),"C4 - Luxury Investors",IF(AND(D470&lt;'Segmentation Summary'!$C$2,J470=1),"C2 - First-Time Buyers","C5 - Other Individual Buyers"))))</f>
        <v>C5 - Other Individual Buyers</v>
      </c>
    </row>
    <row r="471" customFormat="false" ht="15" hidden="false" customHeight="true" outlineLevel="0" collapsed="false">
      <c r="A471" s="13" t="s">
        <v>1003</v>
      </c>
      <c r="B471" s="13" t="s">
        <v>34</v>
      </c>
      <c r="C471" s="13" t="s">
        <v>1004</v>
      </c>
      <c r="D471" s="13" t="n">
        <v>60</v>
      </c>
      <c r="E471" s="13" t="s">
        <v>90</v>
      </c>
      <c r="F471" s="13" t="s">
        <v>33</v>
      </c>
      <c r="G471" s="13" t="s">
        <v>106</v>
      </c>
      <c r="H471" s="13" t="s">
        <v>41</v>
      </c>
      <c r="I471" s="13" t="n">
        <v>2</v>
      </c>
      <c r="J471" s="13" t="n">
        <v>0</v>
      </c>
      <c r="K471" s="13" t="s">
        <v>85</v>
      </c>
      <c r="L471" s="13" t="n">
        <v>4</v>
      </c>
      <c r="M471" s="13" t="n">
        <v>1709098.18</v>
      </c>
      <c r="N471" s="13" t="n">
        <v>427274.545</v>
      </c>
      <c r="O471" s="13" t="n">
        <v>1510.65</v>
      </c>
      <c r="P471" s="13" t="n">
        <v>0</v>
      </c>
      <c r="Q471" s="13" t="n">
        <v>4</v>
      </c>
      <c r="R471" s="13" t="s">
        <v>101</v>
      </c>
      <c r="S471" s="13" t="s">
        <v>87</v>
      </c>
      <c r="T471" s="13" t="n">
        <v>1</v>
      </c>
      <c r="U471" s="13" t="n">
        <f aca="false">IF(B471="Individual",1,0)</f>
        <v>1</v>
      </c>
      <c r="V471" s="13" t="n">
        <f aca="false">IF(B471="Company",1,0)</f>
        <v>0</v>
      </c>
      <c r="W471" s="13" t="n">
        <f aca="false">IF(H471="Home",1,0)</f>
        <v>1</v>
      </c>
      <c r="X471" s="13" t="n">
        <f aca="false">IF(H471="Investment",1,0)</f>
        <v>0</v>
      </c>
      <c r="Y471" s="13" t="n">
        <f aca="false">IF(K471="Website",1,0)</f>
        <v>1</v>
      </c>
      <c r="Z471" s="13" t="n">
        <f aca="false">IF(K471="Agency",1,0)</f>
        <v>0</v>
      </c>
      <c r="AA471" s="13" t="n">
        <f aca="false">IF(K471="Client",1,0)</f>
        <v>0</v>
      </c>
      <c r="AB471" s="13" t="n">
        <f aca="false">(D471-AVERAGE(D$2:D$2001))/STDEV(D$2:D$2001)</f>
        <v>0.338074976527031</v>
      </c>
      <c r="AC471" s="13" t="n">
        <f aca="false">(I471-AVERAGE(I$2:I$2001))/STDEV(I$2:I$2001)</f>
        <v>-0.727948160798201</v>
      </c>
      <c r="AD471" s="13" t="n">
        <f aca="false">(L471-AVERAGE(L$2:L$2001))/STDEV(L$2:L$2001)</f>
        <v>0.413838214490712</v>
      </c>
      <c r="AE471" s="13" t="n">
        <f aca="false">(M471-AVERAGE(M$2:M$2001))/STDEV(M$2:M$2001)</f>
        <v>1.29006078231365</v>
      </c>
      <c r="AF471" s="13" t="n">
        <f aca="false">(N471-AVERAGE(N$2:N$2001))/STDEV(N$2:N$2001)</f>
        <v>1.15006445678937</v>
      </c>
      <c r="AG471" s="13" t="n">
        <f aca="false">(O471-AVERAGE(O$2:O$2001))/STDEV(O$2:O$2001)</f>
        <v>1.65135531109315</v>
      </c>
      <c r="AH471" s="0" t="str">
        <f aca="false">IF(B471="Company","C3 - Corporate Buyers",IF(AND(H471="Investment",M471&gt;'Segmentation Summary'!$C$1),"C1 - Global Investors",IF(AND(I471&gt;=4,M471&gt;'Segmentation Summary'!$C$1),"C4 - Luxury Investors",IF(AND(D471&lt;'Segmentation Summary'!$C$2,J471=1),"C2 - First-Time Buyers","C5 - Other Individual Buyers"))))</f>
        <v>C5 - Other Individual Buyers</v>
      </c>
    </row>
    <row r="472" customFormat="false" ht="15" hidden="false" customHeight="true" outlineLevel="0" collapsed="false">
      <c r="A472" s="13" t="s">
        <v>1005</v>
      </c>
      <c r="B472" s="13" t="s">
        <v>34</v>
      </c>
      <c r="C472" s="13" t="s">
        <v>1006</v>
      </c>
      <c r="D472" s="13" t="n">
        <v>75</v>
      </c>
      <c r="E472" s="13" t="s">
        <v>90</v>
      </c>
      <c r="F472" s="13" t="s">
        <v>33</v>
      </c>
      <c r="G472" s="13" t="s">
        <v>95</v>
      </c>
      <c r="H472" s="13" t="s">
        <v>41</v>
      </c>
      <c r="I472" s="13" t="n">
        <v>1</v>
      </c>
      <c r="J472" s="13" t="n">
        <v>0</v>
      </c>
      <c r="K472" s="13" t="s">
        <v>91</v>
      </c>
      <c r="L472" s="13" t="n">
        <v>3</v>
      </c>
      <c r="M472" s="13" t="n">
        <v>1322130.05</v>
      </c>
      <c r="N472" s="13" t="n">
        <v>440710.016666667</v>
      </c>
      <c r="O472" s="13" t="n">
        <v>1351.46333333333</v>
      </c>
      <c r="P472" s="13" t="n">
        <v>1</v>
      </c>
      <c r="Q472" s="13" t="n">
        <v>2</v>
      </c>
      <c r="R472" s="13" t="s">
        <v>92</v>
      </c>
      <c r="S472" s="13" t="s">
        <v>114</v>
      </c>
      <c r="T472" s="13" t="n">
        <v>1</v>
      </c>
      <c r="U472" s="13" t="n">
        <f aca="false">IF(B472="Individual",1,0)</f>
        <v>1</v>
      </c>
      <c r="V472" s="13" t="n">
        <f aca="false">IF(B472="Company",1,0)</f>
        <v>0</v>
      </c>
      <c r="W472" s="13" t="n">
        <f aca="false">IF(H472="Home",1,0)</f>
        <v>1</v>
      </c>
      <c r="X472" s="13" t="n">
        <f aca="false">IF(H472="Investment",1,0)</f>
        <v>0</v>
      </c>
      <c r="Y472" s="13" t="n">
        <f aca="false">IF(K472="Website",1,0)</f>
        <v>0</v>
      </c>
      <c r="Z472" s="13" t="n">
        <f aca="false">IF(K472="Agency",1,0)</f>
        <v>1</v>
      </c>
      <c r="AA472" s="13" t="n">
        <f aca="false">IF(K472="Client",1,0)</f>
        <v>0</v>
      </c>
      <c r="AB472" s="13" t="n">
        <f aca="false">(D472-AVERAGE(D$2:D$2001))/STDEV(D$2:D$2001)</f>
        <v>1.2030118088493</v>
      </c>
      <c r="AC472" s="13" t="n">
        <f aca="false">(I472-AVERAGE(I$2:I$2001))/STDEV(I$2:I$2001)</f>
        <v>-1.43538077576244</v>
      </c>
      <c r="AD472" s="13" t="n">
        <f aca="false">(L472-AVERAGE(L$2:L$2001))/STDEV(L$2:L$2001)</f>
        <v>-0.777063122173208</v>
      </c>
      <c r="AE472" s="13" t="n">
        <f aca="false">(M472-AVERAGE(M$2:M$2001))/STDEV(M$2:M$2001)</f>
        <v>0.177542050844286</v>
      </c>
      <c r="AF472" s="13" t="n">
        <f aca="false">(N472-AVERAGE(N$2:N$2001))/STDEV(N$2:N$2001)</f>
        <v>1.34276555548572</v>
      </c>
      <c r="AG472" s="13" t="n">
        <f aca="false">(O472-AVERAGE(O$2:O$2001))/STDEV(O$2:O$2001)</f>
        <v>0.92752485389847</v>
      </c>
      <c r="AH472" s="0" t="str">
        <f aca="false">IF(B472="Company","C3 - Corporate Buyers",IF(AND(H472="Investment",M472&gt;'Segmentation Summary'!$C$1),"C1 - Global Investors",IF(AND(I472&gt;=4,M472&gt;'Segmentation Summary'!$C$1),"C4 - Luxury Investors",IF(AND(D472&lt;'Segmentation Summary'!$C$2,J472=1),"C2 - First-Time Buyers","C5 - Other Individual Buyers"))))</f>
        <v>C5 - Other Individual Buyers</v>
      </c>
    </row>
    <row r="473" customFormat="false" ht="15" hidden="false" customHeight="true" outlineLevel="0" collapsed="false">
      <c r="A473" s="13" t="s">
        <v>1007</v>
      </c>
      <c r="B473" s="13" t="s">
        <v>34</v>
      </c>
      <c r="C473" s="13" t="s">
        <v>1008</v>
      </c>
      <c r="D473" s="13" t="n">
        <v>84</v>
      </c>
      <c r="E473" s="13" t="s">
        <v>90</v>
      </c>
      <c r="F473" s="13" t="s">
        <v>33</v>
      </c>
      <c r="G473" s="13" t="s">
        <v>95</v>
      </c>
      <c r="H473" s="13" t="s">
        <v>41</v>
      </c>
      <c r="I473" s="13" t="n">
        <v>4</v>
      </c>
      <c r="J473" s="13" t="n">
        <v>1</v>
      </c>
      <c r="K473" s="13" t="s">
        <v>116</v>
      </c>
      <c r="L473" s="13" t="n">
        <v>3</v>
      </c>
      <c r="M473" s="13" t="n">
        <v>1052677.57</v>
      </c>
      <c r="N473" s="13" t="n">
        <v>350892.523333333</v>
      </c>
      <c r="O473" s="13" t="n">
        <v>1148.04333333333</v>
      </c>
      <c r="P473" s="13" t="n">
        <v>1</v>
      </c>
      <c r="Q473" s="13" t="n">
        <v>2</v>
      </c>
      <c r="R473" s="13" t="s">
        <v>150</v>
      </c>
      <c r="S473" s="13" t="s">
        <v>112</v>
      </c>
      <c r="T473" s="13" t="n">
        <v>1</v>
      </c>
      <c r="U473" s="13" t="n">
        <f aca="false">IF(B473="Individual",1,0)</f>
        <v>1</v>
      </c>
      <c r="V473" s="13" t="n">
        <f aca="false">IF(B473="Company",1,0)</f>
        <v>0</v>
      </c>
      <c r="W473" s="13" t="n">
        <f aca="false">IF(H473="Home",1,0)</f>
        <v>1</v>
      </c>
      <c r="X473" s="13" t="n">
        <f aca="false">IF(H473="Investment",1,0)</f>
        <v>0</v>
      </c>
      <c r="Y473" s="13" t="n">
        <f aca="false">IF(K473="Website",1,0)</f>
        <v>0</v>
      </c>
      <c r="Z473" s="13" t="n">
        <f aca="false">IF(K473="Agency",1,0)</f>
        <v>0</v>
      </c>
      <c r="AA473" s="13" t="n">
        <f aca="false">IF(K473="Client",1,0)</f>
        <v>1</v>
      </c>
      <c r="AB473" s="13" t="n">
        <f aca="false">(D473-AVERAGE(D$2:D$2001))/STDEV(D$2:D$2001)</f>
        <v>1.72197390824266</v>
      </c>
      <c r="AC473" s="13" t="n">
        <f aca="false">(I473-AVERAGE(I$2:I$2001))/STDEV(I$2:I$2001)</f>
        <v>0.686917069130275</v>
      </c>
      <c r="AD473" s="13" t="n">
        <f aca="false">(L473-AVERAGE(L$2:L$2001))/STDEV(L$2:L$2001)</f>
        <v>-0.777063122173208</v>
      </c>
      <c r="AE473" s="13" t="n">
        <f aca="false">(M473-AVERAGE(M$2:M$2001))/STDEV(M$2:M$2001)</f>
        <v>-0.59712363348707</v>
      </c>
      <c r="AF473" s="13" t="n">
        <f aca="false">(N473-AVERAGE(N$2:N$2001))/STDEV(N$2:N$2001)</f>
        <v>0.0545391294327915</v>
      </c>
      <c r="AG473" s="13" t="n">
        <f aca="false">(O473-AVERAGE(O$2:O$2001))/STDEV(O$2:O$2001)</f>
        <v>0.00256301704527354</v>
      </c>
      <c r="AH473" s="0" t="str">
        <f aca="false">IF(B473="Company","C3 - Corporate Buyers",IF(AND(H473="Investment",M473&gt;'Segmentation Summary'!$C$1),"C1 - Global Investors",IF(AND(I473&gt;=4,M473&gt;'Segmentation Summary'!$C$1),"C4 - Luxury Investors",IF(AND(D473&lt;'Segmentation Summary'!$C$2,J473=1),"C2 - First-Time Buyers","C5 - Other Individual Buyers"))))</f>
        <v>C5 - Other Individual Buyers</v>
      </c>
    </row>
    <row r="474" customFormat="false" ht="15" hidden="false" customHeight="true" outlineLevel="0" collapsed="false">
      <c r="A474" s="13" t="s">
        <v>1009</v>
      </c>
      <c r="B474" s="13" t="s">
        <v>34</v>
      </c>
      <c r="C474" s="13" t="s">
        <v>1010</v>
      </c>
      <c r="D474" s="13" t="n">
        <v>69</v>
      </c>
      <c r="E474" s="13" t="s">
        <v>90</v>
      </c>
      <c r="F474" s="13" t="s">
        <v>33</v>
      </c>
      <c r="G474" s="13" t="s">
        <v>162</v>
      </c>
      <c r="H474" s="13" t="s">
        <v>41</v>
      </c>
      <c r="I474" s="13" t="n">
        <v>2</v>
      </c>
      <c r="J474" s="13" t="n">
        <v>1</v>
      </c>
      <c r="K474" s="13" t="s">
        <v>91</v>
      </c>
      <c r="L474" s="13" t="n">
        <v>3</v>
      </c>
      <c r="M474" s="13" t="n">
        <v>1020270.72</v>
      </c>
      <c r="N474" s="13" t="n">
        <v>340090.24</v>
      </c>
      <c r="O474" s="13" t="n">
        <v>1274.52</v>
      </c>
      <c r="P474" s="13" t="n">
        <v>0</v>
      </c>
      <c r="Q474" s="13" t="n">
        <v>3</v>
      </c>
      <c r="R474" s="13" t="s">
        <v>86</v>
      </c>
      <c r="S474" s="13" t="s">
        <v>125</v>
      </c>
      <c r="T474" s="13" t="n">
        <v>1</v>
      </c>
      <c r="U474" s="13" t="n">
        <f aca="false">IF(B474="Individual",1,0)</f>
        <v>1</v>
      </c>
      <c r="V474" s="13" t="n">
        <f aca="false">IF(B474="Company",1,0)</f>
        <v>0</v>
      </c>
      <c r="W474" s="13" t="n">
        <f aca="false">IF(H474="Home",1,0)</f>
        <v>1</v>
      </c>
      <c r="X474" s="13" t="n">
        <f aca="false">IF(H474="Investment",1,0)</f>
        <v>0</v>
      </c>
      <c r="Y474" s="13" t="n">
        <f aca="false">IF(K474="Website",1,0)</f>
        <v>0</v>
      </c>
      <c r="Z474" s="13" t="n">
        <f aca="false">IF(K474="Agency",1,0)</f>
        <v>1</v>
      </c>
      <c r="AA474" s="13" t="n">
        <f aca="false">IF(K474="Client",1,0)</f>
        <v>0</v>
      </c>
      <c r="AB474" s="13" t="n">
        <f aca="false">(D474-AVERAGE(D$2:D$2001))/STDEV(D$2:D$2001)</f>
        <v>0.857037075920391</v>
      </c>
      <c r="AC474" s="13" t="n">
        <f aca="false">(I474-AVERAGE(I$2:I$2001))/STDEV(I$2:I$2001)</f>
        <v>-0.727948160798201</v>
      </c>
      <c r="AD474" s="13" t="n">
        <f aca="false">(L474-AVERAGE(L$2:L$2001))/STDEV(L$2:L$2001)</f>
        <v>-0.777063122173208</v>
      </c>
      <c r="AE474" s="13" t="n">
        <f aca="false">(M474-AVERAGE(M$2:M$2001))/STDEV(M$2:M$2001)</f>
        <v>-0.690292101011561</v>
      </c>
      <c r="AF474" s="13" t="n">
        <f aca="false">(N474-AVERAGE(N$2:N$2001))/STDEV(N$2:N$2001)</f>
        <v>-0.100394907749319</v>
      </c>
      <c r="AG474" s="13" t="n">
        <f aca="false">(O474-AVERAGE(O$2:O$2001))/STDEV(O$2:O$2001)</f>
        <v>0.577659319862462</v>
      </c>
      <c r="AH474" s="0" t="str">
        <f aca="false">IF(B474="Company","C3 - Corporate Buyers",IF(AND(H474="Investment",M474&gt;'Segmentation Summary'!$C$1),"C1 - Global Investors",IF(AND(I474&gt;=4,M474&gt;'Segmentation Summary'!$C$1),"C4 - Luxury Investors",IF(AND(D474&lt;'Segmentation Summary'!$C$2,J474=1),"C2 - First-Time Buyers","C5 - Other Individual Buyers"))))</f>
        <v>C5 - Other Individual Buyers</v>
      </c>
    </row>
    <row r="475" customFormat="false" ht="15" hidden="false" customHeight="true" outlineLevel="0" collapsed="false">
      <c r="A475" s="13" t="s">
        <v>1011</v>
      </c>
      <c r="B475" s="13" t="s">
        <v>34</v>
      </c>
      <c r="C475" s="13" t="s">
        <v>1012</v>
      </c>
      <c r="D475" s="13" t="n">
        <v>40</v>
      </c>
      <c r="E475" s="13" t="s">
        <v>90</v>
      </c>
      <c r="F475" s="13" t="s">
        <v>33</v>
      </c>
      <c r="G475" s="13" t="s">
        <v>162</v>
      </c>
      <c r="H475" s="13" t="s">
        <v>41</v>
      </c>
      <c r="I475" s="13" t="n">
        <v>1</v>
      </c>
      <c r="J475" s="13" t="n">
        <v>0</v>
      </c>
      <c r="K475" s="13" t="s">
        <v>91</v>
      </c>
      <c r="L475" s="13" t="n">
        <v>4</v>
      </c>
      <c r="M475" s="13" t="n">
        <v>1389709.13</v>
      </c>
      <c r="N475" s="13" t="n">
        <v>347427.2825</v>
      </c>
      <c r="O475" s="13" t="n">
        <v>1122.0925</v>
      </c>
      <c r="P475" s="13" t="n">
        <v>1</v>
      </c>
      <c r="Q475" s="13" t="n">
        <v>3</v>
      </c>
      <c r="R475" s="13" t="s">
        <v>86</v>
      </c>
      <c r="S475" s="13" t="s">
        <v>87</v>
      </c>
      <c r="T475" s="13" t="n">
        <v>1</v>
      </c>
      <c r="U475" s="13" t="n">
        <f aca="false">IF(B475="Individual",1,0)</f>
        <v>1</v>
      </c>
      <c r="V475" s="13" t="n">
        <f aca="false">IF(B475="Company",1,0)</f>
        <v>0</v>
      </c>
      <c r="W475" s="13" t="n">
        <f aca="false">IF(H475="Home",1,0)</f>
        <v>1</v>
      </c>
      <c r="X475" s="13" t="n">
        <f aca="false">IF(H475="Investment",1,0)</f>
        <v>0</v>
      </c>
      <c r="Y475" s="13" t="n">
        <f aca="false">IF(K475="Website",1,0)</f>
        <v>0</v>
      </c>
      <c r="Z475" s="13" t="n">
        <f aca="false">IF(K475="Agency",1,0)</f>
        <v>1</v>
      </c>
      <c r="AA475" s="13" t="n">
        <f aca="false">IF(K475="Client",1,0)</f>
        <v>0</v>
      </c>
      <c r="AB475" s="13" t="n">
        <f aca="false">(D475-AVERAGE(D$2:D$2001))/STDEV(D$2:D$2001)</f>
        <v>-0.815174133235994</v>
      </c>
      <c r="AC475" s="13" t="n">
        <f aca="false">(I475-AVERAGE(I$2:I$2001))/STDEV(I$2:I$2001)</f>
        <v>-1.43538077576244</v>
      </c>
      <c r="AD475" s="13" t="n">
        <f aca="false">(L475-AVERAGE(L$2:L$2001))/STDEV(L$2:L$2001)</f>
        <v>0.413838214490712</v>
      </c>
      <c r="AE475" s="13" t="n">
        <f aca="false">(M475-AVERAGE(M$2:M$2001))/STDEV(M$2:M$2001)</f>
        <v>0.371829348755529</v>
      </c>
      <c r="AF475" s="13" t="n">
        <f aca="false">(N475-AVERAGE(N$2:N$2001))/STDEV(N$2:N$2001)</f>
        <v>0.00483817866621541</v>
      </c>
      <c r="AG475" s="13" t="n">
        <f aca="false">(O475-AVERAGE(O$2:O$2001))/STDEV(O$2:O$2001)</f>
        <v>-0.115436837776613</v>
      </c>
      <c r="AH475" s="0" t="str">
        <f aca="false">IF(B475="Company","C3 - Corporate Buyers",IF(AND(H475="Investment",M475&gt;'Segmentation Summary'!$C$1),"C1 - Global Investors",IF(AND(I475&gt;=4,M475&gt;'Segmentation Summary'!$C$1),"C4 - Luxury Investors",IF(AND(D475&lt;'Segmentation Summary'!$C$2,J475=1),"C2 - First-Time Buyers","C5 - Other Individual Buyers"))))</f>
        <v>C5 - Other Individual Buyers</v>
      </c>
    </row>
    <row r="476" customFormat="false" ht="15" hidden="false" customHeight="true" outlineLevel="0" collapsed="false">
      <c r="A476" s="13" t="s">
        <v>1013</v>
      </c>
      <c r="B476" s="13" t="s">
        <v>34</v>
      </c>
      <c r="C476" s="13" t="s">
        <v>1014</v>
      </c>
      <c r="D476" s="13" t="n">
        <v>57</v>
      </c>
      <c r="E476" s="13" t="s">
        <v>90</v>
      </c>
      <c r="F476" s="13" t="s">
        <v>33</v>
      </c>
      <c r="G476" s="13" t="s">
        <v>162</v>
      </c>
      <c r="H476" s="13" t="s">
        <v>43</v>
      </c>
      <c r="I476" s="13" t="n">
        <v>4</v>
      </c>
      <c r="J476" s="13" t="n">
        <v>1</v>
      </c>
      <c r="K476" s="13" t="s">
        <v>85</v>
      </c>
      <c r="L476" s="13" t="n">
        <v>4</v>
      </c>
      <c r="M476" s="13" t="n">
        <v>1471199.75</v>
      </c>
      <c r="N476" s="13" t="n">
        <v>367799.9375</v>
      </c>
      <c r="O476" s="13" t="n">
        <v>1254.045</v>
      </c>
      <c r="P476" s="13" t="n">
        <v>1</v>
      </c>
      <c r="Q476" s="13" t="n">
        <v>3</v>
      </c>
      <c r="R476" s="13" t="s">
        <v>92</v>
      </c>
      <c r="S476" s="13" t="s">
        <v>154</v>
      </c>
      <c r="T476" s="13" t="n">
        <v>1</v>
      </c>
      <c r="U476" s="13" t="n">
        <f aca="false">IF(B476="Individual",1,0)</f>
        <v>1</v>
      </c>
      <c r="V476" s="13" t="n">
        <f aca="false">IF(B476="Company",1,0)</f>
        <v>0</v>
      </c>
      <c r="W476" s="13" t="n">
        <f aca="false">IF(H476="Home",1,0)</f>
        <v>0</v>
      </c>
      <c r="X476" s="13" t="n">
        <f aca="false">IF(H476="Investment",1,0)</f>
        <v>1</v>
      </c>
      <c r="Y476" s="13" t="n">
        <f aca="false">IF(K476="Website",1,0)</f>
        <v>1</v>
      </c>
      <c r="Z476" s="13" t="n">
        <f aca="false">IF(K476="Agency",1,0)</f>
        <v>0</v>
      </c>
      <c r="AA476" s="13" t="n">
        <f aca="false">IF(K476="Client",1,0)</f>
        <v>0</v>
      </c>
      <c r="AB476" s="13" t="n">
        <f aca="false">(D476-AVERAGE(D$2:D$2001))/STDEV(D$2:D$2001)</f>
        <v>0.165087610062577</v>
      </c>
      <c r="AC476" s="13" t="n">
        <f aca="false">(I476-AVERAGE(I$2:I$2001))/STDEV(I$2:I$2001)</f>
        <v>0.686917069130275</v>
      </c>
      <c r="AD476" s="13" t="n">
        <f aca="false">(L476-AVERAGE(L$2:L$2001))/STDEV(L$2:L$2001)</f>
        <v>0.413838214490712</v>
      </c>
      <c r="AE476" s="13" t="n">
        <f aca="false">(M476-AVERAGE(M$2:M$2001))/STDEV(M$2:M$2001)</f>
        <v>0.606111797775433</v>
      </c>
      <c r="AF476" s="13" t="n">
        <f aca="false">(N476-AVERAGE(N$2:N$2001))/STDEV(N$2:N$2001)</f>
        <v>0.297037298969645</v>
      </c>
      <c r="AG476" s="13" t="n">
        <f aca="false">(O476-AVERAGE(O$2:O$2001))/STDEV(O$2:O$2001)</f>
        <v>0.484558377921802</v>
      </c>
      <c r="AH476" s="0" t="str">
        <f aca="false">IF(B476="Company","C3 - Corporate Buyers",IF(AND(H476="Investment",M476&gt;'Segmentation Summary'!$C$1),"C1 - Global Investors",IF(AND(I476&gt;=4,M476&gt;'Segmentation Summary'!$C$1),"C4 - Luxury Investors",IF(AND(D476&lt;'Segmentation Summary'!$C$2,J476=1),"C2 - First-Time Buyers","C5 - Other Individual Buyers"))))</f>
        <v>C1 - Global Investors</v>
      </c>
    </row>
    <row r="477" customFormat="false" ht="15" hidden="false" customHeight="true" outlineLevel="0" collapsed="false">
      <c r="A477" s="13" t="s">
        <v>1015</v>
      </c>
      <c r="B477" s="13" t="s">
        <v>34</v>
      </c>
      <c r="C477" s="13" t="s">
        <v>1016</v>
      </c>
      <c r="D477" s="13" t="n">
        <v>53</v>
      </c>
      <c r="E477" s="13" t="s">
        <v>90</v>
      </c>
      <c r="F477" s="13" t="s">
        <v>33</v>
      </c>
      <c r="G477" s="13" t="s">
        <v>162</v>
      </c>
      <c r="H477" s="13" t="s">
        <v>41</v>
      </c>
      <c r="I477" s="13" t="n">
        <v>3</v>
      </c>
      <c r="J477" s="13" t="n">
        <v>0</v>
      </c>
      <c r="K477" s="13" t="s">
        <v>116</v>
      </c>
      <c r="L477" s="13" t="n">
        <v>4</v>
      </c>
      <c r="M477" s="13" t="n">
        <v>1117191.81</v>
      </c>
      <c r="N477" s="13" t="n">
        <v>279297.9525</v>
      </c>
      <c r="O477" s="13" t="n">
        <v>995.0275</v>
      </c>
      <c r="P477" s="13" t="n">
        <v>0</v>
      </c>
      <c r="Q477" s="13" t="n">
        <v>4</v>
      </c>
      <c r="R477" s="13" t="s">
        <v>86</v>
      </c>
      <c r="S477" s="13" t="s">
        <v>125</v>
      </c>
      <c r="T477" s="13" t="n">
        <v>1</v>
      </c>
      <c r="U477" s="13" t="n">
        <f aca="false">IF(B477="Individual",1,0)</f>
        <v>1</v>
      </c>
      <c r="V477" s="13" t="n">
        <f aca="false">IF(B477="Company",1,0)</f>
        <v>0</v>
      </c>
      <c r="W477" s="13" t="n">
        <f aca="false">IF(H477="Home",1,0)</f>
        <v>1</v>
      </c>
      <c r="X477" s="13" t="n">
        <f aca="false">IF(H477="Investment",1,0)</f>
        <v>0</v>
      </c>
      <c r="Y477" s="13" t="n">
        <f aca="false">IF(K477="Website",1,0)</f>
        <v>0</v>
      </c>
      <c r="Z477" s="13" t="n">
        <f aca="false">IF(K477="Agency",1,0)</f>
        <v>0</v>
      </c>
      <c r="AA477" s="13" t="n">
        <f aca="false">IF(K477="Client",1,0)</f>
        <v>1</v>
      </c>
      <c r="AB477" s="13" t="n">
        <f aca="false">(D477-AVERAGE(D$2:D$2001))/STDEV(D$2:D$2001)</f>
        <v>-0.065562211890028</v>
      </c>
      <c r="AC477" s="13" t="n">
        <f aca="false">(I477-AVERAGE(I$2:I$2001))/STDEV(I$2:I$2001)</f>
        <v>-0.0205155458339628</v>
      </c>
      <c r="AD477" s="13" t="n">
        <f aca="false">(L477-AVERAGE(L$2:L$2001))/STDEV(L$2:L$2001)</f>
        <v>0.413838214490712</v>
      </c>
      <c r="AE477" s="13" t="n">
        <f aca="false">(M477-AVERAGE(M$2:M$2001))/STDEV(M$2:M$2001)</f>
        <v>-0.41164763460698</v>
      </c>
      <c r="AF477" s="13" t="n">
        <f aca="false">(N477-AVERAGE(N$2:N$2001))/STDEV(N$2:N$2001)</f>
        <v>-0.972321170120775</v>
      </c>
      <c r="AG477" s="13" t="n">
        <f aca="false">(O477-AVERAGE(O$2:O$2001))/STDEV(O$2:O$2001)</f>
        <v>-0.693208324354882</v>
      </c>
      <c r="AH477" s="0" t="str">
        <f aca="false">IF(B477="Company","C3 - Corporate Buyers",IF(AND(H477="Investment",M477&gt;'Segmentation Summary'!$C$1),"C1 - Global Investors",IF(AND(I477&gt;=4,M477&gt;'Segmentation Summary'!$C$1),"C4 - Luxury Investors",IF(AND(D477&lt;'Segmentation Summary'!$C$2,J477=1),"C2 - First-Time Buyers","C5 - Other Individual Buyers"))))</f>
        <v>C5 - Other Individual Buyers</v>
      </c>
    </row>
    <row r="478" customFormat="false" ht="15" hidden="false" customHeight="true" outlineLevel="0" collapsed="false">
      <c r="A478" s="13" t="s">
        <v>1017</v>
      </c>
      <c r="B478" s="13" t="s">
        <v>34</v>
      </c>
      <c r="C478" s="13" t="s">
        <v>1016</v>
      </c>
      <c r="D478" s="13" t="n">
        <v>38</v>
      </c>
      <c r="E478" s="13" t="s">
        <v>90</v>
      </c>
      <c r="F478" s="13" t="s">
        <v>33</v>
      </c>
      <c r="G478" s="13" t="s">
        <v>84</v>
      </c>
      <c r="H478" s="13" t="s">
        <v>43</v>
      </c>
      <c r="I478" s="13" t="n">
        <v>4</v>
      </c>
      <c r="J478" s="13" t="n">
        <v>0</v>
      </c>
      <c r="K478" s="13" t="s">
        <v>85</v>
      </c>
      <c r="L478" s="13" t="n">
        <v>3</v>
      </c>
      <c r="M478" s="13" t="n">
        <v>1194618.9</v>
      </c>
      <c r="N478" s="13" t="n">
        <v>398206.3</v>
      </c>
      <c r="O478" s="13" t="n">
        <v>1268.04666666667</v>
      </c>
      <c r="P478" s="13" t="n">
        <v>1</v>
      </c>
      <c r="Q478" s="13" t="n">
        <v>2</v>
      </c>
      <c r="R478" s="13" t="s">
        <v>112</v>
      </c>
      <c r="S478" s="13" t="s">
        <v>135</v>
      </c>
      <c r="T478" s="13" t="n">
        <v>1</v>
      </c>
      <c r="U478" s="13" t="n">
        <f aca="false">IF(B478="Individual",1,0)</f>
        <v>1</v>
      </c>
      <c r="V478" s="13" t="n">
        <f aca="false">IF(B478="Company",1,0)</f>
        <v>0</v>
      </c>
      <c r="W478" s="13" t="n">
        <f aca="false">IF(H478="Home",1,0)</f>
        <v>0</v>
      </c>
      <c r="X478" s="13" t="n">
        <f aca="false">IF(H478="Investment",1,0)</f>
        <v>1</v>
      </c>
      <c r="Y478" s="13" t="n">
        <f aca="false">IF(K478="Website",1,0)</f>
        <v>1</v>
      </c>
      <c r="Z478" s="13" t="n">
        <f aca="false">IF(K478="Agency",1,0)</f>
        <v>0</v>
      </c>
      <c r="AA478" s="13" t="n">
        <f aca="false">IF(K478="Client",1,0)</f>
        <v>0</v>
      </c>
      <c r="AB478" s="13" t="n">
        <f aca="false">(D478-AVERAGE(D$2:D$2001))/STDEV(D$2:D$2001)</f>
        <v>-0.930499044212296</v>
      </c>
      <c r="AC478" s="13" t="n">
        <f aca="false">(I478-AVERAGE(I$2:I$2001))/STDEV(I$2:I$2001)</f>
        <v>0.686917069130275</v>
      </c>
      <c r="AD478" s="13" t="n">
        <f aca="false">(L478-AVERAGE(L$2:L$2001))/STDEV(L$2:L$2001)</f>
        <v>-0.777063122173208</v>
      </c>
      <c r="AE478" s="13" t="n">
        <f aca="false">(M478-AVERAGE(M$2:M$2001))/STDEV(M$2:M$2001)</f>
        <v>-0.189047680579334</v>
      </c>
      <c r="AF478" s="13" t="n">
        <f aca="false">(N478-AVERAGE(N$2:N$2001))/STDEV(N$2:N$2001)</f>
        <v>0.7331469947421</v>
      </c>
      <c r="AG478" s="13" t="n">
        <f aca="false">(O478-AVERAGE(O$2:O$2001))/STDEV(O$2:O$2001)</f>
        <v>0.548224720066179</v>
      </c>
      <c r="AH478" s="0" t="str">
        <f aca="false">IF(B478="Company","C3 - Corporate Buyers",IF(AND(H478="Investment",M478&gt;'Segmentation Summary'!$C$1),"C1 - Global Investors",IF(AND(I478&gt;=4,M478&gt;'Segmentation Summary'!$C$1),"C4 - Luxury Investors",IF(AND(D478&lt;'Segmentation Summary'!$C$2,J478=1),"C2 - First-Time Buyers","C5 - Other Individual Buyers"))))</f>
        <v>C5 - Other Individual Buyers</v>
      </c>
    </row>
    <row r="479" customFormat="false" ht="15" hidden="false" customHeight="true" outlineLevel="0" collapsed="false">
      <c r="A479" s="13" t="s">
        <v>1018</v>
      </c>
      <c r="B479" s="13" t="s">
        <v>34</v>
      </c>
      <c r="C479" s="13" t="s">
        <v>1016</v>
      </c>
      <c r="D479" s="13" t="n">
        <v>35</v>
      </c>
      <c r="E479" s="13" t="s">
        <v>90</v>
      </c>
      <c r="F479" s="13" t="s">
        <v>33</v>
      </c>
      <c r="G479" s="13" t="s">
        <v>162</v>
      </c>
      <c r="H479" s="13" t="s">
        <v>41</v>
      </c>
      <c r="I479" s="13" t="n">
        <v>3</v>
      </c>
      <c r="J479" s="13" t="n">
        <v>1</v>
      </c>
      <c r="K479" s="13" t="s">
        <v>91</v>
      </c>
      <c r="L479" s="13" t="n">
        <v>3</v>
      </c>
      <c r="M479" s="13" t="n">
        <v>985992.43</v>
      </c>
      <c r="N479" s="13" t="n">
        <v>328664.143333333</v>
      </c>
      <c r="O479" s="13" t="n">
        <v>983.426666666667</v>
      </c>
      <c r="P479" s="13" t="n">
        <v>1</v>
      </c>
      <c r="Q479" s="13" t="n">
        <v>2</v>
      </c>
      <c r="R479" s="13" t="s">
        <v>101</v>
      </c>
      <c r="S479" s="13" t="s">
        <v>152</v>
      </c>
      <c r="T479" s="13" t="n">
        <v>1</v>
      </c>
      <c r="U479" s="13" t="n">
        <f aca="false">IF(B479="Individual",1,0)</f>
        <v>1</v>
      </c>
      <c r="V479" s="13" t="n">
        <f aca="false">IF(B479="Company",1,0)</f>
        <v>0</v>
      </c>
      <c r="W479" s="13" t="n">
        <f aca="false">IF(H479="Home",1,0)</f>
        <v>1</v>
      </c>
      <c r="X479" s="13" t="n">
        <f aca="false">IF(H479="Investment",1,0)</f>
        <v>0</v>
      </c>
      <c r="Y479" s="13" t="n">
        <f aca="false">IF(K479="Website",1,0)</f>
        <v>0</v>
      </c>
      <c r="Z479" s="13" t="n">
        <f aca="false">IF(K479="Agency",1,0)</f>
        <v>1</v>
      </c>
      <c r="AA479" s="13" t="n">
        <f aca="false">IF(K479="Client",1,0)</f>
        <v>0</v>
      </c>
      <c r="AB479" s="13" t="n">
        <f aca="false">(D479-AVERAGE(D$2:D$2001))/STDEV(D$2:D$2001)</f>
        <v>-1.10348641067675</v>
      </c>
      <c r="AC479" s="13" t="n">
        <f aca="false">(I479-AVERAGE(I$2:I$2001))/STDEV(I$2:I$2001)</f>
        <v>-0.0205155458339628</v>
      </c>
      <c r="AD479" s="13" t="n">
        <f aca="false">(L479-AVERAGE(L$2:L$2001))/STDEV(L$2:L$2001)</f>
        <v>-0.777063122173208</v>
      </c>
      <c r="AE479" s="13" t="n">
        <f aca="false">(M479-AVERAGE(M$2:M$2001))/STDEV(M$2:M$2001)</f>
        <v>-0.788840887723633</v>
      </c>
      <c r="AF479" s="13" t="n">
        <f aca="false">(N479-AVERAGE(N$2:N$2001))/STDEV(N$2:N$2001)</f>
        <v>-0.264276119820207</v>
      </c>
      <c r="AG479" s="13" t="n">
        <f aca="false">(O479-AVERAGE(O$2:O$2001))/STDEV(O$2:O$2001)</f>
        <v>-0.74595794636367</v>
      </c>
      <c r="AH479" s="0" t="str">
        <f aca="false">IF(B479="Company","C3 - Corporate Buyers",IF(AND(H479="Investment",M479&gt;'Segmentation Summary'!$C$1),"C1 - Global Investors",IF(AND(I479&gt;=4,M479&gt;'Segmentation Summary'!$C$1),"C4 - Luxury Investors",IF(AND(D479&lt;'Segmentation Summary'!$C$2,J479=1),"C2 - First-Time Buyers","C5 - Other Individual Buyers"))))</f>
        <v>C2 - First-Time Buyers</v>
      </c>
    </row>
    <row r="480" customFormat="false" ht="15" hidden="false" customHeight="true" outlineLevel="0" collapsed="false">
      <c r="A480" s="13" t="s">
        <v>1019</v>
      </c>
      <c r="B480" s="13" t="s">
        <v>34</v>
      </c>
      <c r="C480" s="13" t="s">
        <v>1020</v>
      </c>
      <c r="D480" s="13" t="n">
        <v>33</v>
      </c>
      <c r="E480" s="13" t="s">
        <v>90</v>
      </c>
      <c r="F480" s="13" t="s">
        <v>33</v>
      </c>
      <c r="G480" s="13" t="s">
        <v>265</v>
      </c>
      <c r="H480" s="13" t="s">
        <v>43</v>
      </c>
      <c r="I480" s="13" t="n">
        <v>5</v>
      </c>
      <c r="J480" s="13" t="n">
        <v>0</v>
      </c>
      <c r="K480" s="13" t="s">
        <v>85</v>
      </c>
      <c r="L480" s="13" t="n">
        <v>4</v>
      </c>
      <c r="M480" s="13" t="n">
        <v>1418212.48</v>
      </c>
      <c r="N480" s="13" t="n">
        <v>354553.12</v>
      </c>
      <c r="O480" s="13" t="n">
        <v>1146.9925</v>
      </c>
      <c r="P480" s="13" t="n">
        <v>1</v>
      </c>
      <c r="Q480" s="13" t="n">
        <v>3</v>
      </c>
      <c r="R480" s="13" t="s">
        <v>92</v>
      </c>
      <c r="S480" s="13" t="s">
        <v>154</v>
      </c>
      <c r="T480" s="13" t="n">
        <v>1</v>
      </c>
      <c r="U480" s="13" t="n">
        <f aca="false">IF(B480="Individual",1,0)</f>
        <v>1</v>
      </c>
      <c r="V480" s="13" t="n">
        <f aca="false">IF(B480="Company",1,0)</f>
        <v>0</v>
      </c>
      <c r="W480" s="13" t="n">
        <f aca="false">IF(H480="Home",1,0)</f>
        <v>0</v>
      </c>
      <c r="X480" s="13" t="n">
        <f aca="false">IF(H480="Investment",1,0)</f>
        <v>1</v>
      </c>
      <c r="Y480" s="13" t="n">
        <f aca="false">IF(K480="Website",1,0)</f>
        <v>1</v>
      </c>
      <c r="Z480" s="13" t="n">
        <f aca="false">IF(K480="Agency",1,0)</f>
        <v>0</v>
      </c>
      <c r="AA480" s="13" t="n">
        <f aca="false">IF(K480="Client",1,0)</f>
        <v>0</v>
      </c>
      <c r="AB480" s="13" t="n">
        <f aca="false">(D480-AVERAGE(D$2:D$2001))/STDEV(D$2:D$2001)</f>
        <v>-1.21881132165305</v>
      </c>
      <c r="AC480" s="13" t="n">
        <f aca="false">(I480-AVERAGE(I$2:I$2001))/STDEV(I$2:I$2001)</f>
        <v>1.39434968409451</v>
      </c>
      <c r="AD480" s="13" t="n">
        <f aca="false">(L480-AVERAGE(L$2:L$2001))/STDEV(L$2:L$2001)</f>
        <v>0.413838214490712</v>
      </c>
      <c r="AE480" s="13" t="n">
        <f aca="false">(M480-AVERAGE(M$2:M$2001))/STDEV(M$2:M$2001)</f>
        <v>0.453775401482475</v>
      </c>
      <c r="AF480" s="13" t="n">
        <f aca="false">(N480-AVERAGE(N$2:N$2001))/STDEV(N$2:N$2001)</f>
        <v>0.107042012625274</v>
      </c>
      <c r="AG480" s="13" t="n">
        <f aca="false">(O480-AVERAGE(O$2:O$2001))/STDEV(O$2:O$2001)</f>
        <v>-0.00221517944584596</v>
      </c>
      <c r="AH480" s="0" t="str">
        <f aca="false">IF(B480="Company","C3 - Corporate Buyers",IF(AND(H480="Investment",M480&gt;'Segmentation Summary'!$C$1),"C1 - Global Investors",IF(AND(I480&gt;=4,M480&gt;'Segmentation Summary'!$C$1),"C4 - Luxury Investors",IF(AND(D480&lt;'Segmentation Summary'!$C$2,J480=1),"C2 - First-Time Buyers","C5 - Other Individual Buyers"))))</f>
        <v>C1 - Global Investors</v>
      </c>
    </row>
    <row r="481" customFormat="false" ht="15" hidden="false" customHeight="true" outlineLevel="0" collapsed="false">
      <c r="A481" s="13" t="s">
        <v>1021</v>
      </c>
      <c r="B481" s="13" t="s">
        <v>34</v>
      </c>
      <c r="C481" s="13" t="s">
        <v>1022</v>
      </c>
      <c r="D481" s="13" t="n">
        <v>25</v>
      </c>
      <c r="E481" s="13" t="s">
        <v>90</v>
      </c>
      <c r="F481" s="13" t="s">
        <v>45</v>
      </c>
      <c r="G481" s="13" t="s">
        <v>405</v>
      </c>
      <c r="H481" s="13" t="s">
        <v>41</v>
      </c>
      <c r="I481" s="13" t="n">
        <v>4</v>
      </c>
      <c r="J481" s="13" t="n">
        <v>0</v>
      </c>
      <c r="K481" s="13" t="s">
        <v>91</v>
      </c>
      <c r="L481" s="13" t="n">
        <v>3</v>
      </c>
      <c r="M481" s="13" t="n">
        <v>802736.76</v>
      </c>
      <c r="N481" s="13" t="n">
        <v>267578.92</v>
      </c>
      <c r="O481" s="13" t="n">
        <v>900.46</v>
      </c>
      <c r="P481" s="13" t="n">
        <v>0</v>
      </c>
      <c r="Q481" s="13" t="n">
        <v>3</v>
      </c>
      <c r="R481" s="13" t="s">
        <v>93</v>
      </c>
      <c r="S481" s="13" t="s">
        <v>114</v>
      </c>
      <c r="T481" s="13" t="n">
        <v>1</v>
      </c>
      <c r="U481" s="13" t="n">
        <f aca="false">IF(B481="Individual",1,0)</f>
        <v>1</v>
      </c>
      <c r="V481" s="13" t="n">
        <f aca="false">IF(B481="Company",1,0)</f>
        <v>0</v>
      </c>
      <c r="W481" s="13" t="n">
        <f aca="false">IF(H481="Home",1,0)</f>
        <v>1</v>
      </c>
      <c r="X481" s="13" t="n">
        <f aca="false">IF(H481="Investment",1,0)</f>
        <v>0</v>
      </c>
      <c r="Y481" s="13" t="n">
        <f aca="false">IF(K481="Website",1,0)</f>
        <v>0</v>
      </c>
      <c r="Z481" s="13" t="n">
        <f aca="false">IF(K481="Agency",1,0)</f>
        <v>1</v>
      </c>
      <c r="AA481" s="13" t="n">
        <f aca="false">IF(K481="Client",1,0)</f>
        <v>0</v>
      </c>
      <c r="AB481" s="13" t="n">
        <f aca="false">(D481-AVERAGE(D$2:D$2001))/STDEV(D$2:D$2001)</f>
        <v>-1.68011096555826</v>
      </c>
      <c r="AC481" s="13" t="n">
        <f aca="false">(I481-AVERAGE(I$2:I$2001))/STDEV(I$2:I$2001)</f>
        <v>0.686917069130275</v>
      </c>
      <c r="AD481" s="13" t="n">
        <f aca="false">(L481-AVERAGE(L$2:L$2001))/STDEV(L$2:L$2001)</f>
        <v>-0.777063122173208</v>
      </c>
      <c r="AE481" s="13" t="n">
        <f aca="false">(M481-AVERAGE(M$2:M$2001))/STDEV(M$2:M$2001)</f>
        <v>-1.3156940048601</v>
      </c>
      <c r="AF481" s="13" t="n">
        <f aca="false">(N481-AVERAGE(N$2:N$2001))/STDEV(N$2:N$2001)</f>
        <v>-1.14040387643997</v>
      </c>
      <c r="AG481" s="13" t="n">
        <f aca="false">(O481-AVERAGE(O$2:O$2001))/STDEV(O$2:O$2001)</f>
        <v>-1.12321190564785</v>
      </c>
      <c r="AH481" s="0" t="str">
        <f aca="false">IF(B481="Company","C3 - Corporate Buyers",IF(AND(H481="Investment",M481&gt;'Segmentation Summary'!$C$1),"C1 - Global Investors",IF(AND(I481&gt;=4,M481&gt;'Segmentation Summary'!$C$1),"C4 - Luxury Investors",IF(AND(D481&lt;'Segmentation Summary'!$C$2,J481=1),"C2 - First-Time Buyers","C5 - Other Individual Buyers"))))</f>
        <v>C5 - Other Individual Buyers</v>
      </c>
    </row>
    <row r="482" customFormat="false" ht="15" hidden="false" customHeight="true" outlineLevel="0" collapsed="false">
      <c r="A482" s="13" t="s">
        <v>1023</v>
      </c>
      <c r="B482" s="13" t="s">
        <v>34</v>
      </c>
      <c r="C482" s="13" t="s">
        <v>1024</v>
      </c>
      <c r="D482" s="13" t="n">
        <v>71</v>
      </c>
      <c r="E482" s="13" t="s">
        <v>90</v>
      </c>
      <c r="F482" s="13" t="s">
        <v>33</v>
      </c>
      <c r="G482" s="13" t="s">
        <v>95</v>
      </c>
      <c r="H482" s="13" t="s">
        <v>43</v>
      </c>
      <c r="I482" s="13" t="n">
        <v>4</v>
      </c>
      <c r="J482" s="13" t="n">
        <v>0</v>
      </c>
      <c r="K482" s="13" t="s">
        <v>91</v>
      </c>
      <c r="L482" s="13" t="n">
        <v>3</v>
      </c>
      <c r="M482" s="13" t="n">
        <v>1380536.7</v>
      </c>
      <c r="N482" s="13" t="n">
        <v>460178.9</v>
      </c>
      <c r="O482" s="13" t="n">
        <v>1396.87</v>
      </c>
      <c r="P482" s="13" t="n">
        <v>1</v>
      </c>
      <c r="Q482" s="13" t="n">
        <v>2</v>
      </c>
      <c r="R482" s="13" t="s">
        <v>117</v>
      </c>
      <c r="S482" s="13" t="s">
        <v>121</v>
      </c>
      <c r="T482" s="13" t="n">
        <v>1</v>
      </c>
      <c r="U482" s="13" t="n">
        <f aca="false">IF(B482="Individual",1,0)</f>
        <v>1</v>
      </c>
      <c r="V482" s="13" t="n">
        <f aca="false">IF(B482="Company",1,0)</f>
        <v>0</v>
      </c>
      <c r="W482" s="13" t="n">
        <f aca="false">IF(H482="Home",1,0)</f>
        <v>0</v>
      </c>
      <c r="X482" s="13" t="n">
        <f aca="false">IF(H482="Investment",1,0)</f>
        <v>1</v>
      </c>
      <c r="Y482" s="13" t="n">
        <f aca="false">IF(K482="Website",1,0)</f>
        <v>0</v>
      </c>
      <c r="Z482" s="13" t="n">
        <f aca="false">IF(K482="Agency",1,0)</f>
        <v>1</v>
      </c>
      <c r="AA482" s="13" t="n">
        <f aca="false">IF(K482="Client",1,0)</f>
        <v>0</v>
      </c>
      <c r="AB482" s="13" t="n">
        <f aca="false">(D482-AVERAGE(D$2:D$2001))/STDEV(D$2:D$2001)</f>
        <v>0.972361986896694</v>
      </c>
      <c r="AC482" s="13" t="n">
        <f aca="false">(I482-AVERAGE(I$2:I$2001))/STDEV(I$2:I$2001)</f>
        <v>0.686917069130275</v>
      </c>
      <c r="AD482" s="13" t="n">
        <f aca="false">(L482-AVERAGE(L$2:L$2001))/STDEV(L$2:L$2001)</f>
        <v>-0.777063122173208</v>
      </c>
      <c r="AE482" s="13" t="n">
        <f aca="false">(M482-AVERAGE(M$2:M$2001))/STDEV(M$2:M$2001)</f>
        <v>0.345458959576215</v>
      </c>
      <c r="AF482" s="13" t="n">
        <f aca="false">(N482-AVERAGE(N$2:N$2001))/STDEV(N$2:N$2001)</f>
        <v>1.62200213919511</v>
      </c>
      <c r="AG482" s="13" t="n">
        <f aca="false">(O482-AVERAGE(O$2:O$2001))/STDEV(O$2:O$2001)</f>
        <v>1.13399144423071</v>
      </c>
      <c r="AH482" s="0" t="str">
        <f aca="false">IF(B482="Company","C3 - Corporate Buyers",IF(AND(H482="Investment",M482&gt;'Segmentation Summary'!$C$1),"C1 - Global Investors",IF(AND(I482&gt;=4,M482&gt;'Segmentation Summary'!$C$1),"C4 - Luxury Investors",IF(AND(D482&lt;'Segmentation Summary'!$C$2,J482=1),"C2 - First-Time Buyers","C5 - Other Individual Buyers"))))</f>
        <v>C1 - Global Investors</v>
      </c>
    </row>
    <row r="483" customFormat="false" ht="15" hidden="false" customHeight="true" outlineLevel="0" collapsed="false">
      <c r="A483" s="13" t="s">
        <v>1025</v>
      </c>
      <c r="B483" s="13" t="s">
        <v>34</v>
      </c>
      <c r="C483" s="13" t="s">
        <v>1026</v>
      </c>
      <c r="D483" s="13" t="n">
        <v>68</v>
      </c>
      <c r="E483" s="13" t="s">
        <v>90</v>
      </c>
      <c r="F483" s="13" t="s">
        <v>33</v>
      </c>
      <c r="G483" s="13" t="s">
        <v>95</v>
      </c>
      <c r="H483" s="13" t="s">
        <v>41</v>
      </c>
      <c r="I483" s="13" t="n">
        <v>4</v>
      </c>
      <c r="J483" s="13" t="n">
        <v>0</v>
      </c>
      <c r="K483" s="13" t="s">
        <v>116</v>
      </c>
      <c r="L483" s="13" t="n">
        <v>4</v>
      </c>
      <c r="M483" s="13" t="n">
        <v>1242478.83</v>
      </c>
      <c r="N483" s="13" t="n">
        <v>310619.7075</v>
      </c>
      <c r="O483" s="13" t="n">
        <v>916.0375</v>
      </c>
      <c r="P483" s="13" t="n">
        <v>0</v>
      </c>
      <c r="Q483" s="13" t="n">
        <v>4</v>
      </c>
      <c r="R483" s="13" t="s">
        <v>92</v>
      </c>
      <c r="S483" s="13" t="s">
        <v>107</v>
      </c>
      <c r="T483" s="13" t="n">
        <v>1</v>
      </c>
      <c r="U483" s="13" t="n">
        <f aca="false">IF(B483="Individual",1,0)</f>
        <v>1</v>
      </c>
      <c r="V483" s="13" t="n">
        <f aca="false">IF(B483="Company",1,0)</f>
        <v>0</v>
      </c>
      <c r="W483" s="13" t="n">
        <f aca="false">IF(H483="Home",1,0)</f>
        <v>1</v>
      </c>
      <c r="X483" s="13" t="n">
        <f aca="false">IF(H483="Investment",1,0)</f>
        <v>0</v>
      </c>
      <c r="Y483" s="13" t="n">
        <f aca="false">IF(K483="Website",1,0)</f>
        <v>0</v>
      </c>
      <c r="Z483" s="13" t="n">
        <f aca="false">IF(K483="Agency",1,0)</f>
        <v>0</v>
      </c>
      <c r="AA483" s="13" t="n">
        <f aca="false">IF(K483="Client",1,0)</f>
        <v>1</v>
      </c>
      <c r="AB483" s="13" t="n">
        <f aca="false">(D483-AVERAGE(D$2:D$2001))/STDEV(D$2:D$2001)</f>
        <v>0.79937462043224</v>
      </c>
      <c r="AC483" s="13" t="n">
        <f aca="false">(I483-AVERAGE(I$2:I$2001))/STDEV(I$2:I$2001)</f>
        <v>0.686917069130275</v>
      </c>
      <c r="AD483" s="13" t="n">
        <f aca="false">(L483-AVERAGE(L$2:L$2001))/STDEV(L$2:L$2001)</f>
        <v>0.413838214490712</v>
      </c>
      <c r="AE483" s="13" t="n">
        <f aca="false">(M483-AVERAGE(M$2:M$2001))/STDEV(M$2:M$2001)</f>
        <v>-0.0514521927756924</v>
      </c>
      <c r="AF483" s="13" t="n">
        <f aca="false">(N483-AVERAGE(N$2:N$2001))/STDEV(N$2:N$2001)</f>
        <v>-0.523082263490317</v>
      </c>
      <c r="AG483" s="13" t="n">
        <f aca="false">(O483-AVERAGE(O$2:O$2001))/STDEV(O$2:O$2001)</f>
        <v>-1.05238016337285</v>
      </c>
      <c r="AH483" s="0" t="str">
        <f aca="false">IF(B483="Company","C3 - Corporate Buyers",IF(AND(H483="Investment",M483&gt;'Segmentation Summary'!$C$1),"C1 - Global Investors",IF(AND(I483&gt;=4,M483&gt;'Segmentation Summary'!$C$1),"C4 - Luxury Investors",IF(AND(D483&lt;'Segmentation Summary'!$C$2,J483=1),"C2 - First-Time Buyers","C5 - Other Individual Buyers"))))</f>
        <v>C4 - Luxury Investors</v>
      </c>
    </row>
    <row r="484" customFormat="false" ht="15" hidden="false" customHeight="true" outlineLevel="0" collapsed="false">
      <c r="A484" s="13" t="s">
        <v>1027</v>
      </c>
      <c r="B484" s="13" t="s">
        <v>34</v>
      </c>
      <c r="C484" s="13" t="s">
        <v>1026</v>
      </c>
      <c r="D484" s="13" t="n">
        <v>53</v>
      </c>
      <c r="E484" s="13" t="s">
        <v>90</v>
      </c>
      <c r="F484" s="13" t="s">
        <v>33</v>
      </c>
      <c r="G484" s="13" t="s">
        <v>95</v>
      </c>
      <c r="H484" s="13" t="s">
        <v>43</v>
      </c>
      <c r="I484" s="13" t="n">
        <v>4</v>
      </c>
      <c r="J484" s="13" t="n">
        <v>0</v>
      </c>
      <c r="K484" s="13" t="s">
        <v>85</v>
      </c>
      <c r="L484" s="13" t="n">
        <v>4</v>
      </c>
      <c r="M484" s="13" t="n">
        <v>1676312.98</v>
      </c>
      <c r="N484" s="13" t="n">
        <v>419078.245</v>
      </c>
      <c r="O484" s="13" t="n">
        <v>1341.715</v>
      </c>
      <c r="P484" s="13" t="n">
        <v>0</v>
      </c>
      <c r="Q484" s="13" t="n">
        <v>4</v>
      </c>
      <c r="R484" s="13" t="s">
        <v>86</v>
      </c>
      <c r="S484" s="13" t="s">
        <v>114</v>
      </c>
      <c r="T484" s="13" t="n">
        <v>1</v>
      </c>
      <c r="U484" s="13" t="n">
        <f aca="false">IF(B484="Individual",1,0)</f>
        <v>1</v>
      </c>
      <c r="V484" s="13" t="n">
        <f aca="false">IF(B484="Company",1,0)</f>
        <v>0</v>
      </c>
      <c r="W484" s="13" t="n">
        <f aca="false">IF(H484="Home",1,0)</f>
        <v>0</v>
      </c>
      <c r="X484" s="13" t="n">
        <f aca="false">IF(H484="Investment",1,0)</f>
        <v>1</v>
      </c>
      <c r="Y484" s="13" t="n">
        <f aca="false">IF(K484="Website",1,0)</f>
        <v>1</v>
      </c>
      <c r="Z484" s="13" t="n">
        <f aca="false">IF(K484="Agency",1,0)</f>
        <v>0</v>
      </c>
      <c r="AA484" s="13" t="n">
        <f aca="false">IF(K484="Client",1,0)</f>
        <v>0</v>
      </c>
      <c r="AB484" s="13" t="n">
        <f aca="false">(D484-AVERAGE(D$2:D$2001))/STDEV(D$2:D$2001)</f>
        <v>-0.065562211890028</v>
      </c>
      <c r="AC484" s="13" t="n">
        <f aca="false">(I484-AVERAGE(I$2:I$2001))/STDEV(I$2:I$2001)</f>
        <v>0.686917069130275</v>
      </c>
      <c r="AD484" s="13" t="n">
        <f aca="false">(L484-AVERAGE(L$2:L$2001))/STDEV(L$2:L$2001)</f>
        <v>0.413838214490712</v>
      </c>
      <c r="AE484" s="13" t="n">
        <f aca="false">(M484-AVERAGE(M$2:M$2001))/STDEV(M$2:M$2001)</f>
        <v>1.19580457285535</v>
      </c>
      <c r="AF484" s="13" t="n">
        <f aca="false">(N484-AVERAGE(N$2:N$2001))/STDEV(N$2:N$2001)</f>
        <v>1.03250728764558</v>
      </c>
      <c r="AG484" s="13" t="n">
        <f aca="false">(O484-AVERAGE(O$2:O$2001))/STDEV(O$2:O$2001)</f>
        <v>0.883198650446232</v>
      </c>
      <c r="AH484" s="0" t="str">
        <f aca="false">IF(B484="Company","C3 - Corporate Buyers",IF(AND(H484="Investment",M484&gt;'Segmentation Summary'!$C$1),"C1 - Global Investors",IF(AND(I484&gt;=4,M484&gt;'Segmentation Summary'!$C$1),"C4 - Luxury Investors",IF(AND(D484&lt;'Segmentation Summary'!$C$2,J484=1),"C2 - First-Time Buyers","C5 - Other Individual Buyers"))))</f>
        <v>C1 - Global Investors</v>
      </c>
    </row>
    <row r="485" customFormat="false" ht="15" hidden="false" customHeight="true" outlineLevel="0" collapsed="false">
      <c r="A485" s="13" t="s">
        <v>1028</v>
      </c>
      <c r="B485" s="13" t="s">
        <v>34</v>
      </c>
      <c r="C485" s="13" t="s">
        <v>1029</v>
      </c>
      <c r="D485" s="13" t="n">
        <v>64</v>
      </c>
      <c r="E485" s="13" t="s">
        <v>90</v>
      </c>
      <c r="F485" s="13" t="s">
        <v>33</v>
      </c>
      <c r="G485" s="13" t="s">
        <v>162</v>
      </c>
      <c r="H485" s="13" t="s">
        <v>41</v>
      </c>
      <c r="I485" s="13" t="n">
        <v>3</v>
      </c>
      <c r="J485" s="13" t="n">
        <v>0</v>
      </c>
      <c r="K485" s="13" t="s">
        <v>85</v>
      </c>
      <c r="L485" s="13" t="n">
        <v>4</v>
      </c>
      <c r="M485" s="13" t="n">
        <v>1317165.12</v>
      </c>
      <c r="N485" s="13" t="n">
        <v>329291.28</v>
      </c>
      <c r="O485" s="13" t="n">
        <v>1090.1925</v>
      </c>
      <c r="P485" s="13" t="n">
        <v>1</v>
      </c>
      <c r="Q485" s="13" t="n">
        <v>3</v>
      </c>
      <c r="R485" s="13" t="s">
        <v>98</v>
      </c>
      <c r="S485" s="13" t="s">
        <v>103</v>
      </c>
      <c r="T485" s="13" t="n">
        <v>1</v>
      </c>
      <c r="U485" s="13" t="n">
        <f aca="false">IF(B485="Individual",1,0)</f>
        <v>1</v>
      </c>
      <c r="V485" s="13" t="n">
        <f aca="false">IF(B485="Company",1,0)</f>
        <v>0</v>
      </c>
      <c r="W485" s="13" t="n">
        <f aca="false">IF(H485="Home",1,0)</f>
        <v>1</v>
      </c>
      <c r="X485" s="13" t="n">
        <f aca="false">IF(H485="Investment",1,0)</f>
        <v>0</v>
      </c>
      <c r="Y485" s="13" t="n">
        <f aca="false">IF(K485="Website",1,0)</f>
        <v>1</v>
      </c>
      <c r="Z485" s="13" t="n">
        <f aca="false">IF(K485="Agency",1,0)</f>
        <v>0</v>
      </c>
      <c r="AA485" s="13" t="n">
        <f aca="false">IF(K485="Client",1,0)</f>
        <v>0</v>
      </c>
      <c r="AB485" s="13" t="n">
        <f aca="false">(D485-AVERAGE(D$2:D$2001))/STDEV(D$2:D$2001)</f>
        <v>0.568724798479635</v>
      </c>
      <c r="AC485" s="13" t="n">
        <f aca="false">(I485-AVERAGE(I$2:I$2001))/STDEV(I$2:I$2001)</f>
        <v>-0.0205155458339628</v>
      </c>
      <c r="AD485" s="13" t="n">
        <f aca="false">(L485-AVERAGE(L$2:L$2001))/STDEV(L$2:L$2001)</f>
        <v>0.413838214490712</v>
      </c>
      <c r="AE485" s="13" t="n">
        <f aca="false">(M485-AVERAGE(M$2:M$2001))/STDEV(M$2:M$2001)</f>
        <v>0.163268064959624</v>
      </c>
      <c r="AF485" s="13" t="n">
        <f aca="false">(N485-AVERAGE(N$2:N$2001))/STDEV(N$2:N$2001)</f>
        <v>-0.255281279319049</v>
      </c>
      <c r="AG485" s="13" t="n">
        <f aca="false">(O485-AVERAGE(O$2:O$2001))/STDEV(O$2:O$2001)</f>
        <v>-0.260487877967435</v>
      </c>
      <c r="AH485" s="0" t="str">
        <f aca="false">IF(B485="Company","C3 - Corporate Buyers",IF(AND(H485="Investment",M485&gt;'Segmentation Summary'!$C$1),"C1 - Global Investors",IF(AND(I485&gt;=4,M485&gt;'Segmentation Summary'!$C$1),"C4 - Luxury Investors",IF(AND(D485&lt;'Segmentation Summary'!$C$2,J485=1),"C2 - First-Time Buyers","C5 - Other Individual Buyers"))))</f>
        <v>C5 - Other Individual Buyers</v>
      </c>
    </row>
    <row r="486" customFormat="false" ht="15" hidden="false" customHeight="true" outlineLevel="0" collapsed="false">
      <c r="A486" s="13" t="s">
        <v>1030</v>
      </c>
      <c r="B486" s="13" t="s">
        <v>34</v>
      </c>
      <c r="C486" s="13" t="s">
        <v>1031</v>
      </c>
      <c r="D486" s="13" t="n">
        <v>65</v>
      </c>
      <c r="E486" s="13" t="s">
        <v>90</v>
      </c>
      <c r="F486" s="13" t="s">
        <v>33</v>
      </c>
      <c r="G486" s="13" t="s">
        <v>110</v>
      </c>
      <c r="H486" s="13" t="s">
        <v>43</v>
      </c>
      <c r="I486" s="13" t="n">
        <v>2</v>
      </c>
      <c r="J486" s="13" t="n">
        <v>0</v>
      </c>
      <c r="K486" s="13" t="s">
        <v>116</v>
      </c>
      <c r="L486" s="13" t="n">
        <v>4</v>
      </c>
      <c r="M486" s="13" t="n">
        <v>1232301.44</v>
      </c>
      <c r="N486" s="13" t="n">
        <v>308075.36</v>
      </c>
      <c r="O486" s="13" t="n">
        <v>929.6975</v>
      </c>
      <c r="P486" s="13" t="n">
        <v>1</v>
      </c>
      <c r="Q486" s="13" t="n">
        <v>3</v>
      </c>
      <c r="R486" s="13" t="s">
        <v>111</v>
      </c>
      <c r="S486" s="13" t="s">
        <v>135</v>
      </c>
      <c r="T486" s="13" t="n">
        <v>1</v>
      </c>
      <c r="U486" s="13" t="n">
        <f aca="false">IF(B486="Individual",1,0)</f>
        <v>1</v>
      </c>
      <c r="V486" s="13" t="n">
        <f aca="false">IF(B486="Company",1,0)</f>
        <v>0</v>
      </c>
      <c r="W486" s="13" t="n">
        <f aca="false">IF(H486="Home",1,0)</f>
        <v>0</v>
      </c>
      <c r="X486" s="13" t="n">
        <f aca="false">IF(H486="Investment",1,0)</f>
        <v>1</v>
      </c>
      <c r="Y486" s="13" t="n">
        <f aca="false">IF(K486="Website",1,0)</f>
        <v>0</v>
      </c>
      <c r="Z486" s="13" t="n">
        <f aca="false">IF(K486="Agency",1,0)</f>
        <v>0</v>
      </c>
      <c r="AA486" s="13" t="n">
        <f aca="false">IF(K486="Client",1,0)</f>
        <v>1</v>
      </c>
      <c r="AB486" s="13" t="n">
        <f aca="false">(D486-AVERAGE(D$2:D$2001))/STDEV(D$2:D$2001)</f>
        <v>0.626387253967787</v>
      </c>
      <c r="AC486" s="13" t="n">
        <f aca="false">(I486-AVERAGE(I$2:I$2001))/STDEV(I$2:I$2001)</f>
        <v>-0.727948160798201</v>
      </c>
      <c r="AD486" s="13" t="n">
        <f aca="false">(L486-AVERAGE(L$2:L$2001))/STDEV(L$2:L$2001)</f>
        <v>0.413838214490712</v>
      </c>
      <c r="AE486" s="13" t="n">
        <f aca="false">(M486-AVERAGE(M$2:M$2001))/STDEV(M$2:M$2001)</f>
        <v>-0.080711803928862</v>
      </c>
      <c r="AF486" s="13" t="n">
        <f aca="false">(N486-AVERAGE(N$2:N$2001))/STDEV(N$2:N$2001)</f>
        <v>-0.559575106531454</v>
      </c>
      <c r="AG486" s="13" t="n">
        <f aca="false">(O486-AVERAGE(O$2:O$2001))/STDEV(O$2:O$2001)</f>
        <v>-0.990267398200224</v>
      </c>
      <c r="AH486" s="0" t="str">
        <f aca="false">IF(B486="Company","C3 - Corporate Buyers",IF(AND(H486="Investment",M486&gt;'Segmentation Summary'!$C$1),"C1 - Global Investors",IF(AND(I486&gt;=4,M486&gt;'Segmentation Summary'!$C$1),"C4 - Luxury Investors",IF(AND(D486&lt;'Segmentation Summary'!$C$2,J486=1),"C2 - First-Time Buyers","C5 - Other Individual Buyers"))))</f>
        <v>C1 - Global Investors</v>
      </c>
    </row>
    <row r="487" customFormat="false" ht="15" hidden="false" customHeight="true" outlineLevel="0" collapsed="false">
      <c r="A487" s="13" t="s">
        <v>1032</v>
      </c>
      <c r="B487" s="13" t="s">
        <v>34</v>
      </c>
      <c r="C487" s="13" t="s">
        <v>1033</v>
      </c>
      <c r="D487" s="13" t="n">
        <v>57</v>
      </c>
      <c r="E487" s="13" t="s">
        <v>90</v>
      </c>
      <c r="F487" s="13" t="s">
        <v>33</v>
      </c>
      <c r="G487" s="13" t="s">
        <v>95</v>
      </c>
      <c r="H487" s="13" t="s">
        <v>41</v>
      </c>
      <c r="I487" s="13" t="n">
        <v>2</v>
      </c>
      <c r="J487" s="13" t="n">
        <v>1</v>
      </c>
      <c r="K487" s="13" t="s">
        <v>85</v>
      </c>
      <c r="L487" s="13" t="n">
        <v>3</v>
      </c>
      <c r="M487" s="13" t="n">
        <v>1096818.64</v>
      </c>
      <c r="N487" s="13" t="n">
        <v>365606.213333333</v>
      </c>
      <c r="O487" s="13" t="n">
        <v>1169.04666666667</v>
      </c>
      <c r="P487" s="13" t="n">
        <v>0</v>
      </c>
      <c r="Q487" s="13" t="n">
        <v>3</v>
      </c>
      <c r="R487" s="13" t="s">
        <v>98</v>
      </c>
      <c r="S487" s="13" t="s">
        <v>141</v>
      </c>
      <c r="T487" s="13" t="n">
        <v>1</v>
      </c>
      <c r="U487" s="13" t="n">
        <f aca="false">IF(B487="Individual",1,0)</f>
        <v>1</v>
      </c>
      <c r="V487" s="13" t="n">
        <f aca="false">IF(B487="Company",1,0)</f>
        <v>0</v>
      </c>
      <c r="W487" s="13" t="n">
        <f aca="false">IF(H487="Home",1,0)</f>
        <v>1</v>
      </c>
      <c r="X487" s="13" t="n">
        <f aca="false">IF(H487="Investment",1,0)</f>
        <v>0</v>
      </c>
      <c r="Y487" s="13" t="n">
        <f aca="false">IF(K487="Website",1,0)</f>
        <v>1</v>
      </c>
      <c r="Z487" s="13" t="n">
        <f aca="false">IF(K487="Agency",1,0)</f>
        <v>0</v>
      </c>
      <c r="AA487" s="13" t="n">
        <f aca="false">IF(K487="Client",1,0)</f>
        <v>0</v>
      </c>
      <c r="AB487" s="13" t="n">
        <f aca="false">(D487-AVERAGE(D$2:D$2001))/STDEV(D$2:D$2001)</f>
        <v>0.165087610062577</v>
      </c>
      <c r="AC487" s="13" t="n">
        <f aca="false">(I487-AVERAGE(I$2:I$2001))/STDEV(I$2:I$2001)</f>
        <v>-0.727948160798201</v>
      </c>
      <c r="AD487" s="13" t="n">
        <f aca="false">(L487-AVERAGE(L$2:L$2001))/STDEV(L$2:L$2001)</f>
        <v>-0.777063122173208</v>
      </c>
      <c r="AE487" s="13" t="n">
        <f aca="false">(M487-AVERAGE(M$2:M$2001))/STDEV(M$2:M$2001)</f>
        <v>-0.47021972746747</v>
      </c>
      <c r="AF487" s="13" t="n">
        <f aca="false">(N487-AVERAGE(N$2:N$2001))/STDEV(N$2:N$2001)</f>
        <v>0.265573345366717</v>
      </c>
      <c r="AG487" s="13" t="n">
        <f aca="false">(O487-AVERAGE(O$2:O$2001))/STDEV(O$2:O$2001)</f>
        <v>0.0980663194739732</v>
      </c>
      <c r="AH487" s="0" t="str">
        <f aca="false">IF(B487="Company","C3 - Corporate Buyers",IF(AND(H487="Investment",M487&gt;'Segmentation Summary'!$C$1),"C1 - Global Investors",IF(AND(I487&gt;=4,M487&gt;'Segmentation Summary'!$C$1),"C4 - Luxury Investors",IF(AND(D487&lt;'Segmentation Summary'!$C$2,J487=1),"C2 - First-Time Buyers","C5 - Other Individual Buyers"))))</f>
        <v>C5 - Other Individual Buyers</v>
      </c>
    </row>
    <row r="488" customFormat="false" ht="15" hidden="false" customHeight="true" outlineLevel="0" collapsed="false">
      <c r="A488" s="13" t="s">
        <v>1034</v>
      </c>
      <c r="B488" s="13" t="s">
        <v>34</v>
      </c>
      <c r="C488" s="13" t="s">
        <v>1035</v>
      </c>
      <c r="D488" s="13" t="n">
        <v>32</v>
      </c>
      <c r="E488" s="13" t="s">
        <v>90</v>
      </c>
      <c r="F488" s="13" t="s">
        <v>33</v>
      </c>
      <c r="G488" s="13" t="s">
        <v>265</v>
      </c>
      <c r="H488" s="13" t="s">
        <v>43</v>
      </c>
      <c r="I488" s="13" t="n">
        <v>3</v>
      </c>
      <c r="J488" s="13" t="n">
        <v>0</v>
      </c>
      <c r="K488" s="13" t="s">
        <v>85</v>
      </c>
      <c r="L488" s="13" t="n">
        <v>3</v>
      </c>
      <c r="M488" s="13" t="n">
        <v>1108147.61</v>
      </c>
      <c r="N488" s="13" t="n">
        <v>369382.536666667</v>
      </c>
      <c r="O488" s="13" t="n">
        <v>1240.60666666667</v>
      </c>
      <c r="P488" s="13" t="n">
        <v>0</v>
      </c>
      <c r="Q488" s="13" t="n">
        <v>3</v>
      </c>
      <c r="R488" s="13" t="s">
        <v>92</v>
      </c>
      <c r="S488" s="13" t="s">
        <v>93</v>
      </c>
      <c r="T488" s="13" t="n">
        <v>1</v>
      </c>
      <c r="U488" s="13" t="n">
        <f aca="false">IF(B488="Individual",1,0)</f>
        <v>1</v>
      </c>
      <c r="V488" s="13" t="n">
        <f aca="false">IF(B488="Company",1,0)</f>
        <v>0</v>
      </c>
      <c r="W488" s="13" t="n">
        <f aca="false">IF(H488="Home",1,0)</f>
        <v>0</v>
      </c>
      <c r="X488" s="13" t="n">
        <f aca="false">IF(H488="Investment",1,0)</f>
        <v>1</v>
      </c>
      <c r="Y488" s="13" t="n">
        <f aca="false">IF(K488="Website",1,0)</f>
        <v>1</v>
      </c>
      <c r="Z488" s="13" t="n">
        <f aca="false">IF(K488="Agency",1,0)</f>
        <v>0</v>
      </c>
      <c r="AA488" s="13" t="n">
        <f aca="false">IF(K488="Client",1,0)</f>
        <v>0</v>
      </c>
      <c r="AB488" s="13" t="n">
        <f aca="false">(D488-AVERAGE(D$2:D$2001))/STDEV(D$2:D$2001)</f>
        <v>-1.2764737771412</v>
      </c>
      <c r="AC488" s="13" t="n">
        <f aca="false">(I488-AVERAGE(I$2:I$2001))/STDEV(I$2:I$2001)</f>
        <v>-0.0205155458339628</v>
      </c>
      <c r="AD488" s="13" t="n">
        <f aca="false">(L488-AVERAGE(L$2:L$2001))/STDEV(L$2:L$2001)</f>
        <v>-0.777063122173208</v>
      </c>
      <c r="AE488" s="13" t="n">
        <f aca="false">(M488-AVERAGE(M$2:M$2001))/STDEV(M$2:M$2001)</f>
        <v>-0.437649367388321</v>
      </c>
      <c r="AF488" s="13" t="n">
        <f aca="false">(N488-AVERAGE(N$2:N$2001))/STDEV(N$2:N$2001)</f>
        <v>0.319736062792673</v>
      </c>
      <c r="AG488" s="13" t="n">
        <f aca="false">(O488-AVERAGE(O$2:O$2001))/STDEV(O$2:O$2001)</f>
        <v>0.423453543174763</v>
      </c>
      <c r="AH488" s="0" t="str">
        <f aca="false">IF(B488="Company","C3 - Corporate Buyers",IF(AND(H488="Investment",M488&gt;'Segmentation Summary'!$C$1),"C1 - Global Investors",IF(AND(I488&gt;=4,M488&gt;'Segmentation Summary'!$C$1),"C4 - Luxury Investors",IF(AND(D488&lt;'Segmentation Summary'!$C$2,J488=1),"C2 - First-Time Buyers","C5 - Other Individual Buyers"))))</f>
        <v>C5 - Other Individual Buyers</v>
      </c>
    </row>
    <row r="489" customFormat="false" ht="15" hidden="false" customHeight="true" outlineLevel="0" collapsed="false">
      <c r="A489" s="13" t="s">
        <v>1036</v>
      </c>
      <c r="B489" s="13" t="s">
        <v>34</v>
      </c>
      <c r="C489" s="13" t="s">
        <v>1037</v>
      </c>
      <c r="D489" s="13" t="n">
        <v>64</v>
      </c>
      <c r="E489" s="13" t="s">
        <v>90</v>
      </c>
      <c r="F489" s="13" t="s">
        <v>33</v>
      </c>
      <c r="G489" s="13" t="s">
        <v>123</v>
      </c>
      <c r="H489" s="13" t="s">
        <v>41</v>
      </c>
      <c r="I489" s="13" t="n">
        <v>4</v>
      </c>
      <c r="J489" s="13" t="n">
        <v>0</v>
      </c>
      <c r="K489" s="13" t="s">
        <v>85</v>
      </c>
      <c r="L489" s="13" t="n">
        <v>4</v>
      </c>
      <c r="M489" s="13" t="n">
        <v>1353543.06</v>
      </c>
      <c r="N489" s="13" t="n">
        <v>338385.765</v>
      </c>
      <c r="O489" s="13" t="n">
        <v>1070.475</v>
      </c>
      <c r="P489" s="13" t="n">
        <v>0</v>
      </c>
      <c r="Q489" s="13" t="n">
        <v>4</v>
      </c>
      <c r="R489" s="13" t="s">
        <v>86</v>
      </c>
      <c r="S489" s="13" t="s">
        <v>215</v>
      </c>
      <c r="T489" s="13" t="n">
        <v>1</v>
      </c>
      <c r="U489" s="13" t="n">
        <f aca="false">IF(B489="Individual",1,0)</f>
        <v>1</v>
      </c>
      <c r="V489" s="13" t="n">
        <f aca="false">IF(B489="Company",1,0)</f>
        <v>0</v>
      </c>
      <c r="W489" s="13" t="n">
        <f aca="false">IF(H489="Home",1,0)</f>
        <v>1</v>
      </c>
      <c r="X489" s="13" t="n">
        <f aca="false">IF(H489="Investment",1,0)</f>
        <v>0</v>
      </c>
      <c r="Y489" s="13" t="n">
        <f aca="false">IF(K489="Website",1,0)</f>
        <v>1</v>
      </c>
      <c r="Z489" s="13" t="n">
        <f aca="false">IF(K489="Agency",1,0)</f>
        <v>0</v>
      </c>
      <c r="AA489" s="13" t="n">
        <f aca="false">IF(K489="Client",1,0)</f>
        <v>0</v>
      </c>
      <c r="AB489" s="13" t="n">
        <f aca="false">(D489-AVERAGE(D$2:D$2001))/STDEV(D$2:D$2001)</f>
        <v>0.568724798479635</v>
      </c>
      <c r="AC489" s="13" t="n">
        <f aca="false">(I489-AVERAGE(I$2:I$2001))/STDEV(I$2:I$2001)</f>
        <v>0.686917069130275</v>
      </c>
      <c r="AD489" s="13" t="n">
        <f aca="false">(L489-AVERAGE(L$2:L$2001))/STDEV(L$2:L$2001)</f>
        <v>0.413838214490712</v>
      </c>
      <c r="AE489" s="13" t="n">
        <f aca="false">(M489-AVERAGE(M$2:M$2001))/STDEV(M$2:M$2001)</f>
        <v>0.267853265974159</v>
      </c>
      <c r="AF489" s="13" t="n">
        <f aca="false">(N489-AVERAGE(N$2:N$2001))/STDEV(N$2:N$2001)</f>
        <v>-0.124841701531434</v>
      </c>
      <c r="AG489" s="13" t="n">
        <f aca="false">(O489-AVERAGE(O$2:O$2001))/STDEV(O$2:O$2001)</f>
        <v>-0.350144426085383</v>
      </c>
      <c r="AH489" s="0" t="str">
        <f aca="false">IF(B489="Company","C3 - Corporate Buyers",IF(AND(H489="Investment",M489&gt;'Segmentation Summary'!$C$1),"C1 - Global Investors",IF(AND(I489&gt;=4,M489&gt;'Segmentation Summary'!$C$1),"C4 - Luxury Investors",IF(AND(D489&lt;'Segmentation Summary'!$C$2,J489=1),"C2 - First-Time Buyers","C5 - Other Individual Buyers"))))</f>
        <v>C4 - Luxury Investors</v>
      </c>
    </row>
    <row r="490" customFormat="false" ht="15" hidden="false" customHeight="true" outlineLevel="0" collapsed="false">
      <c r="A490" s="13" t="s">
        <v>1038</v>
      </c>
      <c r="B490" s="13" t="s">
        <v>34</v>
      </c>
      <c r="C490" s="13" t="s">
        <v>1039</v>
      </c>
      <c r="D490" s="13" t="n">
        <v>70</v>
      </c>
      <c r="E490" s="13" t="s">
        <v>90</v>
      </c>
      <c r="F490" s="13" t="s">
        <v>35</v>
      </c>
      <c r="G490" s="13" t="s">
        <v>374</v>
      </c>
      <c r="H490" s="13" t="s">
        <v>41</v>
      </c>
      <c r="I490" s="13" t="n">
        <v>2</v>
      </c>
      <c r="J490" s="13" t="n">
        <v>0</v>
      </c>
      <c r="K490" s="13" t="s">
        <v>85</v>
      </c>
      <c r="L490" s="13" t="n">
        <v>3</v>
      </c>
      <c r="M490" s="13" t="n">
        <v>1090537.6</v>
      </c>
      <c r="N490" s="13" t="n">
        <v>363512.533333333</v>
      </c>
      <c r="O490" s="13" t="n">
        <v>1179.52333333333</v>
      </c>
      <c r="P490" s="13" t="n">
        <v>2</v>
      </c>
      <c r="Q490" s="13" t="n">
        <v>1</v>
      </c>
      <c r="R490" s="13" t="s">
        <v>150</v>
      </c>
      <c r="S490" s="13" t="s">
        <v>135</v>
      </c>
      <c r="T490" s="13" t="n">
        <v>1</v>
      </c>
      <c r="U490" s="13" t="n">
        <f aca="false">IF(B490="Individual",1,0)</f>
        <v>1</v>
      </c>
      <c r="V490" s="13" t="n">
        <f aca="false">IF(B490="Company",1,0)</f>
        <v>0</v>
      </c>
      <c r="W490" s="13" t="n">
        <f aca="false">IF(H490="Home",1,0)</f>
        <v>1</v>
      </c>
      <c r="X490" s="13" t="n">
        <f aca="false">IF(H490="Investment",1,0)</f>
        <v>0</v>
      </c>
      <c r="Y490" s="13" t="n">
        <f aca="false">IF(K490="Website",1,0)</f>
        <v>1</v>
      </c>
      <c r="Z490" s="13" t="n">
        <f aca="false">IF(K490="Agency",1,0)</f>
        <v>0</v>
      </c>
      <c r="AA490" s="13" t="n">
        <f aca="false">IF(K490="Client",1,0)</f>
        <v>0</v>
      </c>
      <c r="AB490" s="13" t="n">
        <f aca="false">(D490-AVERAGE(D$2:D$2001))/STDEV(D$2:D$2001)</f>
        <v>0.914699531408543</v>
      </c>
      <c r="AC490" s="13" t="n">
        <f aca="false">(I490-AVERAGE(I$2:I$2001))/STDEV(I$2:I$2001)</f>
        <v>-0.727948160798201</v>
      </c>
      <c r="AD490" s="13" t="n">
        <f aca="false">(L490-AVERAGE(L$2:L$2001))/STDEV(L$2:L$2001)</f>
        <v>-0.777063122173208</v>
      </c>
      <c r="AE490" s="13" t="n">
        <f aca="false">(M490-AVERAGE(M$2:M$2001))/STDEV(M$2:M$2001)</f>
        <v>-0.488277479802548</v>
      </c>
      <c r="AF490" s="13" t="n">
        <f aca="false">(N490-AVERAGE(N$2:N$2001))/STDEV(N$2:N$2001)</f>
        <v>0.235544296418659</v>
      </c>
      <c r="AG490" s="13" t="n">
        <f aca="false">(O490-AVERAGE(O$2:O$2001))/STDEV(O$2:O$2001)</f>
        <v>0.145704294324491</v>
      </c>
      <c r="AH490" s="0" t="str">
        <f aca="false">IF(B490="Company","C3 - Corporate Buyers",IF(AND(H490="Investment",M490&gt;'Segmentation Summary'!$C$1),"C1 - Global Investors",IF(AND(I490&gt;=4,M490&gt;'Segmentation Summary'!$C$1),"C4 - Luxury Investors",IF(AND(D490&lt;'Segmentation Summary'!$C$2,J490=1),"C2 - First-Time Buyers","C5 - Other Individual Buyers"))))</f>
        <v>C5 - Other Individual Buyers</v>
      </c>
    </row>
    <row r="491" customFormat="false" ht="15" hidden="false" customHeight="true" outlineLevel="0" collapsed="false">
      <c r="A491" s="13" t="s">
        <v>1040</v>
      </c>
      <c r="B491" s="13" t="s">
        <v>34</v>
      </c>
      <c r="C491" s="13" t="s">
        <v>1041</v>
      </c>
      <c r="D491" s="13" t="n">
        <v>30</v>
      </c>
      <c r="E491" s="13" t="s">
        <v>90</v>
      </c>
      <c r="F491" s="13" t="s">
        <v>40</v>
      </c>
      <c r="G491" s="13" t="s">
        <v>219</v>
      </c>
      <c r="H491" s="13" t="s">
        <v>43</v>
      </c>
      <c r="I491" s="13" t="n">
        <v>2</v>
      </c>
      <c r="J491" s="13" t="n">
        <v>0</v>
      </c>
      <c r="K491" s="13" t="s">
        <v>91</v>
      </c>
      <c r="L491" s="13" t="n">
        <v>3</v>
      </c>
      <c r="M491" s="13" t="n">
        <v>1527460.57</v>
      </c>
      <c r="N491" s="13" t="n">
        <v>509153.523333333</v>
      </c>
      <c r="O491" s="13" t="n">
        <v>1635.62333333333</v>
      </c>
      <c r="P491" s="13" t="n">
        <v>1</v>
      </c>
      <c r="Q491" s="13" t="n">
        <v>2</v>
      </c>
      <c r="R491" s="13" t="s">
        <v>92</v>
      </c>
      <c r="S491" s="13" t="s">
        <v>103</v>
      </c>
      <c r="T491" s="13" t="n">
        <v>1</v>
      </c>
      <c r="U491" s="13" t="n">
        <f aca="false">IF(B491="Individual",1,0)</f>
        <v>1</v>
      </c>
      <c r="V491" s="13" t="n">
        <f aca="false">IF(B491="Company",1,0)</f>
        <v>0</v>
      </c>
      <c r="W491" s="13" t="n">
        <f aca="false">IF(H491="Home",1,0)</f>
        <v>0</v>
      </c>
      <c r="X491" s="13" t="n">
        <f aca="false">IF(H491="Investment",1,0)</f>
        <v>1</v>
      </c>
      <c r="Y491" s="13" t="n">
        <f aca="false">IF(K491="Website",1,0)</f>
        <v>0</v>
      </c>
      <c r="Z491" s="13" t="n">
        <f aca="false">IF(K491="Agency",1,0)</f>
        <v>1</v>
      </c>
      <c r="AA491" s="13" t="n">
        <f aca="false">IF(K491="Client",1,0)</f>
        <v>0</v>
      </c>
      <c r="AB491" s="13" t="n">
        <f aca="false">(D491-AVERAGE(D$2:D$2001))/STDEV(D$2:D$2001)</f>
        <v>-1.39179868811751</v>
      </c>
      <c r="AC491" s="13" t="n">
        <f aca="false">(I491-AVERAGE(I$2:I$2001))/STDEV(I$2:I$2001)</f>
        <v>-0.727948160798201</v>
      </c>
      <c r="AD491" s="13" t="n">
        <f aca="false">(L491-AVERAGE(L$2:L$2001))/STDEV(L$2:L$2001)</f>
        <v>-0.777063122173208</v>
      </c>
      <c r="AE491" s="13" t="n">
        <f aca="false">(M491-AVERAGE(M$2:M$2001))/STDEV(M$2:M$2001)</f>
        <v>0.767859526452279</v>
      </c>
      <c r="AF491" s="13" t="n">
        <f aca="false">(N491-AVERAGE(N$2:N$2001))/STDEV(N$2:N$2001)</f>
        <v>2.32443104967299</v>
      </c>
      <c r="AG491" s="13" t="n">
        <f aca="false">(O491-AVERAGE(O$2:O$2001))/STDEV(O$2:O$2001)</f>
        <v>2.21961587523464</v>
      </c>
      <c r="AH491" s="0" t="str">
        <f aca="false">IF(B491="Company","C3 - Corporate Buyers",IF(AND(H491="Investment",M491&gt;'Segmentation Summary'!$C$1),"C1 - Global Investors",IF(AND(I491&gt;=4,M491&gt;'Segmentation Summary'!$C$1),"C4 - Luxury Investors",IF(AND(D491&lt;'Segmentation Summary'!$C$2,J491=1),"C2 - First-Time Buyers","C5 - Other Individual Buyers"))))</f>
        <v>C1 - Global Investors</v>
      </c>
    </row>
    <row r="492" customFormat="false" ht="15" hidden="false" customHeight="true" outlineLevel="0" collapsed="false">
      <c r="A492" s="13" t="s">
        <v>1042</v>
      </c>
      <c r="B492" s="13" t="s">
        <v>34</v>
      </c>
      <c r="C492" s="13" t="s">
        <v>1043</v>
      </c>
      <c r="D492" s="13" t="n">
        <v>80</v>
      </c>
      <c r="E492" s="13" t="s">
        <v>90</v>
      </c>
      <c r="F492" s="13" t="s">
        <v>33</v>
      </c>
      <c r="G492" s="13" t="s">
        <v>106</v>
      </c>
      <c r="H492" s="13" t="s">
        <v>41</v>
      </c>
      <c r="I492" s="13" t="n">
        <v>5</v>
      </c>
      <c r="J492" s="13" t="n">
        <v>0</v>
      </c>
      <c r="K492" s="13" t="s">
        <v>85</v>
      </c>
      <c r="L492" s="13" t="n">
        <v>3</v>
      </c>
      <c r="M492" s="13" t="n">
        <v>724453.7</v>
      </c>
      <c r="N492" s="13" t="n">
        <v>241484.566666667</v>
      </c>
      <c r="O492" s="13" t="n">
        <v>851.426666666667</v>
      </c>
      <c r="P492" s="13" t="n">
        <v>0</v>
      </c>
      <c r="Q492" s="13" t="n">
        <v>3</v>
      </c>
      <c r="R492" s="13" t="s">
        <v>93</v>
      </c>
      <c r="S492" s="13" t="s">
        <v>87</v>
      </c>
      <c r="T492" s="13" t="n">
        <v>1</v>
      </c>
      <c r="U492" s="13" t="n">
        <f aca="false">IF(B492="Individual",1,0)</f>
        <v>1</v>
      </c>
      <c r="V492" s="13" t="n">
        <f aca="false">IF(B492="Company",1,0)</f>
        <v>0</v>
      </c>
      <c r="W492" s="13" t="n">
        <f aca="false">IF(H492="Home",1,0)</f>
        <v>1</v>
      </c>
      <c r="X492" s="13" t="n">
        <f aca="false">IF(H492="Investment",1,0)</f>
        <v>0</v>
      </c>
      <c r="Y492" s="13" t="n">
        <f aca="false">IF(K492="Website",1,0)</f>
        <v>1</v>
      </c>
      <c r="Z492" s="13" t="n">
        <f aca="false">IF(K492="Agency",1,0)</f>
        <v>0</v>
      </c>
      <c r="AA492" s="13" t="n">
        <f aca="false">IF(K492="Client",1,0)</f>
        <v>0</v>
      </c>
      <c r="AB492" s="13" t="n">
        <f aca="false">(D492-AVERAGE(D$2:D$2001))/STDEV(D$2:D$2001)</f>
        <v>1.49132408629005</v>
      </c>
      <c r="AC492" s="13" t="n">
        <f aca="false">(I492-AVERAGE(I$2:I$2001))/STDEV(I$2:I$2001)</f>
        <v>1.39434968409451</v>
      </c>
      <c r="AD492" s="13" t="n">
        <f aca="false">(L492-AVERAGE(L$2:L$2001))/STDEV(L$2:L$2001)</f>
        <v>-0.777063122173208</v>
      </c>
      <c r="AE492" s="13" t="n">
        <f aca="false">(M492-AVERAGE(M$2:M$2001))/STDEV(M$2:M$2001)</f>
        <v>-1.54075484024915</v>
      </c>
      <c r="AF492" s="13" t="n">
        <f aca="false">(N492-AVERAGE(N$2:N$2001))/STDEV(N$2:N$2001)</f>
        <v>-1.51466766723635</v>
      </c>
      <c r="AG492" s="13" t="n">
        <f aca="false">(O492-AVERAGE(O$2:O$2001))/STDEV(O$2:O$2001)</f>
        <v>-1.34616914715328</v>
      </c>
      <c r="AH492" s="0" t="str">
        <f aca="false">IF(B492="Company","C3 - Corporate Buyers",IF(AND(H492="Investment",M492&gt;'Segmentation Summary'!$C$1),"C1 - Global Investors",IF(AND(I492&gt;=4,M492&gt;'Segmentation Summary'!$C$1),"C4 - Luxury Investors",IF(AND(D492&lt;'Segmentation Summary'!$C$2,J492=1),"C2 - First-Time Buyers","C5 - Other Individual Buyers"))))</f>
        <v>C5 - Other Individual Buyers</v>
      </c>
    </row>
    <row r="493" customFormat="false" ht="15" hidden="false" customHeight="true" outlineLevel="0" collapsed="false">
      <c r="A493" s="13" t="s">
        <v>1044</v>
      </c>
      <c r="B493" s="13" t="s">
        <v>34</v>
      </c>
      <c r="C493" s="13" t="s">
        <v>1045</v>
      </c>
      <c r="D493" s="13" t="n">
        <v>69</v>
      </c>
      <c r="E493" s="13" t="s">
        <v>90</v>
      </c>
      <c r="F493" s="13" t="s">
        <v>33</v>
      </c>
      <c r="G493" s="13" t="s">
        <v>123</v>
      </c>
      <c r="H493" s="13" t="s">
        <v>41</v>
      </c>
      <c r="I493" s="13" t="n">
        <v>5</v>
      </c>
      <c r="J493" s="13" t="n">
        <v>0</v>
      </c>
      <c r="K493" s="13" t="s">
        <v>85</v>
      </c>
      <c r="L493" s="13" t="n">
        <v>4</v>
      </c>
      <c r="M493" s="13" t="n">
        <v>873120.47</v>
      </c>
      <c r="N493" s="13" t="n">
        <v>218280.1175</v>
      </c>
      <c r="O493" s="13" t="n">
        <v>700.7825</v>
      </c>
      <c r="P493" s="13" t="n">
        <v>1</v>
      </c>
      <c r="Q493" s="13" t="n">
        <v>3</v>
      </c>
      <c r="R493" s="13" t="s">
        <v>152</v>
      </c>
      <c r="S493" s="13" t="s">
        <v>125</v>
      </c>
      <c r="T493" s="13" t="n">
        <v>1</v>
      </c>
      <c r="U493" s="13" t="n">
        <f aca="false">IF(B493="Individual",1,0)</f>
        <v>1</v>
      </c>
      <c r="V493" s="13" t="n">
        <f aca="false">IF(B493="Company",1,0)</f>
        <v>0</v>
      </c>
      <c r="W493" s="13" t="n">
        <f aca="false">IF(H493="Home",1,0)</f>
        <v>1</v>
      </c>
      <c r="X493" s="13" t="n">
        <f aca="false">IF(H493="Investment",1,0)</f>
        <v>0</v>
      </c>
      <c r="Y493" s="13" t="n">
        <f aca="false">IF(K493="Website",1,0)</f>
        <v>1</v>
      </c>
      <c r="Z493" s="13" t="n">
        <f aca="false">IF(K493="Agency",1,0)</f>
        <v>0</v>
      </c>
      <c r="AA493" s="13" t="n">
        <f aca="false">IF(K493="Client",1,0)</f>
        <v>0</v>
      </c>
      <c r="AB493" s="13" t="n">
        <f aca="false">(D493-AVERAGE(D$2:D$2001))/STDEV(D$2:D$2001)</f>
        <v>0.857037075920391</v>
      </c>
      <c r="AC493" s="13" t="n">
        <f aca="false">(I493-AVERAGE(I$2:I$2001))/STDEV(I$2:I$2001)</f>
        <v>1.39434968409451</v>
      </c>
      <c r="AD493" s="13" t="n">
        <f aca="false">(L493-AVERAGE(L$2:L$2001))/STDEV(L$2:L$2001)</f>
        <v>0.413838214490712</v>
      </c>
      <c r="AE493" s="13" t="n">
        <f aca="false">(M493-AVERAGE(M$2:M$2001))/STDEV(M$2:M$2001)</f>
        <v>-1.11334350182175</v>
      </c>
      <c r="AF493" s="13" t="n">
        <f aca="false">(N493-AVERAGE(N$2:N$2001))/STDEV(N$2:N$2001)</f>
        <v>-1.84748239529343</v>
      </c>
      <c r="AG493" s="13" t="n">
        <f aca="false">(O493-AVERAGE(O$2:O$2001))/STDEV(O$2:O$2001)</f>
        <v>-2.03115639084229</v>
      </c>
      <c r="AH493" s="0" t="str">
        <f aca="false">IF(B493="Company","C3 - Corporate Buyers",IF(AND(H493="Investment",M493&gt;'Segmentation Summary'!$C$1),"C1 - Global Investors",IF(AND(I493&gt;=4,M493&gt;'Segmentation Summary'!$C$1),"C4 - Luxury Investors",IF(AND(D493&lt;'Segmentation Summary'!$C$2,J493=1),"C2 - First-Time Buyers","C5 - Other Individual Buyers"))))</f>
        <v>C5 - Other Individual Buyers</v>
      </c>
    </row>
    <row r="494" customFormat="false" ht="15" hidden="false" customHeight="true" outlineLevel="0" collapsed="false">
      <c r="A494" s="13" t="s">
        <v>1046</v>
      </c>
      <c r="B494" s="13" t="s">
        <v>34</v>
      </c>
      <c r="C494" s="13" t="s">
        <v>1047</v>
      </c>
      <c r="D494" s="13" t="n">
        <v>30</v>
      </c>
      <c r="E494" s="13" t="s">
        <v>90</v>
      </c>
      <c r="F494" s="13" t="s">
        <v>33</v>
      </c>
      <c r="G494" s="13" t="s">
        <v>106</v>
      </c>
      <c r="H494" s="13" t="s">
        <v>43</v>
      </c>
      <c r="I494" s="13" t="n">
        <v>5</v>
      </c>
      <c r="J494" s="13" t="n">
        <v>1</v>
      </c>
      <c r="K494" s="13" t="s">
        <v>85</v>
      </c>
      <c r="L494" s="13" t="n">
        <v>3</v>
      </c>
      <c r="M494" s="13" t="n">
        <v>814797.06</v>
      </c>
      <c r="N494" s="13" t="n">
        <v>271599.02</v>
      </c>
      <c r="O494" s="13" t="n">
        <v>851.426666666667</v>
      </c>
      <c r="P494" s="13" t="n">
        <v>0</v>
      </c>
      <c r="Q494" s="13" t="n">
        <v>3</v>
      </c>
      <c r="R494" s="13" t="s">
        <v>215</v>
      </c>
      <c r="S494" s="13" t="s">
        <v>125</v>
      </c>
      <c r="T494" s="13" t="n">
        <v>1</v>
      </c>
      <c r="U494" s="13" t="n">
        <f aca="false">IF(B494="Individual",1,0)</f>
        <v>1</v>
      </c>
      <c r="V494" s="13" t="n">
        <f aca="false">IF(B494="Company",1,0)</f>
        <v>0</v>
      </c>
      <c r="W494" s="13" t="n">
        <f aca="false">IF(H494="Home",1,0)</f>
        <v>0</v>
      </c>
      <c r="X494" s="13" t="n">
        <f aca="false">IF(H494="Investment",1,0)</f>
        <v>1</v>
      </c>
      <c r="Y494" s="13" t="n">
        <f aca="false">IF(K494="Website",1,0)</f>
        <v>1</v>
      </c>
      <c r="Z494" s="13" t="n">
        <f aca="false">IF(K494="Agency",1,0)</f>
        <v>0</v>
      </c>
      <c r="AA494" s="13" t="n">
        <f aca="false">IF(K494="Client",1,0)</f>
        <v>0</v>
      </c>
      <c r="AB494" s="13" t="n">
        <f aca="false">(D494-AVERAGE(D$2:D$2001))/STDEV(D$2:D$2001)</f>
        <v>-1.39179868811751</v>
      </c>
      <c r="AC494" s="13" t="n">
        <f aca="false">(I494-AVERAGE(I$2:I$2001))/STDEV(I$2:I$2001)</f>
        <v>1.39434968409451</v>
      </c>
      <c r="AD494" s="13" t="n">
        <f aca="false">(L494-AVERAGE(L$2:L$2001))/STDEV(L$2:L$2001)</f>
        <v>-0.777063122173208</v>
      </c>
      <c r="AE494" s="13" t="n">
        <f aca="false">(M494-AVERAGE(M$2:M$2001))/STDEV(M$2:M$2001)</f>
        <v>-1.28102109870336</v>
      </c>
      <c r="AF494" s="13" t="n">
        <f aca="false">(N494-AVERAGE(N$2:N$2001))/STDEV(N$2:N$2001)</f>
        <v>-1.08274474052804</v>
      </c>
      <c r="AG494" s="13" t="n">
        <f aca="false">(O494-AVERAGE(O$2:O$2001))/STDEV(O$2:O$2001)</f>
        <v>-1.34616914715328</v>
      </c>
      <c r="AH494" s="0" t="str">
        <f aca="false">IF(B494="Company","C3 - Corporate Buyers",IF(AND(H494="Investment",M494&gt;'Segmentation Summary'!$C$1),"C1 - Global Investors",IF(AND(I494&gt;=4,M494&gt;'Segmentation Summary'!$C$1),"C4 - Luxury Investors",IF(AND(D494&lt;'Segmentation Summary'!$C$2,J494=1),"C2 - First-Time Buyers","C5 - Other Individual Buyers"))))</f>
        <v>C2 - First-Time Buyers</v>
      </c>
    </row>
    <row r="495" customFormat="false" ht="15" hidden="false" customHeight="true" outlineLevel="0" collapsed="false">
      <c r="A495" s="13" t="s">
        <v>1048</v>
      </c>
      <c r="B495" s="13" t="s">
        <v>34</v>
      </c>
      <c r="C495" s="13" t="s">
        <v>1049</v>
      </c>
      <c r="D495" s="13" t="n">
        <v>44</v>
      </c>
      <c r="E495" s="13" t="s">
        <v>83</v>
      </c>
      <c r="F495" s="13" t="s">
        <v>33</v>
      </c>
      <c r="G495" s="13" t="s">
        <v>95</v>
      </c>
      <c r="H495" s="13" t="s">
        <v>41</v>
      </c>
      <c r="I495" s="13" t="n">
        <v>2</v>
      </c>
      <c r="J495" s="13" t="n">
        <v>0</v>
      </c>
      <c r="K495" s="13" t="s">
        <v>91</v>
      </c>
      <c r="L495" s="13" t="n">
        <v>3</v>
      </c>
      <c r="M495" s="13" t="n">
        <v>1047476.93</v>
      </c>
      <c r="N495" s="13" t="n">
        <v>349158.976666667</v>
      </c>
      <c r="O495" s="13" t="n">
        <v>1186.43666666667</v>
      </c>
      <c r="P495" s="13" t="n">
        <v>1</v>
      </c>
      <c r="Q495" s="13" t="n">
        <v>2</v>
      </c>
      <c r="R495" s="13" t="s">
        <v>92</v>
      </c>
      <c r="S495" s="13" t="s">
        <v>124</v>
      </c>
      <c r="T495" s="13" t="n">
        <v>1</v>
      </c>
      <c r="U495" s="13" t="n">
        <f aca="false">IF(B495="Individual",1,0)</f>
        <v>1</v>
      </c>
      <c r="V495" s="13" t="n">
        <f aca="false">IF(B495="Company",1,0)</f>
        <v>0</v>
      </c>
      <c r="W495" s="13" t="n">
        <f aca="false">IF(H495="Home",1,0)</f>
        <v>1</v>
      </c>
      <c r="X495" s="13" t="n">
        <f aca="false">IF(H495="Investment",1,0)</f>
        <v>0</v>
      </c>
      <c r="Y495" s="13" t="n">
        <f aca="false">IF(K495="Website",1,0)</f>
        <v>0</v>
      </c>
      <c r="Z495" s="13" t="n">
        <f aca="false">IF(K495="Agency",1,0)</f>
        <v>1</v>
      </c>
      <c r="AA495" s="13" t="n">
        <f aca="false">IF(K495="Client",1,0)</f>
        <v>0</v>
      </c>
      <c r="AB495" s="13" t="n">
        <f aca="false">(D495-AVERAGE(D$2:D$2001))/STDEV(D$2:D$2001)</f>
        <v>-0.584524311283389</v>
      </c>
      <c r="AC495" s="13" t="n">
        <f aca="false">(I495-AVERAGE(I$2:I$2001))/STDEV(I$2:I$2001)</f>
        <v>-0.727948160798201</v>
      </c>
      <c r="AD495" s="13" t="n">
        <f aca="false">(L495-AVERAGE(L$2:L$2001))/STDEV(L$2:L$2001)</f>
        <v>-0.777063122173208</v>
      </c>
      <c r="AE495" s="13" t="n">
        <f aca="false">(M495-AVERAGE(M$2:M$2001))/STDEV(M$2:M$2001)</f>
        <v>-0.612075276702827</v>
      </c>
      <c r="AF495" s="13" t="n">
        <f aca="false">(N495-AVERAGE(N$2:N$2001))/STDEV(N$2:N$2001)</f>
        <v>0.0296753691126584</v>
      </c>
      <c r="AG495" s="13" t="n">
        <f aca="false">(O495-AVERAGE(O$2:O$2001))/STDEV(O$2:O$2001)</f>
        <v>0.177139598123452</v>
      </c>
      <c r="AH495" s="0" t="str">
        <f aca="false">IF(B495="Company","C3 - Corporate Buyers",IF(AND(H495="Investment",M495&gt;'Segmentation Summary'!$C$1),"C1 - Global Investors",IF(AND(I495&gt;=4,M495&gt;'Segmentation Summary'!$C$1),"C4 - Luxury Investors",IF(AND(D495&lt;'Segmentation Summary'!$C$2,J495=1),"C2 - First-Time Buyers","C5 - Other Individual Buyers"))))</f>
        <v>C5 - Other Individual Buyers</v>
      </c>
    </row>
    <row r="496" customFormat="false" ht="15" hidden="false" customHeight="true" outlineLevel="0" collapsed="false">
      <c r="A496" s="13" t="s">
        <v>1050</v>
      </c>
      <c r="B496" s="13" t="s">
        <v>34</v>
      </c>
      <c r="C496" s="13" t="s">
        <v>1051</v>
      </c>
      <c r="D496" s="13" t="n">
        <v>72</v>
      </c>
      <c r="E496" s="13" t="s">
        <v>83</v>
      </c>
      <c r="F496" s="13" t="s">
        <v>35</v>
      </c>
      <c r="G496" s="13" t="s">
        <v>374</v>
      </c>
      <c r="H496" s="13" t="s">
        <v>41</v>
      </c>
      <c r="I496" s="13" t="n">
        <v>2</v>
      </c>
      <c r="J496" s="13" t="n">
        <v>0</v>
      </c>
      <c r="K496" s="13" t="s">
        <v>85</v>
      </c>
      <c r="L496" s="13" t="n">
        <v>4</v>
      </c>
      <c r="M496" s="13" t="n">
        <v>1204291.73</v>
      </c>
      <c r="N496" s="13" t="n">
        <v>301072.9325</v>
      </c>
      <c r="O496" s="13" t="n">
        <v>1101.9875</v>
      </c>
      <c r="P496" s="13" t="n">
        <v>0</v>
      </c>
      <c r="Q496" s="13" t="n">
        <v>4</v>
      </c>
      <c r="R496" s="13" t="s">
        <v>117</v>
      </c>
      <c r="S496" s="13" t="s">
        <v>114</v>
      </c>
      <c r="T496" s="13" t="n">
        <v>1</v>
      </c>
      <c r="U496" s="13" t="n">
        <f aca="false">IF(B496="Individual",1,0)</f>
        <v>1</v>
      </c>
      <c r="V496" s="13" t="n">
        <f aca="false">IF(B496="Company",1,0)</f>
        <v>0</v>
      </c>
      <c r="W496" s="13" t="n">
        <f aca="false">IF(H496="Home",1,0)</f>
        <v>1</v>
      </c>
      <c r="X496" s="13" t="n">
        <f aca="false">IF(H496="Investment",1,0)</f>
        <v>0</v>
      </c>
      <c r="Y496" s="13" t="n">
        <f aca="false">IF(K496="Website",1,0)</f>
        <v>1</v>
      </c>
      <c r="Z496" s="13" t="n">
        <f aca="false">IF(K496="Agency",1,0)</f>
        <v>0</v>
      </c>
      <c r="AA496" s="13" t="n">
        <f aca="false">IF(K496="Client",1,0)</f>
        <v>0</v>
      </c>
      <c r="AB496" s="13" t="n">
        <f aca="false">(D496-AVERAGE(D$2:D$2001))/STDEV(D$2:D$2001)</f>
        <v>1.03002444238485</v>
      </c>
      <c r="AC496" s="13" t="n">
        <f aca="false">(I496-AVERAGE(I$2:I$2001))/STDEV(I$2:I$2001)</f>
        <v>-0.727948160798201</v>
      </c>
      <c r="AD496" s="13" t="n">
        <f aca="false">(L496-AVERAGE(L$2:L$2001))/STDEV(L$2:L$2001)</f>
        <v>0.413838214490712</v>
      </c>
      <c r="AE496" s="13" t="n">
        <f aca="false">(M496-AVERAGE(M$2:M$2001))/STDEV(M$2:M$2001)</f>
        <v>-0.161238660334388</v>
      </c>
      <c r="AF496" s="13" t="n">
        <f aca="false">(N496-AVERAGE(N$2:N$2001))/STDEV(N$2:N$2001)</f>
        <v>-0.660008906420989</v>
      </c>
      <c r="AG496" s="13" t="n">
        <f aca="false">(O496-AVERAGE(O$2:O$2001))/STDEV(O$2:O$2001)</f>
        <v>-0.206855369533243</v>
      </c>
      <c r="AH496" s="0" t="str">
        <f aca="false">IF(B496="Company","C3 - Corporate Buyers",IF(AND(H496="Investment",M496&gt;'Segmentation Summary'!$C$1),"C1 - Global Investors",IF(AND(I496&gt;=4,M496&gt;'Segmentation Summary'!$C$1),"C4 - Luxury Investors",IF(AND(D496&lt;'Segmentation Summary'!$C$2,J496=1),"C2 - First-Time Buyers","C5 - Other Individual Buyers"))))</f>
        <v>C5 - Other Individual Buyers</v>
      </c>
    </row>
    <row r="497" customFormat="false" ht="15" hidden="false" customHeight="true" outlineLevel="0" collapsed="false">
      <c r="A497" s="13" t="s">
        <v>1052</v>
      </c>
      <c r="B497" s="13" t="s">
        <v>34</v>
      </c>
      <c r="C497" s="13" t="s">
        <v>1053</v>
      </c>
      <c r="D497" s="13" t="n">
        <v>35</v>
      </c>
      <c r="E497" s="13" t="s">
        <v>83</v>
      </c>
      <c r="F497" s="13" t="s">
        <v>33</v>
      </c>
      <c r="G497" s="13" t="s">
        <v>120</v>
      </c>
      <c r="H497" s="13" t="s">
        <v>41</v>
      </c>
      <c r="I497" s="13" t="n">
        <v>3</v>
      </c>
      <c r="J497" s="13" t="n">
        <v>0</v>
      </c>
      <c r="K497" s="13" t="s">
        <v>85</v>
      </c>
      <c r="L497" s="13" t="n">
        <v>3</v>
      </c>
      <c r="M497" s="13" t="n">
        <v>693899.01</v>
      </c>
      <c r="N497" s="13" t="n">
        <v>231299.67</v>
      </c>
      <c r="O497" s="13" t="n">
        <v>879.343333333333</v>
      </c>
      <c r="P497" s="13" t="n">
        <v>0</v>
      </c>
      <c r="Q497" s="13" t="n">
        <v>3</v>
      </c>
      <c r="R497" s="13" t="s">
        <v>101</v>
      </c>
      <c r="S497" s="13" t="s">
        <v>135</v>
      </c>
      <c r="T497" s="13" t="n">
        <v>1</v>
      </c>
      <c r="U497" s="13" t="n">
        <f aca="false">IF(B497="Individual",1,0)</f>
        <v>1</v>
      </c>
      <c r="V497" s="13" t="n">
        <f aca="false">IF(B497="Company",1,0)</f>
        <v>0</v>
      </c>
      <c r="W497" s="13" t="n">
        <f aca="false">IF(H497="Home",1,0)</f>
        <v>1</v>
      </c>
      <c r="X497" s="13" t="n">
        <f aca="false">IF(H497="Investment",1,0)</f>
        <v>0</v>
      </c>
      <c r="Y497" s="13" t="n">
        <f aca="false">IF(K497="Website",1,0)</f>
        <v>1</v>
      </c>
      <c r="Z497" s="13" t="n">
        <f aca="false">IF(K497="Agency",1,0)</f>
        <v>0</v>
      </c>
      <c r="AA497" s="13" t="n">
        <f aca="false">IF(K497="Client",1,0)</f>
        <v>0</v>
      </c>
      <c r="AB497" s="13" t="n">
        <f aca="false">(D497-AVERAGE(D$2:D$2001))/STDEV(D$2:D$2001)</f>
        <v>-1.10348641067675</v>
      </c>
      <c r="AC497" s="13" t="n">
        <f aca="false">(I497-AVERAGE(I$2:I$2001))/STDEV(I$2:I$2001)</f>
        <v>-0.0205155458339628</v>
      </c>
      <c r="AD497" s="13" t="n">
        <f aca="false">(L497-AVERAGE(L$2:L$2001))/STDEV(L$2:L$2001)</f>
        <v>-0.777063122173208</v>
      </c>
      <c r="AE497" s="13" t="n">
        <f aca="false">(M497-AVERAGE(M$2:M$2001))/STDEV(M$2:M$2001)</f>
        <v>-1.62859841785654</v>
      </c>
      <c r="AF497" s="13" t="n">
        <f aca="false">(N497-AVERAGE(N$2:N$2001))/STDEV(N$2:N$2001)</f>
        <v>-1.66074670535786</v>
      </c>
      <c r="AG497" s="13" t="n">
        <f aca="false">(O497-AVERAGE(O$2:O$2001))/STDEV(O$2:O$2001)</f>
        <v>-1.21923054092568</v>
      </c>
      <c r="AH497" s="0" t="str">
        <f aca="false">IF(B497="Company","C3 - Corporate Buyers",IF(AND(H497="Investment",M497&gt;'Segmentation Summary'!$C$1),"C1 - Global Investors",IF(AND(I497&gt;=4,M497&gt;'Segmentation Summary'!$C$1),"C4 - Luxury Investors",IF(AND(D497&lt;'Segmentation Summary'!$C$2,J497=1),"C2 - First-Time Buyers","C5 - Other Individual Buyers"))))</f>
        <v>C5 - Other Individual Buyers</v>
      </c>
    </row>
    <row r="498" customFormat="false" ht="15" hidden="false" customHeight="true" outlineLevel="0" collapsed="false">
      <c r="A498" s="13" t="s">
        <v>1054</v>
      </c>
      <c r="B498" s="13" t="s">
        <v>34</v>
      </c>
      <c r="C498" s="13" t="s">
        <v>1055</v>
      </c>
      <c r="D498" s="13" t="n">
        <v>63</v>
      </c>
      <c r="E498" s="13" t="s">
        <v>83</v>
      </c>
      <c r="F498" s="13" t="s">
        <v>38</v>
      </c>
      <c r="G498" s="13" t="s">
        <v>339</v>
      </c>
      <c r="H498" s="13" t="s">
        <v>43</v>
      </c>
      <c r="I498" s="13" t="n">
        <v>3</v>
      </c>
      <c r="J498" s="13" t="n">
        <v>1</v>
      </c>
      <c r="K498" s="13" t="s">
        <v>85</v>
      </c>
      <c r="L498" s="13" t="n">
        <v>4</v>
      </c>
      <c r="M498" s="13" t="n">
        <v>1522183.38</v>
      </c>
      <c r="N498" s="13" t="n">
        <v>380545.845</v>
      </c>
      <c r="O498" s="13" t="n">
        <v>1269.065</v>
      </c>
      <c r="P498" s="13" t="n">
        <v>0</v>
      </c>
      <c r="Q498" s="13" t="n">
        <v>4</v>
      </c>
      <c r="R498" s="13" t="s">
        <v>101</v>
      </c>
      <c r="S498" s="13" t="s">
        <v>164</v>
      </c>
      <c r="T498" s="13" t="n">
        <v>1</v>
      </c>
      <c r="U498" s="13" t="n">
        <f aca="false">IF(B498="Individual",1,0)</f>
        <v>1</v>
      </c>
      <c r="V498" s="13" t="n">
        <f aca="false">IF(B498="Company",1,0)</f>
        <v>0</v>
      </c>
      <c r="W498" s="13" t="n">
        <f aca="false">IF(H498="Home",1,0)</f>
        <v>0</v>
      </c>
      <c r="X498" s="13" t="n">
        <f aca="false">IF(H498="Investment",1,0)</f>
        <v>1</v>
      </c>
      <c r="Y498" s="13" t="n">
        <f aca="false">IF(K498="Website",1,0)</f>
        <v>1</v>
      </c>
      <c r="Z498" s="13" t="n">
        <f aca="false">IF(K498="Agency",1,0)</f>
        <v>0</v>
      </c>
      <c r="AA498" s="13" t="n">
        <f aca="false">IF(K498="Client",1,0)</f>
        <v>0</v>
      </c>
      <c r="AB498" s="13" t="n">
        <f aca="false">(D498-AVERAGE(D$2:D$2001))/STDEV(D$2:D$2001)</f>
        <v>0.511062342991484</v>
      </c>
      <c r="AC498" s="13" t="n">
        <f aca="false">(I498-AVERAGE(I$2:I$2001))/STDEV(I$2:I$2001)</f>
        <v>-0.0205155458339628</v>
      </c>
      <c r="AD498" s="13" t="n">
        <f aca="false">(L498-AVERAGE(L$2:L$2001))/STDEV(L$2:L$2001)</f>
        <v>0.413838214490712</v>
      </c>
      <c r="AE498" s="13" t="n">
        <f aca="false">(M498-AVERAGE(M$2:M$2001))/STDEV(M$2:M$2001)</f>
        <v>0.752687804883056</v>
      </c>
      <c r="AF498" s="13" t="n">
        <f aca="false">(N498-AVERAGE(N$2:N$2001))/STDEV(N$2:N$2001)</f>
        <v>0.479848177520765</v>
      </c>
      <c r="AG498" s="13" t="n">
        <f aca="false">(O498-AVERAGE(O$2:O$2001))/STDEV(O$2:O$2001)</f>
        <v>0.552855137284377</v>
      </c>
      <c r="AH498" s="0" t="str">
        <f aca="false">IF(B498="Company","C3 - Corporate Buyers",IF(AND(H498="Investment",M498&gt;'Segmentation Summary'!$C$1),"C1 - Global Investors",IF(AND(I498&gt;=4,M498&gt;'Segmentation Summary'!$C$1),"C4 - Luxury Investors",IF(AND(D498&lt;'Segmentation Summary'!$C$2,J498=1),"C2 - First-Time Buyers","C5 - Other Individual Buyers"))))</f>
        <v>C1 - Global Investors</v>
      </c>
    </row>
    <row r="499" customFormat="false" ht="15" hidden="false" customHeight="true" outlineLevel="0" collapsed="false">
      <c r="A499" s="13" t="s">
        <v>1056</v>
      </c>
      <c r="B499" s="13" t="s">
        <v>34</v>
      </c>
      <c r="C499" s="13" t="s">
        <v>1057</v>
      </c>
      <c r="D499" s="13" t="n">
        <v>35</v>
      </c>
      <c r="E499" s="13" t="s">
        <v>83</v>
      </c>
      <c r="F499" s="13" t="s">
        <v>33</v>
      </c>
      <c r="G499" s="13" t="s">
        <v>265</v>
      </c>
      <c r="H499" s="13" t="s">
        <v>43</v>
      </c>
      <c r="I499" s="13" t="n">
        <v>3</v>
      </c>
      <c r="J499" s="13" t="n">
        <v>0</v>
      </c>
      <c r="K499" s="13" t="s">
        <v>85</v>
      </c>
      <c r="L499" s="13" t="n">
        <v>3</v>
      </c>
      <c r="M499" s="13" t="n">
        <v>1209987.46</v>
      </c>
      <c r="N499" s="13" t="n">
        <v>403329.153333333</v>
      </c>
      <c r="O499" s="13" t="n">
        <v>1435.66333333333</v>
      </c>
      <c r="P499" s="13" t="n">
        <v>1</v>
      </c>
      <c r="Q499" s="13" t="n">
        <v>2</v>
      </c>
      <c r="R499" s="13" t="s">
        <v>86</v>
      </c>
      <c r="S499" s="13" t="s">
        <v>114</v>
      </c>
      <c r="T499" s="13" t="n">
        <v>1</v>
      </c>
      <c r="U499" s="13" t="n">
        <f aca="false">IF(B499="Individual",1,0)</f>
        <v>1</v>
      </c>
      <c r="V499" s="13" t="n">
        <f aca="false">IF(B499="Company",1,0)</f>
        <v>0</v>
      </c>
      <c r="W499" s="13" t="n">
        <f aca="false">IF(H499="Home",1,0)</f>
        <v>0</v>
      </c>
      <c r="X499" s="13" t="n">
        <f aca="false">IF(H499="Investment",1,0)</f>
        <v>1</v>
      </c>
      <c r="Y499" s="13" t="n">
        <f aca="false">IF(K499="Website",1,0)</f>
        <v>1</v>
      </c>
      <c r="Z499" s="13" t="n">
        <f aca="false">IF(K499="Agency",1,0)</f>
        <v>0</v>
      </c>
      <c r="AA499" s="13" t="n">
        <f aca="false">IF(K499="Client",1,0)</f>
        <v>0</v>
      </c>
      <c r="AB499" s="13" t="n">
        <f aca="false">(D499-AVERAGE(D$2:D$2001))/STDEV(D$2:D$2001)</f>
        <v>-1.10348641067675</v>
      </c>
      <c r="AC499" s="13" t="n">
        <f aca="false">(I499-AVERAGE(I$2:I$2001))/STDEV(I$2:I$2001)</f>
        <v>-0.0205155458339628</v>
      </c>
      <c r="AD499" s="13" t="n">
        <f aca="false">(L499-AVERAGE(L$2:L$2001))/STDEV(L$2:L$2001)</f>
        <v>-0.777063122173208</v>
      </c>
      <c r="AE499" s="13" t="n">
        <f aca="false">(M499-AVERAGE(M$2:M$2001))/STDEV(M$2:M$2001)</f>
        <v>-0.144863652102077</v>
      </c>
      <c r="AF499" s="13" t="n">
        <f aca="false">(N499-AVERAGE(N$2:N$2001))/STDEV(N$2:N$2001)</f>
        <v>0.806622603956676</v>
      </c>
      <c r="AG499" s="13" t="n">
        <f aca="false">(O499-AVERAGE(O$2:O$2001))/STDEV(O$2:O$2001)</f>
        <v>1.31038684712942</v>
      </c>
      <c r="AH499" s="0" t="str">
        <f aca="false">IF(B499="Company","C3 - Corporate Buyers",IF(AND(H499="Investment",M499&gt;'Segmentation Summary'!$C$1),"C1 - Global Investors",IF(AND(I499&gt;=4,M499&gt;'Segmentation Summary'!$C$1),"C4 - Luxury Investors",IF(AND(D499&lt;'Segmentation Summary'!$C$2,J499=1),"C2 - First-Time Buyers","C5 - Other Individual Buyers"))))</f>
        <v>C5 - Other Individual Buyers</v>
      </c>
    </row>
    <row r="500" customFormat="false" ht="15" hidden="false" customHeight="true" outlineLevel="0" collapsed="false">
      <c r="A500" s="13" t="s">
        <v>1058</v>
      </c>
      <c r="B500" s="13" t="s">
        <v>34</v>
      </c>
      <c r="C500" s="13" t="s">
        <v>1059</v>
      </c>
      <c r="D500" s="13" t="n">
        <v>34</v>
      </c>
      <c r="E500" s="13" t="s">
        <v>83</v>
      </c>
      <c r="F500" s="13" t="s">
        <v>33</v>
      </c>
      <c r="G500" s="13" t="s">
        <v>162</v>
      </c>
      <c r="H500" s="13" t="s">
        <v>43</v>
      </c>
      <c r="I500" s="13" t="n">
        <v>5</v>
      </c>
      <c r="J500" s="13" t="n">
        <v>0</v>
      </c>
      <c r="K500" s="13" t="s">
        <v>116</v>
      </c>
      <c r="L500" s="13" t="n">
        <v>3</v>
      </c>
      <c r="M500" s="13" t="n">
        <v>787847.37</v>
      </c>
      <c r="N500" s="13" t="n">
        <v>262615.79</v>
      </c>
      <c r="O500" s="13" t="n">
        <v>853.813333333333</v>
      </c>
      <c r="P500" s="13" t="n">
        <v>0</v>
      </c>
      <c r="Q500" s="13" t="n">
        <v>3</v>
      </c>
      <c r="R500" s="13" t="s">
        <v>101</v>
      </c>
      <c r="S500" s="13" t="s">
        <v>124</v>
      </c>
      <c r="T500" s="13" t="n">
        <v>1</v>
      </c>
      <c r="U500" s="13" t="n">
        <f aca="false">IF(B500="Individual",1,0)</f>
        <v>1</v>
      </c>
      <c r="V500" s="13" t="n">
        <f aca="false">IF(B500="Company",1,0)</f>
        <v>0</v>
      </c>
      <c r="W500" s="13" t="n">
        <f aca="false">IF(H500="Home",1,0)</f>
        <v>0</v>
      </c>
      <c r="X500" s="13" t="n">
        <f aca="false">IF(H500="Investment",1,0)</f>
        <v>1</v>
      </c>
      <c r="Y500" s="13" t="n">
        <f aca="false">IF(K500="Website",1,0)</f>
        <v>0</v>
      </c>
      <c r="Z500" s="13" t="n">
        <f aca="false">IF(K500="Agency",1,0)</f>
        <v>0</v>
      </c>
      <c r="AA500" s="13" t="n">
        <f aca="false">IF(K500="Client",1,0)</f>
        <v>1</v>
      </c>
      <c r="AB500" s="13" t="n">
        <f aca="false">(D500-AVERAGE(D$2:D$2001))/STDEV(D$2:D$2001)</f>
        <v>-1.1611488661649</v>
      </c>
      <c r="AC500" s="13" t="n">
        <f aca="false">(I500-AVERAGE(I$2:I$2001))/STDEV(I$2:I$2001)</f>
        <v>1.39434968409451</v>
      </c>
      <c r="AD500" s="13" t="n">
        <f aca="false">(L500-AVERAGE(L$2:L$2001))/STDEV(L$2:L$2001)</f>
        <v>-0.777063122173208</v>
      </c>
      <c r="AE500" s="13" t="n">
        <f aca="false">(M500-AVERAGE(M$2:M$2001))/STDEV(M$2:M$2001)</f>
        <v>-1.35850043771841</v>
      </c>
      <c r="AF500" s="13" t="n">
        <f aca="false">(N500-AVERAGE(N$2:N$2001))/STDEV(N$2:N$2001)</f>
        <v>-1.21158861990868</v>
      </c>
      <c r="AG500" s="13" t="n">
        <f aca="false">(O500-AVERAGE(O$2:O$2001))/STDEV(O$2:O$2001)</f>
        <v>-1.33531684362385</v>
      </c>
      <c r="AH500" s="0" t="str">
        <f aca="false">IF(B500="Company","C3 - Corporate Buyers",IF(AND(H500="Investment",M500&gt;'Segmentation Summary'!$C$1),"C1 - Global Investors",IF(AND(I500&gt;=4,M500&gt;'Segmentation Summary'!$C$1),"C4 - Luxury Investors",IF(AND(D500&lt;'Segmentation Summary'!$C$2,J500=1),"C2 - First-Time Buyers","C5 - Other Individual Buyers"))))</f>
        <v>C5 - Other Individual Buyers</v>
      </c>
    </row>
    <row r="501" customFormat="false" ht="15" hidden="false" customHeight="true" outlineLevel="0" collapsed="false">
      <c r="A501" s="13" t="s">
        <v>1060</v>
      </c>
      <c r="B501" s="13" t="s">
        <v>34</v>
      </c>
      <c r="C501" s="13" t="s">
        <v>1061</v>
      </c>
      <c r="D501" s="13" t="n">
        <v>68</v>
      </c>
      <c r="E501" s="13" t="s">
        <v>83</v>
      </c>
      <c r="F501" s="13" t="s">
        <v>33</v>
      </c>
      <c r="G501" s="13" t="s">
        <v>110</v>
      </c>
      <c r="H501" s="13" t="s">
        <v>43</v>
      </c>
      <c r="I501" s="13" t="n">
        <v>3</v>
      </c>
      <c r="J501" s="13" t="n">
        <v>0</v>
      </c>
      <c r="K501" s="13" t="s">
        <v>91</v>
      </c>
      <c r="L501" s="13" t="n">
        <v>3</v>
      </c>
      <c r="M501" s="13" t="n">
        <v>1223560.82</v>
      </c>
      <c r="N501" s="13" t="n">
        <v>407853.606666667</v>
      </c>
      <c r="O501" s="13" t="n">
        <v>1517.47</v>
      </c>
      <c r="P501" s="13" t="n">
        <v>0</v>
      </c>
      <c r="Q501" s="13" t="n">
        <v>3</v>
      </c>
      <c r="R501" s="13" t="s">
        <v>121</v>
      </c>
      <c r="S501" s="13" t="s">
        <v>103</v>
      </c>
      <c r="T501" s="13" t="n">
        <v>1</v>
      </c>
      <c r="U501" s="13" t="n">
        <f aca="false">IF(B501="Individual",1,0)</f>
        <v>1</v>
      </c>
      <c r="V501" s="13" t="n">
        <f aca="false">IF(B501="Company",1,0)</f>
        <v>0</v>
      </c>
      <c r="W501" s="13" t="n">
        <f aca="false">IF(H501="Home",1,0)</f>
        <v>0</v>
      </c>
      <c r="X501" s="13" t="n">
        <f aca="false">IF(H501="Investment",1,0)</f>
        <v>1</v>
      </c>
      <c r="Y501" s="13" t="n">
        <f aca="false">IF(K501="Website",1,0)</f>
        <v>0</v>
      </c>
      <c r="Z501" s="13" t="n">
        <f aca="false">IF(K501="Agency",1,0)</f>
        <v>1</v>
      </c>
      <c r="AA501" s="13" t="n">
        <f aca="false">IF(K501="Client",1,0)</f>
        <v>0</v>
      </c>
      <c r="AB501" s="13" t="n">
        <f aca="false">(D501-AVERAGE(D$2:D$2001))/STDEV(D$2:D$2001)</f>
        <v>0.79937462043224</v>
      </c>
      <c r="AC501" s="13" t="n">
        <f aca="false">(I501-AVERAGE(I$2:I$2001))/STDEV(I$2:I$2001)</f>
        <v>-0.0205155458339628</v>
      </c>
      <c r="AD501" s="13" t="n">
        <f aca="false">(L501-AVERAGE(L$2:L$2001))/STDEV(L$2:L$2001)</f>
        <v>-0.777063122173208</v>
      </c>
      <c r="AE501" s="13" t="n">
        <f aca="false">(M501-AVERAGE(M$2:M$2001))/STDEV(M$2:M$2001)</f>
        <v>-0.105840755697204</v>
      </c>
      <c r="AF501" s="13" t="n">
        <f aca="false">(N501-AVERAGE(N$2:N$2001))/STDEV(N$2:N$2001)</f>
        <v>0.87151553439967</v>
      </c>
      <c r="AG501" s="13" t="n">
        <f aca="false">(O501-AVERAGE(O$2:O$2001))/STDEV(O$2:O$2001)</f>
        <v>1.68236622313394</v>
      </c>
      <c r="AH501" s="0" t="str">
        <f aca="false">IF(B501="Company","C3 - Corporate Buyers",IF(AND(H501="Investment",M501&gt;'Segmentation Summary'!$C$1),"C1 - Global Investors",IF(AND(I501&gt;=4,M501&gt;'Segmentation Summary'!$C$1),"C4 - Luxury Investors",IF(AND(D501&lt;'Segmentation Summary'!$C$2,J501=1),"C2 - First-Time Buyers","C5 - Other Individual Buyers"))))</f>
        <v>C1 - Global Investors</v>
      </c>
    </row>
    <row r="502" customFormat="false" ht="15" hidden="false" customHeight="true" outlineLevel="0" collapsed="false">
      <c r="A502" s="13" t="s">
        <v>1062</v>
      </c>
      <c r="B502" s="13" t="s">
        <v>34</v>
      </c>
      <c r="C502" s="13" t="s">
        <v>1063</v>
      </c>
      <c r="D502" s="13" t="n">
        <v>55</v>
      </c>
      <c r="E502" s="13" t="s">
        <v>83</v>
      </c>
      <c r="F502" s="13" t="s">
        <v>33</v>
      </c>
      <c r="G502" s="13" t="s">
        <v>110</v>
      </c>
      <c r="H502" s="13" t="s">
        <v>41</v>
      </c>
      <c r="I502" s="13" t="n">
        <v>4</v>
      </c>
      <c r="J502" s="13" t="n">
        <v>0</v>
      </c>
      <c r="K502" s="13" t="s">
        <v>85</v>
      </c>
      <c r="L502" s="13" t="n">
        <v>3</v>
      </c>
      <c r="M502" s="13" t="n">
        <v>1319349.86</v>
      </c>
      <c r="N502" s="13" t="n">
        <v>439783.286666667</v>
      </c>
      <c r="O502" s="13" t="n">
        <v>1362.38333333333</v>
      </c>
      <c r="P502" s="13" t="n">
        <v>0</v>
      </c>
      <c r="Q502" s="13" t="n">
        <v>3</v>
      </c>
      <c r="R502" s="13" t="s">
        <v>92</v>
      </c>
      <c r="S502" s="13" t="s">
        <v>150</v>
      </c>
      <c r="T502" s="13" t="n">
        <v>1</v>
      </c>
      <c r="U502" s="13" t="n">
        <f aca="false">IF(B502="Individual",1,0)</f>
        <v>1</v>
      </c>
      <c r="V502" s="13" t="n">
        <f aca="false">IF(B502="Company",1,0)</f>
        <v>0</v>
      </c>
      <c r="W502" s="13" t="n">
        <f aca="false">IF(H502="Home",1,0)</f>
        <v>1</v>
      </c>
      <c r="X502" s="13" t="n">
        <f aca="false">IF(H502="Investment",1,0)</f>
        <v>0</v>
      </c>
      <c r="Y502" s="13" t="n">
        <f aca="false">IF(K502="Website",1,0)</f>
        <v>1</v>
      </c>
      <c r="Z502" s="13" t="n">
        <f aca="false">IF(K502="Agency",1,0)</f>
        <v>0</v>
      </c>
      <c r="AA502" s="13" t="n">
        <f aca="false">IF(K502="Client",1,0)</f>
        <v>0</v>
      </c>
      <c r="AB502" s="13" t="n">
        <f aca="false">(D502-AVERAGE(D$2:D$2001))/STDEV(D$2:D$2001)</f>
        <v>0.0497626990862745</v>
      </c>
      <c r="AC502" s="13" t="n">
        <f aca="false">(I502-AVERAGE(I$2:I$2001))/STDEV(I$2:I$2001)</f>
        <v>0.686917069130275</v>
      </c>
      <c r="AD502" s="13" t="n">
        <f aca="false">(L502-AVERAGE(L$2:L$2001))/STDEV(L$2:L$2001)</f>
        <v>-0.777063122173208</v>
      </c>
      <c r="AE502" s="13" t="n">
        <f aca="false">(M502-AVERAGE(M$2:M$2001))/STDEV(M$2:M$2001)</f>
        <v>0.169549109792412</v>
      </c>
      <c r="AF502" s="13" t="n">
        <f aca="false">(N502-AVERAGE(N$2:N$2001))/STDEV(N$2:N$2001)</f>
        <v>1.32947373413211</v>
      </c>
      <c r="AG502" s="13" t="n">
        <f aca="false">(O502-AVERAGE(O$2:O$2001))/STDEV(O$2:O$2001)</f>
        <v>0.977178689600156</v>
      </c>
      <c r="AH502" s="0" t="str">
        <f aca="false">IF(B502="Company","C3 - Corporate Buyers",IF(AND(H502="Investment",M502&gt;'Segmentation Summary'!$C$1),"C1 - Global Investors",IF(AND(I502&gt;=4,M502&gt;'Segmentation Summary'!$C$1),"C4 - Luxury Investors",IF(AND(D502&lt;'Segmentation Summary'!$C$2,J502=1),"C2 - First-Time Buyers","C5 - Other Individual Buyers"))))</f>
        <v>C4 - Luxury Investors</v>
      </c>
    </row>
    <row r="503" customFormat="false" ht="15" hidden="false" customHeight="true" outlineLevel="0" collapsed="false">
      <c r="A503" s="13" t="s">
        <v>1064</v>
      </c>
      <c r="B503" s="13" t="s">
        <v>34</v>
      </c>
      <c r="C503" s="13" t="s">
        <v>1063</v>
      </c>
      <c r="D503" s="13" t="n">
        <v>60</v>
      </c>
      <c r="E503" s="13" t="s">
        <v>83</v>
      </c>
      <c r="F503" s="13" t="s">
        <v>46</v>
      </c>
      <c r="G503" s="13" t="s">
        <v>1065</v>
      </c>
      <c r="H503" s="13" t="s">
        <v>41</v>
      </c>
      <c r="I503" s="13" t="n">
        <v>1</v>
      </c>
      <c r="J503" s="13" t="n">
        <v>0</v>
      </c>
      <c r="K503" s="13" t="s">
        <v>85</v>
      </c>
      <c r="L503" s="13" t="n">
        <v>4</v>
      </c>
      <c r="M503" s="13" t="n">
        <v>1451465.46</v>
      </c>
      <c r="N503" s="13" t="n">
        <v>362866.365</v>
      </c>
      <c r="O503" s="13" t="n">
        <v>1153.0825</v>
      </c>
      <c r="P503" s="13" t="n">
        <v>1</v>
      </c>
      <c r="Q503" s="13" t="n">
        <v>3</v>
      </c>
      <c r="R503" s="13" t="s">
        <v>135</v>
      </c>
      <c r="S503" s="13" t="s">
        <v>114</v>
      </c>
      <c r="T503" s="13" t="n">
        <v>1</v>
      </c>
      <c r="U503" s="13" t="n">
        <f aca="false">IF(B503="Individual",1,0)</f>
        <v>1</v>
      </c>
      <c r="V503" s="13" t="n">
        <f aca="false">IF(B503="Company",1,0)</f>
        <v>0</v>
      </c>
      <c r="W503" s="13" t="n">
        <f aca="false">IF(H503="Home",1,0)</f>
        <v>1</v>
      </c>
      <c r="X503" s="13" t="n">
        <f aca="false">IF(H503="Investment",1,0)</f>
        <v>0</v>
      </c>
      <c r="Y503" s="13" t="n">
        <f aca="false">IF(K503="Website",1,0)</f>
        <v>1</v>
      </c>
      <c r="Z503" s="13" t="n">
        <f aca="false">IF(K503="Agency",1,0)</f>
        <v>0</v>
      </c>
      <c r="AA503" s="13" t="n">
        <f aca="false">IF(K503="Client",1,0)</f>
        <v>0</v>
      </c>
      <c r="AB503" s="13" t="n">
        <f aca="false">(D503-AVERAGE(D$2:D$2001))/STDEV(D$2:D$2001)</f>
        <v>0.338074976527031</v>
      </c>
      <c r="AC503" s="13" t="n">
        <f aca="false">(I503-AVERAGE(I$2:I$2001))/STDEV(I$2:I$2001)</f>
        <v>-1.43538077576244</v>
      </c>
      <c r="AD503" s="13" t="n">
        <f aca="false">(L503-AVERAGE(L$2:L$2001))/STDEV(L$2:L$2001)</f>
        <v>0.413838214490712</v>
      </c>
      <c r="AE503" s="13" t="n">
        <f aca="false">(M503-AVERAGE(M$2:M$2001))/STDEV(M$2:M$2001)</f>
        <v>0.549376460740704</v>
      </c>
      <c r="AF503" s="13" t="n">
        <f aca="false">(N503-AVERAGE(N$2:N$2001))/STDEV(N$2:N$2001)</f>
        <v>0.226276490206467</v>
      </c>
      <c r="AG503" s="13" t="n">
        <f aca="false">(O503-AVERAGE(O$2:O$2001))/STDEV(O$2:O$2001)</f>
        <v>0.0254763827724015</v>
      </c>
      <c r="AH503" s="0" t="str">
        <f aca="false">IF(B503="Company","C3 - Corporate Buyers",IF(AND(H503="Investment",M503&gt;'Segmentation Summary'!$C$1),"C1 - Global Investors",IF(AND(I503&gt;=4,M503&gt;'Segmentation Summary'!$C$1),"C4 - Luxury Investors",IF(AND(D503&lt;'Segmentation Summary'!$C$2,J503=1),"C2 - First-Time Buyers","C5 - Other Individual Buyers"))))</f>
        <v>C5 - Other Individual Buyers</v>
      </c>
    </row>
    <row r="504" customFormat="false" ht="15" hidden="false" customHeight="true" outlineLevel="0" collapsed="false">
      <c r="A504" s="13" t="s">
        <v>1066</v>
      </c>
      <c r="B504" s="13" t="s">
        <v>34</v>
      </c>
      <c r="C504" s="13" t="s">
        <v>1067</v>
      </c>
      <c r="D504" s="13" t="n">
        <v>83</v>
      </c>
      <c r="E504" s="13" t="s">
        <v>83</v>
      </c>
      <c r="F504" s="13" t="s">
        <v>33</v>
      </c>
      <c r="G504" s="13" t="s">
        <v>265</v>
      </c>
      <c r="H504" s="13" t="s">
        <v>43</v>
      </c>
      <c r="I504" s="13" t="n">
        <v>3</v>
      </c>
      <c r="J504" s="13" t="n">
        <v>0</v>
      </c>
      <c r="K504" s="13" t="s">
        <v>85</v>
      </c>
      <c r="L504" s="13" t="n">
        <v>3</v>
      </c>
      <c r="M504" s="13" t="n">
        <v>1198428.64</v>
      </c>
      <c r="N504" s="13" t="n">
        <v>399476.213333333</v>
      </c>
      <c r="O504" s="13" t="n">
        <v>1299.53666666667</v>
      </c>
      <c r="P504" s="13" t="n">
        <v>0</v>
      </c>
      <c r="Q504" s="13" t="n">
        <v>3</v>
      </c>
      <c r="R504" s="13" t="s">
        <v>121</v>
      </c>
      <c r="S504" s="13" t="s">
        <v>125</v>
      </c>
      <c r="T504" s="13" t="n">
        <v>1</v>
      </c>
      <c r="U504" s="13" t="n">
        <f aca="false">IF(B504="Individual",1,0)</f>
        <v>1</v>
      </c>
      <c r="V504" s="13" t="n">
        <f aca="false">IF(B504="Company",1,0)</f>
        <v>0</v>
      </c>
      <c r="W504" s="13" t="n">
        <f aca="false">IF(H504="Home",1,0)</f>
        <v>0</v>
      </c>
      <c r="X504" s="13" t="n">
        <f aca="false">IF(H504="Investment",1,0)</f>
        <v>1</v>
      </c>
      <c r="Y504" s="13" t="n">
        <f aca="false">IF(K504="Website",1,0)</f>
        <v>1</v>
      </c>
      <c r="Z504" s="13" t="n">
        <f aca="false">IF(K504="Agency",1,0)</f>
        <v>0</v>
      </c>
      <c r="AA504" s="13" t="n">
        <f aca="false">IF(K504="Client",1,0)</f>
        <v>0</v>
      </c>
      <c r="AB504" s="13" t="n">
        <f aca="false">(D504-AVERAGE(D$2:D$2001))/STDEV(D$2:D$2001)</f>
        <v>1.66431145275451</v>
      </c>
      <c r="AC504" s="13" t="n">
        <f aca="false">(I504-AVERAGE(I$2:I$2001))/STDEV(I$2:I$2001)</f>
        <v>-0.0205155458339628</v>
      </c>
      <c r="AD504" s="13" t="n">
        <f aca="false">(L504-AVERAGE(L$2:L$2001))/STDEV(L$2:L$2001)</f>
        <v>-0.777063122173208</v>
      </c>
      <c r="AE504" s="13" t="n">
        <f aca="false">(M504-AVERAGE(M$2:M$2001))/STDEV(M$2:M$2001)</f>
        <v>-0.178094822234053</v>
      </c>
      <c r="AF504" s="13" t="n">
        <f aca="false">(N504-AVERAGE(N$2:N$2001))/STDEV(N$2:N$2001)</f>
        <v>0.751360995757751</v>
      </c>
      <c r="AG504" s="13" t="n">
        <f aca="false">(O504-AVERAGE(O$2:O$2001))/STDEV(O$2:O$2001)</f>
        <v>0.691411467890912</v>
      </c>
      <c r="AH504" s="0" t="str">
        <f aca="false">IF(B504="Company","C3 - Corporate Buyers",IF(AND(H504="Investment",M504&gt;'Segmentation Summary'!$C$1),"C1 - Global Investors",IF(AND(I504&gt;=4,M504&gt;'Segmentation Summary'!$C$1),"C4 - Luxury Investors",IF(AND(D504&lt;'Segmentation Summary'!$C$2,J504=1),"C2 - First-Time Buyers","C5 - Other Individual Buyers"))))</f>
        <v>C5 - Other Individual Buyers</v>
      </c>
    </row>
    <row r="505" customFormat="false" ht="15" hidden="false" customHeight="true" outlineLevel="0" collapsed="false">
      <c r="A505" s="13" t="s">
        <v>1068</v>
      </c>
      <c r="B505" s="13" t="s">
        <v>34</v>
      </c>
      <c r="C505" s="13" t="s">
        <v>1067</v>
      </c>
      <c r="D505" s="13" t="n">
        <v>84</v>
      </c>
      <c r="E505" s="13" t="s">
        <v>83</v>
      </c>
      <c r="F505" s="13" t="s">
        <v>35</v>
      </c>
      <c r="G505" s="13" t="s">
        <v>374</v>
      </c>
      <c r="H505" s="13" t="s">
        <v>41</v>
      </c>
      <c r="I505" s="13" t="n">
        <v>4</v>
      </c>
      <c r="J505" s="13" t="n">
        <v>1</v>
      </c>
      <c r="K505" s="13" t="s">
        <v>116</v>
      </c>
      <c r="L505" s="13" t="n">
        <v>3</v>
      </c>
      <c r="M505" s="13" t="n">
        <v>1352275.64</v>
      </c>
      <c r="N505" s="13" t="n">
        <v>450758.546666667</v>
      </c>
      <c r="O505" s="13" t="n">
        <v>1330.21666666667</v>
      </c>
      <c r="P505" s="13" t="n">
        <v>0</v>
      </c>
      <c r="Q505" s="13" t="n">
        <v>3</v>
      </c>
      <c r="R505" s="13" t="s">
        <v>92</v>
      </c>
      <c r="S505" s="13" t="s">
        <v>133</v>
      </c>
      <c r="T505" s="13" t="n">
        <v>1</v>
      </c>
      <c r="U505" s="13" t="n">
        <f aca="false">IF(B505="Individual",1,0)</f>
        <v>1</v>
      </c>
      <c r="V505" s="13" t="n">
        <f aca="false">IF(B505="Company",1,0)</f>
        <v>0</v>
      </c>
      <c r="W505" s="13" t="n">
        <f aca="false">IF(H505="Home",1,0)</f>
        <v>1</v>
      </c>
      <c r="X505" s="13" t="n">
        <f aca="false">IF(H505="Investment",1,0)</f>
        <v>0</v>
      </c>
      <c r="Y505" s="13" t="n">
        <f aca="false">IF(K505="Website",1,0)</f>
        <v>0</v>
      </c>
      <c r="Z505" s="13" t="n">
        <f aca="false">IF(K505="Agency",1,0)</f>
        <v>0</v>
      </c>
      <c r="AA505" s="13" t="n">
        <f aca="false">IF(K505="Client",1,0)</f>
        <v>1</v>
      </c>
      <c r="AB505" s="13" t="n">
        <f aca="false">(D505-AVERAGE(D$2:D$2001))/STDEV(D$2:D$2001)</f>
        <v>1.72197390824266</v>
      </c>
      <c r="AC505" s="13" t="n">
        <f aca="false">(I505-AVERAGE(I$2:I$2001))/STDEV(I$2:I$2001)</f>
        <v>0.686917069130275</v>
      </c>
      <c r="AD505" s="13" t="n">
        <f aca="false">(L505-AVERAGE(L$2:L$2001))/STDEV(L$2:L$2001)</f>
        <v>-0.777063122173208</v>
      </c>
      <c r="AE505" s="13" t="n">
        <f aca="false">(M505-AVERAGE(M$2:M$2001))/STDEV(M$2:M$2001)</f>
        <v>0.264209481431388</v>
      </c>
      <c r="AF505" s="13" t="n">
        <f aca="false">(N505-AVERAGE(N$2:N$2001))/STDEV(N$2:N$2001)</f>
        <v>1.48688872580115</v>
      </c>
      <c r="AG505" s="13" t="n">
        <f aca="false">(O505-AVERAGE(O$2:O$2001))/STDEV(O$2:O$2001)</f>
        <v>0.830915101528982</v>
      </c>
      <c r="AH505" s="0" t="str">
        <f aca="false">IF(B505="Company","C3 - Corporate Buyers",IF(AND(H505="Investment",M505&gt;'Segmentation Summary'!$C$1),"C1 - Global Investors",IF(AND(I505&gt;=4,M505&gt;'Segmentation Summary'!$C$1),"C4 - Luxury Investors",IF(AND(D505&lt;'Segmentation Summary'!$C$2,J505=1),"C2 - First-Time Buyers","C5 - Other Individual Buyers"))))</f>
        <v>C4 - Luxury Investors</v>
      </c>
    </row>
    <row r="506" customFormat="false" ht="15" hidden="false" customHeight="true" outlineLevel="0" collapsed="false">
      <c r="A506" s="13" t="s">
        <v>1069</v>
      </c>
      <c r="B506" s="13" t="s">
        <v>34</v>
      </c>
      <c r="C506" s="13" t="s">
        <v>1070</v>
      </c>
      <c r="D506" s="13" t="n">
        <v>78</v>
      </c>
      <c r="E506" s="13" t="s">
        <v>83</v>
      </c>
      <c r="F506" s="13" t="s">
        <v>33</v>
      </c>
      <c r="G506" s="13" t="s">
        <v>265</v>
      </c>
      <c r="H506" s="13" t="s">
        <v>43</v>
      </c>
      <c r="I506" s="13" t="n">
        <v>5</v>
      </c>
      <c r="J506" s="13" t="n">
        <v>0</v>
      </c>
      <c r="K506" s="13" t="s">
        <v>116</v>
      </c>
      <c r="L506" s="13" t="n">
        <v>4</v>
      </c>
      <c r="M506" s="13" t="n">
        <v>1982246.22</v>
      </c>
      <c r="N506" s="13" t="n">
        <v>495561.555</v>
      </c>
      <c r="O506" s="13" t="n">
        <v>1699.3675</v>
      </c>
      <c r="P506" s="13" t="n">
        <v>1</v>
      </c>
      <c r="Q506" s="13" t="n">
        <v>3</v>
      </c>
      <c r="R506" s="13" t="s">
        <v>101</v>
      </c>
      <c r="S506" s="13" t="s">
        <v>154</v>
      </c>
      <c r="T506" s="13" t="n">
        <v>1</v>
      </c>
      <c r="U506" s="13" t="n">
        <f aca="false">IF(B506="Individual",1,0)</f>
        <v>1</v>
      </c>
      <c r="V506" s="13" t="n">
        <f aca="false">IF(B506="Company",1,0)</f>
        <v>0</v>
      </c>
      <c r="W506" s="13" t="n">
        <f aca="false">IF(H506="Home",1,0)</f>
        <v>0</v>
      </c>
      <c r="X506" s="13" t="n">
        <f aca="false">IF(H506="Investment",1,0)</f>
        <v>1</v>
      </c>
      <c r="Y506" s="13" t="n">
        <f aca="false">IF(K506="Website",1,0)</f>
        <v>0</v>
      </c>
      <c r="Z506" s="13" t="n">
        <f aca="false">IF(K506="Agency",1,0)</f>
        <v>0</v>
      </c>
      <c r="AA506" s="13" t="n">
        <f aca="false">IF(K506="Client",1,0)</f>
        <v>1</v>
      </c>
      <c r="AB506" s="13" t="n">
        <f aca="false">(D506-AVERAGE(D$2:D$2001))/STDEV(D$2:D$2001)</f>
        <v>1.37599917531375</v>
      </c>
      <c r="AC506" s="13" t="n">
        <f aca="false">(I506-AVERAGE(I$2:I$2001))/STDEV(I$2:I$2001)</f>
        <v>1.39434968409451</v>
      </c>
      <c r="AD506" s="13" t="n">
        <f aca="false">(L506-AVERAGE(L$2:L$2001))/STDEV(L$2:L$2001)</f>
        <v>0.413838214490712</v>
      </c>
      <c r="AE506" s="13" t="n">
        <f aca="false">(M506-AVERAGE(M$2:M$2001))/STDEV(M$2:M$2001)</f>
        <v>2.07535106181069</v>
      </c>
      <c r="AF506" s="13" t="n">
        <f aca="false">(N506-AVERAGE(N$2:N$2001))/STDEV(N$2:N$2001)</f>
        <v>2.12948536438101</v>
      </c>
      <c r="AG506" s="13" t="n">
        <f aca="false">(O506-AVERAGE(O$2:O$2001))/STDEV(O$2:O$2001)</f>
        <v>2.50946407840385</v>
      </c>
      <c r="AH506" s="0" t="str">
        <f aca="false">IF(B506="Company","C3 - Corporate Buyers",IF(AND(H506="Investment",M506&gt;'Segmentation Summary'!$C$1),"C1 - Global Investors",IF(AND(I506&gt;=4,M506&gt;'Segmentation Summary'!$C$1),"C4 - Luxury Investors",IF(AND(D506&lt;'Segmentation Summary'!$C$2,J506=1),"C2 - First-Time Buyers","C5 - Other Individual Buyers"))))</f>
        <v>C1 - Global Investors</v>
      </c>
    </row>
    <row r="507" customFormat="false" ht="15" hidden="false" customHeight="true" outlineLevel="0" collapsed="false">
      <c r="A507" s="13" t="s">
        <v>1071</v>
      </c>
      <c r="B507" s="13" t="s">
        <v>34</v>
      </c>
      <c r="C507" s="13" t="s">
        <v>1072</v>
      </c>
      <c r="D507" s="13" t="n">
        <v>66</v>
      </c>
      <c r="E507" s="13" t="s">
        <v>83</v>
      </c>
      <c r="F507" s="13" t="s">
        <v>33</v>
      </c>
      <c r="G507" s="13" t="s">
        <v>95</v>
      </c>
      <c r="H507" s="13" t="s">
        <v>41</v>
      </c>
      <c r="I507" s="13" t="n">
        <v>3</v>
      </c>
      <c r="J507" s="13" t="n">
        <v>1</v>
      </c>
      <c r="K507" s="13" t="s">
        <v>85</v>
      </c>
      <c r="L507" s="13" t="n">
        <v>5</v>
      </c>
      <c r="M507" s="13" t="n">
        <v>1457871.69</v>
      </c>
      <c r="N507" s="13" t="n">
        <v>291574.338</v>
      </c>
      <c r="O507" s="13" t="n">
        <v>948.388</v>
      </c>
      <c r="P507" s="13" t="n">
        <v>0</v>
      </c>
      <c r="Q507" s="13" t="n">
        <v>5</v>
      </c>
      <c r="R507" s="13" t="s">
        <v>92</v>
      </c>
      <c r="S507" s="13" t="s">
        <v>154</v>
      </c>
      <c r="T507" s="13" t="n">
        <v>1</v>
      </c>
      <c r="U507" s="13" t="n">
        <f aca="false">IF(B507="Individual",1,0)</f>
        <v>1</v>
      </c>
      <c r="V507" s="13" t="n">
        <f aca="false">IF(B507="Company",1,0)</f>
        <v>0</v>
      </c>
      <c r="W507" s="13" t="n">
        <f aca="false">IF(H507="Home",1,0)</f>
        <v>1</v>
      </c>
      <c r="X507" s="13" t="n">
        <f aca="false">IF(H507="Investment",1,0)</f>
        <v>0</v>
      </c>
      <c r="Y507" s="13" t="n">
        <f aca="false">IF(K507="Website",1,0)</f>
        <v>1</v>
      </c>
      <c r="Z507" s="13" t="n">
        <f aca="false">IF(K507="Agency",1,0)</f>
        <v>0</v>
      </c>
      <c r="AA507" s="13" t="n">
        <f aca="false">IF(K507="Client",1,0)</f>
        <v>0</v>
      </c>
      <c r="AB507" s="13" t="n">
        <f aca="false">(D507-AVERAGE(D$2:D$2001))/STDEV(D$2:D$2001)</f>
        <v>0.684049709455938</v>
      </c>
      <c r="AC507" s="13" t="n">
        <f aca="false">(I507-AVERAGE(I$2:I$2001))/STDEV(I$2:I$2001)</f>
        <v>-0.0205155458339628</v>
      </c>
      <c r="AD507" s="13" t="n">
        <f aca="false">(L507-AVERAGE(L$2:L$2001))/STDEV(L$2:L$2001)</f>
        <v>1.60473955115463</v>
      </c>
      <c r="AE507" s="13" t="n">
        <f aca="false">(M507-AVERAGE(M$2:M$2001))/STDEV(M$2:M$2001)</f>
        <v>0.567794129588785</v>
      </c>
      <c r="AF507" s="13" t="n">
        <f aca="false">(N507-AVERAGE(N$2:N$2001))/STDEV(N$2:N$2001)</f>
        <v>-0.796244510323327</v>
      </c>
      <c r="AG507" s="13" t="n">
        <f aca="false">(O507-AVERAGE(O$2:O$2001))/STDEV(O$2:O$2001)</f>
        <v>-0.905280675106601</v>
      </c>
      <c r="AH507" s="0" t="str">
        <f aca="false">IF(B507="Company","C3 - Corporate Buyers",IF(AND(H507="Investment",M507&gt;'Segmentation Summary'!$C$1),"C1 - Global Investors",IF(AND(I507&gt;=4,M507&gt;'Segmentation Summary'!$C$1),"C4 - Luxury Investors",IF(AND(D507&lt;'Segmentation Summary'!$C$2,J507=1),"C2 - First-Time Buyers","C5 - Other Individual Buyers"))))</f>
        <v>C5 - Other Individual Buyers</v>
      </c>
    </row>
    <row r="508" customFormat="false" ht="15" hidden="false" customHeight="true" outlineLevel="0" collapsed="false">
      <c r="A508" s="13" t="s">
        <v>1073</v>
      </c>
      <c r="B508" s="13" t="s">
        <v>34</v>
      </c>
      <c r="C508" s="13" t="s">
        <v>1074</v>
      </c>
      <c r="D508" s="13" t="n">
        <v>82</v>
      </c>
      <c r="E508" s="13" t="s">
        <v>83</v>
      </c>
      <c r="F508" s="13" t="s">
        <v>33</v>
      </c>
      <c r="G508" s="13" t="s">
        <v>95</v>
      </c>
      <c r="H508" s="13" t="s">
        <v>41</v>
      </c>
      <c r="I508" s="13" t="n">
        <v>3</v>
      </c>
      <c r="J508" s="13" t="n">
        <v>0</v>
      </c>
      <c r="K508" s="13" t="s">
        <v>85</v>
      </c>
      <c r="L508" s="13" t="n">
        <v>4</v>
      </c>
      <c r="M508" s="13" t="n">
        <v>1596507.45</v>
      </c>
      <c r="N508" s="13" t="n">
        <v>399126.8625</v>
      </c>
      <c r="O508" s="13" t="n">
        <v>1336.7325</v>
      </c>
      <c r="P508" s="13" t="n">
        <v>0</v>
      </c>
      <c r="Q508" s="13" t="n">
        <v>4</v>
      </c>
      <c r="R508" s="13" t="s">
        <v>92</v>
      </c>
      <c r="S508" s="13" t="s">
        <v>154</v>
      </c>
      <c r="T508" s="13" t="n">
        <v>1</v>
      </c>
      <c r="U508" s="13" t="n">
        <f aca="false">IF(B508="Individual",1,0)</f>
        <v>1</v>
      </c>
      <c r="V508" s="13" t="n">
        <f aca="false">IF(B508="Company",1,0)</f>
        <v>0</v>
      </c>
      <c r="W508" s="13" t="n">
        <f aca="false">IF(H508="Home",1,0)</f>
        <v>1</v>
      </c>
      <c r="X508" s="13" t="n">
        <f aca="false">IF(H508="Investment",1,0)</f>
        <v>0</v>
      </c>
      <c r="Y508" s="13" t="n">
        <f aca="false">IF(K508="Website",1,0)</f>
        <v>1</v>
      </c>
      <c r="Z508" s="13" t="n">
        <f aca="false">IF(K508="Agency",1,0)</f>
        <v>0</v>
      </c>
      <c r="AA508" s="13" t="n">
        <f aca="false">IF(K508="Client",1,0)</f>
        <v>0</v>
      </c>
      <c r="AB508" s="13" t="n">
        <f aca="false">(D508-AVERAGE(D$2:D$2001))/STDEV(D$2:D$2001)</f>
        <v>1.60664899726636</v>
      </c>
      <c r="AC508" s="13" t="n">
        <f aca="false">(I508-AVERAGE(I$2:I$2001))/STDEV(I$2:I$2001)</f>
        <v>-0.0205155458339628</v>
      </c>
      <c r="AD508" s="13" t="n">
        <f aca="false">(L508-AVERAGE(L$2:L$2001))/STDEV(L$2:L$2001)</f>
        <v>0.413838214490712</v>
      </c>
      <c r="AE508" s="13" t="n">
        <f aca="false">(M508-AVERAGE(M$2:M$2001))/STDEV(M$2:M$2001)</f>
        <v>0.966366693824221</v>
      </c>
      <c r="AF508" s="13" t="n">
        <f aca="false">(N508-AVERAGE(N$2:N$2001))/STDEV(N$2:N$2001)</f>
        <v>0.746350357420372</v>
      </c>
      <c r="AG508" s="13" t="n">
        <f aca="false">(O508-AVERAGE(O$2:O$2001))/STDEV(O$2:O$2001)</f>
        <v>0.860542951143701</v>
      </c>
      <c r="AH508" s="0" t="str">
        <f aca="false">IF(B508="Company","C3 - Corporate Buyers",IF(AND(H508="Investment",M508&gt;'Segmentation Summary'!$C$1),"C1 - Global Investors",IF(AND(I508&gt;=4,M508&gt;'Segmentation Summary'!$C$1),"C4 - Luxury Investors",IF(AND(D508&lt;'Segmentation Summary'!$C$2,J508=1),"C2 - First-Time Buyers","C5 - Other Individual Buyers"))))</f>
        <v>C5 - Other Individual Buyers</v>
      </c>
    </row>
    <row r="509" customFormat="false" ht="15" hidden="false" customHeight="true" outlineLevel="0" collapsed="false">
      <c r="A509" s="13" t="s">
        <v>1075</v>
      </c>
      <c r="B509" s="13" t="s">
        <v>34</v>
      </c>
      <c r="C509" s="13" t="s">
        <v>1076</v>
      </c>
      <c r="D509" s="13" t="n">
        <v>49</v>
      </c>
      <c r="E509" s="13" t="s">
        <v>83</v>
      </c>
      <c r="F509" s="13" t="s">
        <v>33</v>
      </c>
      <c r="G509" s="13" t="s">
        <v>84</v>
      </c>
      <c r="H509" s="13" t="s">
        <v>41</v>
      </c>
      <c r="I509" s="13" t="n">
        <v>5</v>
      </c>
      <c r="J509" s="13" t="n">
        <v>0</v>
      </c>
      <c r="K509" s="13" t="s">
        <v>85</v>
      </c>
      <c r="L509" s="13" t="n">
        <v>6</v>
      </c>
      <c r="M509" s="13" t="n">
        <v>1854608.29</v>
      </c>
      <c r="N509" s="13" t="n">
        <v>309101.381666667</v>
      </c>
      <c r="O509" s="13" t="n">
        <v>1047.8</v>
      </c>
      <c r="P509" s="13" t="n">
        <v>0</v>
      </c>
      <c r="Q509" s="13" t="n">
        <v>6</v>
      </c>
      <c r="R509" s="13" t="s">
        <v>92</v>
      </c>
      <c r="S509" s="13" t="s">
        <v>215</v>
      </c>
      <c r="T509" s="13" t="n">
        <v>1</v>
      </c>
      <c r="U509" s="13" t="n">
        <f aca="false">IF(B509="Individual",1,0)</f>
        <v>1</v>
      </c>
      <c r="V509" s="13" t="n">
        <f aca="false">IF(B509="Company",1,0)</f>
        <v>0</v>
      </c>
      <c r="W509" s="13" t="n">
        <f aca="false">IF(H509="Home",1,0)</f>
        <v>1</v>
      </c>
      <c r="X509" s="13" t="n">
        <f aca="false">IF(H509="Investment",1,0)</f>
        <v>0</v>
      </c>
      <c r="Y509" s="13" t="n">
        <f aca="false">IF(K509="Website",1,0)</f>
        <v>1</v>
      </c>
      <c r="Z509" s="13" t="n">
        <f aca="false">IF(K509="Agency",1,0)</f>
        <v>0</v>
      </c>
      <c r="AA509" s="13" t="n">
        <f aca="false">IF(K509="Client",1,0)</f>
        <v>0</v>
      </c>
      <c r="AB509" s="13" t="n">
        <f aca="false">(D509-AVERAGE(D$2:D$2001))/STDEV(D$2:D$2001)</f>
        <v>-0.296212033842633</v>
      </c>
      <c r="AC509" s="13" t="n">
        <f aca="false">(I509-AVERAGE(I$2:I$2001))/STDEV(I$2:I$2001)</f>
        <v>1.39434968409451</v>
      </c>
      <c r="AD509" s="13" t="n">
        <f aca="false">(L509-AVERAGE(L$2:L$2001))/STDEV(L$2:L$2001)</f>
        <v>2.79564088781855</v>
      </c>
      <c r="AE509" s="13" t="n">
        <f aca="false">(M509-AVERAGE(M$2:M$2001))/STDEV(M$2:M$2001)</f>
        <v>1.70839684268423</v>
      </c>
      <c r="AF509" s="13" t="n">
        <f aca="false">(N509-AVERAGE(N$2:N$2001))/STDEV(N$2:N$2001)</f>
        <v>-0.544859173413637</v>
      </c>
      <c r="AG509" s="13" t="n">
        <f aca="false">(O509-AVERAGE(O$2:O$2001))/STDEV(O$2:O$2001)</f>
        <v>-0.453248888039204</v>
      </c>
      <c r="AH509" s="0" t="str">
        <f aca="false">IF(B509="Company","C3 - Corporate Buyers",IF(AND(H509="Investment",M509&gt;'Segmentation Summary'!$C$1),"C1 - Global Investors",IF(AND(I509&gt;=4,M509&gt;'Segmentation Summary'!$C$1),"C4 - Luxury Investors",IF(AND(D509&lt;'Segmentation Summary'!$C$2,J509=1),"C2 - First-Time Buyers","C5 - Other Individual Buyers"))))</f>
        <v>C4 - Luxury Investors</v>
      </c>
    </row>
    <row r="510" customFormat="false" ht="15" hidden="false" customHeight="true" outlineLevel="0" collapsed="false">
      <c r="A510" s="13" t="s">
        <v>1077</v>
      </c>
      <c r="B510" s="13" t="s">
        <v>34</v>
      </c>
      <c r="C510" s="13" t="s">
        <v>1078</v>
      </c>
      <c r="D510" s="13" t="n">
        <v>85</v>
      </c>
      <c r="E510" s="13" t="s">
        <v>90</v>
      </c>
      <c r="F510" s="13" t="s">
        <v>33</v>
      </c>
      <c r="G510" s="13" t="s">
        <v>157</v>
      </c>
      <c r="H510" s="13" t="s">
        <v>43</v>
      </c>
      <c r="I510" s="13" t="n">
        <v>3</v>
      </c>
      <c r="J510" s="13" t="n">
        <v>1</v>
      </c>
      <c r="K510" s="13" t="s">
        <v>85</v>
      </c>
      <c r="L510" s="13" t="n">
        <v>5</v>
      </c>
      <c r="M510" s="13" t="n">
        <v>1367824.55</v>
      </c>
      <c r="N510" s="13" t="n">
        <v>273564.91</v>
      </c>
      <c r="O510" s="13" t="n">
        <v>914.412</v>
      </c>
      <c r="P510" s="13" t="n">
        <v>2</v>
      </c>
      <c r="Q510" s="13" t="n">
        <v>3</v>
      </c>
      <c r="R510" s="13" t="s">
        <v>101</v>
      </c>
      <c r="S510" s="13" t="s">
        <v>125</v>
      </c>
      <c r="T510" s="13" t="n">
        <v>1</v>
      </c>
      <c r="U510" s="13" t="n">
        <f aca="false">IF(B510="Individual",1,0)</f>
        <v>1</v>
      </c>
      <c r="V510" s="13" t="n">
        <f aca="false">IF(B510="Company",1,0)</f>
        <v>0</v>
      </c>
      <c r="W510" s="13" t="n">
        <f aca="false">IF(H510="Home",1,0)</f>
        <v>0</v>
      </c>
      <c r="X510" s="13" t="n">
        <f aca="false">IF(H510="Investment",1,0)</f>
        <v>1</v>
      </c>
      <c r="Y510" s="13" t="n">
        <f aca="false">IF(K510="Website",1,0)</f>
        <v>1</v>
      </c>
      <c r="Z510" s="13" t="n">
        <f aca="false">IF(K510="Agency",1,0)</f>
        <v>0</v>
      </c>
      <c r="AA510" s="13" t="n">
        <f aca="false">IF(K510="Client",1,0)</f>
        <v>0</v>
      </c>
      <c r="AB510" s="13" t="n">
        <f aca="false">(D510-AVERAGE(D$2:D$2001))/STDEV(D$2:D$2001)</f>
        <v>1.77963636373081</v>
      </c>
      <c r="AC510" s="13" t="n">
        <f aca="false">(I510-AVERAGE(I$2:I$2001))/STDEV(I$2:I$2001)</f>
        <v>-0.0205155458339628</v>
      </c>
      <c r="AD510" s="13" t="n">
        <f aca="false">(L510-AVERAGE(L$2:L$2001))/STDEV(L$2:L$2001)</f>
        <v>1.60473955115463</v>
      </c>
      <c r="AE510" s="13" t="n">
        <f aca="false">(M510-AVERAGE(M$2:M$2001))/STDEV(M$2:M$2001)</f>
        <v>0.308912009334477</v>
      </c>
      <c r="AF510" s="13" t="n">
        <f aca="false">(N510-AVERAGE(N$2:N$2001))/STDEV(N$2:N$2001)</f>
        <v>-1.05454854672742</v>
      </c>
      <c r="AG510" s="13" t="n">
        <f aca="false">(O510-AVERAGE(O$2:O$2001))/STDEV(O$2:O$2001)</f>
        <v>-1.05977140054621</v>
      </c>
      <c r="AH510" s="0" t="str">
        <f aca="false">IF(B510="Company","C3 - Corporate Buyers",IF(AND(H510="Investment",M510&gt;'Segmentation Summary'!$C$1),"C1 - Global Investors",IF(AND(I510&gt;=4,M510&gt;'Segmentation Summary'!$C$1),"C4 - Luxury Investors",IF(AND(D510&lt;'Segmentation Summary'!$C$2,J510=1),"C2 - First-Time Buyers","C5 - Other Individual Buyers"))))</f>
        <v>C1 - Global Investors</v>
      </c>
    </row>
    <row r="511" customFormat="false" ht="15" hidden="false" customHeight="true" outlineLevel="0" collapsed="false">
      <c r="A511" s="13" t="s">
        <v>1079</v>
      </c>
      <c r="B511" s="13" t="s">
        <v>34</v>
      </c>
      <c r="C511" s="13" t="s">
        <v>1080</v>
      </c>
      <c r="D511" s="13" t="n">
        <v>62</v>
      </c>
      <c r="E511" s="13" t="s">
        <v>83</v>
      </c>
      <c r="F511" s="13" t="s">
        <v>33</v>
      </c>
      <c r="G511" s="13" t="s">
        <v>95</v>
      </c>
      <c r="H511" s="13" t="s">
        <v>41</v>
      </c>
      <c r="I511" s="13" t="n">
        <v>2</v>
      </c>
      <c r="J511" s="13" t="n">
        <v>0</v>
      </c>
      <c r="K511" s="13" t="s">
        <v>91</v>
      </c>
      <c r="L511" s="13" t="n">
        <v>5</v>
      </c>
      <c r="M511" s="13" t="n">
        <v>1732558.38</v>
      </c>
      <c r="N511" s="13" t="n">
        <v>346511.676</v>
      </c>
      <c r="O511" s="13" t="n">
        <v>1196.466</v>
      </c>
      <c r="P511" s="13" t="n">
        <v>0</v>
      </c>
      <c r="Q511" s="13" t="n">
        <v>5</v>
      </c>
      <c r="R511" s="13" t="s">
        <v>98</v>
      </c>
      <c r="S511" s="13" t="s">
        <v>87</v>
      </c>
      <c r="T511" s="13" t="n">
        <v>1</v>
      </c>
      <c r="U511" s="13" t="n">
        <f aca="false">IF(B511="Individual",1,0)</f>
        <v>1</v>
      </c>
      <c r="V511" s="13" t="n">
        <f aca="false">IF(B511="Company",1,0)</f>
        <v>0</v>
      </c>
      <c r="W511" s="13" t="n">
        <f aca="false">IF(H511="Home",1,0)</f>
        <v>1</v>
      </c>
      <c r="X511" s="13" t="n">
        <f aca="false">IF(H511="Investment",1,0)</f>
        <v>0</v>
      </c>
      <c r="Y511" s="13" t="n">
        <f aca="false">IF(K511="Website",1,0)</f>
        <v>0</v>
      </c>
      <c r="Z511" s="13" t="n">
        <f aca="false">IF(K511="Agency",1,0)</f>
        <v>1</v>
      </c>
      <c r="AA511" s="13" t="n">
        <f aca="false">IF(K511="Client",1,0)</f>
        <v>0</v>
      </c>
      <c r="AB511" s="13" t="n">
        <f aca="false">(D511-AVERAGE(D$2:D$2001))/STDEV(D$2:D$2001)</f>
        <v>0.453399887503333</v>
      </c>
      <c r="AC511" s="13" t="n">
        <f aca="false">(I511-AVERAGE(I$2:I$2001))/STDEV(I$2:I$2001)</f>
        <v>-0.727948160798201</v>
      </c>
      <c r="AD511" s="13" t="n">
        <f aca="false">(L511-AVERAGE(L$2:L$2001))/STDEV(L$2:L$2001)</f>
        <v>1.60473955115463</v>
      </c>
      <c r="AE511" s="13" t="n">
        <f aca="false">(M511-AVERAGE(M$2:M$2001))/STDEV(M$2:M$2001)</f>
        <v>1.35750796961566</v>
      </c>
      <c r="AF511" s="13" t="n">
        <f aca="false">(N511-AVERAGE(N$2:N$2001))/STDEV(N$2:N$2001)</f>
        <v>-0.00829410153212399</v>
      </c>
      <c r="AG511" s="13" t="n">
        <f aca="false">(O511-AVERAGE(O$2:O$2001))/STDEV(O$2:O$2001)</f>
        <v>0.222743523904643</v>
      </c>
      <c r="AH511" s="0" t="str">
        <f aca="false">IF(B511="Company","C3 - Corporate Buyers",IF(AND(H511="Investment",M511&gt;'Segmentation Summary'!$C$1),"C1 - Global Investors",IF(AND(I511&gt;=4,M511&gt;'Segmentation Summary'!$C$1),"C4 - Luxury Investors",IF(AND(D511&lt;'Segmentation Summary'!$C$2,J511=1),"C2 - First-Time Buyers","C5 - Other Individual Buyers"))))</f>
        <v>C5 - Other Individual Buyers</v>
      </c>
    </row>
    <row r="512" customFormat="false" ht="15" hidden="false" customHeight="true" outlineLevel="0" collapsed="false">
      <c r="A512" s="13" t="s">
        <v>1081</v>
      </c>
      <c r="B512" s="13" t="s">
        <v>34</v>
      </c>
      <c r="C512" s="13" t="s">
        <v>1082</v>
      </c>
      <c r="D512" s="13" t="n">
        <v>29</v>
      </c>
      <c r="E512" s="13" t="s">
        <v>90</v>
      </c>
      <c r="F512" s="13" t="s">
        <v>33</v>
      </c>
      <c r="G512" s="13" t="s">
        <v>120</v>
      </c>
      <c r="H512" s="13" t="s">
        <v>43</v>
      </c>
      <c r="I512" s="13" t="n">
        <v>5</v>
      </c>
      <c r="J512" s="13" t="n">
        <v>0</v>
      </c>
      <c r="K512" s="13" t="s">
        <v>91</v>
      </c>
      <c r="L512" s="13" t="n">
        <v>3</v>
      </c>
      <c r="M512" s="13" t="n">
        <v>1325311.83</v>
      </c>
      <c r="N512" s="13" t="n">
        <v>441770.61</v>
      </c>
      <c r="O512" s="13" t="n">
        <v>1464.01666666667</v>
      </c>
      <c r="P512" s="13" t="n">
        <v>0</v>
      </c>
      <c r="Q512" s="13" t="n">
        <v>3</v>
      </c>
      <c r="R512" s="13" t="s">
        <v>121</v>
      </c>
      <c r="S512" s="13" t="s">
        <v>87</v>
      </c>
      <c r="T512" s="13" t="n">
        <v>1</v>
      </c>
      <c r="U512" s="13" t="n">
        <f aca="false">IF(B512="Individual",1,0)</f>
        <v>1</v>
      </c>
      <c r="V512" s="13" t="n">
        <f aca="false">IF(B512="Company",1,0)</f>
        <v>0</v>
      </c>
      <c r="W512" s="13" t="n">
        <f aca="false">IF(H512="Home",1,0)</f>
        <v>0</v>
      </c>
      <c r="X512" s="13" t="n">
        <f aca="false">IF(H512="Investment",1,0)</f>
        <v>1</v>
      </c>
      <c r="Y512" s="13" t="n">
        <f aca="false">IF(K512="Website",1,0)</f>
        <v>0</v>
      </c>
      <c r="Z512" s="13" t="n">
        <f aca="false">IF(K512="Agency",1,0)</f>
        <v>1</v>
      </c>
      <c r="AA512" s="13" t="n">
        <f aca="false">IF(K512="Client",1,0)</f>
        <v>0</v>
      </c>
      <c r="AB512" s="13" t="n">
        <f aca="false">(D512-AVERAGE(D$2:D$2001))/STDEV(D$2:D$2001)</f>
        <v>-1.44946114360566</v>
      </c>
      <c r="AC512" s="13" t="n">
        <f aca="false">(I512-AVERAGE(I$2:I$2001))/STDEV(I$2:I$2001)</f>
        <v>1.39434968409451</v>
      </c>
      <c r="AD512" s="13" t="n">
        <f aca="false">(L512-AVERAGE(L$2:L$2001))/STDEV(L$2:L$2001)</f>
        <v>-0.777063122173208</v>
      </c>
      <c r="AE512" s="13" t="n">
        <f aca="false">(M512-AVERAGE(M$2:M$2001))/STDEV(M$2:M$2001)</f>
        <v>0.18668954795061</v>
      </c>
      <c r="AF512" s="13" t="n">
        <f aca="false">(N512-AVERAGE(N$2:N$2001))/STDEV(N$2:N$2001)</f>
        <v>1.35797734005673</v>
      </c>
      <c r="AG512" s="13" t="n">
        <f aca="false">(O512-AVERAGE(O$2:O$2001))/STDEV(O$2:O$2001)</f>
        <v>1.43931100051118</v>
      </c>
      <c r="AH512" s="0" t="str">
        <f aca="false">IF(B512="Company","C3 - Corporate Buyers",IF(AND(H512="Investment",M512&gt;'Segmentation Summary'!$C$1),"C1 - Global Investors",IF(AND(I512&gt;=4,M512&gt;'Segmentation Summary'!$C$1),"C4 - Luxury Investors",IF(AND(D512&lt;'Segmentation Summary'!$C$2,J512=1),"C2 - First-Time Buyers","C5 - Other Individual Buyers"))))</f>
        <v>C1 - Global Investors</v>
      </c>
    </row>
    <row r="513" customFormat="false" ht="15" hidden="false" customHeight="true" outlineLevel="0" collapsed="false">
      <c r="A513" s="13" t="s">
        <v>1083</v>
      </c>
      <c r="B513" s="13" t="s">
        <v>34</v>
      </c>
      <c r="C513" s="13" t="s">
        <v>1084</v>
      </c>
      <c r="D513" s="13" t="n">
        <v>29</v>
      </c>
      <c r="E513" s="13" t="s">
        <v>90</v>
      </c>
      <c r="F513" s="13" t="s">
        <v>45</v>
      </c>
      <c r="G513" s="13" t="s">
        <v>196</v>
      </c>
      <c r="H513" s="13" t="s">
        <v>41</v>
      </c>
      <c r="I513" s="13" t="n">
        <v>4</v>
      </c>
      <c r="J513" s="13" t="n">
        <v>0</v>
      </c>
      <c r="K513" s="13" t="s">
        <v>91</v>
      </c>
      <c r="L513" s="13" t="n">
        <v>3</v>
      </c>
      <c r="M513" s="13" t="n">
        <v>1186019.52</v>
      </c>
      <c r="N513" s="13" t="n">
        <v>395339.84</v>
      </c>
      <c r="O513" s="13" t="n">
        <v>1366.56333333333</v>
      </c>
      <c r="P513" s="13" t="n">
        <v>0</v>
      </c>
      <c r="Q513" s="13" t="n">
        <v>3</v>
      </c>
      <c r="R513" s="13" t="s">
        <v>92</v>
      </c>
      <c r="S513" s="13" t="s">
        <v>114</v>
      </c>
      <c r="T513" s="13" t="n">
        <v>1</v>
      </c>
      <c r="U513" s="13" t="n">
        <f aca="false">IF(B513="Individual",1,0)</f>
        <v>1</v>
      </c>
      <c r="V513" s="13" t="n">
        <f aca="false">IF(B513="Company",1,0)</f>
        <v>0</v>
      </c>
      <c r="W513" s="13" t="n">
        <f aca="false">IF(H513="Home",1,0)</f>
        <v>1</v>
      </c>
      <c r="X513" s="13" t="n">
        <f aca="false">IF(H513="Investment",1,0)</f>
        <v>0</v>
      </c>
      <c r="Y513" s="13" t="n">
        <f aca="false">IF(K513="Website",1,0)</f>
        <v>0</v>
      </c>
      <c r="Z513" s="13" t="n">
        <f aca="false">IF(K513="Agency",1,0)</f>
        <v>1</v>
      </c>
      <c r="AA513" s="13" t="n">
        <f aca="false">IF(K513="Client",1,0)</f>
        <v>0</v>
      </c>
      <c r="AB513" s="13" t="n">
        <f aca="false">(D513-AVERAGE(D$2:D$2001))/STDEV(D$2:D$2001)</f>
        <v>-1.44946114360566</v>
      </c>
      <c r="AC513" s="13" t="n">
        <f aca="false">(I513-AVERAGE(I$2:I$2001))/STDEV(I$2:I$2001)</f>
        <v>0.686917069130275</v>
      </c>
      <c r="AD513" s="13" t="n">
        <f aca="false">(L513-AVERAGE(L$2:L$2001))/STDEV(L$2:L$2001)</f>
        <v>-0.777063122173208</v>
      </c>
      <c r="AE513" s="13" t="n">
        <f aca="false">(M513-AVERAGE(M$2:M$2001))/STDEV(M$2:M$2001)</f>
        <v>-0.213770572691981</v>
      </c>
      <c r="AF513" s="13" t="n">
        <f aca="false">(N513-AVERAGE(N$2:N$2001))/STDEV(N$2:N$2001)</f>
        <v>0.69203418492988</v>
      </c>
      <c r="AG513" s="13" t="n">
        <f aca="false">(O513-AVERAGE(O$2:O$2001))/STDEV(O$2:O$2001)</f>
        <v>0.996185377625161</v>
      </c>
      <c r="AH513" s="0" t="str">
        <f aca="false">IF(B513="Company","C3 - Corporate Buyers",IF(AND(H513="Investment",M513&gt;'Segmentation Summary'!$C$1),"C1 - Global Investors",IF(AND(I513&gt;=4,M513&gt;'Segmentation Summary'!$C$1),"C4 - Luxury Investors",IF(AND(D513&lt;'Segmentation Summary'!$C$2,J513=1),"C2 - First-Time Buyers","C5 - Other Individual Buyers"))))</f>
        <v>C5 - Other Individual Buyers</v>
      </c>
    </row>
    <row r="514" customFormat="false" ht="15" hidden="false" customHeight="true" outlineLevel="0" collapsed="false">
      <c r="A514" s="13" t="s">
        <v>1085</v>
      </c>
      <c r="B514" s="13" t="s">
        <v>34</v>
      </c>
      <c r="C514" s="13" t="s">
        <v>1086</v>
      </c>
      <c r="D514" s="13" t="n">
        <v>80</v>
      </c>
      <c r="E514" s="13" t="s">
        <v>90</v>
      </c>
      <c r="F514" s="13" t="s">
        <v>33</v>
      </c>
      <c r="G514" s="13" t="s">
        <v>100</v>
      </c>
      <c r="H514" s="13" t="s">
        <v>41</v>
      </c>
      <c r="I514" s="13" t="n">
        <v>1</v>
      </c>
      <c r="J514" s="13" t="n">
        <v>0</v>
      </c>
      <c r="K514" s="13" t="s">
        <v>91</v>
      </c>
      <c r="L514" s="13" t="n">
        <v>3</v>
      </c>
      <c r="M514" s="13" t="n">
        <v>1240667.65</v>
      </c>
      <c r="N514" s="13" t="n">
        <v>413555.883333333</v>
      </c>
      <c r="O514" s="13" t="n">
        <v>1412.02</v>
      </c>
      <c r="P514" s="13" t="n">
        <v>0</v>
      </c>
      <c r="Q514" s="13" t="n">
        <v>3</v>
      </c>
      <c r="R514" s="13" t="s">
        <v>93</v>
      </c>
      <c r="S514" s="13" t="s">
        <v>87</v>
      </c>
      <c r="T514" s="13" t="n">
        <v>1</v>
      </c>
      <c r="U514" s="13" t="n">
        <f aca="false">IF(B514="Individual",1,0)</f>
        <v>1</v>
      </c>
      <c r="V514" s="13" t="n">
        <f aca="false">IF(B514="Company",1,0)</f>
        <v>0</v>
      </c>
      <c r="W514" s="13" t="n">
        <f aca="false">IF(H514="Home",1,0)</f>
        <v>1</v>
      </c>
      <c r="X514" s="13" t="n">
        <f aca="false">IF(H514="Investment",1,0)</f>
        <v>0</v>
      </c>
      <c r="Y514" s="13" t="n">
        <f aca="false">IF(K514="Website",1,0)</f>
        <v>0</v>
      </c>
      <c r="Z514" s="13" t="n">
        <f aca="false">IF(K514="Agency",1,0)</f>
        <v>1</v>
      </c>
      <c r="AA514" s="13" t="n">
        <f aca="false">IF(K514="Client",1,0)</f>
        <v>0</v>
      </c>
      <c r="AB514" s="13" t="n">
        <f aca="false">(D514-AVERAGE(D$2:D$2001))/STDEV(D$2:D$2001)</f>
        <v>1.49132408629005</v>
      </c>
      <c r="AC514" s="13" t="n">
        <f aca="false">(I514-AVERAGE(I$2:I$2001))/STDEV(I$2:I$2001)</f>
        <v>-1.43538077576244</v>
      </c>
      <c r="AD514" s="13" t="n">
        <f aca="false">(L514-AVERAGE(L$2:L$2001))/STDEV(L$2:L$2001)</f>
        <v>-0.777063122173208</v>
      </c>
      <c r="AE514" s="13" t="n">
        <f aca="false">(M514-AVERAGE(M$2:M$2001))/STDEV(M$2:M$2001)</f>
        <v>-0.0566592667434191</v>
      </c>
      <c r="AF514" s="13" t="n">
        <f aca="false">(N514-AVERAGE(N$2:N$2001))/STDEV(N$2:N$2001)</f>
        <v>0.953301645523949</v>
      </c>
      <c r="AG514" s="13" t="n">
        <f aca="false">(O514-AVERAGE(O$2:O$2001))/STDEV(O$2:O$2001)</f>
        <v>1.20287932068497</v>
      </c>
      <c r="AH514" s="0" t="str">
        <f aca="false">IF(B514="Company","C3 - Corporate Buyers",IF(AND(H514="Investment",M514&gt;'Segmentation Summary'!$C$1),"C1 - Global Investors",IF(AND(I514&gt;=4,M514&gt;'Segmentation Summary'!$C$1),"C4 - Luxury Investors",IF(AND(D514&lt;'Segmentation Summary'!$C$2,J514=1),"C2 - First-Time Buyers","C5 - Other Individual Buyers"))))</f>
        <v>C5 - Other Individual Buyers</v>
      </c>
    </row>
    <row r="515" customFormat="false" ht="15" hidden="false" customHeight="true" outlineLevel="0" collapsed="false">
      <c r="A515" s="13" t="s">
        <v>1087</v>
      </c>
      <c r="B515" s="13" t="s">
        <v>34</v>
      </c>
      <c r="C515" s="13" t="s">
        <v>1088</v>
      </c>
      <c r="D515" s="13" t="n">
        <v>64</v>
      </c>
      <c r="E515" s="13" t="s">
        <v>90</v>
      </c>
      <c r="F515" s="13" t="s">
        <v>33</v>
      </c>
      <c r="G515" s="13" t="s">
        <v>162</v>
      </c>
      <c r="H515" s="13" t="s">
        <v>41</v>
      </c>
      <c r="I515" s="13" t="n">
        <v>2</v>
      </c>
      <c r="J515" s="13" t="n">
        <v>0</v>
      </c>
      <c r="K515" s="13" t="s">
        <v>91</v>
      </c>
      <c r="L515" s="13" t="n">
        <v>3</v>
      </c>
      <c r="M515" s="13" t="n">
        <v>928962.95</v>
      </c>
      <c r="N515" s="13" t="n">
        <v>309654.316666667</v>
      </c>
      <c r="O515" s="13" t="n">
        <v>1058.66333333333</v>
      </c>
      <c r="P515" s="13" t="n">
        <v>2</v>
      </c>
      <c r="Q515" s="13" t="n">
        <v>1</v>
      </c>
      <c r="R515" s="13" t="s">
        <v>93</v>
      </c>
      <c r="S515" s="13" t="s">
        <v>87</v>
      </c>
      <c r="T515" s="13" t="n">
        <v>1</v>
      </c>
      <c r="U515" s="13" t="n">
        <f aca="false">IF(B515="Individual",1,0)</f>
        <v>1</v>
      </c>
      <c r="V515" s="13" t="n">
        <f aca="false">IF(B515="Company",1,0)</f>
        <v>0</v>
      </c>
      <c r="W515" s="13" t="n">
        <f aca="false">IF(H515="Home",1,0)</f>
        <v>1</v>
      </c>
      <c r="X515" s="13" t="n">
        <f aca="false">IF(H515="Investment",1,0)</f>
        <v>0</v>
      </c>
      <c r="Y515" s="13" t="n">
        <f aca="false">IF(K515="Website",1,0)</f>
        <v>0</v>
      </c>
      <c r="Z515" s="13" t="n">
        <f aca="false">IF(K515="Agency",1,0)</f>
        <v>1</v>
      </c>
      <c r="AA515" s="13" t="n">
        <f aca="false">IF(K515="Client",1,0)</f>
        <v>0</v>
      </c>
      <c r="AB515" s="13" t="n">
        <f aca="false">(D515-AVERAGE(D$2:D$2001))/STDEV(D$2:D$2001)</f>
        <v>0.568724798479635</v>
      </c>
      <c r="AC515" s="13" t="n">
        <f aca="false">(I515-AVERAGE(I$2:I$2001))/STDEV(I$2:I$2001)</f>
        <v>-0.727948160798201</v>
      </c>
      <c r="AD515" s="13" t="n">
        <f aca="false">(L515-AVERAGE(L$2:L$2001))/STDEV(L$2:L$2001)</f>
        <v>-0.777063122173208</v>
      </c>
      <c r="AE515" s="13" t="n">
        <f aca="false">(M515-AVERAGE(M$2:M$2001))/STDEV(M$2:M$2001)</f>
        <v>-0.952798484815563</v>
      </c>
      <c r="AF515" s="13" t="n">
        <f aca="false">(N515-AVERAGE(N$2:N$2001))/STDEV(N$2:N$2001)</f>
        <v>-0.536928586036342</v>
      </c>
      <c r="AG515" s="13" t="n">
        <f aca="false">(O515-AVERAGE(O$2:O$2001))/STDEV(O$2:O$2001)</f>
        <v>-0.403852718762115</v>
      </c>
      <c r="AH515" s="0" t="str">
        <f aca="false">IF(B515="Company","C3 - Corporate Buyers",IF(AND(H515="Investment",M515&gt;'Segmentation Summary'!$C$1),"C1 - Global Investors",IF(AND(I515&gt;=4,M515&gt;'Segmentation Summary'!$C$1),"C4 - Luxury Investors",IF(AND(D515&lt;'Segmentation Summary'!$C$2,J515=1),"C2 - First-Time Buyers","C5 - Other Individual Buyers"))))</f>
        <v>C5 - Other Individual Buyers</v>
      </c>
    </row>
    <row r="516" customFormat="false" ht="15" hidden="false" customHeight="true" outlineLevel="0" collapsed="false">
      <c r="A516" s="13" t="s">
        <v>1089</v>
      </c>
      <c r="B516" s="13" t="s">
        <v>34</v>
      </c>
      <c r="C516" s="13" t="s">
        <v>1090</v>
      </c>
      <c r="D516" s="13" t="n">
        <v>84</v>
      </c>
      <c r="E516" s="13" t="s">
        <v>90</v>
      </c>
      <c r="F516" s="13" t="s">
        <v>33</v>
      </c>
      <c r="G516" s="13" t="s">
        <v>95</v>
      </c>
      <c r="H516" s="13" t="s">
        <v>41</v>
      </c>
      <c r="I516" s="13" t="n">
        <v>3</v>
      </c>
      <c r="J516" s="13" t="n">
        <v>0</v>
      </c>
      <c r="K516" s="13" t="s">
        <v>91</v>
      </c>
      <c r="L516" s="13" t="n">
        <v>4</v>
      </c>
      <c r="M516" s="13" t="n">
        <v>1454366.24</v>
      </c>
      <c r="N516" s="13" t="n">
        <v>363591.56</v>
      </c>
      <c r="O516" s="13" t="n">
        <v>1264.0125</v>
      </c>
      <c r="P516" s="13" t="n">
        <v>0</v>
      </c>
      <c r="Q516" s="13" t="n">
        <v>4</v>
      </c>
      <c r="R516" s="13" t="s">
        <v>92</v>
      </c>
      <c r="S516" s="13" t="s">
        <v>93</v>
      </c>
      <c r="T516" s="13" t="n">
        <v>1</v>
      </c>
      <c r="U516" s="13" t="n">
        <f aca="false">IF(B516="Individual",1,0)</f>
        <v>1</v>
      </c>
      <c r="V516" s="13" t="n">
        <f aca="false">IF(B516="Company",1,0)</f>
        <v>0</v>
      </c>
      <c r="W516" s="13" t="n">
        <f aca="false">IF(H516="Home",1,0)</f>
        <v>1</v>
      </c>
      <c r="X516" s="13" t="n">
        <f aca="false">IF(H516="Investment",1,0)</f>
        <v>0</v>
      </c>
      <c r="Y516" s="13" t="n">
        <f aca="false">IF(K516="Website",1,0)</f>
        <v>0</v>
      </c>
      <c r="Z516" s="13" t="n">
        <f aca="false">IF(K516="Agency",1,0)</f>
        <v>1</v>
      </c>
      <c r="AA516" s="13" t="n">
        <f aca="false">IF(K516="Client",1,0)</f>
        <v>0</v>
      </c>
      <c r="AB516" s="13" t="n">
        <f aca="false">(D516-AVERAGE(D$2:D$2001))/STDEV(D$2:D$2001)</f>
        <v>1.72197390824266</v>
      </c>
      <c r="AC516" s="13" t="n">
        <f aca="false">(I516-AVERAGE(I$2:I$2001))/STDEV(I$2:I$2001)</f>
        <v>-0.0205155458339628</v>
      </c>
      <c r="AD516" s="13" t="n">
        <f aca="false">(L516-AVERAGE(L$2:L$2001))/STDEV(L$2:L$2001)</f>
        <v>0.413838214490712</v>
      </c>
      <c r="AE516" s="13" t="n">
        <f aca="false">(M516-AVERAGE(M$2:M$2001))/STDEV(M$2:M$2001)</f>
        <v>0.557716093479637</v>
      </c>
      <c r="AF516" s="13" t="n">
        <f aca="false">(N516-AVERAGE(N$2:N$2001))/STDEV(N$2:N$2001)</f>
        <v>0.236677753127204</v>
      </c>
      <c r="AG516" s="13" t="n">
        <f aca="false">(O516-AVERAGE(O$2:O$2001))/STDEV(O$2:O$2001)</f>
        <v>0.529881144163244</v>
      </c>
      <c r="AH516" s="0" t="str">
        <f aca="false">IF(B516="Company","C3 - Corporate Buyers",IF(AND(H516="Investment",M516&gt;'Segmentation Summary'!$C$1),"C1 - Global Investors",IF(AND(I516&gt;=4,M516&gt;'Segmentation Summary'!$C$1),"C4 - Luxury Investors",IF(AND(D516&lt;'Segmentation Summary'!$C$2,J516=1),"C2 - First-Time Buyers","C5 - Other Individual Buyers"))))</f>
        <v>C5 - Other Individual Buyers</v>
      </c>
    </row>
    <row r="517" customFormat="false" ht="15" hidden="false" customHeight="true" outlineLevel="0" collapsed="false">
      <c r="A517" s="13" t="s">
        <v>1091</v>
      </c>
      <c r="B517" s="13" t="s">
        <v>34</v>
      </c>
      <c r="C517" s="13" t="s">
        <v>1092</v>
      </c>
      <c r="D517" s="13" t="n">
        <v>82</v>
      </c>
      <c r="E517" s="13" t="s">
        <v>90</v>
      </c>
      <c r="F517" s="13" t="s">
        <v>46</v>
      </c>
      <c r="G517" s="13" t="s">
        <v>1065</v>
      </c>
      <c r="H517" s="13" t="s">
        <v>41</v>
      </c>
      <c r="I517" s="13" t="n">
        <v>4</v>
      </c>
      <c r="J517" s="13" t="n">
        <v>0</v>
      </c>
      <c r="K517" s="13" t="s">
        <v>85</v>
      </c>
      <c r="L517" s="13" t="n">
        <v>4</v>
      </c>
      <c r="M517" s="13" t="n">
        <v>985105.21</v>
      </c>
      <c r="N517" s="13" t="n">
        <v>246276.3025</v>
      </c>
      <c r="O517" s="13" t="n">
        <v>834.6575</v>
      </c>
      <c r="P517" s="13" t="n">
        <v>0</v>
      </c>
      <c r="Q517" s="13" t="n">
        <v>4</v>
      </c>
      <c r="R517" s="13" t="s">
        <v>101</v>
      </c>
      <c r="S517" s="13" t="s">
        <v>164</v>
      </c>
      <c r="T517" s="13" t="n">
        <v>1</v>
      </c>
      <c r="U517" s="13" t="n">
        <f aca="false">IF(B517="Individual",1,0)</f>
        <v>1</v>
      </c>
      <c r="V517" s="13" t="n">
        <f aca="false">IF(B517="Company",1,0)</f>
        <v>0</v>
      </c>
      <c r="W517" s="13" t="n">
        <f aca="false">IF(H517="Home",1,0)</f>
        <v>1</v>
      </c>
      <c r="X517" s="13" t="n">
        <f aca="false">IF(H517="Investment",1,0)</f>
        <v>0</v>
      </c>
      <c r="Y517" s="13" t="n">
        <f aca="false">IF(K517="Website",1,0)</f>
        <v>1</v>
      </c>
      <c r="Z517" s="13" t="n">
        <f aca="false">IF(K517="Agency",1,0)</f>
        <v>0</v>
      </c>
      <c r="AA517" s="13" t="n">
        <f aca="false">IF(K517="Client",1,0)</f>
        <v>0</v>
      </c>
      <c r="AB517" s="13" t="n">
        <f aca="false">(D517-AVERAGE(D$2:D$2001))/STDEV(D$2:D$2001)</f>
        <v>1.60664899726636</v>
      </c>
      <c r="AC517" s="13" t="n">
        <f aca="false">(I517-AVERAGE(I$2:I$2001))/STDEV(I$2:I$2001)</f>
        <v>0.686917069130275</v>
      </c>
      <c r="AD517" s="13" t="n">
        <f aca="false">(L517-AVERAGE(L$2:L$2001))/STDEV(L$2:L$2001)</f>
        <v>0.413838214490712</v>
      </c>
      <c r="AE517" s="13" t="n">
        <f aca="false">(M517-AVERAGE(M$2:M$2001))/STDEV(M$2:M$2001)</f>
        <v>-0.791391611652588</v>
      </c>
      <c r="AF517" s="13" t="n">
        <f aca="false">(N517-AVERAGE(N$2:N$2001))/STDEV(N$2:N$2001)</f>
        <v>-1.44594118091307</v>
      </c>
      <c r="AG517" s="13" t="n">
        <f aca="false">(O517-AVERAGE(O$2:O$2001))/STDEV(O$2:O$2001)</f>
        <v>-1.42241946276874</v>
      </c>
      <c r="AH517" s="0" t="str">
        <f aca="false">IF(B517="Company","C3 - Corporate Buyers",IF(AND(H517="Investment",M517&gt;'Segmentation Summary'!$C$1),"C1 - Global Investors",IF(AND(I517&gt;=4,M517&gt;'Segmentation Summary'!$C$1),"C4 - Luxury Investors",IF(AND(D517&lt;'Segmentation Summary'!$C$2,J517=1),"C2 - First-Time Buyers","C5 - Other Individual Buyers"))))</f>
        <v>C5 - Other Individual Buyers</v>
      </c>
    </row>
    <row r="518" customFormat="false" ht="15" hidden="false" customHeight="true" outlineLevel="0" collapsed="false">
      <c r="A518" s="13" t="s">
        <v>1093</v>
      </c>
      <c r="B518" s="13" t="s">
        <v>34</v>
      </c>
      <c r="C518" s="13" t="s">
        <v>1094</v>
      </c>
      <c r="D518" s="13" t="n">
        <v>55</v>
      </c>
      <c r="E518" s="13" t="s">
        <v>90</v>
      </c>
      <c r="F518" s="13" t="s">
        <v>33</v>
      </c>
      <c r="G518" s="13" t="s">
        <v>162</v>
      </c>
      <c r="H518" s="13" t="s">
        <v>43</v>
      </c>
      <c r="I518" s="13" t="n">
        <v>5</v>
      </c>
      <c r="J518" s="13" t="n">
        <v>1</v>
      </c>
      <c r="K518" s="13" t="s">
        <v>85</v>
      </c>
      <c r="L518" s="13" t="n">
        <v>4</v>
      </c>
      <c r="M518" s="13" t="n">
        <v>1278450.05</v>
      </c>
      <c r="N518" s="13" t="n">
        <v>319612.5125</v>
      </c>
      <c r="O518" s="13" t="n">
        <v>1011.23</v>
      </c>
      <c r="P518" s="13" t="n">
        <v>0</v>
      </c>
      <c r="Q518" s="13" t="n">
        <v>4</v>
      </c>
      <c r="R518" s="13" t="s">
        <v>101</v>
      </c>
      <c r="S518" s="13" t="s">
        <v>87</v>
      </c>
      <c r="T518" s="13" t="n">
        <v>1</v>
      </c>
      <c r="U518" s="13" t="n">
        <f aca="false">IF(B518="Individual",1,0)</f>
        <v>1</v>
      </c>
      <c r="V518" s="13" t="n">
        <f aca="false">IF(B518="Company",1,0)</f>
        <v>0</v>
      </c>
      <c r="W518" s="13" t="n">
        <f aca="false">IF(H518="Home",1,0)</f>
        <v>0</v>
      </c>
      <c r="X518" s="13" t="n">
        <f aca="false">IF(H518="Investment",1,0)</f>
        <v>1</v>
      </c>
      <c r="Y518" s="13" t="n">
        <f aca="false">IF(K518="Website",1,0)</f>
        <v>1</v>
      </c>
      <c r="Z518" s="13" t="n">
        <f aca="false">IF(K518="Agency",1,0)</f>
        <v>0</v>
      </c>
      <c r="AA518" s="13" t="n">
        <f aca="false">IF(K518="Client",1,0)</f>
        <v>0</v>
      </c>
      <c r="AB518" s="13" t="n">
        <f aca="false">(D518-AVERAGE(D$2:D$2001))/STDEV(D$2:D$2001)</f>
        <v>0.0497626990862745</v>
      </c>
      <c r="AC518" s="13" t="n">
        <f aca="false">(I518-AVERAGE(I$2:I$2001))/STDEV(I$2:I$2001)</f>
        <v>1.39434968409451</v>
      </c>
      <c r="AD518" s="13" t="n">
        <f aca="false">(L518-AVERAGE(L$2:L$2001))/STDEV(L$2:L$2001)</f>
        <v>0.413838214490712</v>
      </c>
      <c r="AE518" s="13" t="n">
        <f aca="false">(M518-AVERAGE(M$2:M$2001))/STDEV(M$2:M$2001)</f>
        <v>0.0519637036285037</v>
      </c>
      <c r="AF518" s="13" t="n">
        <f aca="false">(N518-AVERAGE(N$2:N$2001))/STDEV(N$2:N$2001)</f>
        <v>-0.394101052643705</v>
      </c>
      <c r="AG518" s="13" t="n">
        <f aca="false">(O518-AVERAGE(O$2:O$2001))/STDEV(O$2:O$2001)</f>
        <v>-0.619534672985234</v>
      </c>
      <c r="AH518" s="0" t="str">
        <f aca="false">IF(B518="Company","C3 - Corporate Buyers",IF(AND(H518="Investment",M518&gt;'Segmentation Summary'!$C$1),"C1 - Global Investors",IF(AND(I518&gt;=4,M518&gt;'Segmentation Summary'!$C$1),"C4 - Luxury Investors",IF(AND(D518&lt;'Segmentation Summary'!$C$2,J518=1),"C2 - First-Time Buyers","C5 - Other Individual Buyers"))))</f>
        <v>C1 - Global Investors</v>
      </c>
    </row>
    <row r="519" customFormat="false" ht="15" hidden="false" customHeight="true" outlineLevel="0" collapsed="false">
      <c r="A519" s="13" t="s">
        <v>1095</v>
      </c>
      <c r="B519" s="13" t="s">
        <v>34</v>
      </c>
      <c r="C519" s="13" t="s">
        <v>1096</v>
      </c>
      <c r="D519" s="13" t="n">
        <v>46</v>
      </c>
      <c r="E519" s="13" t="s">
        <v>90</v>
      </c>
      <c r="F519" s="13" t="s">
        <v>40</v>
      </c>
      <c r="G519" s="13" t="s">
        <v>235</v>
      </c>
      <c r="H519" s="13" t="s">
        <v>43</v>
      </c>
      <c r="I519" s="13" t="n">
        <v>1</v>
      </c>
      <c r="J519" s="13" t="n">
        <v>1</v>
      </c>
      <c r="K519" s="13" t="s">
        <v>91</v>
      </c>
      <c r="L519" s="13" t="n">
        <v>3</v>
      </c>
      <c r="M519" s="13" t="n">
        <v>1047895.71</v>
      </c>
      <c r="N519" s="13" t="n">
        <v>349298.57</v>
      </c>
      <c r="O519" s="13" t="n">
        <v>1175.68333333333</v>
      </c>
      <c r="P519" s="13" t="n">
        <v>2</v>
      </c>
      <c r="Q519" s="13" t="n">
        <v>1</v>
      </c>
      <c r="R519" s="13" t="s">
        <v>111</v>
      </c>
      <c r="S519" s="13" t="s">
        <v>152</v>
      </c>
      <c r="T519" s="13" t="n">
        <v>1</v>
      </c>
      <c r="U519" s="13" t="n">
        <f aca="false">IF(B519="Individual",1,0)</f>
        <v>1</v>
      </c>
      <c r="V519" s="13" t="n">
        <f aca="false">IF(B519="Company",1,0)</f>
        <v>0</v>
      </c>
      <c r="W519" s="13" t="n">
        <f aca="false">IF(H519="Home",1,0)</f>
        <v>0</v>
      </c>
      <c r="X519" s="13" t="n">
        <f aca="false">IF(H519="Investment",1,0)</f>
        <v>1</v>
      </c>
      <c r="Y519" s="13" t="n">
        <f aca="false">IF(K519="Website",1,0)</f>
        <v>0</v>
      </c>
      <c r="Z519" s="13" t="n">
        <f aca="false">IF(K519="Agency",1,0)</f>
        <v>1</v>
      </c>
      <c r="AA519" s="13" t="n">
        <f aca="false">IF(K519="Client",1,0)</f>
        <v>0</v>
      </c>
      <c r="AB519" s="13" t="n">
        <f aca="false">(D519-AVERAGE(D$2:D$2001))/STDEV(D$2:D$2001)</f>
        <v>-0.469199400307086</v>
      </c>
      <c r="AC519" s="13" t="n">
        <f aca="false">(I519-AVERAGE(I$2:I$2001))/STDEV(I$2:I$2001)</f>
        <v>-1.43538077576244</v>
      </c>
      <c r="AD519" s="13" t="n">
        <f aca="false">(L519-AVERAGE(L$2:L$2001))/STDEV(L$2:L$2001)</f>
        <v>-0.777063122173208</v>
      </c>
      <c r="AE519" s="13" t="n">
        <f aca="false">(M519-AVERAGE(M$2:M$2001))/STDEV(M$2:M$2001)</f>
        <v>-0.610871300048821</v>
      </c>
      <c r="AF519" s="13" t="n">
        <f aca="false">(N519-AVERAGE(N$2:N$2001))/STDEV(N$2:N$2001)</f>
        <v>0.031677516068965</v>
      </c>
      <c r="AG519" s="13" t="n">
        <f aca="false">(O519-AVERAGE(O$2:O$2001))/STDEV(O$2:O$2001)</f>
        <v>0.128243604846976</v>
      </c>
      <c r="AH519" s="0" t="str">
        <f aca="false">IF(B519="Company","C3 - Corporate Buyers",IF(AND(H519="Investment",M519&gt;'Segmentation Summary'!$C$1),"C1 - Global Investors",IF(AND(I519&gt;=4,M519&gt;'Segmentation Summary'!$C$1),"C4 - Luxury Investors",IF(AND(D519&lt;'Segmentation Summary'!$C$2,J519=1),"C2 - First-Time Buyers","C5 - Other Individual Buyers"))))</f>
        <v>C2 - First-Time Buyers</v>
      </c>
    </row>
    <row r="520" customFormat="false" ht="15" hidden="false" customHeight="true" outlineLevel="0" collapsed="false">
      <c r="A520" s="13" t="s">
        <v>1097</v>
      </c>
      <c r="B520" s="13" t="s">
        <v>34</v>
      </c>
      <c r="C520" s="13" t="s">
        <v>1098</v>
      </c>
      <c r="D520" s="13" t="n">
        <v>40</v>
      </c>
      <c r="E520" s="13" t="s">
        <v>90</v>
      </c>
      <c r="F520" s="13" t="s">
        <v>33</v>
      </c>
      <c r="G520" s="13" t="s">
        <v>84</v>
      </c>
      <c r="H520" s="13" t="s">
        <v>43</v>
      </c>
      <c r="I520" s="13" t="n">
        <v>2</v>
      </c>
      <c r="J520" s="13" t="n">
        <v>0</v>
      </c>
      <c r="K520" s="13" t="s">
        <v>91</v>
      </c>
      <c r="L520" s="13" t="n">
        <v>3</v>
      </c>
      <c r="M520" s="13" t="n">
        <v>1354868.93</v>
      </c>
      <c r="N520" s="13" t="n">
        <v>451622.976666667</v>
      </c>
      <c r="O520" s="13" t="n">
        <v>1565.32333333333</v>
      </c>
      <c r="P520" s="13" t="n">
        <v>0</v>
      </c>
      <c r="Q520" s="13" t="n">
        <v>3</v>
      </c>
      <c r="R520" s="13" t="s">
        <v>86</v>
      </c>
      <c r="S520" s="13" t="s">
        <v>164</v>
      </c>
      <c r="T520" s="13" t="n">
        <v>1</v>
      </c>
      <c r="U520" s="13" t="n">
        <f aca="false">IF(B520="Individual",1,0)</f>
        <v>1</v>
      </c>
      <c r="V520" s="13" t="n">
        <f aca="false">IF(B520="Company",1,0)</f>
        <v>0</v>
      </c>
      <c r="W520" s="13" t="n">
        <f aca="false">IF(H520="Home",1,0)</f>
        <v>0</v>
      </c>
      <c r="X520" s="13" t="n">
        <f aca="false">IF(H520="Investment",1,0)</f>
        <v>1</v>
      </c>
      <c r="Y520" s="13" t="n">
        <f aca="false">IF(K520="Website",1,0)</f>
        <v>0</v>
      </c>
      <c r="Z520" s="13" t="n">
        <f aca="false">IF(K520="Agency",1,0)</f>
        <v>1</v>
      </c>
      <c r="AA520" s="13" t="n">
        <f aca="false">IF(K520="Client",1,0)</f>
        <v>0</v>
      </c>
      <c r="AB520" s="13" t="n">
        <f aca="false">(D520-AVERAGE(D$2:D$2001))/STDEV(D$2:D$2001)</f>
        <v>-0.815174133235994</v>
      </c>
      <c r="AC520" s="13" t="n">
        <f aca="false">(I520-AVERAGE(I$2:I$2001))/STDEV(I$2:I$2001)</f>
        <v>-0.727948160798201</v>
      </c>
      <c r="AD520" s="13" t="n">
        <f aca="false">(L520-AVERAGE(L$2:L$2001))/STDEV(L$2:L$2001)</f>
        <v>-0.777063122173208</v>
      </c>
      <c r="AE520" s="13" t="n">
        <f aca="false">(M520-AVERAGE(M$2:M$2001))/STDEV(M$2:M$2001)</f>
        <v>0.271665092055271</v>
      </c>
      <c r="AF520" s="13" t="n">
        <f aca="false">(N520-AVERAGE(N$2:N$2001))/STDEV(N$2:N$2001)</f>
        <v>1.49928699620646</v>
      </c>
      <c r="AG520" s="13" t="n">
        <f aca="false">(O520-AVERAGE(O$2:O$2001))/STDEV(O$2:O$2001)</f>
        <v>1.89995794026866</v>
      </c>
      <c r="AH520" s="0" t="str">
        <f aca="false">IF(B520="Company","C3 - Corporate Buyers",IF(AND(H520="Investment",M520&gt;'Segmentation Summary'!$C$1),"C1 - Global Investors",IF(AND(I520&gt;=4,M520&gt;'Segmentation Summary'!$C$1),"C4 - Luxury Investors",IF(AND(D520&lt;'Segmentation Summary'!$C$2,J520=1),"C2 - First-Time Buyers","C5 - Other Individual Buyers"))))</f>
        <v>C1 - Global Investors</v>
      </c>
    </row>
    <row r="521" customFormat="false" ht="15" hidden="false" customHeight="true" outlineLevel="0" collapsed="false">
      <c r="A521" s="13" t="s">
        <v>1099</v>
      </c>
      <c r="B521" s="13" t="s">
        <v>34</v>
      </c>
      <c r="C521" s="13" t="s">
        <v>1100</v>
      </c>
      <c r="D521" s="13" t="n">
        <v>70</v>
      </c>
      <c r="E521" s="13" t="s">
        <v>83</v>
      </c>
      <c r="F521" s="13" t="s">
        <v>42</v>
      </c>
      <c r="G521" s="13" t="s">
        <v>551</v>
      </c>
      <c r="H521" s="13" t="s">
        <v>43</v>
      </c>
      <c r="I521" s="13" t="n">
        <v>4</v>
      </c>
      <c r="J521" s="13" t="n">
        <v>0</v>
      </c>
      <c r="K521" s="13" t="s">
        <v>85</v>
      </c>
      <c r="L521" s="13" t="n">
        <v>4</v>
      </c>
      <c r="M521" s="13" t="n">
        <v>1456436.3</v>
      </c>
      <c r="N521" s="13" t="n">
        <v>364109.075</v>
      </c>
      <c r="O521" s="13" t="n">
        <v>1219.0675</v>
      </c>
      <c r="P521" s="13" t="n">
        <v>2</v>
      </c>
      <c r="Q521" s="13" t="n">
        <v>2</v>
      </c>
      <c r="R521" s="13" t="s">
        <v>101</v>
      </c>
      <c r="S521" s="13" t="s">
        <v>125</v>
      </c>
      <c r="T521" s="13" t="n">
        <v>1</v>
      </c>
      <c r="U521" s="13" t="n">
        <f aca="false">IF(B521="Individual",1,0)</f>
        <v>1</v>
      </c>
      <c r="V521" s="13" t="n">
        <f aca="false">IF(B521="Company",1,0)</f>
        <v>0</v>
      </c>
      <c r="W521" s="13" t="n">
        <f aca="false">IF(H521="Home",1,0)</f>
        <v>0</v>
      </c>
      <c r="X521" s="13" t="n">
        <f aca="false">IF(H521="Investment",1,0)</f>
        <v>1</v>
      </c>
      <c r="Y521" s="13" t="n">
        <f aca="false">IF(K521="Website",1,0)</f>
        <v>1</v>
      </c>
      <c r="Z521" s="13" t="n">
        <f aca="false">IF(K521="Agency",1,0)</f>
        <v>0</v>
      </c>
      <c r="AA521" s="13" t="n">
        <f aca="false">IF(K521="Client",1,0)</f>
        <v>0</v>
      </c>
      <c r="AB521" s="13" t="n">
        <f aca="false">(D521-AVERAGE(D$2:D$2001))/STDEV(D$2:D$2001)</f>
        <v>0.914699531408543</v>
      </c>
      <c r="AC521" s="13" t="n">
        <f aca="false">(I521-AVERAGE(I$2:I$2001))/STDEV(I$2:I$2001)</f>
        <v>0.686917069130275</v>
      </c>
      <c r="AD521" s="13" t="n">
        <f aca="false">(L521-AVERAGE(L$2:L$2001))/STDEV(L$2:L$2001)</f>
        <v>0.413838214490712</v>
      </c>
      <c r="AE521" s="13" t="n">
        <f aca="false">(M521-AVERAGE(M$2:M$2001))/STDEV(M$2:M$2001)</f>
        <v>0.563667437651742</v>
      </c>
      <c r="AF521" s="13" t="n">
        <f aca="false">(N521-AVERAGE(N$2:N$2001))/STDEV(N$2:N$2001)</f>
        <v>0.244100321650738</v>
      </c>
      <c r="AG521" s="13" t="n">
        <f aca="false">(O521-AVERAGE(O$2:O$2001))/STDEV(O$2:O$2001)</f>
        <v>0.325513777348935</v>
      </c>
      <c r="AH521" s="0" t="str">
        <f aca="false">IF(B521="Company","C3 - Corporate Buyers",IF(AND(H521="Investment",M521&gt;'Segmentation Summary'!$C$1),"C1 - Global Investors",IF(AND(I521&gt;=4,M521&gt;'Segmentation Summary'!$C$1),"C4 - Luxury Investors",IF(AND(D521&lt;'Segmentation Summary'!$C$2,J521=1),"C2 - First-Time Buyers","C5 - Other Individual Buyers"))))</f>
        <v>C1 - Global Investors</v>
      </c>
    </row>
    <row r="522" customFormat="false" ht="15" hidden="false" customHeight="true" outlineLevel="0" collapsed="false">
      <c r="A522" s="13" t="s">
        <v>1101</v>
      </c>
      <c r="B522" s="13" t="s">
        <v>34</v>
      </c>
      <c r="C522" s="13" t="s">
        <v>1102</v>
      </c>
      <c r="D522" s="13" t="n">
        <v>34</v>
      </c>
      <c r="E522" s="13" t="s">
        <v>83</v>
      </c>
      <c r="F522" s="13" t="s">
        <v>33</v>
      </c>
      <c r="G522" s="13" t="s">
        <v>110</v>
      </c>
      <c r="H522" s="13" t="s">
        <v>41</v>
      </c>
      <c r="I522" s="13" t="n">
        <v>1</v>
      </c>
      <c r="J522" s="13" t="n">
        <v>0</v>
      </c>
      <c r="K522" s="13" t="s">
        <v>85</v>
      </c>
      <c r="L522" s="13" t="n">
        <v>4</v>
      </c>
      <c r="M522" s="13" t="n">
        <v>1481404.39</v>
      </c>
      <c r="N522" s="13" t="n">
        <v>370351.0975</v>
      </c>
      <c r="O522" s="13" t="n">
        <v>1146.015</v>
      </c>
      <c r="P522" s="13" t="n">
        <v>1</v>
      </c>
      <c r="Q522" s="13" t="n">
        <v>3</v>
      </c>
      <c r="R522" s="13" t="s">
        <v>101</v>
      </c>
      <c r="S522" s="13" t="s">
        <v>87</v>
      </c>
      <c r="T522" s="13" t="n">
        <v>1</v>
      </c>
      <c r="U522" s="13" t="n">
        <f aca="false">IF(B522="Individual",1,0)</f>
        <v>1</v>
      </c>
      <c r="V522" s="13" t="n">
        <f aca="false">IF(B522="Company",1,0)</f>
        <v>0</v>
      </c>
      <c r="W522" s="13" t="n">
        <f aca="false">IF(H522="Home",1,0)</f>
        <v>1</v>
      </c>
      <c r="X522" s="13" t="n">
        <f aca="false">IF(H522="Investment",1,0)</f>
        <v>0</v>
      </c>
      <c r="Y522" s="13" t="n">
        <f aca="false">IF(K522="Website",1,0)</f>
        <v>1</v>
      </c>
      <c r="Z522" s="13" t="n">
        <f aca="false">IF(K522="Agency",1,0)</f>
        <v>0</v>
      </c>
      <c r="AA522" s="13" t="n">
        <f aca="false">IF(K522="Client",1,0)</f>
        <v>0</v>
      </c>
      <c r="AB522" s="13" t="n">
        <f aca="false">(D522-AVERAGE(D$2:D$2001))/STDEV(D$2:D$2001)</f>
        <v>-1.1611488661649</v>
      </c>
      <c r="AC522" s="13" t="n">
        <f aca="false">(I522-AVERAGE(I$2:I$2001))/STDEV(I$2:I$2001)</f>
        <v>-1.43538077576244</v>
      </c>
      <c r="AD522" s="13" t="n">
        <f aca="false">(L522-AVERAGE(L$2:L$2001))/STDEV(L$2:L$2001)</f>
        <v>0.413838214490712</v>
      </c>
      <c r="AE522" s="13" t="n">
        <f aca="false">(M522-AVERAGE(M$2:M$2001))/STDEV(M$2:M$2001)</f>
        <v>0.635449751647504</v>
      </c>
      <c r="AF522" s="13" t="n">
        <f aca="false">(N522-AVERAGE(N$2:N$2001))/STDEV(N$2:N$2001)</f>
        <v>0.333627851735266</v>
      </c>
      <c r="AG522" s="13" t="n">
        <f aca="false">(O522-AVERAGE(O$2:O$2001))/STDEV(O$2:O$2001)</f>
        <v>-0.0066599252698749</v>
      </c>
      <c r="AH522" s="0" t="str">
        <f aca="false">IF(B522="Company","C3 - Corporate Buyers",IF(AND(H522="Investment",M522&gt;'Segmentation Summary'!$C$1),"C1 - Global Investors",IF(AND(I522&gt;=4,M522&gt;'Segmentation Summary'!$C$1),"C4 - Luxury Investors",IF(AND(D522&lt;'Segmentation Summary'!$C$2,J522=1),"C2 - First-Time Buyers","C5 - Other Individual Buyers"))))</f>
        <v>C5 - Other Individual Buyers</v>
      </c>
    </row>
    <row r="523" customFormat="false" ht="15" hidden="false" customHeight="true" outlineLevel="0" collapsed="false">
      <c r="A523" s="13" t="s">
        <v>1103</v>
      </c>
      <c r="B523" s="13" t="s">
        <v>34</v>
      </c>
      <c r="C523" s="13" t="s">
        <v>1104</v>
      </c>
      <c r="D523" s="13" t="n">
        <v>82</v>
      </c>
      <c r="E523" s="13" t="s">
        <v>83</v>
      </c>
      <c r="F523" s="13" t="s">
        <v>33</v>
      </c>
      <c r="G523" s="13" t="s">
        <v>207</v>
      </c>
      <c r="H523" s="13" t="s">
        <v>43</v>
      </c>
      <c r="I523" s="13" t="n">
        <v>1</v>
      </c>
      <c r="J523" s="13" t="n">
        <v>1</v>
      </c>
      <c r="K523" s="13" t="s">
        <v>85</v>
      </c>
      <c r="L523" s="13" t="n">
        <v>3</v>
      </c>
      <c r="M523" s="13" t="n">
        <v>1156326.64</v>
      </c>
      <c r="N523" s="13" t="n">
        <v>385442.213333333</v>
      </c>
      <c r="O523" s="13" t="n">
        <v>1392.55666666667</v>
      </c>
      <c r="P523" s="13" t="n">
        <v>1</v>
      </c>
      <c r="Q523" s="13" t="n">
        <v>2</v>
      </c>
      <c r="R523" s="13" t="s">
        <v>98</v>
      </c>
      <c r="S523" s="13" t="s">
        <v>133</v>
      </c>
      <c r="T523" s="13" t="n">
        <v>1</v>
      </c>
      <c r="U523" s="13" t="n">
        <f aca="false">IF(B523="Individual",1,0)</f>
        <v>1</v>
      </c>
      <c r="V523" s="13" t="n">
        <f aca="false">IF(B523="Company",1,0)</f>
        <v>0</v>
      </c>
      <c r="W523" s="13" t="n">
        <f aca="false">IF(H523="Home",1,0)</f>
        <v>0</v>
      </c>
      <c r="X523" s="13" t="n">
        <f aca="false">IF(H523="Investment",1,0)</f>
        <v>1</v>
      </c>
      <c r="Y523" s="13" t="n">
        <f aca="false">IF(K523="Website",1,0)</f>
        <v>1</v>
      </c>
      <c r="Z523" s="13" t="n">
        <f aca="false">IF(K523="Agency",1,0)</f>
        <v>0</v>
      </c>
      <c r="AA523" s="13" t="n">
        <f aca="false">IF(K523="Client",1,0)</f>
        <v>0</v>
      </c>
      <c r="AB523" s="13" t="n">
        <f aca="false">(D523-AVERAGE(D$2:D$2001))/STDEV(D$2:D$2001)</f>
        <v>1.60664899726636</v>
      </c>
      <c r="AC523" s="13" t="n">
        <f aca="false">(I523-AVERAGE(I$2:I$2001))/STDEV(I$2:I$2001)</f>
        <v>-1.43538077576244</v>
      </c>
      <c r="AD523" s="13" t="n">
        <f aca="false">(L523-AVERAGE(L$2:L$2001))/STDEV(L$2:L$2001)</f>
        <v>-0.777063122173208</v>
      </c>
      <c r="AE523" s="13" t="n">
        <f aca="false">(M523-AVERAGE(M$2:M$2001))/STDEV(M$2:M$2001)</f>
        <v>-0.299136479158936</v>
      </c>
      <c r="AF523" s="13" t="n">
        <f aca="false">(N523-AVERAGE(N$2:N$2001))/STDEV(N$2:N$2001)</f>
        <v>0.550075377641785</v>
      </c>
      <c r="AG523" s="13" t="n">
        <f aca="false">(O523-AVERAGE(O$2:O$2001))/STDEV(O$2:O$2001)</f>
        <v>1.11437848226553</v>
      </c>
      <c r="AH523" s="0" t="str">
        <f aca="false">IF(B523="Company","C3 - Corporate Buyers",IF(AND(H523="Investment",M523&gt;'Segmentation Summary'!$C$1),"C1 - Global Investors",IF(AND(I523&gt;=4,M523&gt;'Segmentation Summary'!$C$1),"C4 - Luxury Investors",IF(AND(D523&lt;'Segmentation Summary'!$C$2,J523=1),"C2 - First-Time Buyers","C5 - Other Individual Buyers"))))</f>
        <v>C5 - Other Individual Buyers</v>
      </c>
    </row>
    <row r="524" customFormat="false" ht="15" hidden="false" customHeight="true" outlineLevel="0" collapsed="false">
      <c r="A524" s="13" t="s">
        <v>1105</v>
      </c>
      <c r="B524" s="13" t="s">
        <v>34</v>
      </c>
      <c r="C524" s="13" t="s">
        <v>1106</v>
      </c>
      <c r="D524" s="13" t="n">
        <v>62</v>
      </c>
      <c r="E524" s="13" t="s">
        <v>83</v>
      </c>
      <c r="F524" s="13" t="s">
        <v>33</v>
      </c>
      <c r="G524" s="13" t="s">
        <v>95</v>
      </c>
      <c r="H524" s="13" t="s">
        <v>41</v>
      </c>
      <c r="I524" s="13" t="n">
        <v>1</v>
      </c>
      <c r="J524" s="13" t="n">
        <v>0</v>
      </c>
      <c r="K524" s="13" t="s">
        <v>91</v>
      </c>
      <c r="L524" s="13" t="n">
        <v>3</v>
      </c>
      <c r="M524" s="13" t="n">
        <v>1125230.12</v>
      </c>
      <c r="N524" s="13" t="n">
        <v>375076.706666667</v>
      </c>
      <c r="O524" s="13" t="n">
        <v>1371.61333333333</v>
      </c>
      <c r="P524" s="13" t="n">
        <v>0</v>
      </c>
      <c r="Q524" s="13" t="n">
        <v>3</v>
      </c>
      <c r="R524" s="13" t="s">
        <v>101</v>
      </c>
      <c r="S524" s="13" t="s">
        <v>215</v>
      </c>
      <c r="T524" s="13" t="n">
        <v>1</v>
      </c>
      <c r="U524" s="13" t="n">
        <f aca="false">IF(B524="Individual",1,0)</f>
        <v>1</v>
      </c>
      <c r="V524" s="13" t="n">
        <f aca="false">IF(B524="Company",1,0)</f>
        <v>0</v>
      </c>
      <c r="W524" s="13" t="n">
        <f aca="false">IF(H524="Home",1,0)</f>
        <v>1</v>
      </c>
      <c r="X524" s="13" t="n">
        <f aca="false">IF(H524="Investment",1,0)</f>
        <v>0</v>
      </c>
      <c r="Y524" s="13" t="n">
        <f aca="false">IF(K524="Website",1,0)</f>
        <v>0</v>
      </c>
      <c r="Z524" s="13" t="n">
        <f aca="false">IF(K524="Agency",1,0)</f>
        <v>1</v>
      </c>
      <c r="AA524" s="13" t="n">
        <f aca="false">IF(K524="Client",1,0)</f>
        <v>0</v>
      </c>
      <c r="AB524" s="13" t="n">
        <f aca="false">(D524-AVERAGE(D$2:D$2001))/STDEV(D$2:D$2001)</f>
        <v>0.453399887503333</v>
      </c>
      <c r="AC524" s="13" t="n">
        <f aca="false">(I524-AVERAGE(I$2:I$2001))/STDEV(I$2:I$2001)</f>
        <v>-1.43538077576244</v>
      </c>
      <c r="AD524" s="13" t="n">
        <f aca="false">(L524-AVERAGE(L$2:L$2001))/STDEV(L$2:L$2001)</f>
        <v>-0.777063122173208</v>
      </c>
      <c r="AE524" s="13" t="n">
        <f aca="false">(M524-AVERAGE(M$2:M$2001))/STDEV(M$2:M$2001)</f>
        <v>-0.388537797514304</v>
      </c>
      <c r="AF524" s="13" t="n">
        <f aca="false">(N524-AVERAGE(N$2:N$2001))/STDEV(N$2:N$2001)</f>
        <v>0.40140590233289</v>
      </c>
      <c r="AG524" s="13" t="n">
        <f aca="false">(O524-AVERAGE(O$2:O$2001))/STDEV(O$2:O$2001)</f>
        <v>1.01914800310991</v>
      </c>
      <c r="AH524" s="0" t="str">
        <f aca="false">IF(B524="Company","C3 - Corporate Buyers",IF(AND(H524="Investment",M524&gt;'Segmentation Summary'!$C$1),"C1 - Global Investors",IF(AND(I524&gt;=4,M524&gt;'Segmentation Summary'!$C$1),"C4 - Luxury Investors",IF(AND(D524&lt;'Segmentation Summary'!$C$2,J524=1),"C2 - First-Time Buyers","C5 - Other Individual Buyers"))))</f>
        <v>C5 - Other Individual Buyers</v>
      </c>
    </row>
    <row r="525" customFormat="false" ht="15" hidden="false" customHeight="true" outlineLevel="0" collapsed="false">
      <c r="A525" s="13" t="s">
        <v>1107</v>
      </c>
      <c r="B525" s="13" t="s">
        <v>34</v>
      </c>
      <c r="C525" s="13" t="s">
        <v>1108</v>
      </c>
      <c r="D525" s="13" t="n">
        <v>84</v>
      </c>
      <c r="E525" s="13" t="s">
        <v>83</v>
      </c>
      <c r="F525" s="13" t="s">
        <v>33</v>
      </c>
      <c r="G525" s="13" t="s">
        <v>95</v>
      </c>
      <c r="H525" s="13" t="s">
        <v>43</v>
      </c>
      <c r="I525" s="13" t="n">
        <v>2</v>
      </c>
      <c r="J525" s="13" t="n">
        <v>0</v>
      </c>
      <c r="K525" s="13" t="s">
        <v>91</v>
      </c>
      <c r="L525" s="13" t="n">
        <v>3</v>
      </c>
      <c r="M525" s="13" t="n">
        <v>1047500.42</v>
      </c>
      <c r="N525" s="13" t="n">
        <v>349166.806666667</v>
      </c>
      <c r="O525" s="13" t="n">
        <v>1263.57666666667</v>
      </c>
      <c r="P525" s="13" t="n">
        <v>0</v>
      </c>
      <c r="Q525" s="13" t="n">
        <v>3</v>
      </c>
      <c r="R525" s="13" t="s">
        <v>121</v>
      </c>
      <c r="S525" s="13" t="s">
        <v>125</v>
      </c>
      <c r="T525" s="13" t="n">
        <v>1</v>
      </c>
      <c r="U525" s="13" t="n">
        <f aca="false">IF(B525="Individual",1,0)</f>
        <v>1</v>
      </c>
      <c r="V525" s="13" t="n">
        <f aca="false">IF(B525="Company",1,0)</f>
        <v>0</v>
      </c>
      <c r="W525" s="13" t="n">
        <f aca="false">IF(H525="Home",1,0)</f>
        <v>0</v>
      </c>
      <c r="X525" s="13" t="n">
        <f aca="false">IF(H525="Investment",1,0)</f>
        <v>1</v>
      </c>
      <c r="Y525" s="13" t="n">
        <f aca="false">IF(K525="Website",1,0)</f>
        <v>0</v>
      </c>
      <c r="Z525" s="13" t="n">
        <f aca="false">IF(K525="Agency",1,0)</f>
        <v>1</v>
      </c>
      <c r="AA525" s="13" t="n">
        <f aca="false">IF(K525="Client",1,0)</f>
        <v>0</v>
      </c>
      <c r="AB525" s="13" t="n">
        <f aca="false">(D525-AVERAGE(D$2:D$2001))/STDEV(D$2:D$2001)</f>
        <v>1.72197390824266</v>
      </c>
      <c r="AC525" s="13" t="n">
        <f aca="false">(I525-AVERAGE(I$2:I$2001))/STDEV(I$2:I$2001)</f>
        <v>-0.727948160798201</v>
      </c>
      <c r="AD525" s="13" t="n">
        <f aca="false">(L525-AVERAGE(L$2:L$2001))/STDEV(L$2:L$2001)</f>
        <v>-0.777063122173208</v>
      </c>
      <c r="AE525" s="13" t="n">
        <f aca="false">(M525-AVERAGE(M$2:M$2001))/STDEV(M$2:M$2001)</f>
        <v>-0.612007743841653</v>
      </c>
      <c r="AF525" s="13" t="n">
        <f aca="false">(N525-AVERAGE(N$2:N$2001))/STDEV(N$2:N$2001)</f>
        <v>0.0297876725464514</v>
      </c>
      <c r="AG525" s="13" t="n">
        <f aca="false">(O525-AVERAGE(O$2:O$2001))/STDEV(O$2:O$2001)</f>
        <v>0.527899386221258</v>
      </c>
      <c r="AH525" s="0" t="str">
        <f aca="false">IF(B525="Company","C3 - Corporate Buyers",IF(AND(H525="Investment",M525&gt;'Segmentation Summary'!$C$1),"C1 - Global Investors",IF(AND(I525&gt;=4,M525&gt;'Segmentation Summary'!$C$1),"C4 - Luxury Investors",IF(AND(D525&lt;'Segmentation Summary'!$C$2,J525=1),"C2 - First-Time Buyers","C5 - Other Individual Buyers"))))</f>
        <v>C5 - Other Individual Buyers</v>
      </c>
    </row>
    <row r="526" customFormat="false" ht="15" hidden="false" customHeight="true" outlineLevel="0" collapsed="false">
      <c r="A526" s="13" t="s">
        <v>1109</v>
      </c>
      <c r="B526" s="13" t="s">
        <v>34</v>
      </c>
      <c r="C526" s="13" t="s">
        <v>1110</v>
      </c>
      <c r="D526" s="13" t="n">
        <v>45</v>
      </c>
      <c r="E526" s="13" t="s">
        <v>83</v>
      </c>
      <c r="F526" s="13" t="s">
        <v>33</v>
      </c>
      <c r="G526" s="13" t="s">
        <v>207</v>
      </c>
      <c r="H526" s="13" t="s">
        <v>41</v>
      </c>
      <c r="I526" s="13" t="n">
        <v>1</v>
      </c>
      <c r="J526" s="13" t="n">
        <v>1</v>
      </c>
      <c r="K526" s="13" t="s">
        <v>85</v>
      </c>
      <c r="L526" s="13" t="n">
        <v>4</v>
      </c>
      <c r="M526" s="13" t="n">
        <v>1159717.54</v>
      </c>
      <c r="N526" s="13" t="n">
        <v>289929.385</v>
      </c>
      <c r="O526" s="13" t="n">
        <v>951.82</v>
      </c>
      <c r="P526" s="13" t="n">
        <v>1</v>
      </c>
      <c r="Q526" s="13" t="n">
        <v>3</v>
      </c>
      <c r="R526" s="13" t="s">
        <v>117</v>
      </c>
      <c r="S526" s="13" t="s">
        <v>133</v>
      </c>
      <c r="T526" s="13" t="n">
        <v>1</v>
      </c>
      <c r="U526" s="13" t="n">
        <f aca="false">IF(B526="Individual",1,0)</f>
        <v>1</v>
      </c>
      <c r="V526" s="13" t="n">
        <f aca="false">IF(B526="Company",1,0)</f>
        <v>0</v>
      </c>
      <c r="W526" s="13" t="n">
        <f aca="false">IF(H526="Home",1,0)</f>
        <v>1</v>
      </c>
      <c r="X526" s="13" t="n">
        <f aca="false">IF(H526="Investment",1,0)</f>
        <v>0</v>
      </c>
      <c r="Y526" s="13" t="n">
        <f aca="false">IF(K526="Website",1,0)</f>
        <v>1</v>
      </c>
      <c r="Z526" s="13" t="n">
        <f aca="false">IF(K526="Agency",1,0)</f>
        <v>0</v>
      </c>
      <c r="AA526" s="13" t="n">
        <f aca="false">IF(K526="Client",1,0)</f>
        <v>0</v>
      </c>
      <c r="AB526" s="13" t="n">
        <f aca="false">(D526-AVERAGE(D$2:D$2001))/STDEV(D$2:D$2001)</f>
        <v>-0.526861855795238</v>
      </c>
      <c r="AC526" s="13" t="n">
        <f aca="false">(I526-AVERAGE(I$2:I$2001))/STDEV(I$2:I$2001)</f>
        <v>-1.43538077576244</v>
      </c>
      <c r="AD526" s="13" t="n">
        <f aca="false">(L526-AVERAGE(L$2:L$2001))/STDEV(L$2:L$2001)</f>
        <v>0.413838214490712</v>
      </c>
      <c r="AE526" s="13" t="n">
        <f aca="false">(M526-AVERAGE(M$2:M$2001))/STDEV(M$2:M$2001)</f>
        <v>-0.289387769965391</v>
      </c>
      <c r="AF526" s="13" t="n">
        <f aca="false">(N526-AVERAGE(N$2:N$2001))/STDEV(N$2:N$2001)</f>
        <v>-0.819837597210651</v>
      </c>
      <c r="AG526" s="13" t="n">
        <f aca="false">(O526-AVERAGE(O$2:O$2001))/STDEV(O$2:O$2001)</f>
        <v>-0.889675183886071</v>
      </c>
      <c r="AH526" s="0" t="str">
        <f aca="false">IF(B526="Company","C3 - Corporate Buyers",IF(AND(H526="Investment",M526&gt;'Segmentation Summary'!$C$1),"C1 - Global Investors",IF(AND(I526&gt;=4,M526&gt;'Segmentation Summary'!$C$1),"C4 - Luxury Investors",IF(AND(D526&lt;'Segmentation Summary'!$C$2,J526=1),"C2 - First-Time Buyers","C5 - Other Individual Buyers"))))</f>
        <v>C2 - First-Time Buyers</v>
      </c>
    </row>
    <row r="527" customFormat="false" ht="15" hidden="false" customHeight="true" outlineLevel="0" collapsed="false">
      <c r="A527" s="13" t="s">
        <v>1111</v>
      </c>
      <c r="B527" s="13" t="s">
        <v>34</v>
      </c>
      <c r="C527" s="13" t="s">
        <v>1112</v>
      </c>
      <c r="D527" s="13" t="n">
        <v>47</v>
      </c>
      <c r="E527" s="13" t="s">
        <v>83</v>
      </c>
      <c r="F527" s="13" t="s">
        <v>33</v>
      </c>
      <c r="G527" s="13" t="s">
        <v>84</v>
      </c>
      <c r="H527" s="13" t="s">
        <v>43</v>
      </c>
      <c r="I527" s="13" t="n">
        <v>2</v>
      </c>
      <c r="J527" s="13" t="n">
        <v>1</v>
      </c>
      <c r="K527" s="13" t="s">
        <v>116</v>
      </c>
      <c r="L527" s="13" t="n">
        <v>3</v>
      </c>
      <c r="M527" s="13" t="n">
        <v>997418.61</v>
      </c>
      <c r="N527" s="13" t="n">
        <v>332472.87</v>
      </c>
      <c r="O527" s="13" t="n">
        <v>1090.94666666667</v>
      </c>
      <c r="P527" s="13" t="n">
        <v>0</v>
      </c>
      <c r="Q527" s="13" t="n">
        <v>3</v>
      </c>
      <c r="R527" s="13" t="s">
        <v>128</v>
      </c>
      <c r="S527" s="13" t="s">
        <v>133</v>
      </c>
      <c r="T527" s="13" t="n">
        <v>1</v>
      </c>
      <c r="U527" s="13" t="n">
        <f aca="false">IF(B527="Individual",1,0)</f>
        <v>1</v>
      </c>
      <c r="V527" s="13" t="n">
        <f aca="false">IF(B527="Company",1,0)</f>
        <v>0</v>
      </c>
      <c r="W527" s="13" t="n">
        <f aca="false">IF(H527="Home",1,0)</f>
        <v>0</v>
      </c>
      <c r="X527" s="13" t="n">
        <f aca="false">IF(H527="Investment",1,0)</f>
        <v>1</v>
      </c>
      <c r="Y527" s="13" t="n">
        <f aca="false">IF(K527="Website",1,0)</f>
        <v>0</v>
      </c>
      <c r="Z527" s="13" t="n">
        <f aca="false">IF(K527="Agency",1,0)</f>
        <v>0</v>
      </c>
      <c r="AA527" s="13" t="n">
        <f aca="false">IF(K527="Client",1,0)</f>
        <v>1</v>
      </c>
      <c r="AB527" s="13" t="n">
        <f aca="false">(D527-AVERAGE(D$2:D$2001))/STDEV(D$2:D$2001)</f>
        <v>-0.411536944818935</v>
      </c>
      <c r="AC527" s="13" t="n">
        <f aca="false">(I527-AVERAGE(I$2:I$2001))/STDEV(I$2:I$2001)</f>
        <v>-0.727948160798201</v>
      </c>
      <c r="AD527" s="13" t="n">
        <f aca="false">(L527-AVERAGE(L$2:L$2001))/STDEV(L$2:L$2001)</f>
        <v>-0.777063122173208</v>
      </c>
      <c r="AE527" s="13" t="n">
        <f aca="false">(M527-AVERAGE(M$2:M$2001))/STDEV(M$2:M$2001)</f>
        <v>-0.755991052572762</v>
      </c>
      <c r="AF527" s="13" t="n">
        <f aca="false">(N527-AVERAGE(N$2:N$2001))/STDEV(N$2:N$2001)</f>
        <v>-0.209648650721245</v>
      </c>
      <c r="AG527" s="13" t="n">
        <f aca="false">(O527-AVERAGE(O$2:O$2001))/STDEV(O$2:O$2001)</f>
        <v>-0.257058640993212</v>
      </c>
      <c r="AH527" s="0" t="str">
        <f aca="false">IF(B527="Company","C3 - Corporate Buyers",IF(AND(H527="Investment",M527&gt;'Segmentation Summary'!$C$1),"C1 - Global Investors",IF(AND(I527&gt;=4,M527&gt;'Segmentation Summary'!$C$1),"C4 - Luxury Investors",IF(AND(D527&lt;'Segmentation Summary'!$C$2,J527=1),"C2 - First-Time Buyers","C5 - Other Individual Buyers"))))</f>
        <v>C2 - First-Time Buyers</v>
      </c>
    </row>
    <row r="528" customFormat="false" ht="15" hidden="false" customHeight="true" outlineLevel="0" collapsed="false">
      <c r="A528" s="13" t="s">
        <v>1113</v>
      </c>
      <c r="B528" s="13" t="s">
        <v>34</v>
      </c>
      <c r="C528" s="13" t="s">
        <v>1114</v>
      </c>
      <c r="D528" s="13" t="n">
        <v>66</v>
      </c>
      <c r="E528" s="13" t="s">
        <v>83</v>
      </c>
      <c r="F528" s="13" t="s">
        <v>33</v>
      </c>
      <c r="G528" s="13" t="s">
        <v>157</v>
      </c>
      <c r="H528" s="13" t="s">
        <v>43</v>
      </c>
      <c r="I528" s="13" t="n">
        <v>4</v>
      </c>
      <c r="J528" s="13" t="n">
        <v>1</v>
      </c>
      <c r="K528" s="13" t="s">
        <v>91</v>
      </c>
      <c r="L528" s="13" t="n">
        <v>4</v>
      </c>
      <c r="M528" s="13" t="n">
        <v>1321975.5</v>
      </c>
      <c r="N528" s="13" t="n">
        <v>330493.875</v>
      </c>
      <c r="O528" s="13" t="n">
        <v>1028.1275</v>
      </c>
      <c r="P528" s="13" t="n">
        <v>0</v>
      </c>
      <c r="Q528" s="13" t="n">
        <v>4</v>
      </c>
      <c r="R528" s="13" t="s">
        <v>121</v>
      </c>
      <c r="S528" s="13" t="s">
        <v>133</v>
      </c>
      <c r="T528" s="13" t="n">
        <v>1</v>
      </c>
      <c r="U528" s="13" t="n">
        <f aca="false">IF(B528="Individual",1,0)</f>
        <v>1</v>
      </c>
      <c r="V528" s="13" t="n">
        <f aca="false">IF(B528="Company",1,0)</f>
        <v>0</v>
      </c>
      <c r="W528" s="13" t="n">
        <f aca="false">IF(H528="Home",1,0)</f>
        <v>0</v>
      </c>
      <c r="X528" s="13" t="n">
        <f aca="false">IF(H528="Investment",1,0)</f>
        <v>1</v>
      </c>
      <c r="Y528" s="13" t="n">
        <f aca="false">IF(K528="Website",1,0)</f>
        <v>0</v>
      </c>
      <c r="Z528" s="13" t="n">
        <f aca="false">IF(K528="Agency",1,0)</f>
        <v>1</v>
      </c>
      <c r="AA528" s="13" t="n">
        <f aca="false">IF(K528="Client",1,0)</f>
        <v>0</v>
      </c>
      <c r="AB528" s="13" t="n">
        <f aca="false">(D528-AVERAGE(D$2:D$2001))/STDEV(D$2:D$2001)</f>
        <v>0.684049709455938</v>
      </c>
      <c r="AC528" s="13" t="n">
        <f aca="false">(I528-AVERAGE(I$2:I$2001))/STDEV(I$2:I$2001)</f>
        <v>0.686917069130275</v>
      </c>
      <c r="AD528" s="13" t="n">
        <f aca="false">(L528-AVERAGE(L$2:L$2001))/STDEV(L$2:L$2001)</f>
        <v>0.413838214490712</v>
      </c>
      <c r="AE528" s="13" t="n">
        <f aca="false">(M528-AVERAGE(M$2:M$2001))/STDEV(M$2:M$2001)</f>
        <v>0.177097725442221</v>
      </c>
      <c r="AF528" s="13" t="n">
        <f aca="false">(N528-AVERAGE(N$2:N$2001))/STDEV(N$2:N$2001)</f>
        <v>-0.238032805760679</v>
      </c>
      <c r="AG528" s="13" t="n">
        <f aca="false">(O528-AVERAGE(O$2:O$2001))/STDEV(O$2:O$2001)</f>
        <v>-0.542700818702336</v>
      </c>
      <c r="AH528" s="0" t="str">
        <f aca="false">IF(B528="Company","C3 - Corporate Buyers",IF(AND(H528="Investment",M528&gt;'Segmentation Summary'!$C$1),"C1 - Global Investors",IF(AND(I528&gt;=4,M528&gt;'Segmentation Summary'!$C$1),"C4 - Luxury Investors",IF(AND(D528&lt;'Segmentation Summary'!$C$2,J528=1),"C2 - First-Time Buyers","C5 - Other Individual Buyers"))))</f>
        <v>C1 - Global Investors</v>
      </c>
    </row>
    <row r="529" customFormat="false" ht="15" hidden="false" customHeight="true" outlineLevel="0" collapsed="false">
      <c r="A529" s="13" t="s">
        <v>1115</v>
      </c>
      <c r="B529" s="13" t="s">
        <v>34</v>
      </c>
      <c r="C529" s="13" t="s">
        <v>1116</v>
      </c>
      <c r="D529" s="13" t="n">
        <v>52</v>
      </c>
      <c r="E529" s="13" t="s">
        <v>83</v>
      </c>
      <c r="F529" s="13" t="s">
        <v>33</v>
      </c>
      <c r="G529" s="13" t="s">
        <v>145</v>
      </c>
      <c r="H529" s="13" t="s">
        <v>41</v>
      </c>
      <c r="I529" s="13" t="n">
        <v>4</v>
      </c>
      <c r="J529" s="13" t="n">
        <v>0</v>
      </c>
      <c r="K529" s="13" t="s">
        <v>85</v>
      </c>
      <c r="L529" s="13" t="n">
        <v>3</v>
      </c>
      <c r="M529" s="13" t="n">
        <v>941219.76</v>
      </c>
      <c r="N529" s="13" t="n">
        <v>313739.92</v>
      </c>
      <c r="O529" s="13" t="n">
        <v>1082.75</v>
      </c>
      <c r="P529" s="13" t="n">
        <v>0</v>
      </c>
      <c r="Q529" s="13" t="n">
        <v>3</v>
      </c>
      <c r="R529" s="13" t="s">
        <v>128</v>
      </c>
      <c r="S529" s="13" t="s">
        <v>125</v>
      </c>
      <c r="T529" s="13" t="n">
        <v>1</v>
      </c>
      <c r="U529" s="13" t="n">
        <f aca="false">IF(B529="Individual",1,0)</f>
        <v>1</v>
      </c>
      <c r="V529" s="13" t="n">
        <f aca="false">IF(B529="Company",1,0)</f>
        <v>0</v>
      </c>
      <c r="W529" s="13" t="n">
        <f aca="false">IF(H529="Home",1,0)</f>
        <v>1</v>
      </c>
      <c r="X529" s="13" t="n">
        <f aca="false">IF(H529="Investment",1,0)</f>
        <v>0</v>
      </c>
      <c r="Y529" s="13" t="n">
        <f aca="false">IF(K529="Website",1,0)</f>
        <v>1</v>
      </c>
      <c r="Z529" s="13" t="n">
        <f aca="false">IF(K529="Agency",1,0)</f>
        <v>0</v>
      </c>
      <c r="AA529" s="13" t="n">
        <f aca="false">IF(K529="Client",1,0)</f>
        <v>0</v>
      </c>
      <c r="AB529" s="13" t="n">
        <f aca="false">(D529-AVERAGE(D$2:D$2001))/STDEV(D$2:D$2001)</f>
        <v>-0.123224667378179</v>
      </c>
      <c r="AC529" s="13" t="n">
        <f aca="false">(I529-AVERAGE(I$2:I$2001))/STDEV(I$2:I$2001)</f>
        <v>0.686917069130275</v>
      </c>
      <c r="AD529" s="13" t="n">
        <f aca="false">(L529-AVERAGE(L$2:L$2001))/STDEV(L$2:L$2001)</f>
        <v>-0.777063122173208</v>
      </c>
      <c r="AE529" s="13" t="n">
        <f aca="false">(M529-AVERAGE(M$2:M$2001))/STDEV(M$2:M$2001)</f>
        <v>-0.917560619844458</v>
      </c>
      <c r="AF529" s="13" t="n">
        <f aca="false">(N529-AVERAGE(N$2:N$2001))/STDEV(N$2:N$2001)</f>
        <v>-0.478329954689144</v>
      </c>
      <c r="AG529" s="13" t="n">
        <f aca="false">(O529-AVERAGE(O$2:O$2001))/STDEV(O$2:O$2001)</f>
        <v>-0.294329331466501</v>
      </c>
      <c r="AH529" s="0" t="str">
        <f aca="false">IF(B529="Company","C3 - Corporate Buyers",IF(AND(H529="Investment",M529&gt;'Segmentation Summary'!$C$1),"C1 - Global Investors",IF(AND(I529&gt;=4,M529&gt;'Segmentation Summary'!$C$1),"C4 - Luxury Investors",IF(AND(D529&lt;'Segmentation Summary'!$C$2,J529=1),"C2 - First-Time Buyers","C5 - Other Individual Buyers"))))</f>
        <v>C5 - Other Individual Buyers</v>
      </c>
    </row>
    <row r="530" customFormat="false" ht="15" hidden="false" customHeight="true" outlineLevel="0" collapsed="false">
      <c r="A530" s="13" t="s">
        <v>1117</v>
      </c>
      <c r="B530" s="13" t="s">
        <v>34</v>
      </c>
      <c r="C530" s="13" t="s">
        <v>1118</v>
      </c>
      <c r="D530" s="13" t="n">
        <v>65</v>
      </c>
      <c r="E530" s="13" t="s">
        <v>90</v>
      </c>
      <c r="F530" s="13" t="s">
        <v>33</v>
      </c>
      <c r="G530" s="13" t="s">
        <v>97</v>
      </c>
      <c r="H530" s="13" t="s">
        <v>43</v>
      </c>
      <c r="I530" s="13" t="n">
        <v>3</v>
      </c>
      <c r="J530" s="13" t="n">
        <v>0</v>
      </c>
      <c r="K530" s="13" t="s">
        <v>85</v>
      </c>
      <c r="L530" s="13" t="n">
        <v>4</v>
      </c>
      <c r="M530" s="13" t="n">
        <v>1108939.86</v>
      </c>
      <c r="N530" s="13" t="n">
        <v>277234.965</v>
      </c>
      <c r="O530" s="13" t="n">
        <v>900.39</v>
      </c>
      <c r="P530" s="13" t="n">
        <v>1</v>
      </c>
      <c r="Q530" s="13" t="n">
        <v>3</v>
      </c>
      <c r="R530" s="13" t="s">
        <v>101</v>
      </c>
      <c r="S530" s="13" t="s">
        <v>93</v>
      </c>
      <c r="T530" s="13" t="n">
        <v>1</v>
      </c>
      <c r="U530" s="13" t="n">
        <f aca="false">IF(B530="Individual",1,0)</f>
        <v>1</v>
      </c>
      <c r="V530" s="13" t="n">
        <f aca="false">IF(B530="Company",1,0)</f>
        <v>0</v>
      </c>
      <c r="W530" s="13" t="n">
        <f aca="false">IF(H530="Home",1,0)</f>
        <v>0</v>
      </c>
      <c r="X530" s="13" t="n">
        <f aca="false">IF(H530="Investment",1,0)</f>
        <v>1</v>
      </c>
      <c r="Y530" s="13" t="n">
        <f aca="false">IF(K530="Website",1,0)</f>
        <v>1</v>
      </c>
      <c r="Z530" s="13" t="n">
        <f aca="false">IF(K530="Agency",1,0)</f>
        <v>0</v>
      </c>
      <c r="AA530" s="13" t="n">
        <f aca="false">IF(K530="Client",1,0)</f>
        <v>0</v>
      </c>
      <c r="AB530" s="13" t="n">
        <f aca="false">(D530-AVERAGE(D$2:D$2001))/STDEV(D$2:D$2001)</f>
        <v>0.626387253967787</v>
      </c>
      <c r="AC530" s="13" t="n">
        <f aca="false">(I530-AVERAGE(I$2:I$2001))/STDEV(I$2:I$2001)</f>
        <v>-0.0205155458339628</v>
      </c>
      <c r="AD530" s="13" t="n">
        <f aca="false">(L530-AVERAGE(L$2:L$2001))/STDEV(L$2:L$2001)</f>
        <v>0.413838214490712</v>
      </c>
      <c r="AE530" s="13" t="n">
        <f aca="false">(M530-AVERAGE(M$2:M$2001))/STDEV(M$2:M$2001)</f>
        <v>-0.435371678615846</v>
      </c>
      <c r="AF530" s="13" t="n">
        <f aca="false">(N530-AVERAGE(N$2:N$2001))/STDEV(N$2:N$2001)</f>
        <v>-1.00191000538535</v>
      </c>
      <c r="AG530" s="13" t="n">
        <f aca="false">(O530-AVERAGE(O$2:O$2001))/STDEV(O$2:O$2001)</f>
        <v>-1.12353019946645</v>
      </c>
      <c r="AH530" s="0" t="str">
        <f aca="false">IF(B530="Company","C3 - Corporate Buyers",IF(AND(H530="Investment",M530&gt;'Segmentation Summary'!$C$1),"C1 - Global Investors",IF(AND(I530&gt;=4,M530&gt;'Segmentation Summary'!$C$1),"C4 - Luxury Investors",IF(AND(D530&lt;'Segmentation Summary'!$C$2,J530=1),"C2 - First-Time Buyers","C5 - Other Individual Buyers"))))</f>
        <v>C5 - Other Individual Buyers</v>
      </c>
    </row>
    <row r="531" customFormat="false" ht="15" hidden="false" customHeight="true" outlineLevel="0" collapsed="false">
      <c r="A531" s="13" t="s">
        <v>1119</v>
      </c>
      <c r="B531" s="13" t="s">
        <v>34</v>
      </c>
      <c r="C531" s="13" t="s">
        <v>1120</v>
      </c>
      <c r="D531" s="13" t="n">
        <v>78</v>
      </c>
      <c r="E531" s="13" t="s">
        <v>90</v>
      </c>
      <c r="F531" s="13" t="s">
        <v>33</v>
      </c>
      <c r="G531" s="13" t="s">
        <v>120</v>
      </c>
      <c r="H531" s="13" t="s">
        <v>43</v>
      </c>
      <c r="I531" s="13" t="n">
        <v>3</v>
      </c>
      <c r="J531" s="13" t="n">
        <v>0</v>
      </c>
      <c r="K531" s="13" t="s">
        <v>91</v>
      </c>
      <c r="L531" s="13" t="n">
        <v>3</v>
      </c>
      <c r="M531" s="13" t="n">
        <v>1336416.16</v>
      </c>
      <c r="N531" s="13" t="n">
        <v>445472.053333333</v>
      </c>
      <c r="O531" s="13" t="n">
        <v>1513.17</v>
      </c>
      <c r="P531" s="13" t="n">
        <v>0</v>
      </c>
      <c r="Q531" s="13" t="n">
        <v>3</v>
      </c>
      <c r="R531" s="13" t="s">
        <v>92</v>
      </c>
      <c r="S531" s="13" t="s">
        <v>152</v>
      </c>
      <c r="T531" s="13" t="n">
        <v>1</v>
      </c>
      <c r="U531" s="13" t="n">
        <f aca="false">IF(B531="Individual",1,0)</f>
        <v>1</v>
      </c>
      <c r="V531" s="13" t="n">
        <f aca="false">IF(B531="Company",1,0)</f>
        <v>0</v>
      </c>
      <c r="W531" s="13" t="n">
        <f aca="false">IF(H531="Home",1,0)</f>
        <v>0</v>
      </c>
      <c r="X531" s="13" t="n">
        <f aca="false">IF(H531="Investment",1,0)</f>
        <v>1</v>
      </c>
      <c r="Y531" s="13" t="n">
        <f aca="false">IF(K531="Website",1,0)</f>
        <v>0</v>
      </c>
      <c r="Z531" s="13" t="n">
        <f aca="false">IF(K531="Agency",1,0)</f>
        <v>1</v>
      </c>
      <c r="AA531" s="13" t="n">
        <f aca="false">IF(K531="Client",1,0)</f>
        <v>0</v>
      </c>
      <c r="AB531" s="13" t="n">
        <f aca="false">(D531-AVERAGE(D$2:D$2001))/STDEV(D$2:D$2001)</f>
        <v>1.37599917531375</v>
      </c>
      <c r="AC531" s="13" t="n">
        <f aca="false">(I531-AVERAGE(I$2:I$2001))/STDEV(I$2:I$2001)</f>
        <v>-0.0205155458339628</v>
      </c>
      <c r="AD531" s="13" t="n">
        <f aca="false">(L531-AVERAGE(L$2:L$2001))/STDEV(L$2:L$2001)</f>
        <v>-0.777063122173208</v>
      </c>
      <c r="AE531" s="13" t="n">
        <f aca="false">(M531-AVERAGE(M$2:M$2001))/STDEV(M$2:M$2001)</f>
        <v>0.218614076529791</v>
      </c>
      <c r="AF531" s="13" t="n">
        <f aca="false">(N531-AVERAGE(N$2:N$2001))/STDEV(N$2:N$2001)</f>
        <v>1.41106607521928</v>
      </c>
      <c r="AG531" s="13" t="n">
        <f aca="false">(O531-AVERAGE(O$2:O$2001))/STDEV(O$2:O$2001)</f>
        <v>1.66281388856277</v>
      </c>
      <c r="AH531" s="0" t="str">
        <f aca="false">IF(B531="Company","C3 - Corporate Buyers",IF(AND(H531="Investment",M531&gt;'Segmentation Summary'!$C$1),"C1 - Global Investors",IF(AND(I531&gt;=4,M531&gt;'Segmentation Summary'!$C$1),"C4 - Luxury Investors",IF(AND(D531&lt;'Segmentation Summary'!$C$2,J531=1),"C2 - First-Time Buyers","C5 - Other Individual Buyers"))))</f>
        <v>C1 - Global Investors</v>
      </c>
    </row>
    <row r="532" customFormat="false" ht="15" hidden="false" customHeight="true" outlineLevel="0" collapsed="false">
      <c r="A532" s="13" t="s">
        <v>1121</v>
      </c>
      <c r="B532" s="13" t="s">
        <v>34</v>
      </c>
      <c r="C532" s="13" t="s">
        <v>1122</v>
      </c>
      <c r="D532" s="13" t="n">
        <v>46</v>
      </c>
      <c r="E532" s="13" t="s">
        <v>90</v>
      </c>
      <c r="F532" s="13" t="s">
        <v>33</v>
      </c>
      <c r="G532" s="13" t="s">
        <v>95</v>
      </c>
      <c r="H532" s="13" t="s">
        <v>41</v>
      </c>
      <c r="I532" s="13" t="n">
        <v>4</v>
      </c>
      <c r="J532" s="13" t="n">
        <v>0</v>
      </c>
      <c r="K532" s="13" t="s">
        <v>85</v>
      </c>
      <c r="L532" s="13" t="n">
        <v>3</v>
      </c>
      <c r="M532" s="13" t="n">
        <v>1266979.76</v>
      </c>
      <c r="N532" s="13" t="n">
        <v>422326.586666667</v>
      </c>
      <c r="O532" s="13" t="n">
        <v>1422.97</v>
      </c>
      <c r="P532" s="13" t="n">
        <v>2</v>
      </c>
      <c r="Q532" s="13" t="n">
        <v>1</v>
      </c>
      <c r="R532" s="13" t="s">
        <v>215</v>
      </c>
      <c r="S532" s="13" t="s">
        <v>125</v>
      </c>
      <c r="T532" s="13" t="n">
        <v>1</v>
      </c>
      <c r="U532" s="13" t="n">
        <f aca="false">IF(B532="Individual",1,0)</f>
        <v>1</v>
      </c>
      <c r="V532" s="13" t="n">
        <f aca="false">IF(B532="Company",1,0)</f>
        <v>0</v>
      </c>
      <c r="W532" s="13" t="n">
        <f aca="false">IF(H532="Home",1,0)</f>
        <v>1</v>
      </c>
      <c r="X532" s="13" t="n">
        <f aca="false">IF(H532="Investment",1,0)</f>
        <v>0</v>
      </c>
      <c r="Y532" s="13" t="n">
        <f aca="false">IF(K532="Website",1,0)</f>
        <v>1</v>
      </c>
      <c r="Z532" s="13" t="n">
        <f aca="false">IF(K532="Agency",1,0)</f>
        <v>0</v>
      </c>
      <c r="AA532" s="13" t="n">
        <f aca="false">IF(K532="Client",1,0)</f>
        <v>0</v>
      </c>
      <c r="AB532" s="13" t="n">
        <f aca="false">(D532-AVERAGE(D$2:D$2001))/STDEV(D$2:D$2001)</f>
        <v>-0.469199400307086</v>
      </c>
      <c r="AC532" s="13" t="n">
        <f aca="false">(I532-AVERAGE(I$2:I$2001))/STDEV(I$2:I$2001)</f>
        <v>0.686917069130275</v>
      </c>
      <c r="AD532" s="13" t="n">
        <f aca="false">(L532-AVERAGE(L$2:L$2001))/STDEV(L$2:L$2001)</f>
        <v>-0.777063122173208</v>
      </c>
      <c r="AE532" s="13" t="n">
        <f aca="false">(M532-AVERAGE(M$2:M$2001))/STDEV(M$2:M$2001)</f>
        <v>0.0189870538966878</v>
      </c>
      <c r="AF532" s="13" t="n">
        <f aca="false">(N532-AVERAGE(N$2:N$2001))/STDEV(N$2:N$2001)</f>
        <v>1.07909731616396</v>
      </c>
      <c r="AG532" s="13" t="n">
        <f aca="false">(O532-AVERAGE(O$2:O$2001))/STDEV(O$2:O$2001)</f>
        <v>1.2526695680232</v>
      </c>
      <c r="AH532" s="0" t="str">
        <f aca="false">IF(B532="Company","C3 - Corporate Buyers",IF(AND(H532="Investment",M532&gt;'Segmentation Summary'!$C$1),"C1 - Global Investors",IF(AND(I532&gt;=4,M532&gt;'Segmentation Summary'!$C$1),"C4 - Luxury Investors",IF(AND(D532&lt;'Segmentation Summary'!$C$2,J532=1),"C2 - First-Time Buyers","C5 - Other Individual Buyers"))))</f>
        <v>C4 - Luxury Investors</v>
      </c>
    </row>
    <row r="533" customFormat="false" ht="15" hidden="false" customHeight="true" outlineLevel="0" collapsed="false">
      <c r="A533" s="13" t="s">
        <v>1123</v>
      </c>
      <c r="B533" s="13" t="s">
        <v>34</v>
      </c>
      <c r="C533" s="13" t="s">
        <v>1124</v>
      </c>
      <c r="D533" s="13" t="n">
        <v>36</v>
      </c>
      <c r="E533" s="13" t="s">
        <v>90</v>
      </c>
      <c r="F533" s="13" t="s">
        <v>33</v>
      </c>
      <c r="G533" s="13" t="s">
        <v>95</v>
      </c>
      <c r="H533" s="13" t="s">
        <v>41</v>
      </c>
      <c r="I533" s="13" t="n">
        <v>3</v>
      </c>
      <c r="J533" s="13" t="n">
        <v>0</v>
      </c>
      <c r="K533" s="13" t="s">
        <v>85</v>
      </c>
      <c r="L533" s="13" t="n">
        <v>3</v>
      </c>
      <c r="M533" s="13" t="n">
        <v>970629.22</v>
      </c>
      <c r="N533" s="13" t="n">
        <v>323543.073333333</v>
      </c>
      <c r="O533" s="13" t="n">
        <v>1059.34666666667</v>
      </c>
      <c r="P533" s="13" t="n">
        <v>1</v>
      </c>
      <c r="Q533" s="13" t="n">
        <v>2</v>
      </c>
      <c r="R533" s="13" t="s">
        <v>101</v>
      </c>
      <c r="S533" s="13" t="s">
        <v>154</v>
      </c>
      <c r="T533" s="13" t="n">
        <v>1</v>
      </c>
      <c r="U533" s="13" t="n">
        <f aca="false">IF(B533="Individual",1,0)</f>
        <v>1</v>
      </c>
      <c r="V533" s="13" t="n">
        <f aca="false">IF(B533="Company",1,0)</f>
        <v>0</v>
      </c>
      <c r="W533" s="13" t="n">
        <f aca="false">IF(H533="Home",1,0)</f>
        <v>1</v>
      </c>
      <c r="X533" s="13" t="n">
        <f aca="false">IF(H533="Investment",1,0)</f>
        <v>0</v>
      </c>
      <c r="Y533" s="13" t="n">
        <f aca="false">IF(K533="Website",1,0)</f>
        <v>1</v>
      </c>
      <c r="Z533" s="13" t="n">
        <f aca="false">IF(K533="Agency",1,0)</f>
        <v>0</v>
      </c>
      <c r="AA533" s="13" t="n">
        <f aca="false">IF(K533="Client",1,0)</f>
        <v>0</v>
      </c>
      <c r="AB533" s="13" t="n">
        <f aca="false">(D533-AVERAGE(D$2:D$2001))/STDEV(D$2:D$2001)</f>
        <v>-1.0458239551886</v>
      </c>
      <c r="AC533" s="13" t="n">
        <f aca="false">(I533-AVERAGE(I$2:I$2001))/STDEV(I$2:I$2001)</f>
        <v>-0.0205155458339628</v>
      </c>
      <c r="AD533" s="13" t="n">
        <f aca="false">(L533-AVERAGE(L$2:L$2001))/STDEV(L$2:L$2001)</f>
        <v>-0.777063122173208</v>
      </c>
      <c r="AE533" s="13" t="n">
        <f aca="false">(M533-AVERAGE(M$2:M$2001))/STDEV(M$2:M$2001)</f>
        <v>-0.833009535153325</v>
      </c>
      <c r="AF533" s="13" t="n">
        <f aca="false">(N533-AVERAGE(N$2:N$2001))/STDEV(N$2:N$2001)</f>
        <v>-0.337726151198654</v>
      </c>
      <c r="AG533" s="13" t="n">
        <f aca="false">(O533-AVERAGE(O$2:O$2001))/STDEV(O$2:O$2001)</f>
        <v>-0.400745564818603</v>
      </c>
      <c r="AH533" s="0" t="str">
        <f aca="false">IF(B533="Company","C3 - Corporate Buyers",IF(AND(H533="Investment",M533&gt;'Segmentation Summary'!$C$1),"C1 - Global Investors",IF(AND(I533&gt;=4,M533&gt;'Segmentation Summary'!$C$1),"C4 - Luxury Investors",IF(AND(D533&lt;'Segmentation Summary'!$C$2,J533=1),"C2 - First-Time Buyers","C5 - Other Individual Buyers"))))</f>
        <v>C5 - Other Individual Buyers</v>
      </c>
    </row>
    <row r="534" customFormat="false" ht="15" hidden="false" customHeight="true" outlineLevel="0" collapsed="false">
      <c r="A534" s="13" t="s">
        <v>1125</v>
      </c>
      <c r="B534" s="13" t="s">
        <v>34</v>
      </c>
      <c r="C534" s="13" t="s">
        <v>1126</v>
      </c>
      <c r="D534" s="13" t="n">
        <v>41</v>
      </c>
      <c r="E534" s="13" t="s">
        <v>90</v>
      </c>
      <c r="F534" s="13" t="s">
        <v>33</v>
      </c>
      <c r="G534" s="13" t="s">
        <v>120</v>
      </c>
      <c r="H534" s="13" t="s">
        <v>41</v>
      </c>
      <c r="I534" s="13" t="n">
        <v>1</v>
      </c>
      <c r="J534" s="13" t="n">
        <v>1</v>
      </c>
      <c r="K534" s="13" t="s">
        <v>85</v>
      </c>
      <c r="L534" s="13" t="n">
        <v>3</v>
      </c>
      <c r="M534" s="13" t="n">
        <v>867409.27</v>
      </c>
      <c r="N534" s="13" t="n">
        <v>289136.423333333</v>
      </c>
      <c r="O534" s="13" t="n">
        <v>1074.62333333333</v>
      </c>
      <c r="P534" s="13" t="n">
        <v>0</v>
      </c>
      <c r="Q534" s="13" t="n">
        <v>3</v>
      </c>
      <c r="R534" s="13" t="s">
        <v>86</v>
      </c>
      <c r="S534" s="13" t="s">
        <v>135</v>
      </c>
      <c r="T534" s="13" t="n">
        <v>1</v>
      </c>
      <c r="U534" s="13" t="n">
        <f aca="false">IF(B534="Individual",1,0)</f>
        <v>1</v>
      </c>
      <c r="V534" s="13" t="n">
        <f aca="false">IF(B534="Company",1,0)</f>
        <v>0</v>
      </c>
      <c r="W534" s="13" t="n">
        <f aca="false">IF(H534="Home",1,0)</f>
        <v>1</v>
      </c>
      <c r="X534" s="13" t="n">
        <f aca="false">IF(H534="Investment",1,0)</f>
        <v>0</v>
      </c>
      <c r="Y534" s="13" t="n">
        <f aca="false">IF(K534="Website",1,0)</f>
        <v>1</v>
      </c>
      <c r="Z534" s="13" t="n">
        <f aca="false">IF(K534="Agency",1,0)</f>
        <v>0</v>
      </c>
      <c r="AA534" s="13" t="n">
        <f aca="false">IF(K534="Client",1,0)</f>
        <v>0</v>
      </c>
      <c r="AB534" s="13" t="n">
        <f aca="false">(D534-AVERAGE(D$2:D$2001))/STDEV(D$2:D$2001)</f>
        <v>-0.757511677747842</v>
      </c>
      <c r="AC534" s="13" t="n">
        <f aca="false">(I534-AVERAGE(I$2:I$2001))/STDEV(I$2:I$2001)</f>
        <v>-1.43538077576244</v>
      </c>
      <c r="AD534" s="13" t="n">
        <f aca="false">(L534-AVERAGE(L$2:L$2001))/STDEV(L$2:L$2001)</f>
        <v>-0.777063122173208</v>
      </c>
      <c r="AE534" s="13" t="n">
        <f aca="false">(M534-AVERAGE(M$2:M$2001))/STDEV(M$2:M$2001)</f>
        <v>-1.1297629857187</v>
      </c>
      <c r="AF534" s="13" t="n">
        <f aca="false">(N534-AVERAGE(N$2:N$2001))/STDEV(N$2:N$2001)</f>
        <v>-0.831210817904491</v>
      </c>
      <c r="AG534" s="13" t="n">
        <f aca="false">(O534-AVERAGE(O$2:O$2001))/STDEV(O$2:O$2001)</f>
        <v>-0.331281728121189</v>
      </c>
      <c r="AH534" s="0" t="str">
        <f aca="false">IF(B534="Company","C3 - Corporate Buyers",IF(AND(H534="Investment",M534&gt;'Segmentation Summary'!$C$1),"C1 - Global Investors",IF(AND(I534&gt;=4,M534&gt;'Segmentation Summary'!$C$1),"C4 - Luxury Investors",IF(AND(D534&lt;'Segmentation Summary'!$C$2,J534=1),"C2 - First-Time Buyers","C5 - Other Individual Buyers"))))</f>
        <v>C2 - First-Time Buyers</v>
      </c>
    </row>
    <row r="535" customFormat="false" ht="15" hidden="false" customHeight="true" outlineLevel="0" collapsed="false">
      <c r="A535" s="13" t="s">
        <v>1127</v>
      </c>
      <c r="B535" s="13" t="s">
        <v>34</v>
      </c>
      <c r="C535" s="13" t="s">
        <v>1126</v>
      </c>
      <c r="D535" s="13" t="n">
        <v>25</v>
      </c>
      <c r="E535" s="13" t="s">
        <v>90</v>
      </c>
      <c r="F535" s="13" t="s">
        <v>33</v>
      </c>
      <c r="G535" s="13" t="s">
        <v>95</v>
      </c>
      <c r="H535" s="13" t="s">
        <v>43</v>
      </c>
      <c r="I535" s="13" t="n">
        <v>4</v>
      </c>
      <c r="J535" s="13" t="n">
        <v>0</v>
      </c>
      <c r="K535" s="13" t="s">
        <v>91</v>
      </c>
      <c r="L535" s="13" t="n">
        <v>3</v>
      </c>
      <c r="M535" s="13" t="n">
        <v>665078.77</v>
      </c>
      <c r="N535" s="13" t="n">
        <v>221692.923333333</v>
      </c>
      <c r="O535" s="13" t="n">
        <v>692.13</v>
      </c>
      <c r="P535" s="13" t="n">
        <v>0</v>
      </c>
      <c r="Q535" s="13" t="n">
        <v>3</v>
      </c>
      <c r="R535" s="13" t="s">
        <v>101</v>
      </c>
      <c r="S535" s="13" t="s">
        <v>150</v>
      </c>
      <c r="T535" s="13" t="n">
        <v>1</v>
      </c>
      <c r="U535" s="13" t="n">
        <f aca="false">IF(B535="Individual",1,0)</f>
        <v>1</v>
      </c>
      <c r="V535" s="13" t="n">
        <f aca="false">IF(B535="Company",1,0)</f>
        <v>0</v>
      </c>
      <c r="W535" s="13" t="n">
        <f aca="false">IF(H535="Home",1,0)</f>
        <v>0</v>
      </c>
      <c r="X535" s="13" t="n">
        <f aca="false">IF(H535="Investment",1,0)</f>
        <v>1</v>
      </c>
      <c r="Y535" s="13" t="n">
        <f aca="false">IF(K535="Website",1,0)</f>
        <v>0</v>
      </c>
      <c r="Z535" s="13" t="n">
        <f aca="false">IF(K535="Agency",1,0)</f>
        <v>1</v>
      </c>
      <c r="AA535" s="13" t="n">
        <f aca="false">IF(K535="Client",1,0)</f>
        <v>0</v>
      </c>
      <c r="AB535" s="13" t="n">
        <f aca="false">(D535-AVERAGE(D$2:D$2001))/STDEV(D$2:D$2001)</f>
        <v>-1.68011096555826</v>
      </c>
      <c r="AC535" s="13" t="n">
        <f aca="false">(I535-AVERAGE(I$2:I$2001))/STDEV(I$2:I$2001)</f>
        <v>0.686917069130275</v>
      </c>
      <c r="AD535" s="13" t="n">
        <f aca="false">(L535-AVERAGE(L$2:L$2001))/STDEV(L$2:L$2001)</f>
        <v>-0.777063122173208</v>
      </c>
      <c r="AE535" s="13" t="n">
        <f aca="false">(M535-AVERAGE(M$2:M$2001))/STDEV(M$2:M$2001)</f>
        <v>-1.71145551734285</v>
      </c>
      <c r="AF535" s="13" t="n">
        <f aca="false">(N535-AVERAGE(N$2:N$2001))/STDEV(N$2:N$2001)</f>
        <v>-1.79853350462276</v>
      </c>
      <c r="AG535" s="13" t="n">
        <f aca="false">(O535-AVERAGE(O$2:O$2001))/STDEV(O$2:O$2001)</f>
        <v>-2.0704997803486</v>
      </c>
      <c r="AH535" s="0" t="str">
        <f aca="false">IF(B535="Company","C3 - Corporate Buyers",IF(AND(H535="Investment",M535&gt;'Segmentation Summary'!$C$1),"C1 - Global Investors",IF(AND(I535&gt;=4,M535&gt;'Segmentation Summary'!$C$1),"C4 - Luxury Investors",IF(AND(D535&lt;'Segmentation Summary'!$C$2,J535=1),"C2 - First-Time Buyers","C5 - Other Individual Buyers"))))</f>
        <v>C5 - Other Individual Buyers</v>
      </c>
    </row>
    <row r="536" customFormat="false" ht="15" hidden="false" customHeight="true" outlineLevel="0" collapsed="false">
      <c r="A536" s="13" t="s">
        <v>1128</v>
      </c>
      <c r="B536" s="13" t="s">
        <v>34</v>
      </c>
      <c r="C536" s="13" t="s">
        <v>1129</v>
      </c>
      <c r="D536" s="13" t="n">
        <v>34</v>
      </c>
      <c r="E536" s="13" t="s">
        <v>90</v>
      </c>
      <c r="F536" s="13" t="s">
        <v>33</v>
      </c>
      <c r="G536" s="13" t="s">
        <v>265</v>
      </c>
      <c r="H536" s="13" t="s">
        <v>41</v>
      </c>
      <c r="I536" s="13" t="n">
        <v>1</v>
      </c>
      <c r="J536" s="13" t="n">
        <v>0</v>
      </c>
      <c r="K536" s="13" t="s">
        <v>85</v>
      </c>
      <c r="L536" s="13" t="n">
        <v>3</v>
      </c>
      <c r="M536" s="13" t="n">
        <v>657032.82</v>
      </c>
      <c r="N536" s="13" t="n">
        <v>219010.94</v>
      </c>
      <c r="O536" s="13" t="n">
        <v>801.46</v>
      </c>
      <c r="P536" s="13" t="n">
        <v>0</v>
      </c>
      <c r="Q536" s="13" t="n">
        <v>3</v>
      </c>
      <c r="R536" s="13" t="s">
        <v>92</v>
      </c>
      <c r="S536" s="13" t="s">
        <v>111</v>
      </c>
      <c r="T536" s="13" t="n">
        <v>1</v>
      </c>
      <c r="U536" s="13" t="n">
        <f aca="false">IF(B536="Individual",1,0)</f>
        <v>1</v>
      </c>
      <c r="V536" s="13" t="n">
        <f aca="false">IF(B536="Company",1,0)</f>
        <v>0</v>
      </c>
      <c r="W536" s="13" t="n">
        <f aca="false">IF(H536="Home",1,0)</f>
        <v>1</v>
      </c>
      <c r="X536" s="13" t="n">
        <f aca="false">IF(H536="Investment",1,0)</f>
        <v>0</v>
      </c>
      <c r="Y536" s="13" t="n">
        <f aca="false">IF(K536="Website",1,0)</f>
        <v>1</v>
      </c>
      <c r="Z536" s="13" t="n">
        <f aca="false">IF(K536="Agency",1,0)</f>
        <v>0</v>
      </c>
      <c r="AA536" s="13" t="n">
        <f aca="false">IF(K536="Client",1,0)</f>
        <v>0</v>
      </c>
      <c r="AB536" s="13" t="n">
        <f aca="false">(D536-AVERAGE(D$2:D$2001))/STDEV(D$2:D$2001)</f>
        <v>-1.1611488661649</v>
      </c>
      <c r="AC536" s="13" t="n">
        <f aca="false">(I536-AVERAGE(I$2:I$2001))/STDEV(I$2:I$2001)</f>
        <v>-1.43538077576244</v>
      </c>
      <c r="AD536" s="13" t="n">
        <f aca="false">(L536-AVERAGE(L$2:L$2001))/STDEV(L$2:L$2001)</f>
        <v>-0.777063122173208</v>
      </c>
      <c r="AE536" s="13" t="n">
        <f aca="false">(M536-AVERAGE(M$2:M$2001))/STDEV(M$2:M$2001)</f>
        <v>-1.73458731914644</v>
      </c>
      <c r="AF536" s="13" t="n">
        <f aca="false">(N536-AVERAGE(N$2:N$2001))/STDEV(N$2:N$2001)</f>
        <v>-1.83700041876175</v>
      </c>
      <c r="AG536" s="13" t="n">
        <f aca="false">(O536-AVERAGE(O$2:O$2001))/STDEV(O$2:O$2001)</f>
        <v>-1.57337030624005</v>
      </c>
      <c r="AH536" s="0" t="str">
        <f aca="false">IF(B536="Company","C3 - Corporate Buyers",IF(AND(H536="Investment",M536&gt;'Segmentation Summary'!$C$1),"C1 - Global Investors",IF(AND(I536&gt;=4,M536&gt;'Segmentation Summary'!$C$1),"C4 - Luxury Investors",IF(AND(D536&lt;'Segmentation Summary'!$C$2,J536=1),"C2 - First-Time Buyers","C5 - Other Individual Buyers"))))</f>
        <v>C5 - Other Individual Buyers</v>
      </c>
    </row>
    <row r="537" customFormat="false" ht="15" hidden="false" customHeight="true" outlineLevel="0" collapsed="false">
      <c r="A537" s="13" t="s">
        <v>1130</v>
      </c>
      <c r="B537" s="13" t="s">
        <v>34</v>
      </c>
      <c r="C537" s="13" t="s">
        <v>1131</v>
      </c>
      <c r="D537" s="13" t="n">
        <v>28</v>
      </c>
      <c r="E537" s="13" t="s">
        <v>90</v>
      </c>
      <c r="F537" s="13" t="s">
        <v>33</v>
      </c>
      <c r="G537" s="13" t="s">
        <v>95</v>
      </c>
      <c r="H537" s="13" t="s">
        <v>41</v>
      </c>
      <c r="I537" s="13" t="n">
        <v>5</v>
      </c>
      <c r="J537" s="13" t="n">
        <v>1</v>
      </c>
      <c r="K537" s="13" t="s">
        <v>85</v>
      </c>
      <c r="L537" s="13" t="n">
        <v>4</v>
      </c>
      <c r="M537" s="13" t="n">
        <v>1396671.77</v>
      </c>
      <c r="N537" s="13" t="n">
        <v>349167.9425</v>
      </c>
      <c r="O537" s="13" t="n">
        <v>1122.0925</v>
      </c>
      <c r="P537" s="13" t="n">
        <v>0</v>
      </c>
      <c r="Q537" s="13" t="n">
        <v>4</v>
      </c>
      <c r="R537" s="13" t="s">
        <v>92</v>
      </c>
      <c r="S537" s="13" t="s">
        <v>133</v>
      </c>
      <c r="T537" s="13" t="n">
        <v>1</v>
      </c>
      <c r="U537" s="13" t="n">
        <f aca="false">IF(B537="Individual",1,0)</f>
        <v>1</v>
      </c>
      <c r="V537" s="13" t="n">
        <f aca="false">IF(B537="Company",1,0)</f>
        <v>0</v>
      </c>
      <c r="W537" s="13" t="n">
        <f aca="false">IF(H537="Home",1,0)</f>
        <v>1</v>
      </c>
      <c r="X537" s="13" t="n">
        <f aca="false">IF(H537="Investment",1,0)</f>
        <v>0</v>
      </c>
      <c r="Y537" s="13" t="n">
        <f aca="false">IF(K537="Website",1,0)</f>
        <v>1</v>
      </c>
      <c r="Z537" s="13" t="n">
        <f aca="false">IF(K537="Agency",1,0)</f>
        <v>0</v>
      </c>
      <c r="AA537" s="13" t="n">
        <f aca="false">IF(K537="Client",1,0)</f>
        <v>0</v>
      </c>
      <c r="AB537" s="13" t="n">
        <f aca="false">(D537-AVERAGE(D$2:D$2001))/STDEV(D$2:D$2001)</f>
        <v>-1.50712359909381</v>
      </c>
      <c r="AC537" s="13" t="n">
        <f aca="false">(I537-AVERAGE(I$2:I$2001))/STDEV(I$2:I$2001)</f>
        <v>1.39434968409451</v>
      </c>
      <c r="AD537" s="13" t="n">
        <f aca="false">(L537-AVERAGE(L$2:L$2001))/STDEV(L$2:L$2001)</f>
        <v>0.413838214490712</v>
      </c>
      <c r="AE537" s="13" t="n">
        <f aca="false">(M537-AVERAGE(M$2:M$2001))/STDEV(M$2:M$2001)</f>
        <v>0.391846675299909</v>
      </c>
      <c r="AF537" s="13" t="n">
        <f aca="false">(N537-AVERAGE(N$2:N$2001))/STDEV(N$2:N$2001)</f>
        <v>0.0298039634766575</v>
      </c>
      <c r="AG537" s="13" t="n">
        <f aca="false">(O537-AVERAGE(O$2:O$2001))/STDEV(O$2:O$2001)</f>
        <v>-0.115436837776613</v>
      </c>
      <c r="AH537" s="0" t="str">
        <f aca="false">IF(B537="Company","C3 - Corporate Buyers",IF(AND(H537="Investment",M537&gt;'Segmentation Summary'!$C$1),"C1 - Global Investors",IF(AND(I537&gt;=4,M537&gt;'Segmentation Summary'!$C$1),"C4 - Luxury Investors",IF(AND(D537&lt;'Segmentation Summary'!$C$2,J537=1),"C2 - First-Time Buyers","C5 - Other Individual Buyers"))))</f>
        <v>C4 - Luxury Investors</v>
      </c>
    </row>
    <row r="538" customFormat="false" ht="15" hidden="false" customHeight="true" outlineLevel="0" collapsed="false">
      <c r="A538" s="13" t="s">
        <v>1132</v>
      </c>
      <c r="B538" s="13" t="s">
        <v>34</v>
      </c>
      <c r="C538" s="13" t="s">
        <v>1133</v>
      </c>
      <c r="D538" s="13" t="n">
        <v>51</v>
      </c>
      <c r="E538" s="13" t="s">
        <v>90</v>
      </c>
      <c r="F538" s="13" t="s">
        <v>33</v>
      </c>
      <c r="G538" s="13" t="s">
        <v>95</v>
      </c>
      <c r="H538" s="13" t="s">
        <v>41</v>
      </c>
      <c r="I538" s="13" t="n">
        <v>1</v>
      </c>
      <c r="J538" s="13" t="n">
        <v>0</v>
      </c>
      <c r="K538" s="13" t="s">
        <v>91</v>
      </c>
      <c r="L538" s="13" t="n">
        <v>4</v>
      </c>
      <c r="M538" s="13" t="n">
        <v>1157084.59</v>
      </c>
      <c r="N538" s="13" t="n">
        <v>289271.1475</v>
      </c>
      <c r="O538" s="13" t="n">
        <v>948.835</v>
      </c>
      <c r="P538" s="13" t="n">
        <v>0</v>
      </c>
      <c r="Q538" s="13" t="n">
        <v>4</v>
      </c>
      <c r="R538" s="13" t="s">
        <v>117</v>
      </c>
      <c r="S538" s="13" t="s">
        <v>93</v>
      </c>
      <c r="T538" s="13" t="n">
        <v>1</v>
      </c>
      <c r="U538" s="13" t="n">
        <f aca="false">IF(B538="Individual",1,0)</f>
        <v>1</v>
      </c>
      <c r="V538" s="13" t="n">
        <f aca="false">IF(B538="Company",1,0)</f>
        <v>0</v>
      </c>
      <c r="W538" s="13" t="n">
        <f aca="false">IF(H538="Home",1,0)</f>
        <v>1</v>
      </c>
      <c r="X538" s="13" t="n">
        <f aca="false">IF(H538="Investment",1,0)</f>
        <v>0</v>
      </c>
      <c r="Y538" s="13" t="n">
        <f aca="false">IF(K538="Website",1,0)</f>
        <v>0</v>
      </c>
      <c r="Z538" s="13" t="n">
        <f aca="false">IF(K538="Agency",1,0)</f>
        <v>1</v>
      </c>
      <c r="AA538" s="13" t="n">
        <f aca="false">IF(K538="Client",1,0)</f>
        <v>0</v>
      </c>
      <c r="AB538" s="13" t="n">
        <f aca="false">(D538-AVERAGE(D$2:D$2001))/STDEV(D$2:D$2001)</f>
        <v>-0.18088712286633</v>
      </c>
      <c r="AC538" s="13" t="n">
        <f aca="false">(I538-AVERAGE(I$2:I$2001))/STDEV(I$2:I$2001)</f>
        <v>-1.43538077576244</v>
      </c>
      <c r="AD538" s="13" t="n">
        <f aca="false">(L538-AVERAGE(L$2:L$2001))/STDEV(L$2:L$2001)</f>
        <v>0.413838214490712</v>
      </c>
      <c r="AE538" s="13" t="n">
        <f aca="false">(M538-AVERAGE(M$2:M$2001))/STDEV(M$2:M$2001)</f>
        <v>-0.296957401588601</v>
      </c>
      <c r="AF538" s="13" t="n">
        <f aca="false">(N538-AVERAGE(N$2:N$2001))/STDEV(N$2:N$2001)</f>
        <v>-0.829278508002629</v>
      </c>
      <c r="AG538" s="13" t="n">
        <f aca="false">(O538-AVERAGE(O$2:O$2001))/STDEV(O$2:O$2001)</f>
        <v>-0.903248141722109</v>
      </c>
      <c r="AH538" s="0" t="str">
        <f aca="false">IF(B538="Company","C3 - Corporate Buyers",IF(AND(H538="Investment",M538&gt;'Segmentation Summary'!$C$1),"C1 - Global Investors",IF(AND(I538&gt;=4,M538&gt;'Segmentation Summary'!$C$1),"C4 - Luxury Investors",IF(AND(D538&lt;'Segmentation Summary'!$C$2,J538=1),"C2 - First-Time Buyers","C5 - Other Individual Buyers"))))</f>
        <v>C5 - Other Individual Buyers</v>
      </c>
    </row>
    <row r="539" customFormat="false" ht="15" hidden="false" customHeight="true" outlineLevel="0" collapsed="false">
      <c r="A539" s="13" t="s">
        <v>1134</v>
      </c>
      <c r="B539" s="13" t="s">
        <v>34</v>
      </c>
      <c r="C539" s="13" t="s">
        <v>1135</v>
      </c>
      <c r="D539" s="13" t="n">
        <v>26</v>
      </c>
      <c r="E539" s="13" t="s">
        <v>90</v>
      </c>
      <c r="F539" s="13" t="s">
        <v>42</v>
      </c>
      <c r="G539" s="13" t="s">
        <v>288</v>
      </c>
      <c r="H539" s="13" t="s">
        <v>41</v>
      </c>
      <c r="I539" s="13" t="n">
        <v>1</v>
      </c>
      <c r="J539" s="13" t="n">
        <v>0</v>
      </c>
      <c r="K539" s="13" t="s">
        <v>91</v>
      </c>
      <c r="L539" s="13" t="n">
        <v>3</v>
      </c>
      <c r="M539" s="13" t="n">
        <v>791133.03</v>
      </c>
      <c r="N539" s="13" t="n">
        <v>263711.01</v>
      </c>
      <c r="O539" s="13" t="n">
        <v>919.046666666667</v>
      </c>
      <c r="P539" s="13" t="n">
        <v>1</v>
      </c>
      <c r="Q539" s="13" t="n">
        <v>2</v>
      </c>
      <c r="R539" s="13" t="s">
        <v>92</v>
      </c>
      <c r="S539" s="13" t="s">
        <v>164</v>
      </c>
      <c r="T539" s="13" t="n">
        <v>1</v>
      </c>
      <c r="U539" s="13" t="n">
        <f aca="false">IF(B539="Individual",1,0)</f>
        <v>1</v>
      </c>
      <c r="V539" s="13" t="n">
        <f aca="false">IF(B539="Company",1,0)</f>
        <v>0</v>
      </c>
      <c r="W539" s="13" t="n">
        <f aca="false">IF(H539="Home",1,0)</f>
        <v>1</v>
      </c>
      <c r="X539" s="13" t="n">
        <f aca="false">IF(H539="Investment",1,0)</f>
        <v>0</v>
      </c>
      <c r="Y539" s="13" t="n">
        <f aca="false">IF(K539="Website",1,0)</f>
        <v>0</v>
      </c>
      <c r="Z539" s="13" t="n">
        <f aca="false">IF(K539="Agency",1,0)</f>
        <v>1</v>
      </c>
      <c r="AA539" s="13" t="n">
        <f aca="false">IF(K539="Client",1,0)</f>
        <v>0</v>
      </c>
      <c r="AB539" s="13" t="n">
        <f aca="false">(D539-AVERAGE(D$2:D$2001))/STDEV(D$2:D$2001)</f>
        <v>-1.62244851007011</v>
      </c>
      <c r="AC539" s="13" t="n">
        <f aca="false">(I539-AVERAGE(I$2:I$2001))/STDEV(I$2:I$2001)</f>
        <v>-1.43538077576244</v>
      </c>
      <c r="AD539" s="13" t="n">
        <f aca="false">(L539-AVERAGE(L$2:L$2001))/STDEV(L$2:L$2001)</f>
        <v>-0.777063122173208</v>
      </c>
      <c r="AE539" s="13" t="n">
        <f aca="false">(M539-AVERAGE(M$2:M$2001))/STDEV(M$2:M$2001)</f>
        <v>-1.34905428954275</v>
      </c>
      <c r="AF539" s="13" t="n">
        <f aca="false">(N539-AVERAGE(N$2:N$2001))/STDEV(N$2:N$2001)</f>
        <v>-1.19588019503531</v>
      </c>
      <c r="AG539" s="13" t="n">
        <f aca="false">(O539-AVERAGE(O$2:O$2001))/STDEV(O$2:O$2001)</f>
        <v>-1.03869731838515</v>
      </c>
      <c r="AH539" s="0" t="str">
        <f aca="false">IF(B539="Company","C3 - Corporate Buyers",IF(AND(H539="Investment",M539&gt;'Segmentation Summary'!$C$1),"C1 - Global Investors",IF(AND(I539&gt;=4,M539&gt;'Segmentation Summary'!$C$1),"C4 - Luxury Investors",IF(AND(D539&lt;'Segmentation Summary'!$C$2,J539=1),"C2 - First-Time Buyers","C5 - Other Individual Buyers"))))</f>
        <v>C5 - Other Individual Buyers</v>
      </c>
    </row>
    <row r="540" customFormat="false" ht="15" hidden="false" customHeight="true" outlineLevel="0" collapsed="false">
      <c r="A540" s="13" t="s">
        <v>1136</v>
      </c>
      <c r="B540" s="13" t="s">
        <v>34</v>
      </c>
      <c r="C540" s="13" t="s">
        <v>1137</v>
      </c>
      <c r="D540" s="13" t="n">
        <v>29</v>
      </c>
      <c r="E540" s="13" t="s">
        <v>90</v>
      </c>
      <c r="F540" s="13" t="s">
        <v>33</v>
      </c>
      <c r="G540" s="13" t="s">
        <v>145</v>
      </c>
      <c r="H540" s="13" t="s">
        <v>41</v>
      </c>
      <c r="I540" s="13" t="n">
        <v>2</v>
      </c>
      <c r="J540" s="13" t="n">
        <v>0</v>
      </c>
      <c r="K540" s="13" t="s">
        <v>85</v>
      </c>
      <c r="L540" s="13" t="n">
        <v>3</v>
      </c>
      <c r="M540" s="13" t="n">
        <v>1452266.37</v>
      </c>
      <c r="N540" s="13" t="n">
        <v>484088.79</v>
      </c>
      <c r="O540" s="13" t="n">
        <v>1538.77666666667</v>
      </c>
      <c r="P540" s="13" t="n">
        <v>0</v>
      </c>
      <c r="Q540" s="13" t="n">
        <v>3</v>
      </c>
      <c r="R540" s="13" t="s">
        <v>112</v>
      </c>
      <c r="S540" s="13" t="s">
        <v>87</v>
      </c>
      <c r="T540" s="13" t="n">
        <v>1</v>
      </c>
      <c r="U540" s="13" t="n">
        <f aca="false">IF(B540="Individual",1,0)</f>
        <v>1</v>
      </c>
      <c r="V540" s="13" t="n">
        <f aca="false">IF(B540="Company",1,0)</f>
        <v>0</v>
      </c>
      <c r="W540" s="13" t="n">
        <f aca="false">IF(H540="Home",1,0)</f>
        <v>1</v>
      </c>
      <c r="X540" s="13" t="n">
        <f aca="false">IF(H540="Investment",1,0)</f>
        <v>0</v>
      </c>
      <c r="Y540" s="13" t="n">
        <f aca="false">IF(K540="Website",1,0)</f>
        <v>1</v>
      </c>
      <c r="Z540" s="13" t="n">
        <f aca="false">IF(K540="Agency",1,0)</f>
        <v>0</v>
      </c>
      <c r="AA540" s="13" t="n">
        <f aca="false">IF(K540="Client",1,0)</f>
        <v>0</v>
      </c>
      <c r="AB540" s="13" t="n">
        <f aca="false">(D540-AVERAGE(D$2:D$2001))/STDEV(D$2:D$2001)</f>
        <v>-1.44946114360566</v>
      </c>
      <c r="AC540" s="13" t="n">
        <f aca="false">(I540-AVERAGE(I$2:I$2001))/STDEV(I$2:I$2001)</f>
        <v>-0.727948160798201</v>
      </c>
      <c r="AD540" s="13" t="n">
        <f aca="false">(L540-AVERAGE(L$2:L$2001))/STDEV(L$2:L$2001)</f>
        <v>-0.777063122173208</v>
      </c>
      <c r="AE540" s="13" t="n">
        <f aca="false">(M540-AVERAGE(M$2:M$2001))/STDEV(M$2:M$2001)</f>
        <v>0.551679046685498</v>
      </c>
      <c r="AF540" s="13" t="n">
        <f aca="false">(N540-AVERAGE(N$2:N$2001))/STDEV(N$2:N$2001)</f>
        <v>1.96493480185256</v>
      </c>
      <c r="AG540" s="13" t="n">
        <f aca="false">(O540-AVERAGE(O$2:O$2001))/STDEV(O$2:O$2001)</f>
        <v>1.77924879877656</v>
      </c>
      <c r="AH540" s="0" t="str">
        <f aca="false">IF(B540="Company","C3 - Corporate Buyers",IF(AND(H540="Investment",M540&gt;'Segmentation Summary'!$C$1),"C1 - Global Investors",IF(AND(I540&gt;=4,M540&gt;'Segmentation Summary'!$C$1),"C4 - Luxury Investors",IF(AND(D540&lt;'Segmentation Summary'!$C$2,J540=1),"C2 - First-Time Buyers","C5 - Other Individual Buyers"))))</f>
        <v>C5 - Other Individual Buyers</v>
      </c>
    </row>
    <row r="541" customFormat="false" ht="15" hidden="false" customHeight="true" outlineLevel="0" collapsed="false">
      <c r="A541" s="13" t="s">
        <v>1138</v>
      </c>
      <c r="B541" s="13" t="s">
        <v>34</v>
      </c>
      <c r="C541" s="13" t="s">
        <v>1139</v>
      </c>
      <c r="D541" s="13" t="n">
        <v>38</v>
      </c>
      <c r="E541" s="13" t="s">
        <v>90</v>
      </c>
      <c r="F541" s="13" t="s">
        <v>33</v>
      </c>
      <c r="G541" s="13" t="s">
        <v>95</v>
      </c>
      <c r="H541" s="13" t="s">
        <v>41</v>
      </c>
      <c r="I541" s="13" t="n">
        <v>5</v>
      </c>
      <c r="J541" s="13" t="n">
        <v>1</v>
      </c>
      <c r="K541" s="13" t="s">
        <v>85</v>
      </c>
      <c r="L541" s="13" t="n">
        <v>3</v>
      </c>
      <c r="M541" s="13" t="n">
        <v>1077383.54</v>
      </c>
      <c r="N541" s="13" t="n">
        <v>359127.846666667</v>
      </c>
      <c r="O541" s="13" t="n">
        <v>1104.51</v>
      </c>
      <c r="P541" s="13" t="n">
        <v>0</v>
      </c>
      <c r="Q541" s="13" t="n">
        <v>3</v>
      </c>
      <c r="R541" s="13" t="s">
        <v>124</v>
      </c>
      <c r="S541" s="13" t="s">
        <v>141</v>
      </c>
      <c r="T541" s="13" t="n">
        <v>1</v>
      </c>
      <c r="U541" s="13" t="n">
        <f aca="false">IF(B541="Individual",1,0)</f>
        <v>1</v>
      </c>
      <c r="V541" s="13" t="n">
        <f aca="false">IF(B541="Company",1,0)</f>
        <v>0</v>
      </c>
      <c r="W541" s="13" t="n">
        <f aca="false">IF(H541="Home",1,0)</f>
        <v>1</v>
      </c>
      <c r="X541" s="13" t="n">
        <f aca="false">IF(H541="Investment",1,0)</f>
        <v>0</v>
      </c>
      <c r="Y541" s="13" t="n">
        <f aca="false">IF(K541="Website",1,0)</f>
        <v>1</v>
      </c>
      <c r="Z541" s="13" t="n">
        <f aca="false">IF(K541="Agency",1,0)</f>
        <v>0</v>
      </c>
      <c r="AA541" s="13" t="n">
        <f aca="false">IF(K541="Client",1,0)</f>
        <v>0</v>
      </c>
      <c r="AB541" s="13" t="n">
        <f aca="false">(D541-AVERAGE(D$2:D$2001))/STDEV(D$2:D$2001)</f>
        <v>-0.930499044212296</v>
      </c>
      <c r="AC541" s="13" t="n">
        <f aca="false">(I541-AVERAGE(I$2:I$2001))/STDEV(I$2:I$2001)</f>
        <v>1.39434968409451</v>
      </c>
      <c r="AD541" s="13" t="n">
        <f aca="false">(L541-AVERAGE(L$2:L$2001))/STDEV(L$2:L$2001)</f>
        <v>-0.777063122173208</v>
      </c>
      <c r="AE541" s="13" t="n">
        <f aca="false">(M541-AVERAGE(M$2:M$2001))/STDEV(M$2:M$2001)</f>
        <v>-0.526094904573089</v>
      </c>
      <c r="AF541" s="13" t="n">
        <f aca="false">(N541-AVERAGE(N$2:N$2001))/STDEV(N$2:N$2001)</f>
        <v>0.17265599900205</v>
      </c>
      <c r="AG541" s="13" t="n">
        <f aca="false">(O541-AVERAGE(O$2:O$2001))/STDEV(O$2:O$2001)</f>
        <v>-0.195385424427244</v>
      </c>
      <c r="AH541" s="0" t="str">
        <f aca="false">IF(B541="Company","C3 - Corporate Buyers",IF(AND(H541="Investment",M541&gt;'Segmentation Summary'!$C$1),"C1 - Global Investors",IF(AND(I541&gt;=4,M541&gt;'Segmentation Summary'!$C$1),"C4 - Luxury Investors",IF(AND(D541&lt;'Segmentation Summary'!$C$2,J541=1),"C2 - First-Time Buyers","C5 - Other Individual Buyers"))))</f>
        <v>C2 - First-Time Buyers</v>
      </c>
    </row>
    <row r="542" customFormat="false" ht="15" hidden="false" customHeight="true" outlineLevel="0" collapsed="false">
      <c r="A542" s="13" t="s">
        <v>1140</v>
      </c>
      <c r="B542" s="13" t="s">
        <v>34</v>
      </c>
      <c r="C542" s="13" t="s">
        <v>1141</v>
      </c>
      <c r="D542" s="13" t="n">
        <v>62</v>
      </c>
      <c r="E542" s="13" t="s">
        <v>90</v>
      </c>
      <c r="F542" s="13" t="s">
        <v>35</v>
      </c>
      <c r="G542" s="13" t="s">
        <v>374</v>
      </c>
      <c r="H542" s="13" t="s">
        <v>43</v>
      </c>
      <c r="I542" s="13" t="n">
        <v>1</v>
      </c>
      <c r="J542" s="13" t="n">
        <v>0</v>
      </c>
      <c r="K542" s="13" t="s">
        <v>85</v>
      </c>
      <c r="L542" s="13" t="n">
        <v>4</v>
      </c>
      <c r="M542" s="13" t="n">
        <v>1318537.76</v>
      </c>
      <c r="N542" s="13" t="n">
        <v>329634.44</v>
      </c>
      <c r="O542" s="13" t="n">
        <v>1050.5725</v>
      </c>
      <c r="P542" s="13" t="n">
        <v>0</v>
      </c>
      <c r="Q542" s="13" t="n">
        <v>4</v>
      </c>
      <c r="R542" s="13" t="s">
        <v>150</v>
      </c>
      <c r="S542" s="13" t="s">
        <v>87</v>
      </c>
      <c r="T542" s="13" t="n">
        <v>1</v>
      </c>
      <c r="U542" s="13" t="n">
        <f aca="false">IF(B542="Individual",1,0)</f>
        <v>1</v>
      </c>
      <c r="V542" s="13" t="n">
        <f aca="false">IF(B542="Company",1,0)</f>
        <v>0</v>
      </c>
      <c r="W542" s="13" t="n">
        <f aca="false">IF(H542="Home",1,0)</f>
        <v>0</v>
      </c>
      <c r="X542" s="13" t="n">
        <f aca="false">IF(H542="Investment",1,0)</f>
        <v>1</v>
      </c>
      <c r="Y542" s="13" t="n">
        <f aca="false">IF(K542="Website",1,0)</f>
        <v>1</v>
      </c>
      <c r="Z542" s="13" t="n">
        <f aca="false">IF(K542="Agency",1,0)</f>
        <v>0</v>
      </c>
      <c r="AA542" s="13" t="n">
        <f aca="false">IF(K542="Client",1,0)</f>
        <v>0</v>
      </c>
      <c r="AB542" s="13" t="n">
        <f aca="false">(D542-AVERAGE(D$2:D$2001))/STDEV(D$2:D$2001)</f>
        <v>0.453399887503333</v>
      </c>
      <c r="AC542" s="13" t="n">
        <f aca="false">(I542-AVERAGE(I$2:I$2001))/STDEV(I$2:I$2001)</f>
        <v>-1.43538077576244</v>
      </c>
      <c r="AD542" s="13" t="n">
        <f aca="false">(L542-AVERAGE(L$2:L$2001))/STDEV(L$2:L$2001)</f>
        <v>0.413838214490712</v>
      </c>
      <c r="AE542" s="13" t="n">
        <f aca="false">(M542-AVERAGE(M$2:M$2001))/STDEV(M$2:M$2001)</f>
        <v>0.167214353021031</v>
      </c>
      <c r="AF542" s="13" t="n">
        <f aca="false">(N542-AVERAGE(N$2:N$2001))/STDEV(N$2:N$2001)</f>
        <v>-0.250359434320283</v>
      </c>
      <c r="AG542" s="13" t="n">
        <f aca="false">(O542-AVERAGE(O$2:O$2001))/STDEV(O$2:O$2001)</f>
        <v>-0.440642179295346</v>
      </c>
      <c r="AH542" s="0" t="str">
        <f aca="false">IF(B542="Company","C3 - Corporate Buyers",IF(AND(H542="Investment",M542&gt;'Segmentation Summary'!$C$1),"C1 - Global Investors",IF(AND(I542&gt;=4,M542&gt;'Segmentation Summary'!$C$1),"C4 - Luxury Investors",IF(AND(D542&lt;'Segmentation Summary'!$C$2,J542=1),"C2 - First-Time Buyers","C5 - Other Individual Buyers"))))</f>
        <v>C1 - Global Investors</v>
      </c>
    </row>
    <row r="543" customFormat="false" ht="15" hidden="false" customHeight="true" outlineLevel="0" collapsed="false">
      <c r="A543" s="13" t="s">
        <v>1142</v>
      </c>
      <c r="B543" s="13" t="s">
        <v>34</v>
      </c>
      <c r="C543" s="13" t="s">
        <v>1143</v>
      </c>
      <c r="D543" s="13" t="n">
        <v>51</v>
      </c>
      <c r="E543" s="13" t="s">
        <v>90</v>
      </c>
      <c r="F543" s="13" t="s">
        <v>33</v>
      </c>
      <c r="G543" s="13" t="s">
        <v>95</v>
      </c>
      <c r="H543" s="13" t="s">
        <v>41</v>
      </c>
      <c r="I543" s="13" t="n">
        <v>3</v>
      </c>
      <c r="J543" s="13" t="n">
        <v>0</v>
      </c>
      <c r="K543" s="13" t="s">
        <v>91</v>
      </c>
      <c r="L543" s="13" t="n">
        <v>3</v>
      </c>
      <c r="M543" s="13" t="n">
        <v>1375380.46</v>
      </c>
      <c r="N543" s="13" t="n">
        <v>458460.153333333</v>
      </c>
      <c r="O543" s="13" t="n">
        <v>1459.19</v>
      </c>
      <c r="P543" s="13" t="n">
        <v>0</v>
      </c>
      <c r="Q543" s="13" t="n">
        <v>3</v>
      </c>
      <c r="R543" s="13" t="s">
        <v>92</v>
      </c>
      <c r="S543" s="13" t="s">
        <v>87</v>
      </c>
      <c r="T543" s="13" t="n">
        <v>1</v>
      </c>
      <c r="U543" s="13" t="n">
        <f aca="false">IF(B543="Individual",1,0)</f>
        <v>1</v>
      </c>
      <c r="V543" s="13" t="n">
        <f aca="false">IF(B543="Company",1,0)</f>
        <v>0</v>
      </c>
      <c r="W543" s="13" t="n">
        <f aca="false">IF(H543="Home",1,0)</f>
        <v>1</v>
      </c>
      <c r="X543" s="13" t="n">
        <f aca="false">IF(H543="Investment",1,0)</f>
        <v>0</v>
      </c>
      <c r="Y543" s="13" t="n">
        <f aca="false">IF(K543="Website",1,0)</f>
        <v>0</v>
      </c>
      <c r="Z543" s="13" t="n">
        <f aca="false">IF(K543="Agency",1,0)</f>
        <v>1</v>
      </c>
      <c r="AA543" s="13" t="n">
        <f aca="false">IF(K543="Client",1,0)</f>
        <v>0</v>
      </c>
      <c r="AB543" s="13" t="n">
        <f aca="false">(D543-AVERAGE(D$2:D$2001))/STDEV(D$2:D$2001)</f>
        <v>-0.18088712286633</v>
      </c>
      <c r="AC543" s="13" t="n">
        <f aca="false">(I543-AVERAGE(I$2:I$2001))/STDEV(I$2:I$2001)</f>
        <v>-0.0205155458339628</v>
      </c>
      <c r="AD543" s="13" t="n">
        <f aca="false">(L543-AVERAGE(L$2:L$2001))/STDEV(L$2:L$2001)</f>
        <v>-0.777063122173208</v>
      </c>
      <c r="AE543" s="13" t="n">
        <f aca="false">(M543-AVERAGE(M$2:M$2001))/STDEV(M$2:M$2001)</f>
        <v>0.33063496468043</v>
      </c>
      <c r="AF543" s="13" t="n">
        <f aca="false">(N543-AVERAGE(N$2:N$2001))/STDEV(N$2:N$2001)</f>
        <v>1.59735065101035</v>
      </c>
      <c r="AG543" s="13" t="n">
        <f aca="false">(O543-AVERAGE(O$2:O$2001))/STDEV(O$2:O$2001)</f>
        <v>1.41736388387623</v>
      </c>
      <c r="AH543" s="0" t="str">
        <f aca="false">IF(B543="Company","C3 - Corporate Buyers",IF(AND(H543="Investment",M543&gt;'Segmentation Summary'!$C$1),"C1 - Global Investors",IF(AND(I543&gt;=4,M543&gt;'Segmentation Summary'!$C$1),"C4 - Luxury Investors",IF(AND(D543&lt;'Segmentation Summary'!$C$2,J543=1),"C2 - First-Time Buyers","C5 - Other Individual Buyers"))))</f>
        <v>C5 - Other Individual Buyers</v>
      </c>
    </row>
    <row r="544" customFormat="false" ht="15" hidden="false" customHeight="true" outlineLevel="0" collapsed="false">
      <c r="A544" s="13" t="s">
        <v>1144</v>
      </c>
      <c r="B544" s="13" t="s">
        <v>34</v>
      </c>
      <c r="C544" s="13" t="s">
        <v>1145</v>
      </c>
      <c r="D544" s="13" t="n">
        <v>29</v>
      </c>
      <c r="E544" s="13" t="s">
        <v>90</v>
      </c>
      <c r="F544" s="13" t="s">
        <v>33</v>
      </c>
      <c r="G544" s="13" t="s">
        <v>95</v>
      </c>
      <c r="H544" s="13" t="s">
        <v>41</v>
      </c>
      <c r="I544" s="13" t="n">
        <v>3</v>
      </c>
      <c r="J544" s="13" t="n">
        <v>1</v>
      </c>
      <c r="K544" s="13" t="s">
        <v>85</v>
      </c>
      <c r="L544" s="13" t="n">
        <v>4</v>
      </c>
      <c r="M544" s="13" t="n">
        <v>1503904.16</v>
      </c>
      <c r="N544" s="13" t="n">
        <v>375976.04</v>
      </c>
      <c r="O544" s="13" t="n">
        <v>1374.585</v>
      </c>
      <c r="P544" s="13" t="n">
        <v>1</v>
      </c>
      <c r="Q544" s="13" t="n">
        <v>3</v>
      </c>
      <c r="R544" s="13" t="s">
        <v>92</v>
      </c>
      <c r="S544" s="13" t="s">
        <v>125</v>
      </c>
      <c r="T544" s="13" t="n">
        <v>1</v>
      </c>
      <c r="U544" s="13" t="n">
        <f aca="false">IF(B544="Individual",1,0)</f>
        <v>1</v>
      </c>
      <c r="V544" s="13" t="n">
        <f aca="false">IF(B544="Company",1,0)</f>
        <v>0</v>
      </c>
      <c r="W544" s="13" t="n">
        <f aca="false">IF(H544="Home",1,0)</f>
        <v>1</v>
      </c>
      <c r="X544" s="13" t="n">
        <f aca="false">IF(H544="Investment",1,0)</f>
        <v>0</v>
      </c>
      <c r="Y544" s="13" t="n">
        <f aca="false">IF(K544="Website",1,0)</f>
        <v>1</v>
      </c>
      <c r="Z544" s="13" t="n">
        <f aca="false">IF(K544="Agency",1,0)</f>
        <v>0</v>
      </c>
      <c r="AA544" s="13" t="n">
        <f aca="false">IF(K544="Client",1,0)</f>
        <v>0</v>
      </c>
      <c r="AB544" s="13" t="n">
        <f aca="false">(D544-AVERAGE(D$2:D$2001))/STDEV(D$2:D$2001)</f>
        <v>-1.44946114360566</v>
      </c>
      <c r="AC544" s="13" t="n">
        <f aca="false">(I544-AVERAGE(I$2:I$2001))/STDEV(I$2:I$2001)</f>
        <v>-0.0205155458339628</v>
      </c>
      <c r="AD544" s="13" t="n">
        <f aca="false">(L544-AVERAGE(L$2:L$2001))/STDEV(L$2:L$2001)</f>
        <v>0.413838214490712</v>
      </c>
      <c r="AE544" s="13" t="n">
        <f aca="false">(M544-AVERAGE(M$2:M$2001))/STDEV(M$2:M$2001)</f>
        <v>0.70013573904071</v>
      </c>
      <c r="AF544" s="13" t="n">
        <f aca="false">(N544-AVERAGE(N$2:N$2001))/STDEV(N$2:N$2001)</f>
        <v>0.414304781190822</v>
      </c>
      <c r="AG544" s="13" t="n">
        <f aca="false">(O544-AVERAGE(O$2:O$2001))/STDEV(O$2:O$2001)</f>
        <v>1.03266033355195</v>
      </c>
      <c r="AH544" s="0" t="str">
        <f aca="false">IF(B544="Company","C3 - Corporate Buyers",IF(AND(H544="Investment",M544&gt;'Segmentation Summary'!$C$1),"C1 - Global Investors",IF(AND(I544&gt;=4,M544&gt;'Segmentation Summary'!$C$1),"C4 - Luxury Investors",IF(AND(D544&lt;'Segmentation Summary'!$C$2,J544=1),"C2 - First-Time Buyers","C5 - Other Individual Buyers"))))</f>
        <v>C2 - First-Time Buyers</v>
      </c>
    </row>
    <row r="545" customFormat="false" ht="15" hidden="false" customHeight="true" outlineLevel="0" collapsed="false">
      <c r="A545" s="13" t="s">
        <v>1146</v>
      </c>
      <c r="B545" s="13" t="s">
        <v>34</v>
      </c>
      <c r="C545" s="13" t="s">
        <v>1147</v>
      </c>
      <c r="D545" s="13" t="n">
        <v>73</v>
      </c>
      <c r="E545" s="13" t="s">
        <v>90</v>
      </c>
      <c r="F545" s="13" t="s">
        <v>33</v>
      </c>
      <c r="G545" s="13" t="s">
        <v>95</v>
      </c>
      <c r="H545" s="13" t="s">
        <v>43</v>
      </c>
      <c r="I545" s="13" t="n">
        <v>1</v>
      </c>
      <c r="J545" s="13" t="n">
        <v>1</v>
      </c>
      <c r="K545" s="13" t="s">
        <v>85</v>
      </c>
      <c r="L545" s="13" t="n">
        <v>4</v>
      </c>
      <c r="M545" s="13" t="n">
        <v>1431064.56</v>
      </c>
      <c r="N545" s="13" t="n">
        <v>357766.14</v>
      </c>
      <c r="O545" s="13" t="n">
        <v>1146.2825</v>
      </c>
      <c r="P545" s="13" t="n">
        <v>2</v>
      </c>
      <c r="Q545" s="13" t="n">
        <v>2</v>
      </c>
      <c r="R545" s="13" t="s">
        <v>86</v>
      </c>
      <c r="S545" s="13" t="s">
        <v>125</v>
      </c>
      <c r="T545" s="13" t="n">
        <v>1</v>
      </c>
      <c r="U545" s="13" t="n">
        <f aca="false">IF(B545="Individual",1,0)</f>
        <v>1</v>
      </c>
      <c r="V545" s="13" t="n">
        <f aca="false">IF(B545="Company",1,0)</f>
        <v>0</v>
      </c>
      <c r="W545" s="13" t="n">
        <f aca="false">IF(H545="Home",1,0)</f>
        <v>0</v>
      </c>
      <c r="X545" s="13" t="n">
        <f aca="false">IF(H545="Investment",1,0)</f>
        <v>1</v>
      </c>
      <c r="Y545" s="13" t="n">
        <f aca="false">IF(K545="Website",1,0)</f>
        <v>1</v>
      </c>
      <c r="Z545" s="13" t="n">
        <f aca="false">IF(K545="Agency",1,0)</f>
        <v>0</v>
      </c>
      <c r="AA545" s="13" t="n">
        <f aca="false">IF(K545="Client",1,0)</f>
        <v>0</v>
      </c>
      <c r="AB545" s="13" t="n">
        <f aca="false">(D545-AVERAGE(D$2:D$2001))/STDEV(D$2:D$2001)</f>
        <v>1.087686897873</v>
      </c>
      <c r="AC545" s="13" t="n">
        <f aca="false">(I545-AVERAGE(I$2:I$2001))/STDEV(I$2:I$2001)</f>
        <v>-1.43538077576244</v>
      </c>
      <c r="AD545" s="13" t="n">
        <f aca="false">(L545-AVERAGE(L$2:L$2001))/STDEV(L$2:L$2001)</f>
        <v>0.413838214490712</v>
      </c>
      <c r="AE545" s="13" t="n">
        <f aca="false">(M545-AVERAGE(M$2:M$2001))/STDEV(M$2:M$2001)</f>
        <v>0.490724645179476</v>
      </c>
      <c r="AF545" s="13" t="n">
        <f aca="false">(N545-AVERAGE(N$2:N$2001))/STDEV(N$2:N$2001)</f>
        <v>0.153125432656553</v>
      </c>
      <c r="AG545" s="13" t="n">
        <f aca="false">(O545-AVERAGE(O$2:O$2001))/STDEV(O$2:O$2001)</f>
        <v>-0.00544358817736599</v>
      </c>
      <c r="AH545" s="0" t="str">
        <f aca="false">IF(B545="Company","C3 - Corporate Buyers",IF(AND(H545="Investment",M545&gt;'Segmentation Summary'!$C$1),"C1 - Global Investors",IF(AND(I545&gt;=4,M545&gt;'Segmentation Summary'!$C$1),"C4 - Luxury Investors",IF(AND(D545&lt;'Segmentation Summary'!$C$2,J545=1),"C2 - First-Time Buyers","C5 - Other Individual Buyers"))))</f>
        <v>C1 - Global Investors</v>
      </c>
    </row>
    <row r="546" customFormat="false" ht="15" hidden="false" customHeight="true" outlineLevel="0" collapsed="false">
      <c r="A546" s="13" t="s">
        <v>1148</v>
      </c>
      <c r="B546" s="13" t="s">
        <v>34</v>
      </c>
      <c r="C546" s="13" t="s">
        <v>1147</v>
      </c>
      <c r="D546" s="13" t="n">
        <v>43</v>
      </c>
      <c r="E546" s="13" t="s">
        <v>90</v>
      </c>
      <c r="F546" s="13" t="s">
        <v>33</v>
      </c>
      <c r="G546" s="13" t="s">
        <v>100</v>
      </c>
      <c r="H546" s="13" t="s">
        <v>43</v>
      </c>
      <c r="I546" s="13" t="n">
        <v>5</v>
      </c>
      <c r="J546" s="13" t="n">
        <v>1</v>
      </c>
      <c r="K546" s="13" t="s">
        <v>116</v>
      </c>
      <c r="L546" s="13" t="n">
        <v>3</v>
      </c>
      <c r="M546" s="13" t="n">
        <v>894573.22</v>
      </c>
      <c r="N546" s="13" t="n">
        <v>298191.073333333</v>
      </c>
      <c r="O546" s="13" t="n">
        <v>1077.33333333333</v>
      </c>
      <c r="P546" s="13" t="n">
        <v>2</v>
      </c>
      <c r="Q546" s="13" t="n">
        <v>1</v>
      </c>
      <c r="R546" s="13" t="s">
        <v>124</v>
      </c>
      <c r="S546" s="13" t="s">
        <v>152</v>
      </c>
      <c r="T546" s="13" t="n">
        <v>1</v>
      </c>
      <c r="U546" s="13" t="n">
        <f aca="false">IF(B546="Individual",1,0)</f>
        <v>1</v>
      </c>
      <c r="V546" s="13" t="n">
        <f aca="false">IF(B546="Company",1,0)</f>
        <v>0</v>
      </c>
      <c r="W546" s="13" t="n">
        <f aca="false">IF(H546="Home",1,0)</f>
        <v>0</v>
      </c>
      <c r="X546" s="13" t="n">
        <f aca="false">IF(H546="Investment",1,0)</f>
        <v>1</v>
      </c>
      <c r="Y546" s="13" t="n">
        <f aca="false">IF(K546="Website",1,0)</f>
        <v>0</v>
      </c>
      <c r="Z546" s="13" t="n">
        <f aca="false">IF(K546="Agency",1,0)</f>
        <v>0</v>
      </c>
      <c r="AA546" s="13" t="n">
        <f aca="false">IF(K546="Client",1,0)</f>
        <v>1</v>
      </c>
      <c r="AB546" s="13" t="n">
        <f aca="false">(D546-AVERAGE(D$2:D$2001))/STDEV(D$2:D$2001)</f>
        <v>-0.64218676677154</v>
      </c>
      <c r="AC546" s="13" t="n">
        <f aca="false">(I546-AVERAGE(I$2:I$2001))/STDEV(I$2:I$2001)</f>
        <v>1.39434968409451</v>
      </c>
      <c r="AD546" s="13" t="n">
        <f aca="false">(L546-AVERAGE(L$2:L$2001))/STDEV(L$2:L$2001)</f>
        <v>-0.777063122173208</v>
      </c>
      <c r="AE546" s="13" t="n">
        <f aca="false">(M546-AVERAGE(M$2:M$2001))/STDEV(M$2:M$2001)</f>
        <v>-1.05166765731092</v>
      </c>
      <c r="AF546" s="13" t="n">
        <f aca="false">(N546-AVERAGE(N$2:N$2001))/STDEV(N$2:N$2001)</f>
        <v>-0.701342582043458</v>
      </c>
      <c r="AG546" s="13" t="n">
        <f aca="false">(O546-AVERAGE(O$2:O$2001))/STDEV(O$2:O$2001)</f>
        <v>-0.318959210286796</v>
      </c>
      <c r="AH546" s="0" t="str">
        <f aca="false">IF(B546="Company","C3 - Corporate Buyers",IF(AND(H546="Investment",M546&gt;'Segmentation Summary'!$C$1),"C1 - Global Investors",IF(AND(I546&gt;=4,M546&gt;'Segmentation Summary'!$C$1),"C4 - Luxury Investors",IF(AND(D546&lt;'Segmentation Summary'!$C$2,J546=1),"C2 - First-Time Buyers","C5 - Other Individual Buyers"))))</f>
        <v>C2 - First-Time Buyers</v>
      </c>
    </row>
    <row r="547" customFormat="false" ht="15" hidden="false" customHeight="true" outlineLevel="0" collapsed="false">
      <c r="A547" s="13" t="s">
        <v>1149</v>
      </c>
      <c r="B547" s="13" t="s">
        <v>34</v>
      </c>
      <c r="C547" s="13" t="s">
        <v>1150</v>
      </c>
      <c r="D547" s="13" t="n">
        <v>39</v>
      </c>
      <c r="E547" s="13" t="s">
        <v>90</v>
      </c>
      <c r="F547" s="13" t="s">
        <v>33</v>
      </c>
      <c r="G547" s="13" t="s">
        <v>100</v>
      </c>
      <c r="H547" s="13" t="s">
        <v>43</v>
      </c>
      <c r="I547" s="13" t="n">
        <v>3</v>
      </c>
      <c r="J547" s="13" t="n">
        <v>0</v>
      </c>
      <c r="K547" s="13" t="s">
        <v>116</v>
      </c>
      <c r="L547" s="13" t="n">
        <v>4</v>
      </c>
      <c r="M547" s="13" t="n">
        <v>1466467.79</v>
      </c>
      <c r="N547" s="13" t="n">
        <v>366616.9475</v>
      </c>
      <c r="O547" s="13" t="n">
        <v>1220.42</v>
      </c>
      <c r="P547" s="13" t="n">
        <v>1</v>
      </c>
      <c r="Q547" s="13" t="n">
        <v>3</v>
      </c>
      <c r="R547" s="13" t="s">
        <v>98</v>
      </c>
      <c r="S547" s="13" t="s">
        <v>154</v>
      </c>
      <c r="T547" s="13" t="n">
        <v>1</v>
      </c>
      <c r="U547" s="13" t="n">
        <f aca="false">IF(B547="Individual",1,0)</f>
        <v>1</v>
      </c>
      <c r="V547" s="13" t="n">
        <f aca="false">IF(B547="Company",1,0)</f>
        <v>0</v>
      </c>
      <c r="W547" s="13" t="n">
        <f aca="false">IF(H547="Home",1,0)</f>
        <v>0</v>
      </c>
      <c r="X547" s="13" t="n">
        <f aca="false">IF(H547="Investment",1,0)</f>
        <v>1</v>
      </c>
      <c r="Y547" s="13" t="n">
        <f aca="false">IF(K547="Website",1,0)</f>
        <v>0</v>
      </c>
      <c r="Z547" s="13" t="n">
        <f aca="false">IF(K547="Agency",1,0)</f>
        <v>0</v>
      </c>
      <c r="AA547" s="13" t="n">
        <f aca="false">IF(K547="Client",1,0)</f>
        <v>1</v>
      </c>
      <c r="AB547" s="13" t="n">
        <f aca="false">(D547-AVERAGE(D$2:D$2001))/STDEV(D$2:D$2001)</f>
        <v>-0.872836588724145</v>
      </c>
      <c r="AC547" s="13" t="n">
        <f aca="false">(I547-AVERAGE(I$2:I$2001))/STDEV(I$2:I$2001)</f>
        <v>-0.0205155458339628</v>
      </c>
      <c r="AD547" s="13" t="n">
        <f aca="false">(L547-AVERAGE(L$2:L$2001))/STDEV(L$2:L$2001)</f>
        <v>0.413838214490712</v>
      </c>
      <c r="AE547" s="13" t="n">
        <f aca="false">(M547-AVERAGE(M$2:M$2001))/STDEV(M$2:M$2001)</f>
        <v>0.592507591825543</v>
      </c>
      <c r="AF547" s="13" t="n">
        <f aca="false">(N547-AVERAGE(N$2:N$2001))/STDEV(N$2:N$2001)</f>
        <v>0.280070014277112</v>
      </c>
      <c r="AG547" s="13" t="n">
        <f aca="false">(O547-AVERAGE(O$2:O$2001))/STDEV(O$2:O$2001)</f>
        <v>0.331663668629752</v>
      </c>
      <c r="AH547" s="0" t="str">
        <f aca="false">IF(B547="Company","C3 - Corporate Buyers",IF(AND(H547="Investment",M547&gt;'Segmentation Summary'!$C$1),"C1 - Global Investors",IF(AND(I547&gt;=4,M547&gt;'Segmentation Summary'!$C$1),"C4 - Luxury Investors",IF(AND(D547&lt;'Segmentation Summary'!$C$2,J547=1),"C2 - First-Time Buyers","C5 - Other Individual Buyers"))))</f>
        <v>C1 - Global Investors</v>
      </c>
    </row>
    <row r="548" customFormat="false" ht="15" hidden="false" customHeight="true" outlineLevel="0" collapsed="false">
      <c r="A548" s="13" t="s">
        <v>1151</v>
      </c>
      <c r="B548" s="13" t="s">
        <v>34</v>
      </c>
      <c r="C548" s="13" t="s">
        <v>1152</v>
      </c>
      <c r="D548" s="13" t="n">
        <v>39</v>
      </c>
      <c r="E548" s="13" t="s">
        <v>83</v>
      </c>
      <c r="F548" s="13" t="s">
        <v>33</v>
      </c>
      <c r="G548" s="13" t="s">
        <v>95</v>
      </c>
      <c r="H548" s="13" t="s">
        <v>43</v>
      </c>
      <c r="I548" s="13" t="n">
        <v>3</v>
      </c>
      <c r="J548" s="13" t="n">
        <v>1</v>
      </c>
      <c r="K548" s="13" t="s">
        <v>85</v>
      </c>
      <c r="L548" s="13" t="n">
        <v>4</v>
      </c>
      <c r="M548" s="13" t="n">
        <v>1363013.17</v>
      </c>
      <c r="N548" s="13" t="n">
        <v>340753.2925</v>
      </c>
      <c r="O548" s="13" t="n">
        <v>1113.615</v>
      </c>
      <c r="P548" s="13" t="n">
        <v>0</v>
      </c>
      <c r="Q548" s="13" t="n">
        <v>4</v>
      </c>
      <c r="R548" s="13" t="s">
        <v>124</v>
      </c>
      <c r="S548" s="13" t="s">
        <v>125</v>
      </c>
      <c r="T548" s="13" t="n">
        <v>1</v>
      </c>
      <c r="U548" s="13" t="n">
        <f aca="false">IF(B548="Individual",1,0)</f>
        <v>1</v>
      </c>
      <c r="V548" s="13" t="n">
        <f aca="false">IF(B548="Company",1,0)</f>
        <v>0</v>
      </c>
      <c r="W548" s="13" t="n">
        <f aca="false">IF(H548="Home",1,0)</f>
        <v>0</v>
      </c>
      <c r="X548" s="13" t="n">
        <f aca="false">IF(H548="Investment",1,0)</f>
        <v>1</v>
      </c>
      <c r="Y548" s="13" t="n">
        <f aca="false">IF(K548="Website",1,0)</f>
        <v>1</v>
      </c>
      <c r="Z548" s="13" t="n">
        <f aca="false">IF(K548="Agency",1,0)</f>
        <v>0</v>
      </c>
      <c r="AA548" s="13" t="n">
        <f aca="false">IF(K548="Client",1,0)</f>
        <v>0</v>
      </c>
      <c r="AB548" s="13" t="n">
        <f aca="false">(D548-AVERAGE(D$2:D$2001))/STDEV(D$2:D$2001)</f>
        <v>-0.872836588724145</v>
      </c>
      <c r="AC548" s="13" t="n">
        <f aca="false">(I548-AVERAGE(I$2:I$2001))/STDEV(I$2:I$2001)</f>
        <v>-0.0205155458339628</v>
      </c>
      <c r="AD548" s="13" t="n">
        <f aca="false">(L548-AVERAGE(L$2:L$2001))/STDEV(L$2:L$2001)</f>
        <v>0.413838214490712</v>
      </c>
      <c r="AE548" s="13" t="n">
        <f aca="false">(M548-AVERAGE(M$2:M$2001))/STDEV(M$2:M$2001)</f>
        <v>0.295079473889718</v>
      </c>
      <c r="AF548" s="13" t="n">
        <f aca="false">(N548-AVERAGE(N$2:N$2001))/STDEV(N$2:N$2001)</f>
        <v>-0.0908849367997796</v>
      </c>
      <c r="AG548" s="13" t="n">
        <f aca="false">(O548-AVERAGE(O$2:O$2001))/STDEV(O$2:O$2001)</f>
        <v>-0.153984492736415</v>
      </c>
      <c r="AH548" s="0" t="str">
        <f aca="false">IF(B548="Company","C3 - Corporate Buyers",IF(AND(H548="Investment",M548&gt;'Segmentation Summary'!$C$1),"C1 - Global Investors",IF(AND(I548&gt;=4,M548&gt;'Segmentation Summary'!$C$1),"C4 - Luxury Investors",IF(AND(D548&lt;'Segmentation Summary'!$C$2,J548=1),"C2 - First-Time Buyers","C5 - Other Individual Buyers"))))</f>
        <v>C1 - Global Investors</v>
      </c>
    </row>
    <row r="549" customFormat="false" ht="15" hidden="false" customHeight="true" outlineLevel="0" collapsed="false">
      <c r="A549" s="13" t="s">
        <v>1153</v>
      </c>
      <c r="B549" s="13" t="s">
        <v>34</v>
      </c>
      <c r="C549" s="13" t="s">
        <v>1154</v>
      </c>
      <c r="D549" s="13" t="n">
        <v>63</v>
      </c>
      <c r="E549" s="13" t="s">
        <v>83</v>
      </c>
      <c r="F549" s="13" t="s">
        <v>37</v>
      </c>
      <c r="G549" s="13" t="s">
        <v>572</v>
      </c>
      <c r="H549" s="13" t="s">
        <v>43</v>
      </c>
      <c r="I549" s="13" t="n">
        <v>2</v>
      </c>
      <c r="J549" s="13" t="n">
        <v>0</v>
      </c>
      <c r="K549" s="13" t="s">
        <v>91</v>
      </c>
      <c r="L549" s="13" t="n">
        <v>4</v>
      </c>
      <c r="M549" s="13" t="n">
        <v>1403932.48</v>
      </c>
      <c r="N549" s="13" t="n">
        <v>350983.12</v>
      </c>
      <c r="O549" s="13" t="n">
        <v>1242.0825</v>
      </c>
      <c r="P549" s="13" t="n">
        <v>1</v>
      </c>
      <c r="Q549" s="13" t="n">
        <v>3</v>
      </c>
      <c r="R549" s="13" t="s">
        <v>92</v>
      </c>
      <c r="S549" s="13" t="s">
        <v>114</v>
      </c>
      <c r="T549" s="13" t="n">
        <v>1</v>
      </c>
      <c r="U549" s="13" t="n">
        <f aca="false">IF(B549="Individual",1,0)</f>
        <v>1</v>
      </c>
      <c r="V549" s="13" t="n">
        <f aca="false">IF(B549="Company",1,0)</f>
        <v>0</v>
      </c>
      <c r="W549" s="13" t="n">
        <f aca="false">IF(H549="Home",1,0)</f>
        <v>0</v>
      </c>
      <c r="X549" s="13" t="n">
        <f aca="false">IF(H549="Investment",1,0)</f>
        <v>1</v>
      </c>
      <c r="Y549" s="13" t="n">
        <f aca="false">IF(K549="Website",1,0)</f>
        <v>0</v>
      </c>
      <c r="Z549" s="13" t="n">
        <f aca="false">IF(K549="Agency",1,0)</f>
        <v>1</v>
      </c>
      <c r="AA549" s="13" t="n">
        <f aca="false">IF(K549="Client",1,0)</f>
        <v>0</v>
      </c>
      <c r="AB549" s="13" t="n">
        <f aca="false">(D549-AVERAGE(D$2:D$2001))/STDEV(D$2:D$2001)</f>
        <v>0.511062342991484</v>
      </c>
      <c r="AC549" s="13" t="n">
        <f aca="false">(I549-AVERAGE(I$2:I$2001))/STDEV(I$2:I$2001)</f>
        <v>-0.727948160798201</v>
      </c>
      <c r="AD549" s="13" t="n">
        <f aca="false">(L549-AVERAGE(L$2:L$2001))/STDEV(L$2:L$2001)</f>
        <v>0.413838214490712</v>
      </c>
      <c r="AE549" s="13" t="n">
        <f aca="false">(M549-AVERAGE(M$2:M$2001))/STDEV(M$2:M$2001)</f>
        <v>0.412720941815777</v>
      </c>
      <c r="AF549" s="13" t="n">
        <f aca="false">(N549-AVERAGE(N$2:N$2001))/STDEV(N$2:N$2001)</f>
        <v>0.0558385313174507</v>
      </c>
      <c r="AG549" s="13" t="n">
        <f aca="false">(O549-AVERAGE(O$2:O$2001))/STDEV(O$2:O$2001)</f>
        <v>0.430164237850243</v>
      </c>
      <c r="AH549" s="0" t="str">
        <f aca="false">IF(B549="Company","C3 - Corporate Buyers",IF(AND(H549="Investment",M549&gt;'Segmentation Summary'!$C$1),"C1 - Global Investors",IF(AND(I549&gt;=4,M549&gt;'Segmentation Summary'!$C$1),"C4 - Luxury Investors",IF(AND(D549&lt;'Segmentation Summary'!$C$2,J549=1),"C2 - First-Time Buyers","C5 - Other Individual Buyers"))))</f>
        <v>C1 - Global Investors</v>
      </c>
    </row>
    <row r="550" customFormat="false" ht="15" hidden="false" customHeight="true" outlineLevel="0" collapsed="false">
      <c r="A550" s="13" t="s">
        <v>1155</v>
      </c>
      <c r="B550" s="13" t="s">
        <v>34</v>
      </c>
      <c r="C550" s="13" t="s">
        <v>1156</v>
      </c>
      <c r="D550" s="13" t="n">
        <v>51</v>
      </c>
      <c r="E550" s="13" t="s">
        <v>83</v>
      </c>
      <c r="F550" s="13" t="s">
        <v>33</v>
      </c>
      <c r="G550" s="13" t="s">
        <v>95</v>
      </c>
      <c r="H550" s="13" t="s">
        <v>43</v>
      </c>
      <c r="I550" s="13" t="n">
        <v>1</v>
      </c>
      <c r="J550" s="13" t="n">
        <v>0</v>
      </c>
      <c r="K550" s="13" t="s">
        <v>85</v>
      </c>
      <c r="L550" s="13" t="n">
        <v>3</v>
      </c>
      <c r="M550" s="13" t="n">
        <v>1275226.77</v>
      </c>
      <c r="N550" s="13" t="n">
        <v>425075.59</v>
      </c>
      <c r="O550" s="13" t="n">
        <v>1527.86333333333</v>
      </c>
      <c r="P550" s="13" t="n">
        <v>0</v>
      </c>
      <c r="Q550" s="13" t="n">
        <v>3</v>
      </c>
      <c r="R550" s="13" t="s">
        <v>86</v>
      </c>
      <c r="S550" s="13" t="s">
        <v>125</v>
      </c>
      <c r="T550" s="13" t="n">
        <v>1</v>
      </c>
      <c r="U550" s="13" t="n">
        <f aca="false">IF(B550="Individual",1,0)</f>
        <v>1</v>
      </c>
      <c r="V550" s="13" t="n">
        <f aca="false">IF(B550="Company",1,0)</f>
        <v>0</v>
      </c>
      <c r="W550" s="13" t="n">
        <f aca="false">IF(H550="Home",1,0)</f>
        <v>0</v>
      </c>
      <c r="X550" s="13" t="n">
        <f aca="false">IF(H550="Investment",1,0)</f>
        <v>1</v>
      </c>
      <c r="Y550" s="13" t="n">
        <f aca="false">IF(K550="Website",1,0)</f>
        <v>1</v>
      </c>
      <c r="Z550" s="13" t="n">
        <f aca="false">IF(K550="Agency",1,0)</f>
        <v>0</v>
      </c>
      <c r="AA550" s="13" t="n">
        <f aca="false">IF(K550="Client",1,0)</f>
        <v>0</v>
      </c>
      <c r="AB550" s="13" t="n">
        <f aca="false">(D550-AVERAGE(D$2:D$2001))/STDEV(D$2:D$2001)</f>
        <v>-0.18088712286633</v>
      </c>
      <c r="AC550" s="13" t="n">
        <f aca="false">(I550-AVERAGE(I$2:I$2001))/STDEV(I$2:I$2001)</f>
        <v>-1.43538077576244</v>
      </c>
      <c r="AD550" s="13" t="n">
        <f aca="false">(L550-AVERAGE(L$2:L$2001))/STDEV(L$2:L$2001)</f>
        <v>-0.777063122173208</v>
      </c>
      <c r="AE550" s="13" t="n">
        <f aca="false">(M550-AVERAGE(M$2:M$2001))/STDEV(M$2:M$2001)</f>
        <v>0.042696895592476</v>
      </c>
      <c r="AF550" s="13" t="n">
        <f aca="false">(N550-AVERAGE(N$2:N$2001))/STDEV(N$2:N$2001)</f>
        <v>1.1185254788512</v>
      </c>
      <c r="AG550" s="13" t="n">
        <f aca="false">(O550-AVERAGE(O$2:O$2001))/STDEV(O$2:O$2001)</f>
        <v>1.72962527677186</v>
      </c>
      <c r="AH550" s="0" t="str">
        <f aca="false">IF(B550="Company","C3 - Corporate Buyers",IF(AND(H550="Investment",M550&gt;'Segmentation Summary'!$C$1),"C1 - Global Investors",IF(AND(I550&gt;=4,M550&gt;'Segmentation Summary'!$C$1),"C4 - Luxury Investors",IF(AND(D550&lt;'Segmentation Summary'!$C$2,J550=1),"C2 - First-Time Buyers","C5 - Other Individual Buyers"))))</f>
        <v>C1 - Global Investors</v>
      </c>
    </row>
    <row r="551" customFormat="false" ht="15" hidden="false" customHeight="true" outlineLevel="0" collapsed="false">
      <c r="A551" s="13" t="s">
        <v>1157</v>
      </c>
      <c r="B551" s="13" t="s">
        <v>34</v>
      </c>
      <c r="C551" s="13" t="s">
        <v>1158</v>
      </c>
      <c r="D551" s="13" t="n">
        <v>63</v>
      </c>
      <c r="E551" s="13" t="s">
        <v>83</v>
      </c>
      <c r="F551" s="13" t="s">
        <v>33</v>
      </c>
      <c r="G551" s="13" t="s">
        <v>95</v>
      </c>
      <c r="H551" s="13" t="s">
        <v>41</v>
      </c>
      <c r="I551" s="13" t="n">
        <v>5</v>
      </c>
      <c r="J551" s="13" t="n">
        <v>1</v>
      </c>
      <c r="K551" s="13" t="s">
        <v>91</v>
      </c>
      <c r="L551" s="13" t="n">
        <v>3</v>
      </c>
      <c r="M551" s="13" t="n">
        <v>878913.19</v>
      </c>
      <c r="N551" s="13" t="n">
        <v>292971.063333333</v>
      </c>
      <c r="O551" s="13" t="n">
        <v>1188.23333333333</v>
      </c>
      <c r="P551" s="13" t="n">
        <v>0</v>
      </c>
      <c r="Q551" s="13" t="n">
        <v>3</v>
      </c>
      <c r="R551" s="13" t="s">
        <v>121</v>
      </c>
      <c r="S551" s="13" t="s">
        <v>87</v>
      </c>
      <c r="T551" s="13" t="n">
        <v>1</v>
      </c>
      <c r="U551" s="13" t="n">
        <f aca="false">IF(B551="Individual",1,0)</f>
        <v>1</v>
      </c>
      <c r="V551" s="13" t="n">
        <f aca="false">IF(B551="Company",1,0)</f>
        <v>0</v>
      </c>
      <c r="W551" s="13" t="n">
        <f aca="false">IF(H551="Home",1,0)</f>
        <v>1</v>
      </c>
      <c r="X551" s="13" t="n">
        <f aca="false">IF(H551="Investment",1,0)</f>
        <v>0</v>
      </c>
      <c r="Y551" s="13" t="n">
        <f aca="false">IF(K551="Website",1,0)</f>
        <v>0</v>
      </c>
      <c r="Z551" s="13" t="n">
        <f aca="false">IF(K551="Agency",1,0)</f>
        <v>1</v>
      </c>
      <c r="AA551" s="13" t="n">
        <f aca="false">IF(K551="Client",1,0)</f>
        <v>0</v>
      </c>
      <c r="AB551" s="13" t="n">
        <f aca="false">(D551-AVERAGE(D$2:D$2001))/STDEV(D$2:D$2001)</f>
        <v>0.511062342991484</v>
      </c>
      <c r="AC551" s="13" t="n">
        <f aca="false">(I551-AVERAGE(I$2:I$2001))/STDEV(I$2:I$2001)</f>
        <v>1.39434968409451</v>
      </c>
      <c r="AD551" s="13" t="n">
        <f aca="false">(L551-AVERAGE(L$2:L$2001))/STDEV(L$2:L$2001)</f>
        <v>-0.777063122173208</v>
      </c>
      <c r="AE551" s="13" t="n">
        <f aca="false">(M551-AVERAGE(M$2:M$2001))/STDEV(M$2:M$2001)</f>
        <v>-1.09668965100939</v>
      </c>
      <c r="AF551" s="13" t="n">
        <f aca="false">(N551-AVERAGE(N$2:N$2001))/STDEV(N$2:N$2001)</f>
        <v>-0.776211681332436</v>
      </c>
      <c r="AG551" s="13" t="n">
        <f aca="false">(O551-AVERAGE(O$2:O$2001))/STDEV(O$2:O$2001)</f>
        <v>0.185309139467503</v>
      </c>
      <c r="AH551" s="0" t="str">
        <f aca="false">IF(B551="Company","C3 - Corporate Buyers",IF(AND(H551="Investment",M551&gt;'Segmentation Summary'!$C$1),"C1 - Global Investors",IF(AND(I551&gt;=4,M551&gt;'Segmentation Summary'!$C$1),"C4 - Luxury Investors",IF(AND(D551&lt;'Segmentation Summary'!$C$2,J551=1),"C2 - First-Time Buyers","C5 - Other Individual Buyers"))))</f>
        <v>C5 - Other Individual Buyers</v>
      </c>
    </row>
    <row r="552" customFormat="false" ht="15" hidden="false" customHeight="true" outlineLevel="0" collapsed="false">
      <c r="A552" s="13" t="s">
        <v>1159</v>
      </c>
      <c r="B552" s="13" t="s">
        <v>34</v>
      </c>
      <c r="C552" s="13" t="s">
        <v>1160</v>
      </c>
      <c r="D552" s="13" t="n">
        <v>47</v>
      </c>
      <c r="E552" s="13" t="s">
        <v>83</v>
      </c>
      <c r="F552" s="13" t="s">
        <v>33</v>
      </c>
      <c r="G552" s="13" t="s">
        <v>95</v>
      </c>
      <c r="H552" s="13" t="s">
        <v>43</v>
      </c>
      <c r="I552" s="13" t="n">
        <v>2</v>
      </c>
      <c r="J552" s="13" t="n">
        <v>1</v>
      </c>
      <c r="K552" s="13" t="s">
        <v>91</v>
      </c>
      <c r="L552" s="13" t="n">
        <v>4</v>
      </c>
      <c r="M552" s="13" t="n">
        <v>1214377.82</v>
      </c>
      <c r="N552" s="13" t="n">
        <v>303594.455</v>
      </c>
      <c r="O552" s="13" t="n">
        <v>1073.905</v>
      </c>
      <c r="P552" s="13" t="n">
        <v>1</v>
      </c>
      <c r="Q552" s="13" t="n">
        <v>3</v>
      </c>
      <c r="R552" s="13" t="s">
        <v>121</v>
      </c>
      <c r="S552" s="13" t="s">
        <v>114</v>
      </c>
      <c r="T552" s="13" t="n">
        <v>1</v>
      </c>
      <c r="U552" s="13" t="n">
        <f aca="false">IF(B552="Individual",1,0)</f>
        <v>1</v>
      </c>
      <c r="V552" s="13" t="n">
        <f aca="false">IF(B552="Company",1,0)</f>
        <v>0</v>
      </c>
      <c r="W552" s="13" t="n">
        <f aca="false">IF(H552="Home",1,0)</f>
        <v>0</v>
      </c>
      <c r="X552" s="13" t="n">
        <f aca="false">IF(H552="Investment",1,0)</f>
        <v>1</v>
      </c>
      <c r="Y552" s="13" t="n">
        <f aca="false">IF(K552="Website",1,0)</f>
        <v>0</v>
      </c>
      <c r="Z552" s="13" t="n">
        <f aca="false">IF(K552="Agency",1,0)</f>
        <v>1</v>
      </c>
      <c r="AA552" s="13" t="n">
        <f aca="false">IF(K552="Client",1,0)</f>
        <v>0</v>
      </c>
      <c r="AB552" s="13" t="n">
        <f aca="false">(D552-AVERAGE(D$2:D$2001))/STDEV(D$2:D$2001)</f>
        <v>-0.411536944818935</v>
      </c>
      <c r="AC552" s="13" t="n">
        <f aca="false">(I552-AVERAGE(I$2:I$2001))/STDEV(I$2:I$2001)</f>
        <v>-0.727948160798201</v>
      </c>
      <c r="AD552" s="13" t="n">
        <f aca="false">(L552-AVERAGE(L$2:L$2001))/STDEV(L$2:L$2001)</f>
        <v>0.413838214490712</v>
      </c>
      <c r="AE552" s="13" t="n">
        <f aca="false">(M552-AVERAGE(M$2:M$2001))/STDEV(M$2:M$2001)</f>
        <v>-0.132241533226566</v>
      </c>
      <c r="AF552" s="13" t="n">
        <f aca="false">(N552-AVERAGE(N$2:N$2001))/STDEV(N$2:N$2001)</f>
        <v>-0.623843435777849</v>
      </c>
      <c r="AG552" s="13" t="n">
        <f aca="false">(O552-AVERAGE(O$2:O$2001))/STDEV(O$2:O$2001)</f>
        <v>-0.334548028973956</v>
      </c>
      <c r="AH552" s="0" t="str">
        <f aca="false">IF(B552="Company","C3 - Corporate Buyers",IF(AND(H552="Investment",M552&gt;'Segmentation Summary'!$C$1),"C1 - Global Investors",IF(AND(I552&gt;=4,M552&gt;'Segmentation Summary'!$C$1),"C4 - Luxury Investors",IF(AND(D552&lt;'Segmentation Summary'!$C$2,J552=1),"C2 - First-Time Buyers","C5 - Other Individual Buyers"))))</f>
        <v>C2 - First-Time Buyers</v>
      </c>
    </row>
    <row r="553" customFormat="false" ht="15" hidden="false" customHeight="true" outlineLevel="0" collapsed="false">
      <c r="A553" s="13" t="s">
        <v>1161</v>
      </c>
      <c r="B553" s="13" t="s">
        <v>34</v>
      </c>
      <c r="C553" s="13" t="s">
        <v>1162</v>
      </c>
      <c r="D553" s="13" t="n">
        <v>71</v>
      </c>
      <c r="E553" s="13" t="s">
        <v>83</v>
      </c>
      <c r="F553" s="13" t="s">
        <v>40</v>
      </c>
      <c r="G553" s="13" t="s">
        <v>239</v>
      </c>
      <c r="H553" s="13" t="s">
        <v>41</v>
      </c>
      <c r="I553" s="13" t="n">
        <v>2</v>
      </c>
      <c r="J553" s="13" t="n">
        <v>0</v>
      </c>
      <c r="K553" s="13" t="s">
        <v>85</v>
      </c>
      <c r="L553" s="13" t="n">
        <v>3</v>
      </c>
      <c r="M553" s="13" t="n">
        <v>500255.63</v>
      </c>
      <c r="N553" s="13" t="n">
        <v>166751.876666667</v>
      </c>
      <c r="O553" s="13" t="n">
        <v>624.236666666667</v>
      </c>
      <c r="P553" s="13" t="n">
        <v>1</v>
      </c>
      <c r="Q553" s="13" t="n">
        <v>2</v>
      </c>
      <c r="R553" s="13" t="s">
        <v>98</v>
      </c>
      <c r="S553" s="13" t="s">
        <v>133</v>
      </c>
      <c r="T553" s="13" t="n">
        <v>1</v>
      </c>
      <c r="U553" s="13" t="n">
        <f aca="false">IF(B553="Individual",1,0)</f>
        <v>1</v>
      </c>
      <c r="V553" s="13" t="n">
        <f aca="false">IF(B553="Company",1,0)</f>
        <v>0</v>
      </c>
      <c r="W553" s="13" t="n">
        <f aca="false">IF(H553="Home",1,0)</f>
        <v>1</v>
      </c>
      <c r="X553" s="13" t="n">
        <f aca="false">IF(H553="Investment",1,0)</f>
        <v>0</v>
      </c>
      <c r="Y553" s="13" t="n">
        <f aca="false">IF(K553="Website",1,0)</f>
        <v>1</v>
      </c>
      <c r="Z553" s="13" t="n">
        <f aca="false">IF(K553="Agency",1,0)</f>
        <v>0</v>
      </c>
      <c r="AA553" s="13" t="n">
        <f aca="false">IF(K553="Client",1,0)</f>
        <v>0</v>
      </c>
      <c r="AB553" s="13" t="n">
        <f aca="false">(D553-AVERAGE(D$2:D$2001))/STDEV(D$2:D$2001)</f>
        <v>0.972361986896694</v>
      </c>
      <c r="AC553" s="13" t="n">
        <f aca="false">(I553-AVERAGE(I$2:I$2001))/STDEV(I$2:I$2001)</f>
        <v>-0.727948160798201</v>
      </c>
      <c r="AD553" s="13" t="n">
        <f aca="false">(L553-AVERAGE(L$2:L$2001))/STDEV(L$2:L$2001)</f>
        <v>-0.777063122173208</v>
      </c>
      <c r="AE553" s="13" t="n">
        <f aca="false">(M553-AVERAGE(M$2:M$2001))/STDEV(M$2:M$2001)</f>
        <v>-2.18531580818799</v>
      </c>
      <c r="AF553" s="13" t="n">
        <f aca="false">(N553-AVERAGE(N$2:N$2001))/STDEV(N$2:N$2001)</f>
        <v>-2.5865371057513</v>
      </c>
      <c r="AG553" s="13" t="n">
        <f aca="false">(O553-AVERAGE(O$2:O$2001))/STDEV(O$2:O$2001)</f>
        <v>-2.37921447069412</v>
      </c>
      <c r="AH553" s="0" t="str">
        <f aca="false">IF(B553="Company","C3 - Corporate Buyers",IF(AND(H553="Investment",M553&gt;'Segmentation Summary'!$C$1),"C1 - Global Investors",IF(AND(I553&gt;=4,M553&gt;'Segmentation Summary'!$C$1),"C4 - Luxury Investors",IF(AND(D553&lt;'Segmentation Summary'!$C$2,J553=1),"C2 - First-Time Buyers","C5 - Other Individual Buyers"))))</f>
        <v>C5 - Other Individual Buyers</v>
      </c>
    </row>
    <row r="554" customFormat="false" ht="15" hidden="false" customHeight="true" outlineLevel="0" collapsed="false">
      <c r="A554" s="13" t="s">
        <v>1163</v>
      </c>
      <c r="B554" s="13" t="s">
        <v>34</v>
      </c>
      <c r="C554" s="13" t="s">
        <v>1164</v>
      </c>
      <c r="D554" s="13" t="n">
        <v>25</v>
      </c>
      <c r="E554" s="13" t="s">
        <v>83</v>
      </c>
      <c r="F554" s="13" t="s">
        <v>33</v>
      </c>
      <c r="G554" s="13" t="s">
        <v>95</v>
      </c>
      <c r="H554" s="13" t="s">
        <v>41</v>
      </c>
      <c r="I554" s="13" t="n">
        <v>5</v>
      </c>
      <c r="J554" s="13" t="n">
        <v>0</v>
      </c>
      <c r="K554" s="13" t="s">
        <v>85</v>
      </c>
      <c r="L554" s="13" t="n">
        <v>3</v>
      </c>
      <c r="M554" s="13" t="n">
        <v>1460171.41</v>
      </c>
      <c r="N554" s="13" t="n">
        <v>486723.803333333</v>
      </c>
      <c r="O554" s="13" t="n">
        <v>1674.54</v>
      </c>
      <c r="P554" s="13" t="n">
        <v>0</v>
      </c>
      <c r="Q554" s="13" t="n">
        <v>3</v>
      </c>
      <c r="R554" s="13" t="s">
        <v>86</v>
      </c>
      <c r="S554" s="13" t="s">
        <v>164</v>
      </c>
      <c r="T554" s="13" t="n">
        <v>1</v>
      </c>
      <c r="U554" s="13" t="n">
        <f aca="false">IF(B554="Individual",1,0)</f>
        <v>1</v>
      </c>
      <c r="V554" s="13" t="n">
        <f aca="false">IF(B554="Company",1,0)</f>
        <v>0</v>
      </c>
      <c r="W554" s="13" t="n">
        <f aca="false">IF(H554="Home",1,0)</f>
        <v>1</v>
      </c>
      <c r="X554" s="13" t="n">
        <f aca="false">IF(H554="Investment",1,0)</f>
        <v>0</v>
      </c>
      <c r="Y554" s="13" t="n">
        <f aca="false">IF(K554="Website",1,0)</f>
        <v>1</v>
      </c>
      <c r="Z554" s="13" t="n">
        <f aca="false">IF(K554="Agency",1,0)</f>
        <v>0</v>
      </c>
      <c r="AA554" s="13" t="n">
        <f aca="false">IF(K554="Client",1,0)</f>
        <v>0</v>
      </c>
      <c r="AB554" s="13" t="n">
        <f aca="false">(D554-AVERAGE(D$2:D$2001))/STDEV(D$2:D$2001)</f>
        <v>-1.68011096555826</v>
      </c>
      <c r="AC554" s="13" t="n">
        <f aca="false">(I554-AVERAGE(I$2:I$2001))/STDEV(I$2:I$2001)</f>
        <v>1.39434968409451</v>
      </c>
      <c r="AD554" s="13" t="n">
        <f aca="false">(L554-AVERAGE(L$2:L$2001))/STDEV(L$2:L$2001)</f>
        <v>-0.777063122173208</v>
      </c>
      <c r="AE554" s="13" t="n">
        <f aca="false">(M554-AVERAGE(M$2:M$2001))/STDEV(M$2:M$2001)</f>
        <v>0.574405737570906</v>
      </c>
      <c r="AF554" s="13" t="n">
        <f aca="false">(N554-AVERAGE(N$2:N$2001))/STDEV(N$2:N$2001)</f>
        <v>2.00272803881592</v>
      </c>
      <c r="AG554" s="13" t="n">
        <f aca="false">(O554-AVERAGE(O$2:O$2001))/STDEV(O$2:O$2001)</f>
        <v>2.39657208152806</v>
      </c>
      <c r="AH554" s="0" t="str">
        <f aca="false">IF(B554="Company","C3 - Corporate Buyers",IF(AND(H554="Investment",M554&gt;'Segmentation Summary'!$C$1),"C1 - Global Investors",IF(AND(I554&gt;=4,M554&gt;'Segmentation Summary'!$C$1),"C4 - Luxury Investors",IF(AND(D554&lt;'Segmentation Summary'!$C$2,J554=1),"C2 - First-Time Buyers","C5 - Other Individual Buyers"))))</f>
        <v>C4 - Luxury Investors</v>
      </c>
    </row>
    <row r="555" customFormat="false" ht="15" hidden="false" customHeight="true" outlineLevel="0" collapsed="false">
      <c r="A555" s="13" t="s">
        <v>1165</v>
      </c>
      <c r="B555" s="13" t="s">
        <v>34</v>
      </c>
      <c r="C555" s="13" t="s">
        <v>1164</v>
      </c>
      <c r="D555" s="13" t="n">
        <v>80</v>
      </c>
      <c r="E555" s="13" t="s">
        <v>83</v>
      </c>
      <c r="F555" s="13" t="s">
        <v>33</v>
      </c>
      <c r="G555" s="13" t="s">
        <v>95</v>
      </c>
      <c r="H555" s="13" t="s">
        <v>41</v>
      </c>
      <c r="I555" s="13" t="n">
        <v>4</v>
      </c>
      <c r="J555" s="13" t="n">
        <v>0</v>
      </c>
      <c r="K555" s="13" t="s">
        <v>85</v>
      </c>
      <c r="L555" s="13" t="n">
        <v>3</v>
      </c>
      <c r="M555" s="13" t="n">
        <v>1419031.61</v>
      </c>
      <c r="N555" s="13" t="n">
        <v>473010.536666667</v>
      </c>
      <c r="O555" s="13" t="n">
        <v>1454.41</v>
      </c>
      <c r="P555" s="13" t="n">
        <v>1</v>
      </c>
      <c r="Q555" s="13" t="n">
        <v>2</v>
      </c>
      <c r="R555" s="13" t="s">
        <v>86</v>
      </c>
      <c r="S555" s="13" t="s">
        <v>215</v>
      </c>
      <c r="T555" s="13" t="n">
        <v>1</v>
      </c>
      <c r="U555" s="13" t="n">
        <f aca="false">IF(B555="Individual",1,0)</f>
        <v>1</v>
      </c>
      <c r="V555" s="13" t="n">
        <f aca="false">IF(B555="Company",1,0)</f>
        <v>0</v>
      </c>
      <c r="W555" s="13" t="n">
        <f aca="false">IF(H555="Home",1,0)</f>
        <v>1</v>
      </c>
      <c r="X555" s="13" t="n">
        <f aca="false">IF(H555="Investment",1,0)</f>
        <v>0</v>
      </c>
      <c r="Y555" s="13" t="n">
        <f aca="false">IF(K555="Website",1,0)</f>
        <v>1</v>
      </c>
      <c r="Z555" s="13" t="n">
        <f aca="false">IF(K555="Agency",1,0)</f>
        <v>0</v>
      </c>
      <c r="AA555" s="13" t="n">
        <f aca="false">IF(K555="Client",1,0)</f>
        <v>0</v>
      </c>
      <c r="AB555" s="13" t="n">
        <f aca="false">(D555-AVERAGE(D$2:D$2001))/STDEV(D$2:D$2001)</f>
        <v>1.49132408629005</v>
      </c>
      <c r="AC555" s="13" t="n">
        <f aca="false">(I555-AVERAGE(I$2:I$2001))/STDEV(I$2:I$2001)</f>
        <v>0.686917069130275</v>
      </c>
      <c r="AD555" s="13" t="n">
        <f aca="false">(L555-AVERAGE(L$2:L$2001))/STDEV(L$2:L$2001)</f>
        <v>-0.777063122173208</v>
      </c>
      <c r="AE555" s="13" t="n">
        <f aca="false">(M555-AVERAGE(M$2:M$2001))/STDEV(M$2:M$2001)</f>
        <v>0.456130369237852</v>
      </c>
      <c r="AF555" s="13" t="n">
        <f aca="false">(N555-AVERAGE(N$2:N$2001))/STDEV(N$2:N$2001)</f>
        <v>1.80604260648095</v>
      </c>
      <c r="AG555" s="13" t="n">
        <f aca="false">(O555-AVERAGE(O$2:O$2001))/STDEV(O$2:O$2001)</f>
        <v>1.39562896312036</v>
      </c>
      <c r="AH555" s="0" t="str">
        <f aca="false">IF(B555="Company","C3 - Corporate Buyers",IF(AND(H555="Investment",M555&gt;'Segmentation Summary'!$C$1),"C1 - Global Investors",IF(AND(I555&gt;=4,M555&gt;'Segmentation Summary'!$C$1),"C4 - Luxury Investors",IF(AND(D555&lt;'Segmentation Summary'!$C$2,J555=1),"C2 - First-Time Buyers","C5 - Other Individual Buyers"))))</f>
        <v>C4 - Luxury Investors</v>
      </c>
    </row>
    <row r="556" customFormat="false" ht="15" hidden="false" customHeight="true" outlineLevel="0" collapsed="false">
      <c r="A556" s="13" t="s">
        <v>1166</v>
      </c>
      <c r="B556" s="13" t="s">
        <v>34</v>
      </c>
      <c r="C556" s="13" t="s">
        <v>1167</v>
      </c>
      <c r="D556" s="13" t="n">
        <v>55</v>
      </c>
      <c r="E556" s="13" t="s">
        <v>83</v>
      </c>
      <c r="F556" s="13" t="s">
        <v>33</v>
      </c>
      <c r="G556" s="13" t="s">
        <v>207</v>
      </c>
      <c r="H556" s="13" t="s">
        <v>41</v>
      </c>
      <c r="I556" s="13" t="n">
        <v>2</v>
      </c>
      <c r="J556" s="13" t="n">
        <v>0</v>
      </c>
      <c r="K556" s="13" t="s">
        <v>91</v>
      </c>
      <c r="L556" s="13" t="n">
        <v>3</v>
      </c>
      <c r="M556" s="13" t="n">
        <v>1049110.08</v>
      </c>
      <c r="N556" s="13" t="n">
        <v>349703.36</v>
      </c>
      <c r="O556" s="13" t="n">
        <v>1076.69</v>
      </c>
      <c r="P556" s="13" t="n">
        <v>1</v>
      </c>
      <c r="Q556" s="13" t="n">
        <v>2</v>
      </c>
      <c r="R556" s="13" t="s">
        <v>128</v>
      </c>
      <c r="S556" s="13" t="s">
        <v>87</v>
      </c>
      <c r="T556" s="13" t="n">
        <v>1</v>
      </c>
      <c r="U556" s="13" t="n">
        <f aca="false">IF(B556="Individual",1,0)</f>
        <v>1</v>
      </c>
      <c r="V556" s="13" t="n">
        <f aca="false">IF(B556="Company",1,0)</f>
        <v>0</v>
      </c>
      <c r="W556" s="13" t="n">
        <f aca="false">IF(H556="Home",1,0)</f>
        <v>1</v>
      </c>
      <c r="X556" s="13" t="n">
        <f aca="false">IF(H556="Investment",1,0)</f>
        <v>0</v>
      </c>
      <c r="Y556" s="13" t="n">
        <f aca="false">IF(K556="Website",1,0)</f>
        <v>0</v>
      </c>
      <c r="Z556" s="13" t="n">
        <f aca="false">IF(K556="Agency",1,0)</f>
        <v>1</v>
      </c>
      <c r="AA556" s="13" t="n">
        <f aca="false">IF(K556="Client",1,0)</f>
        <v>0</v>
      </c>
      <c r="AB556" s="13" t="n">
        <f aca="false">(D556-AVERAGE(D$2:D$2001))/STDEV(D$2:D$2001)</f>
        <v>0.0497626990862745</v>
      </c>
      <c r="AC556" s="13" t="n">
        <f aca="false">(I556-AVERAGE(I$2:I$2001))/STDEV(I$2:I$2001)</f>
        <v>-0.727948160798201</v>
      </c>
      <c r="AD556" s="13" t="n">
        <f aca="false">(L556-AVERAGE(L$2:L$2001))/STDEV(L$2:L$2001)</f>
        <v>-0.777063122173208</v>
      </c>
      <c r="AE556" s="13" t="n">
        <f aca="false">(M556-AVERAGE(M$2:M$2001))/STDEV(M$2:M$2001)</f>
        <v>-0.607380032248719</v>
      </c>
      <c r="AF556" s="13" t="n">
        <f aca="false">(N556-AVERAGE(N$2:N$2001))/STDEV(N$2:N$2001)</f>
        <v>0.0374833023991031</v>
      </c>
      <c r="AG556" s="13" t="n">
        <f aca="false">(O556-AVERAGE(O$2:O$2001))/STDEV(O$2:O$2001)</f>
        <v>-0.321884482048205</v>
      </c>
      <c r="AH556" s="0" t="str">
        <f aca="false">IF(B556="Company","C3 - Corporate Buyers",IF(AND(H556="Investment",M556&gt;'Segmentation Summary'!$C$1),"C1 - Global Investors",IF(AND(I556&gt;=4,M556&gt;'Segmentation Summary'!$C$1),"C4 - Luxury Investors",IF(AND(D556&lt;'Segmentation Summary'!$C$2,J556=1),"C2 - First-Time Buyers","C5 - Other Individual Buyers"))))</f>
        <v>C5 - Other Individual Buyers</v>
      </c>
    </row>
    <row r="557" customFormat="false" ht="15" hidden="false" customHeight="true" outlineLevel="0" collapsed="false">
      <c r="A557" s="13" t="s">
        <v>1168</v>
      </c>
      <c r="B557" s="13" t="s">
        <v>34</v>
      </c>
      <c r="C557" s="13" t="s">
        <v>1169</v>
      </c>
      <c r="D557" s="13" t="n">
        <v>55</v>
      </c>
      <c r="E557" s="13" t="s">
        <v>83</v>
      </c>
      <c r="F557" s="13" t="s">
        <v>33</v>
      </c>
      <c r="G557" s="13" t="s">
        <v>95</v>
      </c>
      <c r="H557" s="13" t="s">
        <v>41</v>
      </c>
      <c r="I557" s="13" t="n">
        <v>3</v>
      </c>
      <c r="J557" s="13" t="n">
        <v>1</v>
      </c>
      <c r="K557" s="13" t="s">
        <v>85</v>
      </c>
      <c r="L557" s="13" t="n">
        <v>3</v>
      </c>
      <c r="M557" s="13" t="n">
        <v>1278106.36</v>
      </c>
      <c r="N557" s="13" t="n">
        <v>426035.453333333</v>
      </c>
      <c r="O557" s="13" t="n">
        <v>1523.69333333333</v>
      </c>
      <c r="P557" s="13" t="n">
        <v>0</v>
      </c>
      <c r="Q557" s="13" t="n">
        <v>3</v>
      </c>
      <c r="R557" s="13" t="s">
        <v>101</v>
      </c>
      <c r="S557" s="13" t="s">
        <v>107</v>
      </c>
      <c r="T557" s="13" t="n">
        <v>1</v>
      </c>
      <c r="U557" s="13" t="n">
        <f aca="false">IF(B557="Individual",1,0)</f>
        <v>1</v>
      </c>
      <c r="V557" s="13" t="n">
        <f aca="false">IF(B557="Company",1,0)</f>
        <v>0</v>
      </c>
      <c r="W557" s="13" t="n">
        <f aca="false">IF(H557="Home",1,0)</f>
        <v>1</v>
      </c>
      <c r="X557" s="13" t="n">
        <f aca="false">IF(H557="Investment",1,0)</f>
        <v>0</v>
      </c>
      <c r="Y557" s="13" t="n">
        <f aca="false">IF(K557="Website",1,0)</f>
        <v>1</v>
      </c>
      <c r="Z557" s="13" t="n">
        <f aca="false">IF(K557="Agency",1,0)</f>
        <v>0</v>
      </c>
      <c r="AA557" s="13" t="n">
        <f aca="false">IF(K557="Client",1,0)</f>
        <v>0</v>
      </c>
      <c r="AB557" s="13" t="n">
        <f aca="false">(D557-AVERAGE(D$2:D$2001))/STDEV(D$2:D$2001)</f>
        <v>0.0497626990862745</v>
      </c>
      <c r="AC557" s="13" t="n">
        <f aca="false">(I557-AVERAGE(I$2:I$2001))/STDEV(I$2:I$2001)</f>
        <v>-0.0205155458339628</v>
      </c>
      <c r="AD557" s="13" t="n">
        <f aca="false">(L557-AVERAGE(L$2:L$2001))/STDEV(L$2:L$2001)</f>
        <v>-0.777063122173208</v>
      </c>
      <c r="AE557" s="13" t="n">
        <f aca="false">(M557-AVERAGE(M$2:M$2001))/STDEV(M$2:M$2001)</f>
        <v>0.0509756078832064</v>
      </c>
      <c r="AF557" s="13" t="n">
        <f aca="false">(N557-AVERAGE(N$2:N$2001))/STDEV(N$2:N$2001)</f>
        <v>1.13229252205747</v>
      </c>
      <c r="AG557" s="13" t="n">
        <f aca="false">(O557-AVERAGE(O$2:O$2001))/STDEV(O$2:O$2001)</f>
        <v>1.71066405929237</v>
      </c>
      <c r="AH557" s="0" t="str">
        <f aca="false">IF(B557="Company","C3 - Corporate Buyers",IF(AND(H557="Investment",M557&gt;'Segmentation Summary'!$C$1),"C1 - Global Investors",IF(AND(I557&gt;=4,M557&gt;'Segmentation Summary'!$C$1),"C4 - Luxury Investors",IF(AND(D557&lt;'Segmentation Summary'!$C$2,J557=1),"C2 - First-Time Buyers","C5 - Other Individual Buyers"))))</f>
        <v>C5 - Other Individual Buyers</v>
      </c>
    </row>
    <row r="558" customFormat="false" ht="15" hidden="false" customHeight="true" outlineLevel="0" collapsed="false">
      <c r="A558" s="13" t="s">
        <v>1170</v>
      </c>
      <c r="B558" s="13" t="s">
        <v>34</v>
      </c>
      <c r="C558" s="13" t="s">
        <v>1171</v>
      </c>
      <c r="D558" s="13" t="n">
        <v>41</v>
      </c>
      <c r="E558" s="13" t="s">
        <v>83</v>
      </c>
      <c r="F558" s="13" t="s">
        <v>33</v>
      </c>
      <c r="G558" s="13" t="s">
        <v>97</v>
      </c>
      <c r="H558" s="13" t="s">
        <v>41</v>
      </c>
      <c r="I558" s="13" t="n">
        <v>5</v>
      </c>
      <c r="J558" s="13" t="n">
        <v>1</v>
      </c>
      <c r="K558" s="13" t="s">
        <v>91</v>
      </c>
      <c r="L558" s="13" t="n">
        <v>3</v>
      </c>
      <c r="M558" s="13" t="n">
        <v>999792.68</v>
      </c>
      <c r="N558" s="13" t="n">
        <v>333264.226666667</v>
      </c>
      <c r="O558" s="13" t="n">
        <v>1144.80333333333</v>
      </c>
      <c r="P558" s="13" t="n">
        <v>0</v>
      </c>
      <c r="Q558" s="13" t="n">
        <v>3</v>
      </c>
      <c r="R558" s="13" t="s">
        <v>150</v>
      </c>
      <c r="S558" s="13" t="s">
        <v>215</v>
      </c>
      <c r="T558" s="13" t="n">
        <v>1</v>
      </c>
      <c r="U558" s="13" t="n">
        <f aca="false">IF(B558="Individual",1,0)</f>
        <v>1</v>
      </c>
      <c r="V558" s="13" t="n">
        <f aca="false">IF(B558="Company",1,0)</f>
        <v>0</v>
      </c>
      <c r="W558" s="13" t="n">
        <f aca="false">IF(H558="Home",1,0)</f>
        <v>1</v>
      </c>
      <c r="X558" s="13" t="n">
        <f aca="false">IF(H558="Investment",1,0)</f>
        <v>0</v>
      </c>
      <c r="Y558" s="13" t="n">
        <f aca="false">IF(K558="Website",1,0)</f>
        <v>0</v>
      </c>
      <c r="Z558" s="13" t="n">
        <f aca="false">IF(K558="Agency",1,0)</f>
        <v>1</v>
      </c>
      <c r="AA558" s="13" t="n">
        <f aca="false">IF(K558="Client",1,0)</f>
        <v>0</v>
      </c>
      <c r="AB558" s="13" t="n">
        <f aca="false">(D558-AVERAGE(D$2:D$2001))/STDEV(D$2:D$2001)</f>
        <v>-0.757511677747842</v>
      </c>
      <c r="AC558" s="13" t="n">
        <f aca="false">(I558-AVERAGE(I$2:I$2001))/STDEV(I$2:I$2001)</f>
        <v>1.39434968409451</v>
      </c>
      <c r="AD558" s="13" t="n">
        <f aca="false">(L558-AVERAGE(L$2:L$2001))/STDEV(L$2:L$2001)</f>
        <v>-0.777063122173208</v>
      </c>
      <c r="AE558" s="13" t="n">
        <f aca="false">(M558-AVERAGE(M$2:M$2001))/STDEV(M$2:M$2001)</f>
        <v>-0.74916569115393</v>
      </c>
      <c r="AF558" s="13" t="n">
        <f aca="false">(N558-AVERAGE(N$2:N$2001))/STDEV(N$2:N$2001)</f>
        <v>-0.198298450079928</v>
      </c>
      <c r="AG558" s="13" t="n">
        <f aca="false">(O558-AVERAGE(O$2:O$2001))/STDEV(O$2:O$2001)</f>
        <v>-0.0121694397013805</v>
      </c>
      <c r="AH558" s="0" t="str">
        <f aca="false">IF(B558="Company","C3 - Corporate Buyers",IF(AND(H558="Investment",M558&gt;'Segmentation Summary'!$C$1),"C1 - Global Investors",IF(AND(I558&gt;=4,M558&gt;'Segmentation Summary'!$C$1),"C4 - Luxury Investors",IF(AND(D558&lt;'Segmentation Summary'!$C$2,J558=1),"C2 - First-Time Buyers","C5 - Other Individual Buyers"))))</f>
        <v>C2 - First-Time Buyers</v>
      </c>
    </row>
    <row r="559" customFormat="false" ht="15" hidden="false" customHeight="true" outlineLevel="0" collapsed="false">
      <c r="A559" s="13" t="s">
        <v>1172</v>
      </c>
      <c r="B559" s="13" t="s">
        <v>34</v>
      </c>
      <c r="C559" s="13" t="s">
        <v>1173</v>
      </c>
      <c r="D559" s="13" t="n">
        <v>59</v>
      </c>
      <c r="E559" s="13" t="s">
        <v>83</v>
      </c>
      <c r="F559" s="13" t="s">
        <v>33</v>
      </c>
      <c r="G559" s="13" t="s">
        <v>84</v>
      </c>
      <c r="H559" s="13" t="s">
        <v>41</v>
      </c>
      <c r="I559" s="13" t="n">
        <v>1</v>
      </c>
      <c r="J559" s="13" t="n">
        <v>1</v>
      </c>
      <c r="K559" s="13" t="s">
        <v>91</v>
      </c>
      <c r="L559" s="13" t="n">
        <v>4</v>
      </c>
      <c r="M559" s="13" t="n">
        <v>1203775.04</v>
      </c>
      <c r="N559" s="13" t="n">
        <v>300943.76</v>
      </c>
      <c r="O559" s="13" t="n">
        <v>1025.1775</v>
      </c>
      <c r="P559" s="13" t="n">
        <v>0</v>
      </c>
      <c r="Q559" s="13" t="n">
        <v>4</v>
      </c>
      <c r="R559" s="13" t="s">
        <v>150</v>
      </c>
      <c r="S559" s="13" t="s">
        <v>125</v>
      </c>
      <c r="T559" s="13" t="n">
        <v>1</v>
      </c>
      <c r="U559" s="13" t="n">
        <f aca="false">IF(B559="Individual",1,0)</f>
        <v>1</v>
      </c>
      <c r="V559" s="13" t="n">
        <f aca="false">IF(B559="Company",1,0)</f>
        <v>0</v>
      </c>
      <c r="W559" s="13" t="n">
        <f aca="false">IF(H559="Home",1,0)</f>
        <v>1</v>
      </c>
      <c r="X559" s="13" t="n">
        <f aca="false">IF(H559="Investment",1,0)</f>
        <v>0</v>
      </c>
      <c r="Y559" s="13" t="n">
        <f aca="false">IF(K559="Website",1,0)</f>
        <v>0</v>
      </c>
      <c r="Z559" s="13" t="n">
        <f aca="false">IF(K559="Agency",1,0)</f>
        <v>1</v>
      </c>
      <c r="AA559" s="13" t="n">
        <f aca="false">IF(K559="Client",1,0)</f>
        <v>0</v>
      </c>
      <c r="AB559" s="13" t="n">
        <f aca="false">(D559-AVERAGE(D$2:D$2001))/STDEV(D$2:D$2001)</f>
        <v>0.280412521038879</v>
      </c>
      <c r="AC559" s="13" t="n">
        <f aca="false">(I559-AVERAGE(I$2:I$2001))/STDEV(I$2:I$2001)</f>
        <v>-1.43538077576244</v>
      </c>
      <c r="AD559" s="13" t="n">
        <f aca="false">(L559-AVERAGE(L$2:L$2001))/STDEV(L$2:L$2001)</f>
        <v>0.413838214490712</v>
      </c>
      <c r="AE559" s="13" t="n">
        <f aca="false">(M559-AVERAGE(M$2:M$2001))/STDEV(M$2:M$2001)</f>
        <v>-0.16272412453363</v>
      </c>
      <c r="AF559" s="13" t="n">
        <f aca="false">(N559-AVERAGE(N$2:N$2001))/STDEV(N$2:N$2001)</f>
        <v>-0.661861590367553</v>
      </c>
      <c r="AG559" s="13" t="n">
        <f aca="false">(O559-AVERAGE(O$2:O$2001))/STDEV(O$2:O$2001)</f>
        <v>-0.556114629629074</v>
      </c>
      <c r="AH559" s="0" t="str">
        <f aca="false">IF(B559="Company","C3 - Corporate Buyers",IF(AND(H559="Investment",M559&gt;'Segmentation Summary'!$C$1),"C1 - Global Investors",IF(AND(I559&gt;=4,M559&gt;'Segmentation Summary'!$C$1),"C4 - Luxury Investors",IF(AND(D559&lt;'Segmentation Summary'!$C$2,J559=1),"C2 - First-Time Buyers","C5 - Other Individual Buyers"))))</f>
        <v>C5 - Other Individual Buyers</v>
      </c>
    </row>
    <row r="560" customFormat="false" ht="15" hidden="false" customHeight="true" outlineLevel="0" collapsed="false">
      <c r="A560" s="13" t="s">
        <v>1174</v>
      </c>
      <c r="B560" s="13" t="s">
        <v>34</v>
      </c>
      <c r="C560" s="13" t="s">
        <v>1175</v>
      </c>
      <c r="D560" s="13" t="n">
        <v>55</v>
      </c>
      <c r="E560" s="13" t="s">
        <v>83</v>
      </c>
      <c r="F560" s="13" t="s">
        <v>33</v>
      </c>
      <c r="G560" s="13" t="s">
        <v>162</v>
      </c>
      <c r="H560" s="13" t="s">
        <v>43</v>
      </c>
      <c r="I560" s="13" t="n">
        <v>4</v>
      </c>
      <c r="J560" s="13" t="n">
        <v>1</v>
      </c>
      <c r="K560" s="13" t="s">
        <v>91</v>
      </c>
      <c r="L560" s="13" t="n">
        <v>4</v>
      </c>
      <c r="M560" s="13" t="n">
        <v>1700383.7</v>
      </c>
      <c r="N560" s="13" t="n">
        <v>425095.925</v>
      </c>
      <c r="O560" s="13" t="n">
        <v>1413.5925</v>
      </c>
      <c r="P560" s="13" t="n">
        <v>0</v>
      </c>
      <c r="Q560" s="13" t="n">
        <v>4</v>
      </c>
      <c r="R560" s="13" t="s">
        <v>124</v>
      </c>
      <c r="S560" s="13" t="s">
        <v>164</v>
      </c>
      <c r="T560" s="13" t="n">
        <v>1</v>
      </c>
      <c r="U560" s="13" t="n">
        <f aca="false">IF(B560="Individual",1,0)</f>
        <v>1</v>
      </c>
      <c r="V560" s="13" t="n">
        <f aca="false">IF(B560="Company",1,0)</f>
        <v>0</v>
      </c>
      <c r="W560" s="13" t="n">
        <f aca="false">IF(H560="Home",1,0)</f>
        <v>0</v>
      </c>
      <c r="X560" s="13" t="n">
        <f aca="false">IF(H560="Investment",1,0)</f>
        <v>1</v>
      </c>
      <c r="Y560" s="13" t="n">
        <f aca="false">IF(K560="Website",1,0)</f>
        <v>0</v>
      </c>
      <c r="Z560" s="13" t="n">
        <f aca="false">IF(K560="Agency",1,0)</f>
        <v>1</v>
      </c>
      <c r="AA560" s="13" t="n">
        <f aca="false">IF(K560="Client",1,0)</f>
        <v>0</v>
      </c>
      <c r="AB560" s="13" t="n">
        <f aca="false">(D560-AVERAGE(D$2:D$2001))/STDEV(D$2:D$2001)</f>
        <v>0.0497626990862745</v>
      </c>
      <c r="AC560" s="13" t="n">
        <f aca="false">(I560-AVERAGE(I$2:I$2001))/STDEV(I$2:I$2001)</f>
        <v>0.686917069130275</v>
      </c>
      <c r="AD560" s="13" t="n">
        <f aca="false">(L560-AVERAGE(L$2:L$2001))/STDEV(L$2:L$2001)</f>
        <v>0.413838214490712</v>
      </c>
      <c r="AE560" s="13" t="n">
        <f aca="false">(M560-AVERAGE(M$2:M$2001))/STDEV(M$2:M$2001)</f>
        <v>1.26500698205621</v>
      </c>
      <c r="AF560" s="13" t="n">
        <f aca="false">(N560-AVERAGE(N$2:N$2001))/STDEV(N$2:N$2001)</f>
        <v>1.11881713789669</v>
      </c>
      <c r="AG560" s="13" t="n">
        <f aca="false">(O560-AVERAGE(O$2:O$2001))/STDEV(O$2:O$2001)</f>
        <v>1.2100295639671</v>
      </c>
      <c r="AH560" s="0" t="str">
        <f aca="false">IF(B560="Company","C3 - Corporate Buyers",IF(AND(H560="Investment",M560&gt;'Segmentation Summary'!$C$1),"C1 - Global Investors",IF(AND(I560&gt;=4,M560&gt;'Segmentation Summary'!$C$1),"C4 - Luxury Investors",IF(AND(D560&lt;'Segmentation Summary'!$C$2,J560=1),"C2 - First-Time Buyers","C5 - Other Individual Buyers"))))</f>
        <v>C1 - Global Investors</v>
      </c>
    </row>
    <row r="561" customFormat="false" ht="15" hidden="false" customHeight="true" outlineLevel="0" collapsed="false">
      <c r="A561" s="13" t="s">
        <v>1176</v>
      </c>
      <c r="B561" s="13" t="s">
        <v>34</v>
      </c>
      <c r="C561" s="13" t="s">
        <v>1177</v>
      </c>
      <c r="D561" s="13" t="n">
        <v>44</v>
      </c>
      <c r="E561" s="13" t="s">
        <v>90</v>
      </c>
      <c r="F561" s="13" t="s">
        <v>33</v>
      </c>
      <c r="G561" s="13" t="s">
        <v>207</v>
      </c>
      <c r="H561" s="13" t="s">
        <v>43</v>
      </c>
      <c r="I561" s="13" t="n">
        <v>3</v>
      </c>
      <c r="J561" s="13" t="n">
        <v>1</v>
      </c>
      <c r="K561" s="13" t="s">
        <v>91</v>
      </c>
      <c r="L561" s="13" t="n">
        <v>3</v>
      </c>
      <c r="M561" s="13" t="n">
        <v>1006132.77</v>
      </c>
      <c r="N561" s="13" t="n">
        <v>335377.59</v>
      </c>
      <c r="O561" s="13" t="n">
        <v>1155.46333333333</v>
      </c>
      <c r="P561" s="13" t="n">
        <v>1</v>
      </c>
      <c r="Q561" s="13" t="n">
        <v>2</v>
      </c>
      <c r="R561" s="13" t="s">
        <v>128</v>
      </c>
      <c r="S561" s="13" t="s">
        <v>114</v>
      </c>
      <c r="T561" s="13" t="n">
        <v>1</v>
      </c>
      <c r="U561" s="13" t="n">
        <f aca="false">IF(B561="Individual",1,0)</f>
        <v>1</v>
      </c>
      <c r="V561" s="13" t="n">
        <f aca="false">IF(B561="Company",1,0)</f>
        <v>0</v>
      </c>
      <c r="W561" s="13" t="n">
        <f aca="false">IF(H561="Home",1,0)</f>
        <v>0</v>
      </c>
      <c r="X561" s="13" t="n">
        <f aca="false">IF(H561="Investment",1,0)</f>
        <v>1</v>
      </c>
      <c r="Y561" s="13" t="n">
        <f aca="false">IF(K561="Website",1,0)</f>
        <v>0</v>
      </c>
      <c r="Z561" s="13" t="n">
        <f aca="false">IF(K561="Agency",1,0)</f>
        <v>1</v>
      </c>
      <c r="AA561" s="13" t="n">
        <f aca="false">IF(K561="Client",1,0)</f>
        <v>0</v>
      </c>
      <c r="AB561" s="13" t="n">
        <f aca="false">(D561-AVERAGE(D$2:D$2001))/STDEV(D$2:D$2001)</f>
        <v>-0.584524311283389</v>
      </c>
      <c r="AC561" s="13" t="n">
        <f aca="false">(I561-AVERAGE(I$2:I$2001))/STDEV(I$2:I$2001)</f>
        <v>-0.0205155458339628</v>
      </c>
      <c r="AD561" s="13" t="n">
        <f aca="false">(L561-AVERAGE(L$2:L$2001))/STDEV(L$2:L$2001)</f>
        <v>-0.777063122173208</v>
      </c>
      <c r="AE561" s="13" t="n">
        <f aca="false">(M561-AVERAGE(M$2:M$2001))/STDEV(M$2:M$2001)</f>
        <v>-0.730938172303214</v>
      </c>
      <c r="AF561" s="13" t="n">
        <f aca="false">(N561-AVERAGE(N$2:N$2001))/STDEV(N$2:N$2001)</f>
        <v>-0.167987088753609</v>
      </c>
      <c r="AG561" s="13" t="n">
        <f aca="false">(O561-AVERAGE(O$2:O$2001))/STDEV(O$2:O$2001)</f>
        <v>0.0363021618169311</v>
      </c>
      <c r="AH561" s="0" t="str">
        <f aca="false">IF(B561="Company","C3 - Corporate Buyers",IF(AND(H561="Investment",M561&gt;'Segmentation Summary'!$C$1),"C1 - Global Investors",IF(AND(I561&gt;=4,M561&gt;'Segmentation Summary'!$C$1),"C4 - Luxury Investors",IF(AND(D561&lt;'Segmentation Summary'!$C$2,J561=1),"C2 - First-Time Buyers","C5 - Other Individual Buyers"))))</f>
        <v>C2 - First-Time Buyers</v>
      </c>
    </row>
    <row r="562" customFormat="false" ht="15" hidden="false" customHeight="true" outlineLevel="0" collapsed="false">
      <c r="A562" s="13" t="s">
        <v>1178</v>
      </c>
      <c r="B562" s="13" t="s">
        <v>34</v>
      </c>
      <c r="C562" s="13" t="s">
        <v>1179</v>
      </c>
      <c r="D562" s="13" t="n">
        <v>65</v>
      </c>
      <c r="E562" s="13" t="s">
        <v>90</v>
      </c>
      <c r="F562" s="13" t="s">
        <v>33</v>
      </c>
      <c r="G562" s="13" t="s">
        <v>145</v>
      </c>
      <c r="H562" s="13" t="s">
        <v>41</v>
      </c>
      <c r="I562" s="13" t="n">
        <v>1</v>
      </c>
      <c r="J562" s="13" t="n">
        <v>0</v>
      </c>
      <c r="K562" s="13" t="s">
        <v>85</v>
      </c>
      <c r="L562" s="13" t="n">
        <v>3</v>
      </c>
      <c r="M562" s="13" t="n">
        <v>1153134.48</v>
      </c>
      <c r="N562" s="13" t="n">
        <v>384378.16</v>
      </c>
      <c r="O562" s="13" t="n">
        <v>1303.47333333333</v>
      </c>
      <c r="P562" s="13" t="n">
        <v>1</v>
      </c>
      <c r="Q562" s="13" t="n">
        <v>2</v>
      </c>
      <c r="R562" s="13" t="s">
        <v>117</v>
      </c>
      <c r="S562" s="13" t="s">
        <v>103</v>
      </c>
      <c r="T562" s="13" t="n">
        <v>1</v>
      </c>
      <c r="U562" s="13" t="n">
        <f aca="false">IF(B562="Individual",1,0)</f>
        <v>1</v>
      </c>
      <c r="V562" s="13" t="n">
        <f aca="false">IF(B562="Company",1,0)</f>
        <v>0</v>
      </c>
      <c r="W562" s="13" t="n">
        <f aca="false">IF(H562="Home",1,0)</f>
        <v>1</v>
      </c>
      <c r="X562" s="13" t="n">
        <f aca="false">IF(H562="Investment",1,0)</f>
        <v>0</v>
      </c>
      <c r="Y562" s="13" t="n">
        <f aca="false">IF(K562="Website",1,0)</f>
        <v>1</v>
      </c>
      <c r="Z562" s="13" t="n">
        <f aca="false">IF(K562="Agency",1,0)</f>
        <v>0</v>
      </c>
      <c r="AA562" s="13" t="n">
        <f aca="false">IF(K562="Client",1,0)</f>
        <v>0</v>
      </c>
      <c r="AB562" s="13" t="n">
        <f aca="false">(D562-AVERAGE(D$2:D$2001))/STDEV(D$2:D$2001)</f>
        <v>0.626387253967787</v>
      </c>
      <c r="AC562" s="13" t="n">
        <f aca="false">(I562-AVERAGE(I$2:I$2001))/STDEV(I$2:I$2001)</f>
        <v>-1.43538077576244</v>
      </c>
      <c r="AD562" s="13" t="n">
        <f aca="false">(L562-AVERAGE(L$2:L$2001))/STDEV(L$2:L$2001)</f>
        <v>-0.777063122173208</v>
      </c>
      <c r="AE562" s="13" t="n">
        <f aca="false">(M562-AVERAGE(M$2:M$2001))/STDEV(M$2:M$2001)</f>
        <v>-0.308313818372496</v>
      </c>
      <c r="AF562" s="13" t="n">
        <f aca="false">(N562-AVERAGE(N$2:N$2001))/STDEV(N$2:N$2001)</f>
        <v>0.534813967287766</v>
      </c>
      <c r="AG562" s="13" t="n">
        <f aca="false">(O562-AVERAGE(O$2:O$2001))/STDEV(O$2:O$2001)</f>
        <v>0.709311705975036</v>
      </c>
      <c r="AH562" s="0" t="str">
        <f aca="false">IF(B562="Company","C3 - Corporate Buyers",IF(AND(H562="Investment",M562&gt;'Segmentation Summary'!$C$1),"C1 - Global Investors",IF(AND(I562&gt;=4,M562&gt;'Segmentation Summary'!$C$1),"C4 - Luxury Investors",IF(AND(D562&lt;'Segmentation Summary'!$C$2,J562=1),"C2 - First-Time Buyers","C5 - Other Individual Buyers"))))</f>
        <v>C5 - Other Individual Buyers</v>
      </c>
    </row>
    <row r="563" customFormat="false" ht="15" hidden="false" customHeight="true" outlineLevel="0" collapsed="false">
      <c r="A563" s="13" t="s">
        <v>1180</v>
      </c>
      <c r="B563" s="13" t="s">
        <v>34</v>
      </c>
      <c r="C563" s="13" t="s">
        <v>1181</v>
      </c>
      <c r="D563" s="13" t="n">
        <v>26</v>
      </c>
      <c r="E563" s="13" t="s">
        <v>90</v>
      </c>
      <c r="F563" s="13" t="s">
        <v>37</v>
      </c>
      <c r="G563" s="13" t="s">
        <v>676</v>
      </c>
      <c r="H563" s="13" t="s">
        <v>43</v>
      </c>
      <c r="I563" s="13" t="n">
        <v>2</v>
      </c>
      <c r="J563" s="13" t="n">
        <v>1</v>
      </c>
      <c r="K563" s="13" t="s">
        <v>85</v>
      </c>
      <c r="L563" s="13" t="n">
        <v>3</v>
      </c>
      <c r="M563" s="13" t="n">
        <v>889312.14</v>
      </c>
      <c r="N563" s="13" t="n">
        <v>296437.38</v>
      </c>
      <c r="O563" s="13" t="n">
        <v>899.99</v>
      </c>
      <c r="P563" s="13" t="n">
        <v>0</v>
      </c>
      <c r="Q563" s="13" t="n">
        <v>3</v>
      </c>
      <c r="R563" s="13" t="s">
        <v>101</v>
      </c>
      <c r="S563" s="13" t="s">
        <v>114</v>
      </c>
      <c r="T563" s="13" t="n">
        <v>1</v>
      </c>
      <c r="U563" s="13" t="n">
        <f aca="false">IF(B563="Individual",1,0)</f>
        <v>1</v>
      </c>
      <c r="V563" s="13" t="n">
        <f aca="false">IF(B563="Company",1,0)</f>
        <v>0</v>
      </c>
      <c r="W563" s="13" t="n">
        <f aca="false">IF(H563="Home",1,0)</f>
        <v>0</v>
      </c>
      <c r="X563" s="13" t="n">
        <f aca="false">IF(H563="Investment",1,0)</f>
        <v>1</v>
      </c>
      <c r="Y563" s="13" t="n">
        <f aca="false">IF(K563="Website",1,0)</f>
        <v>1</v>
      </c>
      <c r="Z563" s="13" t="n">
        <f aca="false">IF(K563="Agency",1,0)</f>
        <v>0</v>
      </c>
      <c r="AA563" s="13" t="n">
        <f aca="false">IF(K563="Client",1,0)</f>
        <v>0</v>
      </c>
      <c r="AB563" s="13" t="n">
        <f aca="false">(D563-AVERAGE(D$2:D$2001))/STDEV(D$2:D$2001)</f>
        <v>-1.62244851007011</v>
      </c>
      <c r="AC563" s="13" t="n">
        <f aca="false">(I563-AVERAGE(I$2:I$2001))/STDEV(I$2:I$2001)</f>
        <v>-0.727948160798201</v>
      </c>
      <c r="AD563" s="13" t="n">
        <f aca="false">(L563-AVERAGE(L$2:L$2001))/STDEV(L$2:L$2001)</f>
        <v>-0.777063122173208</v>
      </c>
      <c r="AE563" s="13" t="n">
        <f aca="false">(M563-AVERAGE(M$2:M$2001))/STDEV(M$2:M$2001)</f>
        <v>-1.06679306323972</v>
      </c>
      <c r="AF563" s="13" t="n">
        <f aca="false">(N563-AVERAGE(N$2:N$2001))/STDEV(N$2:N$2001)</f>
        <v>-0.726495300198352</v>
      </c>
      <c r="AG563" s="13" t="n">
        <f aca="false">(O563-AVERAGE(O$2:O$2001))/STDEV(O$2:O$2001)</f>
        <v>-1.12534902128702</v>
      </c>
      <c r="AH563" s="0" t="str">
        <f aca="false">IF(B563="Company","C3 - Corporate Buyers",IF(AND(H563="Investment",M563&gt;'Segmentation Summary'!$C$1),"C1 - Global Investors",IF(AND(I563&gt;=4,M563&gt;'Segmentation Summary'!$C$1),"C4 - Luxury Investors",IF(AND(D563&lt;'Segmentation Summary'!$C$2,J563=1),"C2 - First-Time Buyers","C5 - Other Individual Buyers"))))</f>
        <v>C2 - First-Time Buyers</v>
      </c>
    </row>
    <row r="564" customFormat="false" ht="15" hidden="false" customHeight="true" outlineLevel="0" collapsed="false">
      <c r="A564" s="13" t="s">
        <v>1182</v>
      </c>
      <c r="B564" s="13" t="s">
        <v>34</v>
      </c>
      <c r="C564" s="13" t="s">
        <v>1183</v>
      </c>
      <c r="D564" s="13" t="n">
        <v>41</v>
      </c>
      <c r="E564" s="13" t="s">
        <v>90</v>
      </c>
      <c r="F564" s="13" t="s">
        <v>42</v>
      </c>
      <c r="G564" s="13" t="s">
        <v>143</v>
      </c>
      <c r="H564" s="13" t="s">
        <v>43</v>
      </c>
      <c r="I564" s="13" t="n">
        <v>2</v>
      </c>
      <c r="J564" s="13" t="n">
        <v>1</v>
      </c>
      <c r="K564" s="13" t="s">
        <v>91</v>
      </c>
      <c r="L564" s="13" t="n">
        <v>4</v>
      </c>
      <c r="M564" s="13" t="n">
        <v>1000166.88</v>
      </c>
      <c r="N564" s="13" t="n">
        <v>250041.72</v>
      </c>
      <c r="O564" s="13" t="n">
        <v>851.0225</v>
      </c>
      <c r="P564" s="13" t="n">
        <v>1</v>
      </c>
      <c r="Q564" s="13" t="n">
        <v>3</v>
      </c>
      <c r="R564" s="13" t="s">
        <v>121</v>
      </c>
      <c r="S564" s="13" t="s">
        <v>125</v>
      </c>
      <c r="T564" s="13" t="n">
        <v>1</v>
      </c>
      <c r="U564" s="13" t="n">
        <f aca="false">IF(B564="Individual",1,0)</f>
        <v>1</v>
      </c>
      <c r="V564" s="13" t="n">
        <f aca="false">IF(B564="Company",1,0)</f>
        <v>0</v>
      </c>
      <c r="W564" s="13" t="n">
        <f aca="false">IF(H564="Home",1,0)</f>
        <v>0</v>
      </c>
      <c r="X564" s="13" t="n">
        <f aca="false">IF(H564="Investment",1,0)</f>
        <v>1</v>
      </c>
      <c r="Y564" s="13" t="n">
        <f aca="false">IF(K564="Website",1,0)</f>
        <v>0</v>
      </c>
      <c r="Z564" s="13" t="n">
        <f aca="false">IF(K564="Agency",1,0)</f>
        <v>1</v>
      </c>
      <c r="AA564" s="13" t="n">
        <f aca="false">IF(K564="Client",1,0)</f>
        <v>0</v>
      </c>
      <c r="AB564" s="13" t="n">
        <f aca="false">(D564-AVERAGE(D$2:D$2001))/STDEV(D$2:D$2001)</f>
        <v>-0.757511677747842</v>
      </c>
      <c r="AC564" s="13" t="n">
        <f aca="false">(I564-AVERAGE(I$2:I$2001))/STDEV(I$2:I$2001)</f>
        <v>-0.727948160798201</v>
      </c>
      <c r="AD564" s="13" t="n">
        <f aca="false">(L564-AVERAGE(L$2:L$2001))/STDEV(L$2:L$2001)</f>
        <v>0.413838214490712</v>
      </c>
      <c r="AE564" s="13" t="n">
        <f aca="false">(M564-AVERAGE(M$2:M$2001))/STDEV(M$2:M$2001)</f>
        <v>-0.748089880313084</v>
      </c>
      <c r="AF564" s="13" t="n">
        <f aca="false">(N564-AVERAGE(N$2:N$2001))/STDEV(N$2:N$2001)</f>
        <v>-1.39193488271212</v>
      </c>
      <c r="AG564" s="13" t="n">
        <f aca="false">(O564-AVERAGE(O$2:O$2001))/STDEV(O$2:O$2001)</f>
        <v>-1.34800691503448</v>
      </c>
      <c r="AH564" s="0" t="str">
        <f aca="false">IF(B564="Company","C3 - Corporate Buyers",IF(AND(H564="Investment",M564&gt;'Segmentation Summary'!$C$1),"C1 - Global Investors",IF(AND(I564&gt;=4,M564&gt;'Segmentation Summary'!$C$1),"C4 - Luxury Investors",IF(AND(D564&lt;'Segmentation Summary'!$C$2,J564=1),"C2 - First-Time Buyers","C5 - Other Individual Buyers"))))</f>
        <v>C2 - First-Time Buyers</v>
      </c>
    </row>
    <row r="565" customFormat="false" ht="15" hidden="false" customHeight="true" outlineLevel="0" collapsed="false">
      <c r="A565" s="13" t="s">
        <v>1184</v>
      </c>
      <c r="B565" s="13" t="s">
        <v>34</v>
      </c>
      <c r="C565" s="13" t="s">
        <v>1185</v>
      </c>
      <c r="D565" s="13" t="n">
        <v>71</v>
      </c>
      <c r="E565" s="13" t="s">
        <v>90</v>
      </c>
      <c r="F565" s="13" t="s">
        <v>33</v>
      </c>
      <c r="G565" s="13" t="s">
        <v>120</v>
      </c>
      <c r="H565" s="13" t="s">
        <v>43</v>
      </c>
      <c r="I565" s="13" t="n">
        <v>5</v>
      </c>
      <c r="J565" s="13" t="n">
        <v>1</v>
      </c>
      <c r="K565" s="13" t="s">
        <v>91</v>
      </c>
      <c r="L565" s="13" t="n">
        <v>4</v>
      </c>
      <c r="M565" s="13" t="n">
        <v>836494.02</v>
      </c>
      <c r="N565" s="13" t="n">
        <v>209123.505</v>
      </c>
      <c r="O565" s="13" t="n">
        <v>706.0875</v>
      </c>
      <c r="P565" s="13" t="n">
        <v>1</v>
      </c>
      <c r="Q565" s="13" t="n">
        <v>3</v>
      </c>
      <c r="R565" s="13" t="s">
        <v>128</v>
      </c>
      <c r="S565" s="13" t="s">
        <v>114</v>
      </c>
      <c r="T565" s="13" t="n">
        <v>1</v>
      </c>
      <c r="U565" s="13" t="n">
        <f aca="false">IF(B565="Individual",1,0)</f>
        <v>1</v>
      </c>
      <c r="V565" s="13" t="n">
        <f aca="false">IF(B565="Company",1,0)</f>
        <v>0</v>
      </c>
      <c r="W565" s="13" t="n">
        <f aca="false">IF(H565="Home",1,0)</f>
        <v>0</v>
      </c>
      <c r="X565" s="13" t="n">
        <f aca="false">IF(H565="Investment",1,0)</f>
        <v>1</v>
      </c>
      <c r="Y565" s="13" t="n">
        <f aca="false">IF(K565="Website",1,0)</f>
        <v>0</v>
      </c>
      <c r="Z565" s="13" t="n">
        <f aca="false">IF(K565="Agency",1,0)</f>
        <v>1</v>
      </c>
      <c r="AA565" s="13" t="n">
        <f aca="false">IF(K565="Client",1,0)</f>
        <v>0</v>
      </c>
      <c r="AB565" s="13" t="n">
        <f aca="false">(D565-AVERAGE(D$2:D$2001))/STDEV(D$2:D$2001)</f>
        <v>0.972361986896694</v>
      </c>
      <c r="AC565" s="13" t="n">
        <f aca="false">(I565-AVERAGE(I$2:I$2001))/STDEV(I$2:I$2001)</f>
        <v>1.39434968409451</v>
      </c>
      <c r="AD565" s="13" t="n">
        <f aca="false">(L565-AVERAGE(L$2:L$2001))/STDEV(L$2:L$2001)</f>
        <v>0.413838214490712</v>
      </c>
      <c r="AE565" s="13" t="n">
        <f aca="false">(M565-AVERAGE(M$2:M$2001))/STDEV(M$2:M$2001)</f>
        <v>-1.21864315968305</v>
      </c>
      <c r="AF565" s="13" t="n">
        <f aca="false">(N565-AVERAGE(N$2:N$2001))/STDEV(N$2:N$2001)</f>
        <v>-1.97881304991156</v>
      </c>
      <c r="AG565" s="13" t="n">
        <f aca="false">(O565-AVERAGE(O$2:O$2001))/STDEV(O$2:O$2001)</f>
        <v>-2.00703426644692</v>
      </c>
      <c r="AH565" s="0" t="str">
        <f aca="false">IF(B565="Company","C3 - Corporate Buyers",IF(AND(H565="Investment",M565&gt;'Segmentation Summary'!$C$1),"C1 - Global Investors",IF(AND(I565&gt;=4,M565&gt;'Segmentation Summary'!$C$1),"C4 - Luxury Investors",IF(AND(D565&lt;'Segmentation Summary'!$C$2,J565=1),"C2 - First-Time Buyers","C5 - Other Individual Buyers"))))</f>
        <v>C5 - Other Individual Buyers</v>
      </c>
    </row>
    <row r="566" customFormat="false" ht="15" hidden="false" customHeight="true" outlineLevel="0" collapsed="false">
      <c r="A566" s="13" t="s">
        <v>1186</v>
      </c>
      <c r="B566" s="13" t="s">
        <v>34</v>
      </c>
      <c r="C566" s="13" t="s">
        <v>1187</v>
      </c>
      <c r="D566" s="13" t="n">
        <v>40</v>
      </c>
      <c r="E566" s="13" t="s">
        <v>90</v>
      </c>
      <c r="F566" s="13" t="s">
        <v>33</v>
      </c>
      <c r="G566" s="13" t="s">
        <v>162</v>
      </c>
      <c r="H566" s="13" t="s">
        <v>41</v>
      </c>
      <c r="I566" s="13" t="n">
        <v>3</v>
      </c>
      <c r="J566" s="13" t="n">
        <v>0</v>
      </c>
      <c r="K566" s="13" t="s">
        <v>85</v>
      </c>
      <c r="L566" s="13" t="n">
        <v>4</v>
      </c>
      <c r="M566" s="13" t="n">
        <v>1238434.91</v>
      </c>
      <c r="N566" s="13" t="n">
        <v>309608.7275</v>
      </c>
      <c r="O566" s="13" t="n">
        <v>1019.1225</v>
      </c>
      <c r="P566" s="13" t="n">
        <v>0</v>
      </c>
      <c r="Q566" s="13" t="n">
        <v>4</v>
      </c>
      <c r="R566" s="13" t="s">
        <v>101</v>
      </c>
      <c r="S566" s="13" t="s">
        <v>114</v>
      </c>
      <c r="T566" s="13" t="n">
        <v>1</v>
      </c>
      <c r="U566" s="13" t="n">
        <f aca="false">IF(B566="Individual",1,0)</f>
        <v>1</v>
      </c>
      <c r="V566" s="13" t="n">
        <f aca="false">IF(B566="Company",1,0)</f>
        <v>0</v>
      </c>
      <c r="W566" s="13" t="n">
        <f aca="false">IF(H566="Home",1,0)</f>
        <v>1</v>
      </c>
      <c r="X566" s="13" t="n">
        <f aca="false">IF(H566="Investment",1,0)</f>
        <v>0</v>
      </c>
      <c r="Y566" s="13" t="n">
        <f aca="false">IF(K566="Website",1,0)</f>
        <v>1</v>
      </c>
      <c r="Z566" s="13" t="n">
        <f aca="false">IF(K566="Agency",1,0)</f>
        <v>0</v>
      </c>
      <c r="AA566" s="13" t="n">
        <f aca="false">IF(K566="Client",1,0)</f>
        <v>0</v>
      </c>
      <c r="AB566" s="13" t="n">
        <f aca="false">(D566-AVERAGE(D$2:D$2001))/STDEV(D$2:D$2001)</f>
        <v>-0.815174133235994</v>
      </c>
      <c r="AC566" s="13" t="n">
        <f aca="false">(I566-AVERAGE(I$2:I$2001))/STDEV(I$2:I$2001)</f>
        <v>-0.0205155458339628</v>
      </c>
      <c r="AD566" s="13" t="n">
        <f aca="false">(L566-AVERAGE(L$2:L$2001))/STDEV(L$2:L$2001)</f>
        <v>0.413838214490712</v>
      </c>
      <c r="AE566" s="13" t="n">
        <f aca="false">(M566-AVERAGE(M$2:M$2001))/STDEV(M$2:M$2001)</f>
        <v>-0.0630783097599613</v>
      </c>
      <c r="AF566" s="13" t="n">
        <f aca="false">(N566-AVERAGE(N$2:N$2001))/STDEV(N$2:N$2001)</f>
        <v>-0.537582458317371</v>
      </c>
      <c r="AG566" s="13" t="n">
        <f aca="false">(O566-AVERAGE(O$2:O$2001))/STDEV(O$2:O$2001)</f>
        <v>-0.583647044938022</v>
      </c>
      <c r="AH566" s="0" t="str">
        <f aca="false">IF(B566="Company","C3 - Corporate Buyers",IF(AND(H566="Investment",M566&gt;'Segmentation Summary'!$C$1),"C1 - Global Investors",IF(AND(I566&gt;=4,M566&gt;'Segmentation Summary'!$C$1),"C4 - Luxury Investors",IF(AND(D566&lt;'Segmentation Summary'!$C$2,J566=1),"C2 - First-Time Buyers","C5 - Other Individual Buyers"))))</f>
        <v>C5 - Other Individual Buyers</v>
      </c>
    </row>
    <row r="567" customFormat="false" ht="15" hidden="false" customHeight="true" outlineLevel="0" collapsed="false">
      <c r="A567" s="13" t="s">
        <v>1188</v>
      </c>
      <c r="B567" s="13" t="s">
        <v>34</v>
      </c>
      <c r="C567" s="13" t="s">
        <v>1187</v>
      </c>
      <c r="D567" s="13" t="n">
        <v>29</v>
      </c>
      <c r="E567" s="13" t="s">
        <v>90</v>
      </c>
      <c r="F567" s="13" t="s">
        <v>42</v>
      </c>
      <c r="G567" s="13" t="s">
        <v>551</v>
      </c>
      <c r="H567" s="13" t="s">
        <v>41</v>
      </c>
      <c r="I567" s="13" t="n">
        <v>2</v>
      </c>
      <c r="J567" s="13" t="n">
        <v>1</v>
      </c>
      <c r="K567" s="13" t="s">
        <v>85</v>
      </c>
      <c r="L567" s="13" t="n">
        <v>4</v>
      </c>
      <c r="M567" s="13" t="n">
        <v>1111089.24</v>
      </c>
      <c r="N567" s="13" t="n">
        <v>277772.31</v>
      </c>
      <c r="O567" s="13" t="n">
        <v>1050.5725</v>
      </c>
      <c r="P567" s="13" t="n">
        <v>1</v>
      </c>
      <c r="Q567" s="13" t="n">
        <v>3</v>
      </c>
      <c r="R567" s="13" t="s">
        <v>93</v>
      </c>
      <c r="S567" s="13" t="s">
        <v>87</v>
      </c>
      <c r="T567" s="13" t="n">
        <v>1</v>
      </c>
      <c r="U567" s="13" t="n">
        <f aca="false">IF(B567="Individual",1,0)</f>
        <v>1</v>
      </c>
      <c r="V567" s="13" t="n">
        <f aca="false">IF(B567="Company",1,0)</f>
        <v>0</v>
      </c>
      <c r="W567" s="13" t="n">
        <f aca="false">IF(H567="Home",1,0)</f>
        <v>1</v>
      </c>
      <c r="X567" s="13" t="n">
        <f aca="false">IF(H567="Investment",1,0)</f>
        <v>0</v>
      </c>
      <c r="Y567" s="13" t="n">
        <f aca="false">IF(K567="Website",1,0)</f>
        <v>1</v>
      </c>
      <c r="Z567" s="13" t="n">
        <f aca="false">IF(K567="Agency",1,0)</f>
        <v>0</v>
      </c>
      <c r="AA567" s="13" t="n">
        <f aca="false">IF(K567="Client",1,0)</f>
        <v>0</v>
      </c>
      <c r="AB567" s="13" t="n">
        <f aca="false">(D567-AVERAGE(D$2:D$2001))/STDEV(D$2:D$2001)</f>
        <v>-1.44946114360566</v>
      </c>
      <c r="AC567" s="13" t="n">
        <f aca="false">(I567-AVERAGE(I$2:I$2001))/STDEV(I$2:I$2001)</f>
        <v>-0.727948160798201</v>
      </c>
      <c r="AD567" s="13" t="n">
        <f aca="false">(L567-AVERAGE(L$2:L$2001))/STDEV(L$2:L$2001)</f>
        <v>0.413838214490712</v>
      </c>
      <c r="AE567" s="13" t="n">
        <f aca="false">(M567-AVERAGE(M$2:M$2001))/STDEV(M$2:M$2001)</f>
        <v>-0.42919229244509</v>
      </c>
      <c r="AF567" s="13" t="n">
        <f aca="false">(N567-AVERAGE(N$2:N$2001))/STDEV(N$2:N$2001)</f>
        <v>-0.994203020885809</v>
      </c>
      <c r="AG567" s="13" t="n">
        <f aca="false">(O567-AVERAGE(O$2:O$2001))/STDEV(O$2:O$2001)</f>
        <v>-0.440642179295346</v>
      </c>
      <c r="AH567" s="0" t="str">
        <f aca="false">IF(B567="Company","C3 - Corporate Buyers",IF(AND(H567="Investment",M567&gt;'Segmentation Summary'!$C$1),"C1 - Global Investors",IF(AND(I567&gt;=4,M567&gt;'Segmentation Summary'!$C$1),"C4 - Luxury Investors",IF(AND(D567&lt;'Segmentation Summary'!$C$2,J567=1),"C2 - First-Time Buyers","C5 - Other Individual Buyers"))))</f>
        <v>C2 - First-Time Buyers</v>
      </c>
    </row>
    <row r="568" customFormat="false" ht="15" hidden="false" customHeight="true" outlineLevel="0" collapsed="false">
      <c r="A568" s="13" t="s">
        <v>1189</v>
      </c>
      <c r="B568" s="13" t="s">
        <v>34</v>
      </c>
      <c r="C568" s="13" t="s">
        <v>1190</v>
      </c>
      <c r="D568" s="13" t="n">
        <v>28</v>
      </c>
      <c r="E568" s="13" t="s">
        <v>90</v>
      </c>
      <c r="F568" s="13" t="s">
        <v>33</v>
      </c>
      <c r="G568" s="13" t="s">
        <v>95</v>
      </c>
      <c r="H568" s="13" t="s">
        <v>41</v>
      </c>
      <c r="I568" s="13" t="n">
        <v>2</v>
      </c>
      <c r="J568" s="13" t="n">
        <v>1</v>
      </c>
      <c r="K568" s="13" t="s">
        <v>85</v>
      </c>
      <c r="L568" s="13" t="n">
        <v>3</v>
      </c>
      <c r="M568" s="13" t="n">
        <v>1347002.93</v>
      </c>
      <c r="N568" s="13" t="n">
        <v>449000.976666667</v>
      </c>
      <c r="O568" s="13" t="n">
        <v>1445.29333333333</v>
      </c>
      <c r="P568" s="13" t="n">
        <v>1</v>
      </c>
      <c r="Q568" s="13" t="n">
        <v>2</v>
      </c>
      <c r="R568" s="13" t="s">
        <v>121</v>
      </c>
      <c r="S568" s="13" t="s">
        <v>164</v>
      </c>
      <c r="T568" s="13" t="n">
        <v>1</v>
      </c>
      <c r="U568" s="13" t="n">
        <f aca="false">IF(B568="Individual",1,0)</f>
        <v>1</v>
      </c>
      <c r="V568" s="13" t="n">
        <f aca="false">IF(B568="Company",1,0)</f>
        <v>0</v>
      </c>
      <c r="W568" s="13" t="n">
        <f aca="false">IF(H568="Home",1,0)</f>
        <v>1</v>
      </c>
      <c r="X568" s="13" t="n">
        <f aca="false">IF(H568="Investment",1,0)</f>
        <v>0</v>
      </c>
      <c r="Y568" s="13" t="n">
        <f aca="false">IF(K568="Website",1,0)</f>
        <v>1</v>
      </c>
      <c r="Z568" s="13" t="n">
        <f aca="false">IF(K568="Agency",1,0)</f>
        <v>0</v>
      </c>
      <c r="AA568" s="13" t="n">
        <f aca="false">IF(K568="Client",1,0)</f>
        <v>0</v>
      </c>
      <c r="AB568" s="13" t="n">
        <f aca="false">(D568-AVERAGE(D$2:D$2001))/STDEV(D$2:D$2001)</f>
        <v>-1.50712359909381</v>
      </c>
      <c r="AC568" s="13" t="n">
        <f aca="false">(I568-AVERAGE(I$2:I$2001))/STDEV(I$2:I$2001)</f>
        <v>-0.727948160798201</v>
      </c>
      <c r="AD568" s="13" t="n">
        <f aca="false">(L568-AVERAGE(L$2:L$2001))/STDEV(L$2:L$2001)</f>
        <v>-0.777063122173208</v>
      </c>
      <c r="AE568" s="13" t="n">
        <f aca="false">(M568-AVERAGE(M$2:M$2001))/STDEV(M$2:M$2001)</f>
        <v>0.249050639692648</v>
      </c>
      <c r="AF568" s="13" t="n">
        <f aca="false">(N568-AVERAGE(N$2:N$2001))/STDEV(N$2:N$2001)</f>
        <v>1.46168040573331</v>
      </c>
      <c r="AG568" s="13" t="n">
        <f aca="false">(O568-AVERAGE(O$2:O$2001))/STDEV(O$2:O$2001)</f>
        <v>1.35417498245975</v>
      </c>
      <c r="AH568" s="0" t="str">
        <f aca="false">IF(B568="Company","C3 - Corporate Buyers",IF(AND(H568="Investment",M568&gt;'Segmentation Summary'!$C$1),"C1 - Global Investors",IF(AND(I568&gt;=4,M568&gt;'Segmentation Summary'!$C$1),"C4 - Luxury Investors",IF(AND(D568&lt;'Segmentation Summary'!$C$2,J568=1),"C2 - First-Time Buyers","C5 - Other Individual Buyers"))))</f>
        <v>C2 - First-Time Buyers</v>
      </c>
    </row>
    <row r="569" customFormat="false" ht="15" hidden="false" customHeight="true" outlineLevel="0" collapsed="false">
      <c r="A569" s="13" t="s">
        <v>1191</v>
      </c>
      <c r="B569" s="13" t="s">
        <v>34</v>
      </c>
      <c r="C569" s="13" t="s">
        <v>1192</v>
      </c>
      <c r="D569" s="13" t="n">
        <v>30</v>
      </c>
      <c r="E569" s="13" t="s">
        <v>90</v>
      </c>
      <c r="F569" s="13" t="s">
        <v>33</v>
      </c>
      <c r="G569" s="13" t="s">
        <v>95</v>
      </c>
      <c r="H569" s="13" t="s">
        <v>41</v>
      </c>
      <c r="I569" s="13" t="n">
        <v>3</v>
      </c>
      <c r="J569" s="13" t="n">
        <v>0</v>
      </c>
      <c r="K569" s="13" t="s">
        <v>91</v>
      </c>
      <c r="L569" s="13" t="n">
        <v>4</v>
      </c>
      <c r="M569" s="13" t="n">
        <v>1248826.86</v>
      </c>
      <c r="N569" s="13" t="n">
        <v>312206.715</v>
      </c>
      <c r="O569" s="13" t="n">
        <v>994.0725</v>
      </c>
      <c r="P569" s="13" t="n">
        <v>1</v>
      </c>
      <c r="Q569" s="13" t="n">
        <v>3</v>
      </c>
      <c r="R569" s="13" t="s">
        <v>101</v>
      </c>
      <c r="S569" s="13" t="s">
        <v>103</v>
      </c>
      <c r="T569" s="13" t="n">
        <v>1</v>
      </c>
      <c r="U569" s="13" t="n">
        <f aca="false">IF(B569="Individual",1,0)</f>
        <v>1</v>
      </c>
      <c r="V569" s="13" t="n">
        <f aca="false">IF(B569="Company",1,0)</f>
        <v>0</v>
      </c>
      <c r="W569" s="13" t="n">
        <f aca="false">IF(H569="Home",1,0)</f>
        <v>1</v>
      </c>
      <c r="X569" s="13" t="n">
        <f aca="false">IF(H569="Investment",1,0)</f>
        <v>0</v>
      </c>
      <c r="Y569" s="13" t="n">
        <f aca="false">IF(K569="Website",1,0)</f>
        <v>0</v>
      </c>
      <c r="Z569" s="13" t="n">
        <f aca="false">IF(K569="Agency",1,0)</f>
        <v>1</v>
      </c>
      <c r="AA569" s="13" t="n">
        <f aca="false">IF(K569="Client",1,0)</f>
        <v>0</v>
      </c>
      <c r="AB569" s="13" t="n">
        <f aca="false">(D569-AVERAGE(D$2:D$2001))/STDEV(D$2:D$2001)</f>
        <v>-1.39179868811751</v>
      </c>
      <c r="AC569" s="13" t="n">
        <f aca="false">(I569-AVERAGE(I$2:I$2001))/STDEV(I$2:I$2001)</f>
        <v>-0.0205155458339628</v>
      </c>
      <c r="AD569" s="13" t="n">
        <f aca="false">(L569-AVERAGE(L$2:L$2001))/STDEV(L$2:L$2001)</f>
        <v>0.413838214490712</v>
      </c>
      <c r="AE569" s="13" t="n">
        <f aca="false">(M569-AVERAGE(M$2:M$2001))/STDEV(M$2:M$2001)</f>
        <v>-0.033201846725413</v>
      </c>
      <c r="AF569" s="13" t="n">
        <f aca="false">(N569-AVERAGE(N$2:N$2001))/STDEV(N$2:N$2001)</f>
        <v>-0.50032027221255</v>
      </c>
      <c r="AG569" s="13" t="n">
        <f aca="false">(O569-AVERAGE(O$2:O$2001))/STDEV(O$2:O$2001)</f>
        <v>-0.697550761451504</v>
      </c>
      <c r="AH569" s="0" t="str">
        <f aca="false">IF(B569="Company","C3 - Corporate Buyers",IF(AND(H569="Investment",M569&gt;'Segmentation Summary'!$C$1),"C1 - Global Investors",IF(AND(I569&gt;=4,M569&gt;'Segmentation Summary'!$C$1),"C4 - Luxury Investors",IF(AND(D569&lt;'Segmentation Summary'!$C$2,J569=1),"C2 - First-Time Buyers","C5 - Other Individual Buyers"))))</f>
        <v>C5 - Other Individual Buyers</v>
      </c>
    </row>
    <row r="570" customFormat="false" ht="15" hidden="false" customHeight="true" outlineLevel="0" collapsed="false">
      <c r="A570" s="13" t="s">
        <v>1193</v>
      </c>
      <c r="B570" s="13" t="s">
        <v>34</v>
      </c>
      <c r="C570" s="13" t="s">
        <v>1194</v>
      </c>
      <c r="D570" s="13" t="n">
        <v>65</v>
      </c>
      <c r="E570" s="13" t="s">
        <v>90</v>
      </c>
      <c r="F570" s="13" t="s">
        <v>33</v>
      </c>
      <c r="G570" s="13" t="s">
        <v>120</v>
      </c>
      <c r="H570" s="13" t="s">
        <v>41</v>
      </c>
      <c r="I570" s="13" t="n">
        <v>4</v>
      </c>
      <c r="J570" s="13" t="n">
        <v>0</v>
      </c>
      <c r="K570" s="13" t="s">
        <v>85</v>
      </c>
      <c r="L570" s="13" t="n">
        <v>3</v>
      </c>
      <c r="M570" s="13" t="n">
        <v>1439595.57</v>
      </c>
      <c r="N570" s="13" t="n">
        <v>479865.19</v>
      </c>
      <c r="O570" s="13" t="n">
        <v>1471.44666666667</v>
      </c>
      <c r="P570" s="13" t="n">
        <v>0</v>
      </c>
      <c r="Q570" s="13" t="n">
        <v>3</v>
      </c>
      <c r="R570" s="13" t="s">
        <v>111</v>
      </c>
      <c r="S570" s="13" t="s">
        <v>128</v>
      </c>
      <c r="T570" s="13" t="n">
        <v>1</v>
      </c>
      <c r="U570" s="13" t="n">
        <f aca="false">IF(B570="Individual",1,0)</f>
        <v>1</v>
      </c>
      <c r="V570" s="13" t="n">
        <f aca="false">IF(B570="Company",1,0)</f>
        <v>0</v>
      </c>
      <c r="W570" s="13" t="n">
        <f aca="false">IF(H570="Home",1,0)</f>
        <v>1</v>
      </c>
      <c r="X570" s="13" t="n">
        <f aca="false">IF(H570="Investment",1,0)</f>
        <v>0</v>
      </c>
      <c r="Y570" s="13" t="n">
        <f aca="false">IF(K570="Website",1,0)</f>
        <v>1</v>
      </c>
      <c r="Z570" s="13" t="n">
        <f aca="false">IF(K570="Agency",1,0)</f>
        <v>0</v>
      </c>
      <c r="AA570" s="13" t="n">
        <f aca="false">IF(K570="Client",1,0)</f>
        <v>0</v>
      </c>
      <c r="AB570" s="13" t="n">
        <f aca="false">(D570-AVERAGE(D$2:D$2001))/STDEV(D$2:D$2001)</f>
        <v>0.626387253967787</v>
      </c>
      <c r="AC570" s="13" t="n">
        <f aca="false">(I570-AVERAGE(I$2:I$2001))/STDEV(I$2:I$2001)</f>
        <v>0.686917069130275</v>
      </c>
      <c r="AD570" s="13" t="n">
        <f aca="false">(L570-AVERAGE(L$2:L$2001))/STDEV(L$2:L$2001)</f>
        <v>-0.777063122173208</v>
      </c>
      <c r="AE570" s="13" t="n">
        <f aca="false">(M570-AVERAGE(M$2:M$2001))/STDEV(M$2:M$2001)</f>
        <v>0.51525097612914</v>
      </c>
      <c r="AF570" s="13" t="n">
        <f aca="false">(N570-AVERAGE(N$2:N$2001))/STDEV(N$2:N$2001)</f>
        <v>1.90435692407897</v>
      </c>
      <c r="AG570" s="13" t="n">
        <f aca="false">(O570-AVERAGE(O$2:O$2001))/STDEV(O$2:O$2001)</f>
        <v>1.47309561582835</v>
      </c>
      <c r="AH570" s="0" t="str">
        <f aca="false">IF(B570="Company","C3 - Corporate Buyers",IF(AND(H570="Investment",M570&gt;'Segmentation Summary'!$C$1),"C1 - Global Investors",IF(AND(I570&gt;=4,M570&gt;'Segmentation Summary'!$C$1),"C4 - Luxury Investors",IF(AND(D570&lt;'Segmentation Summary'!$C$2,J570=1),"C2 - First-Time Buyers","C5 - Other Individual Buyers"))))</f>
        <v>C4 - Luxury Investors</v>
      </c>
    </row>
    <row r="571" customFormat="false" ht="15" hidden="false" customHeight="true" outlineLevel="0" collapsed="false">
      <c r="A571" s="13" t="s">
        <v>1195</v>
      </c>
      <c r="B571" s="13" t="s">
        <v>34</v>
      </c>
      <c r="C571" s="13" t="s">
        <v>1194</v>
      </c>
      <c r="D571" s="13" t="n">
        <v>47</v>
      </c>
      <c r="E571" s="13" t="s">
        <v>90</v>
      </c>
      <c r="F571" s="13" t="s">
        <v>33</v>
      </c>
      <c r="G571" s="13" t="s">
        <v>207</v>
      </c>
      <c r="H571" s="13" t="s">
        <v>41</v>
      </c>
      <c r="I571" s="13" t="n">
        <v>3</v>
      </c>
      <c r="J571" s="13" t="n">
        <v>0</v>
      </c>
      <c r="K571" s="13" t="s">
        <v>85</v>
      </c>
      <c r="L571" s="13" t="n">
        <v>3</v>
      </c>
      <c r="M571" s="13" t="n">
        <v>1536294.68</v>
      </c>
      <c r="N571" s="13" t="n">
        <v>512098.226666667</v>
      </c>
      <c r="O571" s="13" t="n">
        <v>1504.28</v>
      </c>
      <c r="P571" s="13" t="n">
        <v>1</v>
      </c>
      <c r="Q571" s="13" t="n">
        <v>2</v>
      </c>
      <c r="R571" s="13" t="s">
        <v>86</v>
      </c>
      <c r="S571" s="13" t="s">
        <v>154</v>
      </c>
      <c r="T571" s="13" t="n">
        <v>1</v>
      </c>
      <c r="U571" s="13" t="n">
        <f aca="false">IF(B571="Individual",1,0)</f>
        <v>1</v>
      </c>
      <c r="V571" s="13" t="n">
        <f aca="false">IF(B571="Company",1,0)</f>
        <v>0</v>
      </c>
      <c r="W571" s="13" t="n">
        <f aca="false">IF(H571="Home",1,0)</f>
        <v>1</v>
      </c>
      <c r="X571" s="13" t="n">
        <f aca="false">IF(H571="Investment",1,0)</f>
        <v>0</v>
      </c>
      <c r="Y571" s="13" t="n">
        <f aca="false">IF(K571="Website",1,0)</f>
        <v>1</v>
      </c>
      <c r="Z571" s="13" t="n">
        <f aca="false">IF(K571="Agency",1,0)</f>
        <v>0</v>
      </c>
      <c r="AA571" s="13" t="n">
        <f aca="false">IF(K571="Client",1,0)</f>
        <v>0</v>
      </c>
      <c r="AB571" s="13" t="n">
        <f aca="false">(D571-AVERAGE(D$2:D$2001))/STDEV(D$2:D$2001)</f>
        <v>-0.411536944818935</v>
      </c>
      <c r="AC571" s="13" t="n">
        <f aca="false">(I571-AVERAGE(I$2:I$2001))/STDEV(I$2:I$2001)</f>
        <v>-0.0205155458339628</v>
      </c>
      <c r="AD571" s="13" t="n">
        <f aca="false">(L571-AVERAGE(L$2:L$2001))/STDEV(L$2:L$2001)</f>
        <v>-0.777063122173208</v>
      </c>
      <c r="AE571" s="13" t="n">
        <f aca="false">(M571-AVERAGE(M$2:M$2001))/STDEV(M$2:M$2001)</f>
        <v>0.793257258433103</v>
      </c>
      <c r="AF571" s="13" t="n">
        <f aca="false">(N571-AVERAGE(N$2:N$2001))/STDEV(N$2:N$2001)</f>
        <v>2.36666608106947</v>
      </c>
      <c r="AG571" s="13" t="n">
        <f aca="false">(O571-AVERAGE(O$2:O$2001))/STDEV(O$2:O$2001)</f>
        <v>1.62239057360049</v>
      </c>
      <c r="AH571" s="0" t="str">
        <f aca="false">IF(B571="Company","C3 - Corporate Buyers",IF(AND(H571="Investment",M571&gt;'Segmentation Summary'!$C$1),"C1 - Global Investors",IF(AND(I571&gt;=4,M571&gt;'Segmentation Summary'!$C$1),"C4 - Luxury Investors",IF(AND(D571&lt;'Segmentation Summary'!$C$2,J571=1),"C2 - First-Time Buyers","C5 - Other Individual Buyers"))))</f>
        <v>C5 - Other Individual Buyers</v>
      </c>
    </row>
    <row r="572" customFormat="false" ht="15" hidden="false" customHeight="true" outlineLevel="0" collapsed="false">
      <c r="A572" s="13" t="s">
        <v>1196</v>
      </c>
      <c r="B572" s="13" t="s">
        <v>34</v>
      </c>
      <c r="C572" s="13" t="s">
        <v>1197</v>
      </c>
      <c r="D572" s="13" t="n">
        <v>64</v>
      </c>
      <c r="E572" s="13" t="s">
        <v>90</v>
      </c>
      <c r="F572" s="13" t="s">
        <v>33</v>
      </c>
      <c r="G572" s="13" t="s">
        <v>100</v>
      </c>
      <c r="H572" s="13" t="s">
        <v>43</v>
      </c>
      <c r="I572" s="13" t="n">
        <v>3</v>
      </c>
      <c r="J572" s="13" t="n">
        <v>0</v>
      </c>
      <c r="K572" s="13" t="s">
        <v>85</v>
      </c>
      <c r="L572" s="13" t="n">
        <v>3</v>
      </c>
      <c r="M572" s="13" t="n">
        <v>884144.1</v>
      </c>
      <c r="N572" s="13" t="n">
        <v>294714.7</v>
      </c>
      <c r="O572" s="13" t="n">
        <v>934.433333333333</v>
      </c>
      <c r="P572" s="13" t="n">
        <v>0</v>
      </c>
      <c r="Q572" s="13" t="n">
        <v>3</v>
      </c>
      <c r="R572" s="13" t="s">
        <v>117</v>
      </c>
      <c r="S572" s="13" t="s">
        <v>111</v>
      </c>
      <c r="T572" s="13" t="n">
        <v>1</v>
      </c>
      <c r="U572" s="13" t="n">
        <f aca="false">IF(B572="Individual",1,0)</f>
        <v>1</v>
      </c>
      <c r="V572" s="13" t="n">
        <f aca="false">IF(B572="Company",1,0)</f>
        <v>0</v>
      </c>
      <c r="W572" s="13" t="n">
        <f aca="false">IF(H572="Home",1,0)</f>
        <v>0</v>
      </c>
      <c r="X572" s="13" t="n">
        <f aca="false">IF(H572="Investment",1,0)</f>
        <v>1</v>
      </c>
      <c r="Y572" s="13" t="n">
        <f aca="false">IF(K572="Website",1,0)</f>
        <v>1</v>
      </c>
      <c r="Z572" s="13" t="n">
        <f aca="false">IF(K572="Agency",1,0)</f>
        <v>0</v>
      </c>
      <c r="AA572" s="13" t="n">
        <f aca="false">IF(K572="Client",1,0)</f>
        <v>0</v>
      </c>
      <c r="AB572" s="13" t="n">
        <f aca="false">(D572-AVERAGE(D$2:D$2001))/STDEV(D$2:D$2001)</f>
        <v>0.568724798479635</v>
      </c>
      <c r="AC572" s="13" t="n">
        <f aca="false">(I572-AVERAGE(I$2:I$2001))/STDEV(I$2:I$2001)</f>
        <v>-0.0205155458339628</v>
      </c>
      <c r="AD572" s="13" t="n">
        <f aca="false">(L572-AVERAGE(L$2:L$2001))/STDEV(L$2:L$2001)</f>
        <v>-0.777063122173208</v>
      </c>
      <c r="AE572" s="13" t="n">
        <f aca="false">(M572-AVERAGE(M$2:M$2001))/STDEV(M$2:M$2001)</f>
        <v>-1.08165098268901</v>
      </c>
      <c r="AF572" s="13" t="n">
        <f aca="false">(N572-AVERAGE(N$2:N$2001))/STDEV(N$2:N$2001)</f>
        <v>-0.751203203049713</v>
      </c>
      <c r="AG572" s="13" t="n">
        <f aca="false">(O572-AVERAGE(O$2:O$2001))/STDEV(O$2:O$2001)</f>
        <v>-0.968733305687048</v>
      </c>
      <c r="AH572" s="0" t="str">
        <f aca="false">IF(B572="Company","C3 - Corporate Buyers",IF(AND(H572="Investment",M572&gt;'Segmentation Summary'!$C$1),"C1 - Global Investors",IF(AND(I572&gt;=4,M572&gt;'Segmentation Summary'!$C$1),"C4 - Luxury Investors",IF(AND(D572&lt;'Segmentation Summary'!$C$2,J572=1),"C2 - First-Time Buyers","C5 - Other Individual Buyers"))))</f>
        <v>C5 - Other Individual Buyers</v>
      </c>
    </row>
    <row r="573" customFormat="false" ht="15" hidden="false" customHeight="true" outlineLevel="0" collapsed="false">
      <c r="A573" s="13" t="s">
        <v>1198</v>
      </c>
      <c r="B573" s="13" t="s">
        <v>34</v>
      </c>
      <c r="C573" s="13" t="s">
        <v>1199</v>
      </c>
      <c r="D573" s="13" t="n">
        <v>63</v>
      </c>
      <c r="E573" s="13" t="s">
        <v>90</v>
      </c>
      <c r="F573" s="13" t="s">
        <v>37</v>
      </c>
      <c r="G573" s="13" t="s">
        <v>676</v>
      </c>
      <c r="H573" s="13" t="s">
        <v>41</v>
      </c>
      <c r="I573" s="13" t="n">
        <v>3</v>
      </c>
      <c r="J573" s="13" t="n">
        <v>0</v>
      </c>
      <c r="K573" s="13" t="s">
        <v>85</v>
      </c>
      <c r="L573" s="13" t="n">
        <v>4</v>
      </c>
      <c r="M573" s="13" t="n">
        <v>1627713.05</v>
      </c>
      <c r="N573" s="13" t="n">
        <v>406928.2625</v>
      </c>
      <c r="O573" s="13" t="n">
        <v>1299.3275</v>
      </c>
      <c r="P573" s="13" t="n">
        <v>0</v>
      </c>
      <c r="Q573" s="13" t="n">
        <v>4</v>
      </c>
      <c r="R573" s="13" t="s">
        <v>92</v>
      </c>
      <c r="S573" s="13" t="s">
        <v>87</v>
      </c>
      <c r="T573" s="13" t="n">
        <v>1</v>
      </c>
      <c r="U573" s="13" t="n">
        <f aca="false">IF(B573="Individual",1,0)</f>
        <v>1</v>
      </c>
      <c r="V573" s="13" t="n">
        <f aca="false">IF(B573="Company",1,0)</f>
        <v>0</v>
      </c>
      <c r="W573" s="13" t="n">
        <f aca="false">IF(H573="Home",1,0)</f>
        <v>1</v>
      </c>
      <c r="X573" s="13" t="n">
        <f aca="false">IF(H573="Investment",1,0)</f>
        <v>0</v>
      </c>
      <c r="Y573" s="13" t="n">
        <f aca="false">IF(K573="Website",1,0)</f>
        <v>1</v>
      </c>
      <c r="Z573" s="13" t="n">
        <f aca="false">IF(K573="Agency",1,0)</f>
        <v>0</v>
      </c>
      <c r="AA573" s="13" t="n">
        <f aca="false">IF(K573="Client",1,0)</f>
        <v>0</v>
      </c>
      <c r="AB573" s="13" t="n">
        <f aca="false">(D573-AVERAGE(D$2:D$2001))/STDEV(D$2:D$2001)</f>
        <v>0.511062342991484</v>
      </c>
      <c r="AC573" s="13" t="n">
        <f aca="false">(I573-AVERAGE(I$2:I$2001))/STDEV(I$2:I$2001)</f>
        <v>-0.0205155458339628</v>
      </c>
      <c r="AD573" s="13" t="n">
        <f aca="false">(L573-AVERAGE(L$2:L$2001))/STDEV(L$2:L$2001)</f>
        <v>0.413838214490712</v>
      </c>
      <c r="AE573" s="13" t="n">
        <f aca="false">(M573-AVERAGE(M$2:M$2001))/STDEV(M$2:M$2001)</f>
        <v>1.05608161305217</v>
      </c>
      <c r="AF573" s="13" t="n">
        <f aca="false">(N573-AVERAGE(N$2:N$2001))/STDEV(N$2:N$2001)</f>
        <v>0.858243589654226</v>
      </c>
      <c r="AG573" s="13" t="n">
        <f aca="false">(O573-AVERAGE(O$2:O$2001))/STDEV(O$2:O$2001)</f>
        <v>0.690460375647222</v>
      </c>
      <c r="AH573" s="0" t="str">
        <f aca="false">IF(B573="Company","C3 - Corporate Buyers",IF(AND(H573="Investment",M573&gt;'Segmentation Summary'!$C$1),"C1 - Global Investors",IF(AND(I573&gt;=4,M573&gt;'Segmentation Summary'!$C$1),"C4 - Luxury Investors",IF(AND(D573&lt;'Segmentation Summary'!$C$2,J573=1),"C2 - First-Time Buyers","C5 - Other Individual Buyers"))))</f>
        <v>C5 - Other Individual Buyers</v>
      </c>
    </row>
    <row r="574" customFormat="false" ht="15" hidden="false" customHeight="true" outlineLevel="0" collapsed="false">
      <c r="A574" s="13" t="s">
        <v>1200</v>
      </c>
      <c r="B574" s="13" t="s">
        <v>34</v>
      </c>
      <c r="C574" s="13" t="s">
        <v>1201</v>
      </c>
      <c r="D574" s="13" t="n">
        <v>77</v>
      </c>
      <c r="E574" s="13" t="s">
        <v>90</v>
      </c>
      <c r="F574" s="13" t="s">
        <v>38</v>
      </c>
      <c r="G574" s="13" t="s">
        <v>665</v>
      </c>
      <c r="H574" s="13" t="s">
        <v>41</v>
      </c>
      <c r="I574" s="13" t="n">
        <v>2</v>
      </c>
      <c r="J574" s="13" t="n">
        <v>1</v>
      </c>
      <c r="K574" s="13" t="s">
        <v>85</v>
      </c>
      <c r="L574" s="13" t="n">
        <v>3</v>
      </c>
      <c r="M574" s="13" t="n">
        <v>1003090.85</v>
      </c>
      <c r="N574" s="13" t="n">
        <v>334363.616666667</v>
      </c>
      <c r="O574" s="13" t="n">
        <v>1151.54666666667</v>
      </c>
      <c r="P574" s="13" t="n">
        <v>1</v>
      </c>
      <c r="Q574" s="13" t="n">
        <v>2</v>
      </c>
      <c r="R574" s="13" t="s">
        <v>93</v>
      </c>
      <c r="S574" s="13" t="s">
        <v>215</v>
      </c>
      <c r="T574" s="13" t="n">
        <v>1</v>
      </c>
      <c r="U574" s="13" t="n">
        <f aca="false">IF(B574="Individual",1,0)</f>
        <v>1</v>
      </c>
      <c r="V574" s="13" t="n">
        <f aca="false">IF(B574="Company",1,0)</f>
        <v>0</v>
      </c>
      <c r="W574" s="13" t="n">
        <f aca="false">IF(H574="Home",1,0)</f>
        <v>1</v>
      </c>
      <c r="X574" s="13" t="n">
        <f aca="false">IF(H574="Investment",1,0)</f>
        <v>0</v>
      </c>
      <c r="Y574" s="13" t="n">
        <f aca="false">IF(K574="Website",1,0)</f>
        <v>1</v>
      </c>
      <c r="Z574" s="13" t="n">
        <f aca="false">IF(K574="Agency",1,0)</f>
        <v>0</v>
      </c>
      <c r="AA574" s="13" t="n">
        <f aca="false">IF(K574="Client",1,0)</f>
        <v>0</v>
      </c>
      <c r="AB574" s="13" t="n">
        <f aca="false">(D574-AVERAGE(D$2:D$2001))/STDEV(D$2:D$2001)</f>
        <v>1.3183367198256</v>
      </c>
      <c r="AC574" s="13" t="n">
        <f aca="false">(I574-AVERAGE(I$2:I$2001))/STDEV(I$2:I$2001)</f>
        <v>-0.727948160798201</v>
      </c>
      <c r="AD574" s="13" t="n">
        <f aca="false">(L574-AVERAGE(L$2:L$2001))/STDEV(L$2:L$2001)</f>
        <v>-0.777063122173208</v>
      </c>
      <c r="AE574" s="13" t="n">
        <f aca="false">(M574-AVERAGE(M$2:M$2001))/STDEV(M$2:M$2001)</f>
        <v>-0.739683577201626</v>
      </c>
      <c r="AF574" s="13" t="n">
        <f aca="false">(N574-AVERAGE(N$2:N$2001))/STDEV(N$2:N$2001)</f>
        <v>-0.182530216098132</v>
      </c>
      <c r="AG574" s="13" t="n">
        <f aca="false">(O574-AVERAGE(O$2:O$2001))/STDEV(O$2:O$2001)</f>
        <v>0.0184928648238358</v>
      </c>
      <c r="AH574" s="0" t="str">
        <f aca="false">IF(B574="Company","C3 - Corporate Buyers",IF(AND(H574="Investment",M574&gt;'Segmentation Summary'!$C$1),"C1 - Global Investors",IF(AND(I574&gt;=4,M574&gt;'Segmentation Summary'!$C$1),"C4 - Luxury Investors",IF(AND(D574&lt;'Segmentation Summary'!$C$2,J574=1),"C2 - First-Time Buyers","C5 - Other Individual Buyers"))))</f>
        <v>C5 - Other Individual Buyers</v>
      </c>
    </row>
    <row r="575" customFormat="false" ht="15" hidden="false" customHeight="true" outlineLevel="0" collapsed="false">
      <c r="A575" s="13" t="s">
        <v>1202</v>
      </c>
      <c r="B575" s="13" t="s">
        <v>34</v>
      </c>
      <c r="C575" s="13" t="s">
        <v>1203</v>
      </c>
      <c r="D575" s="13" t="n">
        <v>47</v>
      </c>
      <c r="E575" s="13" t="s">
        <v>90</v>
      </c>
      <c r="F575" s="13" t="s">
        <v>33</v>
      </c>
      <c r="G575" s="13" t="s">
        <v>84</v>
      </c>
      <c r="H575" s="13" t="s">
        <v>41</v>
      </c>
      <c r="I575" s="13" t="n">
        <v>4</v>
      </c>
      <c r="J575" s="13" t="n">
        <v>0</v>
      </c>
      <c r="K575" s="13" t="s">
        <v>85</v>
      </c>
      <c r="L575" s="13" t="n">
        <v>4</v>
      </c>
      <c r="M575" s="13" t="n">
        <v>1325404.6</v>
      </c>
      <c r="N575" s="13" t="n">
        <v>331351.15</v>
      </c>
      <c r="O575" s="13" t="n">
        <v>967</v>
      </c>
      <c r="P575" s="13" t="n">
        <v>0</v>
      </c>
      <c r="Q575" s="13" t="n">
        <v>4</v>
      </c>
      <c r="R575" s="13" t="s">
        <v>117</v>
      </c>
      <c r="S575" s="13" t="s">
        <v>164</v>
      </c>
      <c r="T575" s="13" t="n">
        <v>1</v>
      </c>
      <c r="U575" s="13" t="n">
        <f aca="false">IF(B575="Individual",1,0)</f>
        <v>1</v>
      </c>
      <c r="V575" s="13" t="n">
        <f aca="false">IF(B575="Company",1,0)</f>
        <v>0</v>
      </c>
      <c r="W575" s="13" t="n">
        <f aca="false">IF(H575="Home",1,0)</f>
        <v>1</v>
      </c>
      <c r="X575" s="13" t="n">
        <f aca="false">IF(H575="Investment",1,0)</f>
        <v>0</v>
      </c>
      <c r="Y575" s="13" t="n">
        <f aca="false">IF(K575="Website",1,0)</f>
        <v>1</v>
      </c>
      <c r="Z575" s="13" t="n">
        <f aca="false">IF(K575="Agency",1,0)</f>
        <v>0</v>
      </c>
      <c r="AA575" s="13" t="n">
        <f aca="false">IF(K575="Client",1,0)</f>
        <v>0</v>
      </c>
      <c r="AB575" s="13" t="n">
        <f aca="false">(D575-AVERAGE(D$2:D$2001))/STDEV(D$2:D$2001)</f>
        <v>-0.411536944818935</v>
      </c>
      <c r="AC575" s="13" t="n">
        <f aca="false">(I575-AVERAGE(I$2:I$2001))/STDEV(I$2:I$2001)</f>
        <v>0.686917069130275</v>
      </c>
      <c r="AD575" s="13" t="n">
        <f aca="false">(L575-AVERAGE(L$2:L$2001))/STDEV(L$2:L$2001)</f>
        <v>0.413838214490712</v>
      </c>
      <c r="AE575" s="13" t="n">
        <f aca="false">(M575-AVERAGE(M$2:M$2001))/STDEV(M$2:M$2001)</f>
        <v>0.186956258190336</v>
      </c>
      <c r="AF575" s="13" t="n">
        <f aca="false">(N575-AVERAGE(N$2:N$2001))/STDEV(N$2:N$2001)</f>
        <v>-0.225737157458671</v>
      </c>
      <c r="AG575" s="13" t="n">
        <f aca="false">(O575-AVERAGE(O$2:O$2001))/STDEV(O$2:O$2001)</f>
        <v>-0.820650895795267</v>
      </c>
      <c r="AH575" s="0" t="str">
        <f aca="false">IF(B575="Company","C3 - Corporate Buyers",IF(AND(H575="Investment",M575&gt;'Segmentation Summary'!$C$1),"C1 - Global Investors",IF(AND(I575&gt;=4,M575&gt;'Segmentation Summary'!$C$1),"C4 - Luxury Investors",IF(AND(D575&lt;'Segmentation Summary'!$C$2,J575=1),"C2 - First-Time Buyers","C5 - Other Individual Buyers"))))</f>
        <v>C4 - Luxury Investors</v>
      </c>
    </row>
    <row r="576" customFormat="false" ht="15" hidden="false" customHeight="true" outlineLevel="0" collapsed="false">
      <c r="A576" s="13" t="s">
        <v>1204</v>
      </c>
      <c r="B576" s="13" t="s">
        <v>34</v>
      </c>
      <c r="C576" s="13" t="s">
        <v>1205</v>
      </c>
      <c r="D576" s="13" t="n">
        <v>43</v>
      </c>
      <c r="E576" s="13" t="s">
        <v>90</v>
      </c>
      <c r="F576" s="13" t="s">
        <v>33</v>
      </c>
      <c r="G576" s="13" t="s">
        <v>95</v>
      </c>
      <c r="H576" s="13" t="s">
        <v>43</v>
      </c>
      <c r="I576" s="13" t="n">
        <v>3</v>
      </c>
      <c r="J576" s="13" t="n">
        <v>1</v>
      </c>
      <c r="K576" s="13" t="s">
        <v>85</v>
      </c>
      <c r="L576" s="13" t="n">
        <v>4</v>
      </c>
      <c r="M576" s="13" t="n">
        <v>1015613.11</v>
      </c>
      <c r="N576" s="13" t="n">
        <v>253903.2775</v>
      </c>
      <c r="O576" s="13" t="n">
        <v>836.9425</v>
      </c>
      <c r="P576" s="13" t="n">
        <v>1</v>
      </c>
      <c r="Q576" s="13" t="n">
        <v>3</v>
      </c>
      <c r="R576" s="13" t="s">
        <v>98</v>
      </c>
      <c r="S576" s="13" t="s">
        <v>125</v>
      </c>
      <c r="T576" s="13" t="n">
        <v>1</v>
      </c>
      <c r="U576" s="13" t="n">
        <f aca="false">IF(B576="Individual",1,0)</f>
        <v>1</v>
      </c>
      <c r="V576" s="13" t="n">
        <f aca="false">IF(B576="Company",1,0)</f>
        <v>0</v>
      </c>
      <c r="W576" s="13" t="n">
        <f aca="false">IF(H576="Home",1,0)</f>
        <v>0</v>
      </c>
      <c r="X576" s="13" t="n">
        <f aca="false">IF(H576="Investment",1,0)</f>
        <v>1</v>
      </c>
      <c r="Y576" s="13" t="n">
        <f aca="false">IF(K576="Website",1,0)</f>
        <v>1</v>
      </c>
      <c r="Z576" s="13" t="n">
        <f aca="false">IF(K576="Agency",1,0)</f>
        <v>0</v>
      </c>
      <c r="AA576" s="13" t="n">
        <f aca="false">IF(K576="Client",1,0)</f>
        <v>0</v>
      </c>
      <c r="AB576" s="13" t="n">
        <f aca="false">(D576-AVERAGE(D$2:D$2001))/STDEV(D$2:D$2001)</f>
        <v>-0.64218676677154</v>
      </c>
      <c r="AC576" s="13" t="n">
        <f aca="false">(I576-AVERAGE(I$2:I$2001))/STDEV(I$2:I$2001)</f>
        <v>-0.0205155458339628</v>
      </c>
      <c r="AD576" s="13" t="n">
        <f aca="false">(L576-AVERAGE(L$2:L$2001))/STDEV(L$2:L$2001)</f>
        <v>0.413838214490712</v>
      </c>
      <c r="AE576" s="13" t="n">
        <f aca="false">(M576-AVERAGE(M$2:M$2001))/STDEV(M$2:M$2001)</f>
        <v>-0.703682553524741</v>
      </c>
      <c r="AF576" s="13" t="n">
        <f aca="false">(N576-AVERAGE(N$2:N$2001))/STDEV(N$2:N$2001)</f>
        <v>-1.33654967619382</v>
      </c>
      <c r="AG576" s="13" t="n">
        <f aca="false">(O576-AVERAGE(O$2:O$2001))/STDEV(O$2:O$2001)</f>
        <v>-1.41202944311871</v>
      </c>
      <c r="AH576" s="0" t="str">
        <f aca="false">IF(B576="Company","C3 - Corporate Buyers",IF(AND(H576="Investment",M576&gt;'Segmentation Summary'!$C$1),"C1 - Global Investors",IF(AND(I576&gt;=4,M576&gt;'Segmentation Summary'!$C$1),"C4 - Luxury Investors",IF(AND(D576&lt;'Segmentation Summary'!$C$2,J576=1),"C2 - First-Time Buyers","C5 - Other Individual Buyers"))))</f>
        <v>C2 - First-Time Buyers</v>
      </c>
    </row>
    <row r="577" customFormat="false" ht="15" hidden="false" customHeight="true" outlineLevel="0" collapsed="false">
      <c r="A577" s="13" t="s">
        <v>1206</v>
      </c>
      <c r="B577" s="13" t="s">
        <v>34</v>
      </c>
      <c r="C577" s="13" t="s">
        <v>1207</v>
      </c>
      <c r="D577" s="13" t="n">
        <v>27</v>
      </c>
      <c r="E577" s="13" t="s">
        <v>90</v>
      </c>
      <c r="F577" s="13" t="s">
        <v>37</v>
      </c>
      <c r="G577" s="13" t="s">
        <v>169</v>
      </c>
      <c r="H577" s="13" t="s">
        <v>41</v>
      </c>
      <c r="I577" s="13" t="n">
        <v>1</v>
      </c>
      <c r="J577" s="13" t="n">
        <v>0</v>
      </c>
      <c r="K577" s="13" t="s">
        <v>91</v>
      </c>
      <c r="L577" s="13" t="n">
        <v>3</v>
      </c>
      <c r="M577" s="13" t="n">
        <v>532598.24</v>
      </c>
      <c r="N577" s="13" t="n">
        <v>177532.746666667</v>
      </c>
      <c r="O577" s="13" t="n">
        <v>564.01</v>
      </c>
      <c r="P577" s="13" t="n">
        <v>0</v>
      </c>
      <c r="Q577" s="13" t="n">
        <v>3</v>
      </c>
      <c r="R577" s="13" t="s">
        <v>121</v>
      </c>
      <c r="S577" s="13" t="s">
        <v>107</v>
      </c>
      <c r="T577" s="13" t="n">
        <v>1</v>
      </c>
      <c r="U577" s="13" t="n">
        <f aca="false">IF(B577="Individual",1,0)</f>
        <v>1</v>
      </c>
      <c r="V577" s="13" t="n">
        <f aca="false">IF(B577="Company",1,0)</f>
        <v>0</v>
      </c>
      <c r="W577" s="13" t="n">
        <f aca="false">IF(H577="Home",1,0)</f>
        <v>1</v>
      </c>
      <c r="X577" s="13" t="n">
        <f aca="false">IF(H577="Investment",1,0)</f>
        <v>0</v>
      </c>
      <c r="Y577" s="13" t="n">
        <f aca="false">IF(K577="Website",1,0)</f>
        <v>0</v>
      </c>
      <c r="Z577" s="13" t="n">
        <f aca="false">IF(K577="Agency",1,0)</f>
        <v>1</v>
      </c>
      <c r="AA577" s="13" t="n">
        <f aca="false">IF(K577="Client",1,0)</f>
        <v>0</v>
      </c>
      <c r="AB577" s="13" t="n">
        <f aca="false">(D577-AVERAGE(D$2:D$2001))/STDEV(D$2:D$2001)</f>
        <v>-1.56478605458196</v>
      </c>
      <c r="AC577" s="13" t="n">
        <f aca="false">(I577-AVERAGE(I$2:I$2001))/STDEV(I$2:I$2001)</f>
        <v>-1.43538077576244</v>
      </c>
      <c r="AD577" s="13" t="n">
        <f aca="false">(L577-AVERAGE(L$2:L$2001))/STDEV(L$2:L$2001)</f>
        <v>-0.777063122173208</v>
      </c>
      <c r="AE577" s="13" t="n">
        <f aca="false">(M577-AVERAGE(M$2:M$2001))/STDEV(M$2:M$2001)</f>
        <v>-2.09233202823275</v>
      </c>
      <c r="AF577" s="13" t="n">
        <f aca="false">(N577-AVERAGE(N$2:N$2001))/STDEV(N$2:N$2001)</f>
        <v>-2.43191019383896</v>
      </c>
      <c r="AG577" s="13" t="n">
        <f aca="false">(O577-AVERAGE(O$2:O$2001))/STDEV(O$2:O$2001)</f>
        <v>-2.65306840947863</v>
      </c>
      <c r="AH577" s="0" t="str">
        <f aca="false">IF(B577="Company","C3 - Corporate Buyers",IF(AND(H577="Investment",M577&gt;'Segmentation Summary'!$C$1),"C1 - Global Investors",IF(AND(I577&gt;=4,M577&gt;'Segmentation Summary'!$C$1),"C4 - Luxury Investors",IF(AND(D577&lt;'Segmentation Summary'!$C$2,J577=1),"C2 - First-Time Buyers","C5 - Other Individual Buyers"))))</f>
        <v>C5 - Other Individual Buyers</v>
      </c>
    </row>
    <row r="578" customFormat="false" ht="15" hidden="false" customHeight="true" outlineLevel="0" collapsed="false">
      <c r="A578" s="13" t="s">
        <v>1208</v>
      </c>
      <c r="B578" s="13" t="s">
        <v>34</v>
      </c>
      <c r="C578" s="13" t="s">
        <v>1209</v>
      </c>
      <c r="D578" s="13" t="n">
        <v>60</v>
      </c>
      <c r="E578" s="13" t="s">
        <v>90</v>
      </c>
      <c r="F578" s="13" t="s">
        <v>33</v>
      </c>
      <c r="G578" s="13" t="s">
        <v>106</v>
      </c>
      <c r="H578" s="13" t="s">
        <v>41</v>
      </c>
      <c r="I578" s="13" t="n">
        <v>5</v>
      </c>
      <c r="J578" s="13" t="n">
        <v>0</v>
      </c>
      <c r="K578" s="13" t="s">
        <v>85</v>
      </c>
      <c r="L578" s="13" t="n">
        <v>4</v>
      </c>
      <c r="M578" s="13" t="n">
        <v>1598304.98</v>
      </c>
      <c r="N578" s="13" t="n">
        <v>399576.245</v>
      </c>
      <c r="O578" s="13" t="n">
        <v>1378.985</v>
      </c>
      <c r="P578" s="13" t="n">
        <v>1</v>
      </c>
      <c r="Q578" s="13" t="n">
        <v>3</v>
      </c>
      <c r="R578" s="13" t="s">
        <v>117</v>
      </c>
      <c r="S578" s="13" t="s">
        <v>114</v>
      </c>
      <c r="T578" s="13" t="n">
        <v>1</v>
      </c>
      <c r="U578" s="13" t="n">
        <f aca="false">IF(B578="Individual",1,0)</f>
        <v>1</v>
      </c>
      <c r="V578" s="13" t="n">
        <f aca="false">IF(B578="Company",1,0)</f>
        <v>0</v>
      </c>
      <c r="W578" s="13" t="n">
        <f aca="false">IF(H578="Home",1,0)</f>
        <v>1</v>
      </c>
      <c r="X578" s="13" t="n">
        <f aca="false">IF(H578="Investment",1,0)</f>
        <v>0</v>
      </c>
      <c r="Y578" s="13" t="n">
        <f aca="false">IF(K578="Website",1,0)</f>
        <v>1</v>
      </c>
      <c r="Z578" s="13" t="n">
        <f aca="false">IF(K578="Agency",1,0)</f>
        <v>0</v>
      </c>
      <c r="AA578" s="13" t="n">
        <f aca="false">IF(K578="Client",1,0)</f>
        <v>0</v>
      </c>
      <c r="AB578" s="13" t="n">
        <f aca="false">(D578-AVERAGE(D$2:D$2001))/STDEV(D$2:D$2001)</f>
        <v>0.338074976527031</v>
      </c>
      <c r="AC578" s="13" t="n">
        <f aca="false">(I578-AVERAGE(I$2:I$2001))/STDEV(I$2:I$2001)</f>
        <v>1.39434968409451</v>
      </c>
      <c r="AD578" s="13" t="n">
        <f aca="false">(L578-AVERAGE(L$2:L$2001))/STDEV(L$2:L$2001)</f>
        <v>0.413838214490712</v>
      </c>
      <c r="AE578" s="13" t="n">
        <f aca="false">(M578-AVERAGE(M$2:M$2001))/STDEV(M$2:M$2001)</f>
        <v>0.971534524558443</v>
      </c>
      <c r="AF578" s="13" t="n">
        <f aca="false">(N578-AVERAGE(N$2:N$2001))/STDEV(N$2:N$2001)</f>
        <v>0.752795721128723</v>
      </c>
      <c r="AG578" s="13" t="n">
        <f aca="false">(O578-AVERAGE(O$2:O$2001))/STDEV(O$2:O$2001)</f>
        <v>1.05266737357827</v>
      </c>
      <c r="AH578" s="0" t="str">
        <f aca="false">IF(B578="Company","C3 - Corporate Buyers",IF(AND(H578="Investment",M578&gt;'Segmentation Summary'!$C$1),"C1 - Global Investors",IF(AND(I578&gt;=4,M578&gt;'Segmentation Summary'!$C$1),"C4 - Luxury Investors",IF(AND(D578&lt;'Segmentation Summary'!$C$2,J578=1),"C2 - First-Time Buyers","C5 - Other Individual Buyers"))))</f>
        <v>C4 - Luxury Investors</v>
      </c>
    </row>
    <row r="579" customFormat="false" ht="15" hidden="false" customHeight="true" outlineLevel="0" collapsed="false">
      <c r="A579" s="13" t="s">
        <v>1210</v>
      </c>
      <c r="B579" s="13" t="s">
        <v>34</v>
      </c>
      <c r="C579" s="13" t="s">
        <v>1211</v>
      </c>
      <c r="D579" s="13" t="n">
        <v>31</v>
      </c>
      <c r="E579" s="13" t="s">
        <v>90</v>
      </c>
      <c r="F579" s="13" t="s">
        <v>33</v>
      </c>
      <c r="G579" s="13" t="s">
        <v>106</v>
      </c>
      <c r="H579" s="13" t="s">
        <v>43</v>
      </c>
      <c r="I579" s="13" t="n">
        <v>1</v>
      </c>
      <c r="J579" s="13" t="n">
        <v>1</v>
      </c>
      <c r="K579" s="13" t="s">
        <v>91</v>
      </c>
      <c r="L579" s="13" t="n">
        <v>3</v>
      </c>
      <c r="M579" s="13" t="n">
        <v>924305.53</v>
      </c>
      <c r="N579" s="13" t="n">
        <v>308101.843333333</v>
      </c>
      <c r="O579" s="13" t="n">
        <v>1110.62333333333</v>
      </c>
      <c r="P579" s="13" t="n">
        <v>0</v>
      </c>
      <c r="Q579" s="13" t="n">
        <v>3</v>
      </c>
      <c r="R579" s="13" t="s">
        <v>101</v>
      </c>
      <c r="S579" s="13" t="s">
        <v>103</v>
      </c>
      <c r="T579" s="13" t="n">
        <v>1</v>
      </c>
      <c r="U579" s="13" t="n">
        <f aca="false">IF(B579="Individual",1,0)</f>
        <v>1</v>
      </c>
      <c r="V579" s="13" t="n">
        <f aca="false">IF(B579="Company",1,0)</f>
        <v>0</v>
      </c>
      <c r="W579" s="13" t="n">
        <f aca="false">IF(H579="Home",1,0)</f>
        <v>0</v>
      </c>
      <c r="X579" s="13" t="n">
        <f aca="false">IF(H579="Investment",1,0)</f>
        <v>1</v>
      </c>
      <c r="Y579" s="13" t="n">
        <f aca="false">IF(K579="Website",1,0)</f>
        <v>0</v>
      </c>
      <c r="Z579" s="13" t="n">
        <f aca="false">IF(K579="Agency",1,0)</f>
        <v>1</v>
      </c>
      <c r="AA579" s="13" t="n">
        <f aca="false">IF(K579="Client",1,0)</f>
        <v>0</v>
      </c>
      <c r="AB579" s="13" t="n">
        <f aca="false">(D579-AVERAGE(D$2:D$2001))/STDEV(D$2:D$2001)</f>
        <v>-1.33413623262935</v>
      </c>
      <c r="AC579" s="13" t="n">
        <f aca="false">(I579-AVERAGE(I$2:I$2001))/STDEV(I$2:I$2001)</f>
        <v>-1.43538077576244</v>
      </c>
      <c r="AD579" s="13" t="n">
        <f aca="false">(L579-AVERAGE(L$2:L$2001))/STDEV(L$2:L$2001)</f>
        <v>-0.777063122173208</v>
      </c>
      <c r="AE579" s="13" t="n">
        <f aca="false">(M579-AVERAGE(M$2:M$2001))/STDEV(M$2:M$2001)</f>
        <v>-0.966188391085932</v>
      </c>
      <c r="AF579" s="13" t="n">
        <f aca="false">(N579-AVERAGE(N$2:N$2001))/STDEV(N$2:N$2001)</f>
        <v>-0.559195263712606</v>
      </c>
      <c r="AG579" s="13" t="n">
        <f aca="false">(O579-AVERAGE(O$2:O$2001))/STDEV(O$2:O$2001)</f>
        <v>-0.167587764269478</v>
      </c>
      <c r="AH579" s="0" t="str">
        <f aca="false">IF(B579="Company","C3 - Corporate Buyers",IF(AND(H579="Investment",M579&gt;'Segmentation Summary'!$C$1),"C1 - Global Investors",IF(AND(I579&gt;=4,M579&gt;'Segmentation Summary'!$C$1),"C4 - Luxury Investors",IF(AND(D579&lt;'Segmentation Summary'!$C$2,J579=1),"C2 - First-Time Buyers","C5 - Other Individual Buyers"))))</f>
        <v>C2 - First-Time Buyers</v>
      </c>
    </row>
    <row r="580" customFormat="false" ht="15" hidden="false" customHeight="true" outlineLevel="0" collapsed="false">
      <c r="A580" s="13" t="s">
        <v>1212</v>
      </c>
      <c r="B580" s="13" t="s">
        <v>34</v>
      </c>
      <c r="C580" s="13" t="s">
        <v>1213</v>
      </c>
      <c r="D580" s="13" t="n">
        <v>71</v>
      </c>
      <c r="E580" s="13" t="s">
        <v>90</v>
      </c>
      <c r="F580" s="13" t="s">
        <v>42</v>
      </c>
      <c r="G580" s="13" t="s">
        <v>143</v>
      </c>
      <c r="H580" s="13" t="s">
        <v>43</v>
      </c>
      <c r="I580" s="13" t="n">
        <v>2</v>
      </c>
      <c r="J580" s="13" t="n">
        <v>0</v>
      </c>
      <c r="K580" s="13" t="s">
        <v>85</v>
      </c>
      <c r="L580" s="13" t="n">
        <v>4</v>
      </c>
      <c r="M580" s="13" t="n">
        <v>1490289.11</v>
      </c>
      <c r="N580" s="13" t="n">
        <v>372572.2775</v>
      </c>
      <c r="O580" s="13" t="n">
        <v>1186.5225</v>
      </c>
      <c r="P580" s="13" t="n">
        <v>0</v>
      </c>
      <c r="Q580" s="13" t="n">
        <v>4</v>
      </c>
      <c r="R580" s="13" t="s">
        <v>101</v>
      </c>
      <c r="S580" s="13" t="s">
        <v>112</v>
      </c>
      <c r="T580" s="13" t="n">
        <v>1</v>
      </c>
      <c r="U580" s="13" t="n">
        <f aca="false">IF(B580="Individual",1,0)</f>
        <v>1</v>
      </c>
      <c r="V580" s="13" t="n">
        <f aca="false">IF(B580="Company",1,0)</f>
        <v>0</v>
      </c>
      <c r="W580" s="13" t="n">
        <f aca="false">IF(H580="Home",1,0)</f>
        <v>0</v>
      </c>
      <c r="X580" s="13" t="n">
        <f aca="false">IF(H580="Investment",1,0)</f>
        <v>1</v>
      </c>
      <c r="Y580" s="13" t="n">
        <f aca="false">IF(K580="Website",1,0)</f>
        <v>1</v>
      </c>
      <c r="Z580" s="13" t="n">
        <f aca="false">IF(K580="Agency",1,0)</f>
        <v>0</v>
      </c>
      <c r="AA580" s="13" t="n">
        <f aca="false">IF(K580="Client",1,0)</f>
        <v>0</v>
      </c>
      <c r="AB580" s="13" t="n">
        <f aca="false">(D580-AVERAGE(D$2:D$2001))/STDEV(D$2:D$2001)</f>
        <v>0.972361986896694</v>
      </c>
      <c r="AC580" s="13" t="n">
        <f aca="false">(I580-AVERAGE(I$2:I$2001))/STDEV(I$2:I$2001)</f>
        <v>-0.727948160798201</v>
      </c>
      <c r="AD580" s="13" t="n">
        <f aca="false">(L580-AVERAGE(L$2:L$2001))/STDEV(L$2:L$2001)</f>
        <v>0.413838214490712</v>
      </c>
      <c r="AE580" s="13" t="n">
        <f aca="false">(M580-AVERAGE(M$2:M$2001))/STDEV(M$2:M$2001)</f>
        <v>0.660992985463324</v>
      </c>
      <c r="AF580" s="13" t="n">
        <f aca="false">(N580-AVERAGE(N$2:N$2001))/STDEV(N$2:N$2001)</f>
        <v>0.365485596444318</v>
      </c>
      <c r="AG580" s="13" t="n">
        <f aca="false">(O580-AVERAGE(O$2:O$2001))/STDEV(O$2:O$2001)</f>
        <v>0.177529886972436</v>
      </c>
      <c r="AH580" s="0" t="str">
        <f aca="false">IF(B580="Company","C3 - Corporate Buyers",IF(AND(H580="Investment",M580&gt;'Segmentation Summary'!$C$1),"C1 - Global Investors",IF(AND(I580&gt;=4,M580&gt;'Segmentation Summary'!$C$1),"C4 - Luxury Investors",IF(AND(D580&lt;'Segmentation Summary'!$C$2,J580=1),"C2 - First-Time Buyers","C5 - Other Individual Buyers"))))</f>
        <v>C1 - Global Investors</v>
      </c>
    </row>
    <row r="581" customFormat="false" ht="15" hidden="false" customHeight="true" outlineLevel="0" collapsed="false">
      <c r="A581" s="13" t="s">
        <v>1214</v>
      </c>
      <c r="B581" s="13" t="s">
        <v>34</v>
      </c>
      <c r="C581" s="13" t="s">
        <v>1215</v>
      </c>
      <c r="D581" s="13" t="n">
        <v>41</v>
      </c>
      <c r="E581" s="13" t="s">
        <v>90</v>
      </c>
      <c r="F581" s="13" t="s">
        <v>35</v>
      </c>
      <c r="G581" s="13" t="s">
        <v>185</v>
      </c>
      <c r="H581" s="13" t="s">
        <v>43</v>
      </c>
      <c r="I581" s="13" t="n">
        <v>4</v>
      </c>
      <c r="J581" s="13" t="n">
        <v>0</v>
      </c>
      <c r="K581" s="13" t="s">
        <v>116</v>
      </c>
      <c r="L581" s="13" t="n">
        <v>4</v>
      </c>
      <c r="M581" s="13" t="n">
        <v>1670624.74</v>
      </c>
      <c r="N581" s="13" t="n">
        <v>417656.185</v>
      </c>
      <c r="O581" s="13" t="n">
        <v>1441.655</v>
      </c>
      <c r="P581" s="13" t="n">
        <v>0</v>
      </c>
      <c r="Q581" s="13" t="n">
        <v>4</v>
      </c>
      <c r="R581" s="13" t="s">
        <v>215</v>
      </c>
      <c r="S581" s="13" t="s">
        <v>125</v>
      </c>
      <c r="T581" s="13" t="n">
        <v>1</v>
      </c>
      <c r="U581" s="13" t="n">
        <f aca="false">IF(B581="Individual",1,0)</f>
        <v>1</v>
      </c>
      <c r="V581" s="13" t="n">
        <f aca="false">IF(B581="Company",1,0)</f>
        <v>0</v>
      </c>
      <c r="W581" s="13" t="n">
        <f aca="false">IF(H581="Home",1,0)</f>
        <v>0</v>
      </c>
      <c r="X581" s="13" t="n">
        <f aca="false">IF(H581="Investment",1,0)</f>
        <v>1</v>
      </c>
      <c r="Y581" s="13" t="n">
        <f aca="false">IF(K581="Website",1,0)</f>
        <v>0</v>
      </c>
      <c r="Z581" s="13" t="n">
        <f aca="false">IF(K581="Agency",1,0)</f>
        <v>0</v>
      </c>
      <c r="AA581" s="13" t="n">
        <f aca="false">IF(K581="Client",1,0)</f>
        <v>1</v>
      </c>
      <c r="AB581" s="13" t="n">
        <f aca="false">(D581-AVERAGE(D$2:D$2001))/STDEV(D$2:D$2001)</f>
        <v>-0.757511677747842</v>
      </c>
      <c r="AC581" s="13" t="n">
        <f aca="false">(I581-AVERAGE(I$2:I$2001))/STDEV(I$2:I$2001)</f>
        <v>0.686917069130275</v>
      </c>
      <c r="AD581" s="13" t="n">
        <f aca="false">(L581-AVERAGE(L$2:L$2001))/STDEV(L$2:L$2001)</f>
        <v>0.413838214490712</v>
      </c>
      <c r="AE581" s="13" t="n">
        <f aca="false">(M581-AVERAGE(M$2:M$2001))/STDEV(M$2:M$2001)</f>
        <v>1.17945109808962</v>
      </c>
      <c r="AF581" s="13" t="n">
        <f aca="false">(N581-AVERAGE(N$2:N$2001))/STDEV(N$2:N$2001)</f>
        <v>1.01211109083085</v>
      </c>
      <c r="AG581" s="13" t="n">
        <f aca="false">(O581-AVERAGE(O$2:O$2001))/STDEV(O$2:O$2001)</f>
        <v>1.33763128231679</v>
      </c>
      <c r="AH581" s="0" t="str">
        <f aca="false">IF(B581="Company","C3 - Corporate Buyers",IF(AND(H581="Investment",M581&gt;'Segmentation Summary'!$C$1),"C1 - Global Investors",IF(AND(I581&gt;=4,M581&gt;'Segmentation Summary'!$C$1),"C4 - Luxury Investors",IF(AND(D581&lt;'Segmentation Summary'!$C$2,J581=1),"C2 - First-Time Buyers","C5 - Other Individual Buyers"))))</f>
        <v>C1 - Global Investors</v>
      </c>
    </row>
    <row r="582" customFormat="false" ht="15" hidden="false" customHeight="true" outlineLevel="0" collapsed="false">
      <c r="A582" s="13" t="s">
        <v>1216</v>
      </c>
      <c r="B582" s="13" t="s">
        <v>34</v>
      </c>
      <c r="C582" s="13" t="s">
        <v>1217</v>
      </c>
      <c r="D582" s="13" t="n">
        <v>30</v>
      </c>
      <c r="E582" s="13" t="s">
        <v>90</v>
      </c>
      <c r="F582" s="13" t="s">
        <v>33</v>
      </c>
      <c r="G582" s="13" t="s">
        <v>95</v>
      </c>
      <c r="H582" s="13" t="s">
        <v>41</v>
      </c>
      <c r="I582" s="13" t="n">
        <v>5</v>
      </c>
      <c r="J582" s="13" t="n">
        <v>0</v>
      </c>
      <c r="K582" s="13" t="s">
        <v>91</v>
      </c>
      <c r="L582" s="13" t="n">
        <v>3</v>
      </c>
      <c r="M582" s="13" t="n">
        <v>1260096.16</v>
      </c>
      <c r="N582" s="13" t="n">
        <v>420032.053333333</v>
      </c>
      <c r="O582" s="13" t="n">
        <v>1330.21666666667</v>
      </c>
      <c r="P582" s="13" t="n">
        <v>1</v>
      </c>
      <c r="Q582" s="13" t="n">
        <v>2</v>
      </c>
      <c r="R582" s="13" t="s">
        <v>128</v>
      </c>
      <c r="S582" s="13" t="s">
        <v>141</v>
      </c>
      <c r="T582" s="13" t="n">
        <v>1</v>
      </c>
      <c r="U582" s="13" t="n">
        <f aca="false">IF(B582="Individual",1,0)</f>
        <v>1</v>
      </c>
      <c r="V582" s="13" t="n">
        <f aca="false">IF(B582="Company",1,0)</f>
        <v>0</v>
      </c>
      <c r="W582" s="13" t="n">
        <f aca="false">IF(H582="Home",1,0)</f>
        <v>1</v>
      </c>
      <c r="X582" s="13" t="n">
        <f aca="false">IF(H582="Investment",1,0)</f>
        <v>0</v>
      </c>
      <c r="Y582" s="13" t="n">
        <f aca="false">IF(K582="Website",1,0)</f>
        <v>0</v>
      </c>
      <c r="Z582" s="13" t="n">
        <f aca="false">IF(K582="Agency",1,0)</f>
        <v>1</v>
      </c>
      <c r="AA582" s="13" t="n">
        <f aca="false">IF(K582="Client",1,0)</f>
        <v>0</v>
      </c>
      <c r="AB582" s="13" t="n">
        <f aca="false">(D582-AVERAGE(D$2:D$2001))/STDEV(D$2:D$2001)</f>
        <v>-1.39179868811751</v>
      </c>
      <c r="AC582" s="13" t="n">
        <f aca="false">(I582-AVERAGE(I$2:I$2001))/STDEV(I$2:I$2001)</f>
        <v>1.39434968409451</v>
      </c>
      <c r="AD582" s="13" t="n">
        <f aca="false">(L582-AVERAGE(L$2:L$2001))/STDEV(L$2:L$2001)</f>
        <v>-0.777063122173208</v>
      </c>
      <c r="AE582" s="13" t="n">
        <f aca="false">(M582-AVERAGE(M$2:M$2001))/STDEV(M$2:M$2001)</f>
        <v>-0.000803035638444319</v>
      </c>
      <c r="AF582" s="13" t="n">
        <f aca="false">(N582-AVERAGE(N$2:N$2001))/STDEV(N$2:N$2001)</f>
        <v>1.04618748573159</v>
      </c>
      <c r="AG582" s="13" t="n">
        <f aca="false">(O582-AVERAGE(O$2:O$2001))/STDEV(O$2:O$2001)</f>
        <v>0.830915101528982</v>
      </c>
      <c r="AH582" s="0" t="str">
        <f aca="false">IF(B582="Company","C3 - Corporate Buyers",IF(AND(H582="Investment",M582&gt;'Segmentation Summary'!$C$1),"C1 - Global Investors",IF(AND(I582&gt;=4,M582&gt;'Segmentation Summary'!$C$1),"C4 - Luxury Investors",IF(AND(D582&lt;'Segmentation Summary'!$C$2,J582=1),"C2 - First-Time Buyers","C5 - Other Individual Buyers"))))</f>
        <v>C4 - Luxury Investors</v>
      </c>
    </row>
    <row r="583" customFormat="false" ht="15" hidden="false" customHeight="true" outlineLevel="0" collapsed="false">
      <c r="A583" s="13" t="s">
        <v>1218</v>
      </c>
      <c r="B583" s="13" t="s">
        <v>34</v>
      </c>
      <c r="C583" s="13" t="s">
        <v>1219</v>
      </c>
      <c r="D583" s="13" t="n">
        <v>27</v>
      </c>
      <c r="E583" s="13" t="s">
        <v>90</v>
      </c>
      <c r="F583" s="13" t="s">
        <v>33</v>
      </c>
      <c r="G583" s="13" t="s">
        <v>95</v>
      </c>
      <c r="H583" s="13" t="s">
        <v>43</v>
      </c>
      <c r="I583" s="13" t="n">
        <v>3</v>
      </c>
      <c r="J583" s="13" t="n">
        <v>0</v>
      </c>
      <c r="K583" s="13" t="s">
        <v>91</v>
      </c>
      <c r="L583" s="13" t="n">
        <v>3</v>
      </c>
      <c r="M583" s="13" t="n">
        <v>946537.74</v>
      </c>
      <c r="N583" s="13" t="n">
        <v>315512.58</v>
      </c>
      <c r="O583" s="13" t="n">
        <v>1125.17</v>
      </c>
      <c r="P583" s="13" t="n">
        <v>0</v>
      </c>
      <c r="Q583" s="13" t="n">
        <v>3</v>
      </c>
      <c r="R583" s="13" t="s">
        <v>86</v>
      </c>
      <c r="S583" s="13" t="s">
        <v>112</v>
      </c>
      <c r="T583" s="13" t="n">
        <v>1</v>
      </c>
      <c r="U583" s="13" t="n">
        <f aca="false">IF(B583="Individual",1,0)</f>
        <v>1</v>
      </c>
      <c r="V583" s="13" t="n">
        <f aca="false">IF(B583="Company",1,0)</f>
        <v>0</v>
      </c>
      <c r="W583" s="13" t="n">
        <f aca="false">IF(H583="Home",1,0)</f>
        <v>0</v>
      </c>
      <c r="X583" s="13" t="n">
        <f aca="false">IF(H583="Investment",1,0)</f>
        <v>1</v>
      </c>
      <c r="Y583" s="13" t="n">
        <f aca="false">IF(K583="Website",1,0)</f>
        <v>0</v>
      </c>
      <c r="Z583" s="13" t="n">
        <f aca="false">IF(K583="Agency",1,0)</f>
        <v>1</v>
      </c>
      <c r="AA583" s="13" t="n">
        <f aca="false">IF(K583="Client",1,0)</f>
        <v>0</v>
      </c>
      <c r="AB583" s="13" t="n">
        <f aca="false">(D583-AVERAGE(D$2:D$2001))/STDEV(D$2:D$2001)</f>
        <v>-1.56478605458196</v>
      </c>
      <c r="AC583" s="13" t="n">
        <f aca="false">(I583-AVERAGE(I$2:I$2001))/STDEV(I$2:I$2001)</f>
        <v>-0.0205155458339628</v>
      </c>
      <c r="AD583" s="13" t="n">
        <f aca="false">(L583-AVERAGE(L$2:L$2001))/STDEV(L$2:L$2001)</f>
        <v>-0.777063122173208</v>
      </c>
      <c r="AE583" s="13" t="n">
        <f aca="false">(M583-AVERAGE(M$2:M$2001))/STDEV(M$2:M$2001)</f>
        <v>-0.902271628568666</v>
      </c>
      <c r="AF583" s="13" t="n">
        <f aca="false">(N583-AVERAGE(N$2:N$2001))/STDEV(N$2:N$2001)</f>
        <v>-0.452905203099472</v>
      </c>
      <c r="AG583" s="13" t="n">
        <f aca="false">(O583-AVERAGE(O$2:O$2001))/STDEV(O$2:O$2001)</f>
        <v>-0.101443277394567</v>
      </c>
      <c r="AH583" s="0" t="str">
        <f aca="false">IF(B583="Company","C3 - Corporate Buyers",IF(AND(H583="Investment",M583&gt;'Segmentation Summary'!$C$1),"C1 - Global Investors",IF(AND(I583&gt;=4,M583&gt;'Segmentation Summary'!$C$1),"C4 - Luxury Investors",IF(AND(D583&lt;'Segmentation Summary'!$C$2,J583=1),"C2 - First-Time Buyers","C5 - Other Individual Buyers"))))</f>
        <v>C5 - Other Individual Buyers</v>
      </c>
    </row>
    <row r="584" customFormat="false" ht="15" hidden="false" customHeight="true" outlineLevel="0" collapsed="false">
      <c r="A584" s="13" t="s">
        <v>1220</v>
      </c>
      <c r="B584" s="13" t="s">
        <v>34</v>
      </c>
      <c r="C584" s="13" t="s">
        <v>1221</v>
      </c>
      <c r="D584" s="13" t="n">
        <v>33</v>
      </c>
      <c r="E584" s="13" t="s">
        <v>83</v>
      </c>
      <c r="F584" s="13" t="s">
        <v>33</v>
      </c>
      <c r="G584" s="13" t="s">
        <v>95</v>
      </c>
      <c r="H584" s="13" t="s">
        <v>43</v>
      </c>
      <c r="I584" s="13" t="n">
        <v>1</v>
      </c>
      <c r="J584" s="13" t="n">
        <v>0</v>
      </c>
      <c r="K584" s="13" t="s">
        <v>85</v>
      </c>
      <c r="L584" s="13" t="n">
        <v>4</v>
      </c>
      <c r="M584" s="13" t="n">
        <v>1146800.83</v>
      </c>
      <c r="N584" s="13" t="n">
        <v>286700.2075</v>
      </c>
      <c r="O584" s="13" t="n">
        <v>897.47</v>
      </c>
      <c r="P584" s="13" t="n">
        <v>1</v>
      </c>
      <c r="Q584" s="13" t="n">
        <v>3</v>
      </c>
      <c r="R584" s="13" t="s">
        <v>121</v>
      </c>
      <c r="S584" s="13" t="s">
        <v>112</v>
      </c>
      <c r="T584" s="13" t="n">
        <v>1</v>
      </c>
      <c r="U584" s="13" t="n">
        <f aca="false">IF(B584="Individual",1,0)</f>
        <v>1</v>
      </c>
      <c r="V584" s="13" t="n">
        <f aca="false">IF(B584="Company",1,0)</f>
        <v>0</v>
      </c>
      <c r="W584" s="13" t="n">
        <f aca="false">IF(H584="Home",1,0)</f>
        <v>0</v>
      </c>
      <c r="X584" s="13" t="n">
        <f aca="false">IF(H584="Investment",1,0)</f>
        <v>1</v>
      </c>
      <c r="Y584" s="13" t="n">
        <f aca="false">IF(K584="Website",1,0)</f>
        <v>1</v>
      </c>
      <c r="Z584" s="13" t="n">
        <f aca="false">IF(K584="Agency",1,0)</f>
        <v>0</v>
      </c>
      <c r="AA584" s="13" t="n">
        <f aca="false">IF(K584="Client",1,0)</f>
        <v>0</v>
      </c>
      <c r="AB584" s="13" t="n">
        <f aca="false">(D584-AVERAGE(D$2:D$2001))/STDEV(D$2:D$2001)</f>
        <v>-1.21881132165305</v>
      </c>
      <c r="AC584" s="13" t="n">
        <f aca="false">(I584-AVERAGE(I$2:I$2001))/STDEV(I$2:I$2001)</f>
        <v>-1.43538077576244</v>
      </c>
      <c r="AD584" s="13" t="n">
        <f aca="false">(L584-AVERAGE(L$2:L$2001))/STDEV(L$2:L$2001)</f>
        <v>0.413838214490712</v>
      </c>
      <c r="AE584" s="13" t="n">
        <f aca="false">(M584-AVERAGE(M$2:M$2001))/STDEV(M$2:M$2001)</f>
        <v>-0.326522822466892</v>
      </c>
      <c r="AF584" s="13" t="n">
        <f aca="false">(N584-AVERAGE(N$2:N$2001))/STDEV(N$2:N$2001)</f>
        <v>-0.866152759608661</v>
      </c>
      <c r="AG584" s="13" t="n">
        <f aca="false">(O584-AVERAGE(O$2:O$2001))/STDEV(O$2:O$2001)</f>
        <v>-1.13680759875664</v>
      </c>
      <c r="AH584" s="0" t="str">
        <f aca="false">IF(B584="Company","C3 - Corporate Buyers",IF(AND(H584="Investment",M584&gt;'Segmentation Summary'!$C$1),"C1 - Global Investors",IF(AND(I584&gt;=4,M584&gt;'Segmentation Summary'!$C$1),"C4 - Luxury Investors",IF(AND(D584&lt;'Segmentation Summary'!$C$2,J584=1),"C2 - First-Time Buyers","C5 - Other Individual Buyers"))))</f>
        <v>C5 - Other Individual Buyers</v>
      </c>
    </row>
    <row r="585" customFormat="false" ht="15" hidden="false" customHeight="true" outlineLevel="0" collapsed="false">
      <c r="A585" s="13" t="s">
        <v>1222</v>
      </c>
      <c r="B585" s="13" t="s">
        <v>34</v>
      </c>
      <c r="C585" s="13" t="s">
        <v>1223</v>
      </c>
      <c r="D585" s="13" t="n">
        <v>30</v>
      </c>
      <c r="E585" s="13" t="s">
        <v>83</v>
      </c>
      <c r="F585" s="13" t="s">
        <v>35</v>
      </c>
      <c r="G585" s="13" t="s">
        <v>267</v>
      </c>
      <c r="H585" s="13" t="s">
        <v>43</v>
      </c>
      <c r="I585" s="13" t="n">
        <v>5</v>
      </c>
      <c r="J585" s="13" t="n">
        <v>1</v>
      </c>
      <c r="K585" s="13" t="s">
        <v>116</v>
      </c>
      <c r="L585" s="13" t="n">
        <v>3</v>
      </c>
      <c r="M585" s="13" t="n">
        <v>861119.76</v>
      </c>
      <c r="N585" s="13" t="n">
        <v>287039.92</v>
      </c>
      <c r="O585" s="13" t="n">
        <v>939.33</v>
      </c>
      <c r="P585" s="13" t="n">
        <v>0</v>
      </c>
      <c r="Q585" s="13" t="n">
        <v>3</v>
      </c>
      <c r="R585" s="13" t="s">
        <v>98</v>
      </c>
      <c r="S585" s="13" t="s">
        <v>107</v>
      </c>
      <c r="T585" s="13" t="n">
        <v>1</v>
      </c>
      <c r="U585" s="13" t="n">
        <f aca="false">IF(B585="Individual",1,0)</f>
        <v>1</v>
      </c>
      <c r="V585" s="13" t="n">
        <f aca="false">IF(B585="Company",1,0)</f>
        <v>0</v>
      </c>
      <c r="W585" s="13" t="n">
        <f aca="false">IF(H585="Home",1,0)</f>
        <v>0</v>
      </c>
      <c r="X585" s="13" t="n">
        <f aca="false">IF(H585="Investment",1,0)</f>
        <v>1</v>
      </c>
      <c r="Y585" s="13" t="n">
        <f aca="false">IF(K585="Website",1,0)</f>
        <v>0</v>
      </c>
      <c r="Z585" s="13" t="n">
        <f aca="false">IF(K585="Agency",1,0)</f>
        <v>0</v>
      </c>
      <c r="AA585" s="13" t="n">
        <f aca="false">IF(K585="Client",1,0)</f>
        <v>1</v>
      </c>
      <c r="AB585" s="13" t="n">
        <f aca="false">(D585-AVERAGE(D$2:D$2001))/STDEV(D$2:D$2001)</f>
        <v>-1.39179868811751</v>
      </c>
      <c r="AC585" s="13" t="n">
        <f aca="false">(I585-AVERAGE(I$2:I$2001))/STDEV(I$2:I$2001)</f>
        <v>1.39434968409451</v>
      </c>
      <c r="AD585" s="13" t="n">
        <f aca="false">(L585-AVERAGE(L$2:L$2001))/STDEV(L$2:L$2001)</f>
        <v>-0.777063122173208</v>
      </c>
      <c r="AE585" s="13" t="n">
        <f aca="false">(M585-AVERAGE(M$2:M$2001))/STDEV(M$2:M$2001)</f>
        <v>-1.14784508898329</v>
      </c>
      <c r="AF585" s="13" t="n">
        <f aca="false">(N585-AVERAGE(N$2:N$2001))/STDEV(N$2:N$2001)</f>
        <v>-0.861280361109002</v>
      </c>
      <c r="AG585" s="13" t="n">
        <f aca="false">(O585-AVERAGE(O$2:O$2001))/STDEV(O$2:O$2001)</f>
        <v>-0.946467895233512</v>
      </c>
      <c r="AH585" s="0" t="str">
        <f aca="false">IF(B585="Company","C3 - Corporate Buyers",IF(AND(H585="Investment",M585&gt;'Segmentation Summary'!$C$1),"C1 - Global Investors",IF(AND(I585&gt;=4,M585&gt;'Segmentation Summary'!$C$1),"C4 - Luxury Investors",IF(AND(D585&lt;'Segmentation Summary'!$C$2,J585=1),"C2 - First-Time Buyers","C5 - Other Individual Buyers"))))</f>
        <v>C2 - First-Time Buyers</v>
      </c>
    </row>
    <row r="586" customFormat="false" ht="15" hidden="false" customHeight="true" outlineLevel="0" collapsed="false">
      <c r="A586" s="13" t="s">
        <v>1224</v>
      </c>
      <c r="B586" s="13" t="s">
        <v>34</v>
      </c>
      <c r="C586" s="13" t="s">
        <v>1225</v>
      </c>
      <c r="D586" s="13" t="n">
        <v>47</v>
      </c>
      <c r="E586" s="13" t="s">
        <v>83</v>
      </c>
      <c r="F586" s="13" t="s">
        <v>33</v>
      </c>
      <c r="G586" s="13" t="s">
        <v>95</v>
      </c>
      <c r="H586" s="13" t="s">
        <v>41</v>
      </c>
      <c r="I586" s="13" t="n">
        <v>4</v>
      </c>
      <c r="J586" s="13" t="n">
        <v>1</v>
      </c>
      <c r="K586" s="13" t="s">
        <v>85</v>
      </c>
      <c r="L586" s="13" t="n">
        <v>3</v>
      </c>
      <c r="M586" s="13" t="n">
        <v>1294944.52</v>
      </c>
      <c r="N586" s="13" t="n">
        <v>431648.173333333</v>
      </c>
      <c r="O586" s="13" t="n">
        <v>1438.29333333333</v>
      </c>
      <c r="P586" s="13" t="n">
        <v>1</v>
      </c>
      <c r="Q586" s="13" t="n">
        <v>2</v>
      </c>
      <c r="R586" s="13" t="s">
        <v>111</v>
      </c>
      <c r="S586" s="13" t="s">
        <v>215</v>
      </c>
      <c r="T586" s="13" t="n">
        <v>1</v>
      </c>
      <c r="U586" s="13" t="n">
        <f aca="false">IF(B586="Individual",1,0)</f>
        <v>1</v>
      </c>
      <c r="V586" s="13" t="n">
        <f aca="false">IF(B586="Company",1,0)</f>
        <v>0</v>
      </c>
      <c r="W586" s="13" t="n">
        <f aca="false">IF(H586="Home",1,0)</f>
        <v>1</v>
      </c>
      <c r="X586" s="13" t="n">
        <f aca="false">IF(H586="Investment",1,0)</f>
        <v>0</v>
      </c>
      <c r="Y586" s="13" t="n">
        <f aca="false">IF(K586="Website",1,0)</f>
        <v>1</v>
      </c>
      <c r="Z586" s="13" t="n">
        <f aca="false">IF(K586="Agency",1,0)</f>
        <v>0</v>
      </c>
      <c r="AA586" s="13" t="n">
        <f aca="false">IF(K586="Client",1,0)</f>
        <v>0</v>
      </c>
      <c r="AB586" s="13" t="n">
        <f aca="false">(D586-AVERAGE(D$2:D$2001))/STDEV(D$2:D$2001)</f>
        <v>-0.411536944818935</v>
      </c>
      <c r="AC586" s="13" t="n">
        <f aca="false">(I586-AVERAGE(I$2:I$2001))/STDEV(I$2:I$2001)</f>
        <v>0.686917069130275</v>
      </c>
      <c r="AD586" s="13" t="n">
        <f aca="false">(L586-AVERAGE(L$2:L$2001))/STDEV(L$2:L$2001)</f>
        <v>-0.777063122173208</v>
      </c>
      <c r="AE586" s="13" t="n">
        <f aca="false">(M586-AVERAGE(M$2:M$2001))/STDEV(M$2:M$2001)</f>
        <v>0.0993846807530527</v>
      </c>
      <c r="AF586" s="13" t="n">
        <f aca="false">(N586-AVERAGE(N$2:N$2001))/STDEV(N$2:N$2001)</f>
        <v>1.21279414771743</v>
      </c>
      <c r="AG586" s="13" t="n">
        <f aca="false">(O586-AVERAGE(O$2:O$2001))/STDEV(O$2:O$2001)</f>
        <v>1.3223456005997</v>
      </c>
      <c r="AH586" s="0" t="str">
        <f aca="false">IF(B586="Company","C3 - Corporate Buyers",IF(AND(H586="Investment",M586&gt;'Segmentation Summary'!$C$1),"C1 - Global Investors",IF(AND(I586&gt;=4,M586&gt;'Segmentation Summary'!$C$1),"C4 - Luxury Investors",IF(AND(D586&lt;'Segmentation Summary'!$C$2,J586=1),"C2 - First-Time Buyers","C5 - Other Individual Buyers"))))</f>
        <v>C4 - Luxury Investors</v>
      </c>
    </row>
    <row r="587" customFormat="false" ht="15" hidden="false" customHeight="true" outlineLevel="0" collapsed="false">
      <c r="A587" s="13" t="s">
        <v>1226</v>
      </c>
      <c r="B587" s="13" t="s">
        <v>34</v>
      </c>
      <c r="C587" s="13" t="s">
        <v>1227</v>
      </c>
      <c r="D587" s="13" t="n">
        <v>60</v>
      </c>
      <c r="E587" s="13" t="s">
        <v>83</v>
      </c>
      <c r="F587" s="13" t="s">
        <v>44</v>
      </c>
      <c r="G587" s="13" t="s">
        <v>497</v>
      </c>
      <c r="H587" s="13" t="s">
        <v>41</v>
      </c>
      <c r="I587" s="13" t="n">
        <v>4</v>
      </c>
      <c r="J587" s="13" t="n">
        <v>0</v>
      </c>
      <c r="K587" s="13" t="s">
        <v>85</v>
      </c>
      <c r="L587" s="13" t="n">
        <v>4</v>
      </c>
      <c r="M587" s="13" t="n">
        <v>1331479.73</v>
      </c>
      <c r="N587" s="13" t="n">
        <v>332869.9325</v>
      </c>
      <c r="O587" s="13" t="n">
        <v>1077.195</v>
      </c>
      <c r="P587" s="13" t="n">
        <v>1</v>
      </c>
      <c r="Q587" s="13" t="n">
        <v>3</v>
      </c>
      <c r="R587" s="13" t="s">
        <v>117</v>
      </c>
      <c r="S587" s="13" t="s">
        <v>125</v>
      </c>
      <c r="T587" s="13" t="n">
        <v>1</v>
      </c>
      <c r="U587" s="13" t="n">
        <f aca="false">IF(B587="Individual",1,0)</f>
        <v>1</v>
      </c>
      <c r="V587" s="13" t="n">
        <f aca="false">IF(B587="Company",1,0)</f>
        <v>0</v>
      </c>
      <c r="W587" s="13" t="n">
        <f aca="false">IF(H587="Home",1,0)</f>
        <v>1</v>
      </c>
      <c r="X587" s="13" t="n">
        <f aca="false">IF(H587="Investment",1,0)</f>
        <v>0</v>
      </c>
      <c r="Y587" s="13" t="n">
        <f aca="false">IF(K587="Website",1,0)</f>
        <v>1</v>
      </c>
      <c r="Z587" s="13" t="n">
        <f aca="false">IF(K587="Agency",1,0)</f>
        <v>0</v>
      </c>
      <c r="AA587" s="13" t="n">
        <f aca="false">IF(K587="Client",1,0)</f>
        <v>0</v>
      </c>
      <c r="AB587" s="13" t="n">
        <f aca="false">(D587-AVERAGE(D$2:D$2001))/STDEV(D$2:D$2001)</f>
        <v>0.338074976527031</v>
      </c>
      <c r="AC587" s="13" t="n">
        <f aca="false">(I587-AVERAGE(I$2:I$2001))/STDEV(I$2:I$2001)</f>
        <v>0.686917069130275</v>
      </c>
      <c r="AD587" s="13" t="n">
        <f aca="false">(L587-AVERAGE(L$2:L$2001))/STDEV(L$2:L$2001)</f>
        <v>0.413838214490712</v>
      </c>
      <c r="AE587" s="13" t="n">
        <f aca="false">(M587-AVERAGE(M$2:M$2001))/STDEV(M$2:M$2001)</f>
        <v>0.204422027066732</v>
      </c>
      <c r="AF587" s="13" t="n">
        <f aca="false">(N587-AVERAGE(N$2:N$2001))/STDEV(N$2:N$2001)</f>
        <v>-0.203953697696935</v>
      </c>
      <c r="AG587" s="13" t="n">
        <f aca="false">(O587-AVERAGE(O$2:O$2001))/STDEV(O$2:O$2001)</f>
        <v>-0.31958821949973</v>
      </c>
      <c r="AH587" s="0" t="str">
        <f aca="false">IF(B587="Company","C3 - Corporate Buyers",IF(AND(H587="Investment",M587&gt;'Segmentation Summary'!$C$1),"C1 - Global Investors",IF(AND(I587&gt;=4,M587&gt;'Segmentation Summary'!$C$1),"C4 - Luxury Investors",IF(AND(D587&lt;'Segmentation Summary'!$C$2,J587=1),"C2 - First-Time Buyers","C5 - Other Individual Buyers"))))</f>
        <v>C4 - Luxury Investors</v>
      </c>
    </row>
    <row r="588" customFormat="false" ht="15" hidden="false" customHeight="true" outlineLevel="0" collapsed="false">
      <c r="A588" s="13" t="s">
        <v>1228</v>
      </c>
      <c r="B588" s="13" t="s">
        <v>34</v>
      </c>
      <c r="C588" s="13" t="s">
        <v>1229</v>
      </c>
      <c r="D588" s="13" t="n">
        <v>71</v>
      </c>
      <c r="E588" s="13" t="s">
        <v>83</v>
      </c>
      <c r="F588" s="13" t="s">
        <v>35</v>
      </c>
      <c r="G588" s="13" t="s">
        <v>137</v>
      </c>
      <c r="H588" s="13" t="s">
        <v>41</v>
      </c>
      <c r="I588" s="13" t="n">
        <v>5</v>
      </c>
      <c r="J588" s="13" t="n">
        <v>0</v>
      </c>
      <c r="K588" s="13" t="s">
        <v>85</v>
      </c>
      <c r="L588" s="13" t="n">
        <v>3</v>
      </c>
      <c r="M588" s="13" t="n">
        <v>1023021.48</v>
      </c>
      <c r="N588" s="13" t="n">
        <v>341007.16</v>
      </c>
      <c r="O588" s="13" t="n">
        <v>1066.59</v>
      </c>
      <c r="P588" s="13" t="n">
        <v>0</v>
      </c>
      <c r="Q588" s="13" t="n">
        <v>3</v>
      </c>
      <c r="R588" s="13" t="s">
        <v>117</v>
      </c>
      <c r="S588" s="13" t="s">
        <v>125</v>
      </c>
      <c r="T588" s="13" t="n">
        <v>1</v>
      </c>
      <c r="U588" s="13" t="n">
        <f aca="false">IF(B588="Individual",1,0)</f>
        <v>1</v>
      </c>
      <c r="V588" s="13" t="n">
        <f aca="false">IF(B588="Company",1,0)</f>
        <v>0</v>
      </c>
      <c r="W588" s="13" t="n">
        <f aca="false">IF(H588="Home",1,0)</f>
        <v>1</v>
      </c>
      <c r="X588" s="13" t="n">
        <f aca="false">IF(H588="Investment",1,0)</f>
        <v>0</v>
      </c>
      <c r="Y588" s="13" t="n">
        <f aca="false">IF(K588="Website",1,0)</f>
        <v>1</v>
      </c>
      <c r="Z588" s="13" t="n">
        <f aca="false">IF(K588="Agency",1,0)</f>
        <v>0</v>
      </c>
      <c r="AA588" s="13" t="n">
        <f aca="false">IF(K588="Client",1,0)</f>
        <v>0</v>
      </c>
      <c r="AB588" s="13" t="n">
        <f aca="false">(D588-AVERAGE(D$2:D$2001))/STDEV(D$2:D$2001)</f>
        <v>0.972361986896694</v>
      </c>
      <c r="AC588" s="13" t="n">
        <f aca="false">(I588-AVERAGE(I$2:I$2001))/STDEV(I$2:I$2001)</f>
        <v>1.39434968409451</v>
      </c>
      <c r="AD588" s="13" t="n">
        <f aca="false">(L588-AVERAGE(L$2:L$2001))/STDEV(L$2:L$2001)</f>
        <v>-0.777063122173208</v>
      </c>
      <c r="AE588" s="13" t="n">
        <f aca="false">(M588-AVERAGE(M$2:M$2001))/STDEV(M$2:M$2001)</f>
        <v>-0.682383770096102</v>
      </c>
      <c r="AF588" s="13" t="n">
        <f aca="false">(N588-AVERAGE(N$2:N$2001))/STDEV(N$2:N$2001)</f>
        <v>-0.0872437883989635</v>
      </c>
      <c r="AG588" s="13" t="n">
        <f aca="false">(O588-AVERAGE(O$2:O$2001))/STDEV(O$2:O$2001)</f>
        <v>-0.367809733017714</v>
      </c>
      <c r="AH588" s="0" t="str">
        <f aca="false">IF(B588="Company","C3 - Corporate Buyers",IF(AND(H588="Investment",M588&gt;'Segmentation Summary'!$C$1),"C1 - Global Investors",IF(AND(I588&gt;=4,M588&gt;'Segmentation Summary'!$C$1),"C4 - Luxury Investors",IF(AND(D588&lt;'Segmentation Summary'!$C$2,J588=1),"C2 - First-Time Buyers","C5 - Other Individual Buyers"))))</f>
        <v>C5 - Other Individual Buyers</v>
      </c>
    </row>
    <row r="589" customFormat="false" ht="15" hidden="false" customHeight="true" outlineLevel="0" collapsed="false">
      <c r="A589" s="13" t="s">
        <v>1230</v>
      </c>
      <c r="B589" s="13" t="s">
        <v>34</v>
      </c>
      <c r="C589" s="13" t="s">
        <v>1231</v>
      </c>
      <c r="D589" s="13" t="n">
        <v>67</v>
      </c>
      <c r="E589" s="13" t="s">
        <v>83</v>
      </c>
      <c r="F589" s="13" t="s">
        <v>33</v>
      </c>
      <c r="G589" s="13" t="s">
        <v>95</v>
      </c>
      <c r="H589" s="13" t="s">
        <v>41</v>
      </c>
      <c r="I589" s="13" t="n">
        <v>3</v>
      </c>
      <c r="J589" s="13" t="n">
        <v>1</v>
      </c>
      <c r="K589" s="13" t="s">
        <v>91</v>
      </c>
      <c r="L589" s="13" t="n">
        <v>4</v>
      </c>
      <c r="M589" s="13" t="n">
        <v>1338718</v>
      </c>
      <c r="N589" s="13" t="n">
        <v>334679.5</v>
      </c>
      <c r="O589" s="13" t="n">
        <v>1026.32</v>
      </c>
      <c r="P589" s="13" t="n">
        <v>0</v>
      </c>
      <c r="Q589" s="13" t="n">
        <v>4</v>
      </c>
      <c r="R589" s="13" t="s">
        <v>124</v>
      </c>
      <c r="S589" s="13" t="s">
        <v>135</v>
      </c>
      <c r="T589" s="13" t="n">
        <v>1</v>
      </c>
      <c r="U589" s="13" t="n">
        <f aca="false">IF(B589="Individual",1,0)</f>
        <v>1</v>
      </c>
      <c r="V589" s="13" t="n">
        <f aca="false">IF(B589="Company",1,0)</f>
        <v>0</v>
      </c>
      <c r="W589" s="13" t="n">
        <f aca="false">IF(H589="Home",1,0)</f>
        <v>1</v>
      </c>
      <c r="X589" s="13" t="n">
        <f aca="false">IF(H589="Investment",1,0)</f>
        <v>0</v>
      </c>
      <c r="Y589" s="13" t="n">
        <f aca="false">IF(K589="Website",1,0)</f>
        <v>0</v>
      </c>
      <c r="Z589" s="13" t="n">
        <f aca="false">IF(K589="Agency",1,0)</f>
        <v>1</v>
      </c>
      <c r="AA589" s="13" t="n">
        <f aca="false">IF(K589="Client",1,0)</f>
        <v>0</v>
      </c>
      <c r="AB589" s="13" t="n">
        <f aca="false">(D589-AVERAGE(D$2:D$2001))/STDEV(D$2:D$2001)</f>
        <v>0.741712164944089</v>
      </c>
      <c r="AC589" s="13" t="n">
        <f aca="false">(I589-AVERAGE(I$2:I$2001))/STDEV(I$2:I$2001)</f>
        <v>-0.0205155458339628</v>
      </c>
      <c r="AD589" s="13" t="n">
        <f aca="false">(L589-AVERAGE(L$2:L$2001))/STDEV(L$2:L$2001)</f>
        <v>0.413838214490712</v>
      </c>
      <c r="AE589" s="13" t="n">
        <f aca="false">(M589-AVERAGE(M$2:M$2001))/STDEV(M$2:M$2001)</f>
        <v>0.225231779431695</v>
      </c>
      <c r="AF589" s="13" t="n">
        <f aca="false">(N589-AVERAGE(N$2:N$2001))/STDEV(N$2:N$2001)</f>
        <v>-0.177999592469625</v>
      </c>
      <c r="AG589" s="13" t="n">
        <f aca="false">(O589-AVERAGE(O$2:O$2001))/STDEV(O$2:O$2001)</f>
        <v>-0.550919619804058</v>
      </c>
      <c r="AH589" s="0" t="str">
        <f aca="false">IF(B589="Company","C3 - Corporate Buyers",IF(AND(H589="Investment",M589&gt;'Segmentation Summary'!$C$1),"C1 - Global Investors",IF(AND(I589&gt;=4,M589&gt;'Segmentation Summary'!$C$1),"C4 - Luxury Investors",IF(AND(D589&lt;'Segmentation Summary'!$C$2,J589=1),"C2 - First-Time Buyers","C5 - Other Individual Buyers"))))</f>
        <v>C5 - Other Individual Buyers</v>
      </c>
    </row>
    <row r="590" customFormat="false" ht="15" hidden="false" customHeight="true" outlineLevel="0" collapsed="false">
      <c r="A590" s="13" t="s">
        <v>1232</v>
      </c>
      <c r="B590" s="13" t="s">
        <v>34</v>
      </c>
      <c r="C590" s="13" t="s">
        <v>1233</v>
      </c>
      <c r="D590" s="13" t="n">
        <v>93</v>
      </c>
      <c r="E590" s="13" t="s">
        <v>90</v>
      </c>
      <c r="F590" s="13" t="s">
        <v>33</v>
      </c>
      <c r="G590" s="13" t="s">
        <v>120</v>
      </c>
      <c r="H590" s="13" t="s">
        <v>41</v>
      </c>
      <c r="I590" s="13" t="n">
        <v>3</v>
      </c>
      <c r="J590" s="13" t="n">
        <v>0</v>
      </c>
      <c r="K590" s="13" t="s">
        <v>85</v>
      </c>
      <c r="L590" s="13" t="n">
        <v>4</v>
      </c>
      <c r="M590" s="13" t="n">
        <v>1330493.26</v>
      </c>
      <c r="N590" s="13" t="n">
        <v>332623.315</v>
      </c>
      <c r="O590" s="13" t="n">
        <v>1106.8675</v>
      </c>
      <c r="P590" s="13" t="n">
        <v>0</v>
      </c>
      <c r="Q590" s="13" t="n">
        <v>4</v>
      </c>
      <c r="R590" s="13" t="s">
        <v>101</v>
      </c>
      <c r="S590" s="13" t="s">
        <v>125</v>
      </c>
      <c r="T590" s="13" t="n">
        <v>1</v>
      </c>
      <c r="U590" s="13" t="n">
        <f aca="false">IF(B590="Individual",1,0)</f>
        <v>1</v>
      </c>
      <c r="V590" s="13" t="n">
        <f aca="false">IF(B590="Company",1,0)</f>
        <v>0</v>
      </c>
      <c r="W590" s="13" t="n">
        <f aca="false">IF(H590="Home",1,0)</f>
        <v>1</v>
      </c>
      <c r="X590" s="13" t="n">
        <f aca="false">IF(H590="Investment",1,0)</f>
        <v>0</v>
      </c>
      <c r="Y590" s="13" t="n">
        <f aca="false">IF(K590="Website",1,0)</f>
        <v>1</v>
      </c>
      <c r="Z590" s="13" t="n">
        <f aca="false">IF(K590="Agency",1,0)</f>
        <v>0</v>
      </c>
      <c r="AA590" s="13" t="n">
        <f aca="false">IF(K590="Client",1,0)</f>
        <v>0</v>
      </c>
      <c r="AB590" s="13" t="n">
        <f aca="false">(D590-AVERAGE(D$2:D$2001))/STDEV(D$2:D$2001)</f>
        <v>2.24093600763602</v>
      </c>
      <c r="AC590" s="13" t="n">
        <f aca="false">(I590-AVERAGE(I$2:I$2001))/STDEV(I$2:I$2001)</f>
        <v>-0.0205155458339628</v>
      </c>
      <c r="AD590" s="13" t="n">
        <f aca="false">(L590-AVERAGE(L$2:L$2001))/STDEV(L$2:L$2001)</f>
        <v>0.413838214490712</v>
      </c>
      <c r="AE590" s="13" t="n">
        <f aca="false">(M590-AVERAGE(M$2:M$2001))/STDEV(M$2:M$2001)</f>
        <v>0.201585963143244</v>
      </c>
      <c r="AF590" s="13" t="n">
        <f aca="false">(N590-AVERAGE(N$2:N$2001))/STDEV(N$2:N$2001)</f>
        <v>-0.207490861436832</v>
      </c>
      <c r="AG590" s="13" t="n">
        <f aca="false">(O590-AVERAGE(O$2:O$2001))/STDEV(O$2:O$2001)</f>
        <v>-0.184665743322232</v>
      </c>
      <c r="AH590" s="0" t="str">
        <f aca="false">IF(B590="Company","C3 - Corporate Buyers",IF(AND(H590="Investment",M590&gt;'Segmentation Summary'!$C$1),"C1 - Global Investors",IF(AND(I590&gt;=4,M590&gt;'Segmentation Summary'!$C$1),"C4 - Luxury Investors",IF(AND(D590&lt;'Segmentation Summary'!$C$2,J590=1),"C2 - First-Time Buyers","C5 - Other Individual Buyers"))))</f>
        <v>C5 - Other Individual Buyers</v>
      </c>
    </row>
    <row r="591" customFormat="false" ht="15" hidden="false" customHeight="true" outlineLevel="0" collapsed="false">
      <c r="A591" s="13" t="s">
        <v>1234</v>
      </c>
      <c r="B591" s="13" t="s">
        <v>34</v>
      </c>
      <c r="C591" s="13" t="s">
        <v>1235</v>
      </c>
      <c r="D591" s="13" t="n">
        <v>77</v>
      </c>
      <c r="E591" s="13" t="s">
        <v>90</v>
      </c>
      <c r="F591" s="13" t="s">
        <v>33</v>
      </c>
      <c r="G591" s="13" t="s">
        <v>95</v>
      </c>
      <c r="H591" s="13" t="s">
        <v>43</v>
      </c>
      <c r="I591" s="13" t="n">
        <v>2</v>
      </c>
      <c r="J591" s="13" t="n">
        <v>0</v>
      </c>
      <c r="K591" s="13" t="s">
        <v>91</v>
      </c>
      <c r="L591" s="13" t="n">
        <v>4</v>
      </c>
      <c r="M591" s="13" t="n">
        <v>1178457.95</v>
      </c>
      <c r="N591" s="13" t="n">
        <v>294614.4875</v>
      </c>
      <c r="O591" s="13" t="n">
        <v>1028.3225</v>
      </c>
      <c r="P591" s="13" t="n">
        <v>0</v>
      </c>
      <c r="Q591" s="13" t="n">
        <v>4</v>
      </c>
      <c r="R591" s="13" t="s">
        <v>86</v>
      </c>
      <c r="S591" s="13" t="s">
        <v>114</v>
      </c>
      <c r="T591" s="13" t="n">
        <v>1</v>
      </c>
      <c r="U591" s="13" t="n">
        <f aca="false">IF(B591="Individual",1,0)</f>
        <v>1</v>
      </c>
      <c r="V591" s="13" t="n">
        <f aca="false">IF(B591="Company",1,0)</f>
        <v>0</v>
      </c>
      <c r="W591" s="13" t="n">
        <f aca="false">IF(H591="Home",1,0)</f>
        <v>0</v>
      </c>
      <c r="X591" s="13" t="n">
        <f aca="false">IF(H591="Investment",1,0)</f>
        <v>1</v>
      </c>
      <c r="Y591" s="13" t="n">
        <f aca="false">IF(K591="Website",1,0)</f>
        <v>0</v>
      </c>
      <c r="Z591" s="13" t="n">
        <f aca="false">IF(K591="Agency",1,0)</f>
        <v>1</v>
      </c>
      <c r="AA591" s="13" t="n">
        <f aca="false">IF(K591="Client",1,0)</f>
        <v>0</v>
      </c>
      <c r="AB591" s="13" t="n">
        <f aca="false">(D591-AVERAGE(D$2:D$2001))/STDEV(D$2:D$2001)</f>
        <v>1.3183367198256</v>
      </c>
      <c r="AC591" s="13" t="n">
        <f aca="false">(I591-AVERAGE(I$2:I$2001))/STDEV(I$2:I$2001)</f>
        <v>-0.727948160798201</v>
      </c>
      <c r="AD591" s="13" t="n">
        <f aca="false">(L591-AVERAGE(L$2:L$2001))/STDEV(L$2:L$2001)</f>
        <v>0.413838214490712</v>
      </c>
      <c r="AE591" s="13" t="n">
        <f aca="false">(M591-AVERAGE(M$2:M$2001))/STDEV(M$2:M$2001)</f>
        <v>-0.235509800323768</v>
      </c>
      <c r="AF591" s="13" t="n">
        <f aca="false">(N591-AVERAGE(N$2:N$2001))/STDEV(N$2:N$2001)</f>
        <v>-0.752640522061075</v>
      </c>
      <c r="AG591" s="13" t="n">
        <f aca="false">(O591-AVERAGE(O$2:O$2001))/STDEV(O$2:O$2001)</f>
        <v>-0.541814143064807</v>
      </c>
      <c r="AH591" s="0" t="str">
        <f aca="false">IF(B591="Company","C3 - Corporate Buyers",IF(AND(H591="Investment",M591&gt;'Segmentation Summary'!$C$1),"C1 - Global Investors",IF(AND(I591&gt;=4,M591&gt;'Segmentation Summary'!$C$1),"C4 - Luxury Investors",IF(AND(D591&lt;'Segmentation Summary'!$C$2,J591=1),"C2 - First-Time Buyers","C5 - Other Individual Buyers"))))</f>
        <v>C5 - Other Individual Buyers</v>
      </c>
    </row>
    <row r="592" customFormat="false" ht="15" hidden="false" customHeight="true" outlineLevel="0" collapsed="false">
      <c r="A592" s="13" t="s">
        <v>1236</v>
      </c>
      <c r="B592" s="13" t="s">
        <v>34</v>
      </c>
      <c r="C592" s="13" t="s">
        <v>1237</v>
      </c>
      <c r="D592" s="13" t="n">
        <v>26</v>
      </c>
      <c r="E592" s="13" t="s">
        <v>90</v>
      </c>
      <c r="F592" s="13" t="s">
        <v>33</v>
      </c>
      <c r="G592" s="13" t="s">
        <v>95</v>
      </c>
      <c r="H592" s="13" t="s">
        <v>43</v>
      </c>
      <c r="I592" s="13" t="n">
        <v>4</v>
      </c>
      <c r="J592" s="13" t="n">
        <v>0</v>
      </c>
      <c r="K592" s="13" t="s">
        <v>85</v>
      </c>
      <c r="L592" s="13" t="n">
        <v>3</v>
      </c>
      <c r="M592" s="13" t="n">
        <v>843581.37</v>
      </c>
      <c r="N592" s="13" t="n">
        <v>281193.79</v>
      </c>
      <c r="O592" s="13" t="n">
        <v>901.626666666667</v>
      </c>
      <c r="P592" s="13" t="n">
        <v>2</v>
      </c>
      <c r="Q592" s="13" t="n">
        <v>1</v>
      </c>
      <c r="R592" s="13" t="s">
        <v>135</v>
      </c>
      <c r="S592" s="13" t="s">
        <v>114</v>
      </c>
      <c r="T592" s="13" t="n">
        <v>1</v>
      </c>
      <c r="U592" s="13" t="n">
        <f aca="false">IF(B592="Individual",1,0)</f>
        <v>1</v>
      </c>
      <c r="V592" s="13" t="n">
        <f aca="false">IF(B592="Company",1,0)</f>
        <v>0</v>
      </c>
      <c r="W592" s="13" t="n">
        <f aca="false">IF(H592="Home",1,0)</f>
        <v>0</v>
      </c>
      <c r="X592" s="13" t="n">
        <f aca="false">IF(H592="Investment",1,0)</f>
        <v>1</v>
      </c>
      <c r="Y592" s="13" t="n">
        <f aca="false">IF(K592="Website",1,0)</f>
        <v>1</v>
      </c>
      <c r="Z592" s="13" t="n">
        <f aca="false">IF(K592="Agency",1,0)</f>
        <v>0</v>
      </c>
      <c r="AA592" s="13" t="n">
        <f aca="false">IF(K592="Client",1,0)</f>
        <v>0</v>
      </c>
      <c r="AB592" s="13" t="n">
        <f aca="false">(D592-AVERAGE(D$2:D$2001))/STDEV(D$2:D$2001)</f>
        <v>-1.62244851007011</v>
      </c>
      <c r="AC592" s="13" t="n">
        <f aca="false">(I592-AVERAGE(I$2:I$2001))/STDEV(I$2:I$2001)</f>
        <v>0.686917069130275</v>
      </c>
      <c r="AD592" s="13" t="n">
        <f aca="false">(L592-AVERAGE(L$2:L$2001))/STDEV(L$2:L$2001)</f>
        <v>-0.777063122173208</v>
      </c>
      <c r="AE592" s="13" t="n">
        <f aca="false">(M592-AVERAGE(M$2:M$2001))/STDEV(M$2:M$2001)</f>
        <v>-1.19826729660751</v>
      </c>
      <c r="AF592" s="13" t="n">
        <f aca="false">(N592-AVERAGE(N$2:N$2001))/STDEV(N$2:N$2001)</f>
        <v>-0.945129719142086</v>
      </c>
      <c r="AG592" s="13" t="n">
        <f aca="false">(O592-AVERAGE(O$2:O$2001))/STDEV(O$2:O$2001)</f>
        <v>-1.11790700867117</v>
      </c>
      <c r="AH592" s="0" t="str">
        <f aca="false">IF(B592="Company","C3 - Corporate Buyers",IF(AND(H592="Investment",M592&gt;'Segmentation Summary'!$C$1),"C1 - Global Investors",IF(AND(I592&gt;=4,M592&gt;'Segmentation Summary'!$C$1),"C4 - Luxury Investors",IF(AND(D592&lt;'Segmentation Summary'!$C$2,J592=1),"C2 - First-Time Buyers","C5 - Other Individual Buyers"))))</f>
        <v>C5 - Other Individual Buyers</v>
      </c>
    </row>
    <row r="593" customFormat="false" ht="15" hidden="false" customHeight="true" outlineLevel="0" collapsed="false">
      <c r="A593" s="13" t="s">
        <v>1238</v>
      </c>
      <c r="B593" s="13" t="s">
        <v>34</v>
      </c>
      <c r="C593" s="13" t="s">
        <v>1239</v>
      </c>
      <c r="D593" s="13" t="n">
        <v>42</v>
      </c>
      <c r="E593" s="13" t="s">
        <v>90</v>
      </c>
      <c r="F593" s="13" t="s">
        <v>46</v>
      </c>
      <c r="G593" s="13" t="s">
        <v>1065</v>
      </c>
      <c r="H593" s="13" t="s">
        <v>41</v>
      </c>
      <c r="I593" s="13" t="n">
        <v>5</v>
      </c>
      <c r="J593" s="13" t="n">
        <v>1</v>
      </c>
      <c r="K593" s="13" t="s">
        <v>91</v>
      </c>
      <c r="L593" s="13" t="n">
        <v>3</v>
      </c>
      <c r="M593" s="13" t="n">
        <v>1021706.02</v>
      </c>
      <c r="N593" s="13" t="n">
        <v>340568.673333333</v>
      </c>
      <c r="O593" s="13" t="n">
        <v>1189.19</v>
      </c>
      <c r="P593" s="13" t="n">
        <v>0</v>
      </c>
      <c r="Q593" s="13" t="n">
        <v>3</v>
      </c>
      <c r="R593" s="13" t="s">
        <v>103</v>
      </c>
      <c r="S593" s="13" t="s">
        <v>112</v>
      </c>
      <c r="T593" s="13" t="n">
        <v>1</v>
      </c>
      <c r="U593" s="13" t="n">
        <f aca="false">IF(B593="Individual",1,0)</f>
        <v>1</v>
      </c>
      <c r="V593" s="13" t="n">
        <f aca="false">IF(B593="Company",1,0)</f>
        <v>0</v>
      </c>
      <c r="W593" s="13" t="n">
        <f aca="false">IF(H593="Home",1,0)</f>
        <v>1</v>
      </c>
      <c r="X593" s="13" t="n">
        <f aca="false">IF(H593="Investment",1,0)</f>
        <v>0</v>
      </c>
      <c r="Y593" s="13" t="n">
        <f aca="false">IF(K593="Website",1,0)</f>
        <v>0</v>
      </c>
      <c r="Z593" s="13" t="n">
        <f aca="false">IF(K593="Agency",1,0)</f>
        <v>1</v>
      </c>
      <c r="AA593" s="13" t="n">
        <f aca="false">IF(K593="Client",1,0)</f>
        <v>0</v>
      </c>
      <c r="AB593" s="13" t="n">
        <f aca="false">(D593-AVERAGE(D$2:D$2001))/STDEV(D$2:D$2001)</f>
        <v>-0.699849222259691</v>
      </c>
      <c r="AC593" s="13" t="n">
        <f aca="false">(I593-AVERAGE(I$2:I$2001))/STDEV(I$2:I$2001)</f>
        <v>1.39434968409451</v>
      </c>
      <c r="AD593" s="13" t="n">
        <f aca="false">(L593-AVERAGE(L$2:L$2001))/STDEV(L$2:L$2001)</f>
        <v>-0.777063122173208</v>
      </c>
      <c r="AE593" s="13" t="n">
        <f aca="false">(M593-AVERAGE(M$2:M$2001))/STDEV(M$2:M$2001)</f>
        <v>-0.686165667821112</v>
      </c>
      <c r="AF593" s="13" t="n">
        <f aca="false">(N593-AVERAGE(N$2:N$2001))/STDEV(N$2:N$2001)</f>
        <v>-0.0935328763094433</v>
      </c>
      <c r="AG593" s="13" t="n">
        <f aca="false">(O593-AVERAGE(O$2:O$2001))/STDEV(O$2:O$2001)</f>
        <v>0.189659154988392</v>
      </c>
      <c r="AH593" s="0" t="str">
        <f aca="false">IF(B593="Company","C3 - Corporate Buyers",IF(AND(H593="Investment",M593&gt;'Segmentation Summary'!$C$1),"C1 - Global Investors",IF(AND(I593&gt;=4,M593&gt;'Segmentation Summary'!$C$1),"C4 - Luxury Investors",IF(AND(D593&lt;'Segmentation Summary'!$C$2,J593=1),"C2 - First-Time Buyers","C5 - Other Individual Buyers"))))</f>
        <v>C2 - First-Time Buyers</v>
      </c>
    </row>
    <row r="594" customFormat="false" ht="15" hidden="false" customHeight="true" outlineLevel="0" collapsed="false">
      <c r="A594" s="13" t="s">
        <v>1240</v>
      </c>
      <c r="B594" s="13" t="s">
        <v>34</v>
      </c>
      <c r="C594" s="13" t="s">
        <v>1241</v>
      </c>
      <c r="D594" s="13" t="n">
        <v>26</v>
      </c>
      <c r="E594" s="13" t="s">
        <v>90</v>
      </c>
      <c r="F594" s="13" t="s">
        <v>38</v>
      </c>
      <c r="G594" s="13" t="s">
        <v>475</v>
      </c>
      <c r="H594" s="13" t="s">
        <v>41</v>
      </c>
      <c r="I594" s="13" t="n">
        <v>3</v>
      </c>
      <c r="J594" s="13" t="n">
        <v>0</v>
      </c>
      <c r="K594" s="13" t="s">
        <v>91</v>
      </c>
      <c r="L594" s="13" t="n">
        <v>3</v>
      </c>
      <c r="M594" s="13" t="n">
        <v>770062.4</v>
      </c>
      <c r="N594" s="13" t="n">
        <v>256687.466666667</v>
      </c>
      <c r="O594" s="13" t="n">
        <v>922.666666666667</v>
      </c>
      <c r="P594" s="13" t="n">
        <v>0</v>
      </c>
      <c r="Q594" s="13" t="n">
        <v>3</v>
      </c>
      <c r="R594" s="13" t="s">
        <v>98</v>
      </c>
      <c r="S594" s="13" t="s">
        <v>114</v>
      </c>
      <c r="T594" s="13" t="n">
        <v>1</v>
      </c>
      <c r="U594" s="13" t="n">
        <f aca="false">IF(B594="Individual",1,0)</f>
        <v>1</v>
      </c>
      <c r="V594" s="13" t="n">
        <f aca="false">IF(B594="Company",1,0)</f>
        <v>0</v>
      </c>
      <c r="W594" s="13" t="n">
        <f aca="false">IF(H594="Home",1,0)</f>
        <v>1</v>
      </c>
      <c r="X594" s="13" t="n">
        <f aca="false">IF(H594="Investment",1,0)</f>
        <v>0</v>
      </c>
      <c r="Y594" s="13" t="n">
        <f aca="false">IF(K594="Website",1,0)</f>
        <v>0</v>
      </c>
      <c r="Z594" s="13" t="n">
        <f aca="false">IF(K594="Agency",1,0)</f>
        <v>1</v>
      </c>
      <c r="AA594" s="13" t="n">
        <f aca="false">IF(K594="Client",1,0)</f>
        <v>0</v>
      </c>
      <c r="AB594" s="13" t="n">
        <f aca="false">(D594-AVERAGE(D$2:D$2001))/STDEV(D$2:D$2001)</f>
        <v>-1.62244851007011</v>
      </c>
      <c r="AC594" s="13" t="n">
        <f aca="false">(I594-AVERAGE(I$2:I$2001))/STDEV(I$2:I$2001)</f>
        <v>-0.0205155458339628</v>
      </c>
      <c r="AD594" s="13" t="n">
        <f aca="false">(L594-AVERAGE(L$2:L$2001))/STDEV(L$2:L$2001)</f>
        <v>-0.777063122173208</v>
      </c>
      <c r="AE594" s="13" t="n">
        <f aca="false">(M594-AVERAGE(M$2:M$2001))/STDEV(M$2:M$2001)</f>
        <v>-1.40963155351242</v>
      </c>
      <c r="AF594" s="13" t="n">
        <f aca="false">(N594-AVERAGE(N$2:N$2001))/STDEV(N$2:N$2001)</f>
        <v>-1.29661685323783</v>
      </c>
      <c r="AG594" s="13" t="n">
        <f aca="false">(O594-AVERAGE(O$2:O$2001))/STDEV(O$2:O$2001)</f>
        <v>-1.02223698090895</v>
      </c>
      <c r="AH594" s="0" t="str">
        <f aca="false">IF(B594="Company","C3 - Corporate Buyers",IF(AND(H594="Investment",M594&gt;'Segmentation Summary'!$C$1),"C1 - Global Investors",IF(AND(I594&gt;=4,M594&gt;'Segmentation Summary'!$C$1),"C4 - Luxury Investors",IF(AND(D594&lt;'Segmentation Summary'!$C$2,J594=1),"C2 - First-Time Buyers","C5 - Other Individual Buyers"))))</f>
        <v>C5 - Other Individual Buyers</v>
      </c>
    </row>
    <row r="595" customFormat="false" ht="15" hidden="false" customHeight="true" outlineLevel="0" collapsed="false">
      <c r="A595" s="13" t="s">
        <v>1242</v>
      </c>
      <c r="B595" s="13" t="s">
        <v>34</v>
      </c>
      <c r="C595" s="13" t="s">
        <v>1243</v>
      </c>
      <c r="D595" s="13" t="n">
        <v>82</v>
      </c>
      <c r="E595" s="13" t="s">
        <v>90</v>
      </c>
      <c r="F595" s="13" t="s">
        <v>33</v>
      </c>
      <c r="G595" s="13" t="s">
        <v>110</v>
      </c>
      <c r="H595" s="13" t="s">
        <v>41</v>
      </c>
      <c r="I595" s="13" t="n">
        <v>1</v>
      </c>
      <c r="J595" s="13" t="n">
        <v>0</v>
      </c>
      <c r="K595" s="13" t="s">
        <v>91</v>
      </c>
      <c r="L595" s="13" t="n">
        <v>3</v>
      </c>
      <c r="M595" s="13" t="n">
        <v>1137572.87</v>
      </c>
      <c r="N595" s="13" t="n">
        <v>379190.956666667</v>
      </c>
      <c r="O595" s="13" t="n">
        <v>1221.67666666667</v>
      </c>
      <c r="P595" s="13" t="n">
        <v>0</v>
      </c>
      <c r="Q595" s="13" t="n">
        <v>3</v>
      </c>
      <c r="R595" s="13" t="s">
        <v>92</v>
      </c>
      <c r="S595" s="13" t="s">
        <v>133</v>
      </c>
      <c r="T595" s="13" t="n">
        <v>1</v>
      </c>
      <c r="U595" s="13" t="n">
        <f aca="false">IF(B595="Individual",1,0)</f>
        <v>1</v>
      </c>
      <c r="V595" s="13" t="n">
        <f aca="false">IF(B595="Company",1,0)</f>
        <v>0</v>
      </c>
      <c r="W595" s="13" t="n">
        <f aca="false">IF(H595="Home",1,0)</f>
        <v>1</v>
      </c>
      <c r="X595" s="13" t="n">
        <f aca="false">IF(H595="Investment",1,0)</f>
        <v>0</v>
      </c>
      <c r="Y595" s="13" t="n">
        <f aca="false">IF(K595="Website",1,0)</f>
        <v>0</v>
      </c>
      <c r="Z595" s="13" t="n">
        <f aca="false">IF(K595="Agency",1,0)</f>
        <v>1</v>
      </c>
      <c r="AA595" s="13" t="n">
        <f aca="false">IF(K595="Client",1,0)</f>
        <v>0</v>
      </c>
      <c r="AB595" s="13" t="n">
        <f aca="false">(D595-AVERAGE(D$2:D$2001))/STDEV(D$2:D$2001)</f>
        <v>1.60664899726636</v>
      </c>
      <c r="AC595" s="13" t="n">
        <f aca="false">(I595-AVERAGE(I$2:I$2001))/STDEV(I$2:I$2001)</f>
        <v>-1.43538077576244</v>
      </c>
      <c r="AD595" s="13" t="n">
        <f aca="false">(L595-AVERAGE(L$2:L$2001))/STDEV(L$2:L$2001)</f>
        <v>-0.777063122173208</v>
      </c>
      <c r="AE595" s="13" t="n">
        <f aca="false">(M595-AVERAGE(M$2:M$2001))/STDEV(M$2:M$2001)</f>
        <v>-0.353052858295037</v>
      </c>
      <c r="AF595" s="13" t="n">
        <f aca="false">(N595-AVERAGE(N$2:N$2001))/STDEV(N$2:N$2001)</f>
        <v>0.460415404565582</v>
      </c>
      <c r="AG595" s="13" t="n">
        <f aca="false">(O595-AVERAGE(O$2:O$2001))/STDEV(O$2:O$2001)</f>
        <v>0.337377800516072</v>
      </c>
      <c r="AH595" s="0" t="str">
        <f aca="false">IF(B595="Company","C3 - Corporate Buyers",IF(AND(H595="Investment",M595&gt;'Segmentation Summary'!$C$1),"C1 - Global Investors",IF(AND(I595&gt;=4,M595&gt;'Segmentation Summary'!$C$1),"C4 - Luxury Investors",IF(AND(D595&lt;'Segmentation Summary'!$C$2,J595=1),"C2 - First-Time Buyers","C5 - Other Individual Buyers"))))</f>
        <v>C5 - Other Individual Buyers</v>
      </c>
    </row>
    <row r="596" customFormat="false" ht="15" hidden="false" customHeight="true" outlineLevel="0" collapsed="false">
      <c r="A596" s="13" t="s">
        <v>1244</v>
      </c>
      <c r="B596" s="13" t="s">
        <v>34</v>
      </c>
      <c r="C596" s="13" t="s">
        <v>1245</v>
      </c>
      <c r="D596" s="13" t="n">
        <v>76</v>
      </c>
      <c r="E596" s="13" t="s">
        <v>90</v>
      </c>
      <c r="F596" s="13" t="s">
        <v>35</v>
      </c>
      <c r="G596" s="13" t="s">
        <v>185</v>
      </c>
      <c r="H596" s="13" t="s">
        <v>41</v>
      </c>
      <c r="I596" s="13" t="n">
        <v>3</v>
      </c>
      <c r="J596" s="13" t="n">
        <v>0</v>
      </c>
      <c r="K596" s="13" t="s">
        <v>85</v>
      </c>
      <c r="L596" s="13" t="n">
        <v>3</v>
      </c>
      <c r="M596" s="13" t="n">
        <v>1141107.24</v>
      </c>
      <c r="N596" s="13" t="n">
        <v>380369.08</v>
      </c>
      <c r="O596" s="13" t="n">
        <v>1193.77333333333</v>
      </c>
      <c r="P596" s="13" t="n">
        <v>1</v>
      </c>
      <c r="Q596" s="13" t="n">
        <v>2</v>
      </c>
      <c r="R596" s="13" t="s">
        <v>124</v>
      </c>
      <c r="S596" s="13" t="s">
        <v>152</v>
      </c>
      <c r="T596" s="13" t="n">
        <v>1</v>
      </c>
      <c r="U596" s="13" t="n">
        <f aca="false">IF(B596="Individual",1,0)</f>
        <v>1</v>
      </c>
      <c r="V596" s="13" t="n">
        <f aca="false">IF(B596="Company",1,0)</f>
        <v>0</v>
      </c>
      <c r="W596" s="13" t="n">
        <f aca="false">IF(H596="Home",1,0)</f>
        <v>1</v>
      </c>
      <c r="X596" s="13" t="n">
        <f aca="false">IF(H596="Investment",1,0)</f>
        <v>0</v>
      </c>
      <c r="Y596" s="13" t="n">
        <f aca="false">IF(K596="Website",1,0)</f>
        <v>1</v>
      </c>
      <c r="Z596" s="13" t="n">
        <f aca="false">IF(K596="Agency",1,0)</f>
        <v>0</v>
      </c>
      <c r="AA596" s="13" t="n">
        <f aca="false">IF(K596="Client",1,0)</f>
        <v>0</v>
      </c>
      <c r="AB596" s="13" t="n">
        <f aca="false">(D596-AVERAGE(D$2:D$2001))/STDEV(D$2:D$2001)</f>
        <v>1.26067426433745</v>
      </c>
      <c r="AC596" s="13" t="n">
        <f aca="false">(I596-AVERAGE(I$2:I$2001))/STDEV(I$2:I$2001)</f>
        <v>-0.0205155458339628</v>
      </c>
      <c r="AD596" s="13" t="n">
        <f aca="false">(L596-AVERAGE(L$2:L$2001))/STDEV(L$2:L$2001)</f>
        <v>-0.777063122173208</v>
      </c>
      <c r="AE596" s="13" t="n">
        <f aca="false">(M596-AVERAGE(M$2:M$2001))/STDEV(M$2:M$2001)</f>
        <v>-0.342891678280178</v>
      </c>
      <c r="AF596" s="13" t="n">
        <f aca="false">(N596-AVERAGE(N$2:N$2001))/STDEV(N$2:N$2001)</f>
        <v>0.477312888060436</v>
      </c>
      <c r="AG596" s="13" t="n">
        <f aca="false">(O596-AVERAGE(O$2:O$2001))/STDEV(O$2:O$2001)</f>
        <v>0.21049982168246</v>
      </c>
      <c r="AH596" s="0" t="str">
        <f aca="false">IF(B596="Company","C3 - Corporate Buyers",IF(AND(H596="Investment",M596&gt;'Segmentation Summary'!$C$1),"C1 - Global Investors",IF(AND(I596&gt;=4,M596&gt;'Segmentation Summary'!$C$1),"C4 - Luxury Investors",IF(AND(D596&lt;'Segmentation Summary'!$C$2,J596=1),"C2 - First-Time Buyers","C5 - Other Individual Buyers"))))</f>
        <v>C5 - Other Individual Buyers</v>
      </c>
    </row>
    <row r="597" customFormat="false" ht="15" hidden="false" customHeight="true" outlineLevel="0" collapsed="false">
      <c r="A597" s="13" t="s">
        <v>1246</v>
      </c>
      <c r="B597" s="13" t="s">
        <v>34</v>
      </c>
      <c r="C597" s="13" t="s">
        <v>1247</v>
      </c>
      <c r="D597" s="13" t="n">
        <v>30</v>
      </c>
      <c r="E597" s="13" t="s">
        <v>90</v>
      </c>
      <c r="F597" s="13" t="s">
        <v>33</v>
      </c>
      <c r="G597" s="13" t="s">
        <v>207</v>
      </c>
      <c r="H597" s="13" t="s">
        <v>41</v>
      </c>
      <c r="I597" s="13" t="n">
        <v>4</v>
      </c>
      <c r="J597" s="13" t="n">
        <v>1</v>
      </c>
      <c r="K597" s="13" t="s">
        <v>91</v>
      </c>
      <c r="L597" s="13" t="n">
        <v>4</v>
      </c>
      <c r="M597" s="13" t="n">
        <v>1218095.3</v>
      </c>
      <c r="N597" s="13" t="n">
        <v>304523.825</v>
      </c>
      <c r="O597" s="13" t="n">
        <v>1027.81</v>
      </c>
      <c r="P597" s="13" t="n">
        <v>0</v>
      </c>
      <c r="Q597" s="13" t="n">
        <v>4</v>
      </c>
      <c r="R597" s="13" t="s">
        <v>117</v>
      </c>
      <c r="S597" s="13" t="s">
        <v>128</v>
      </c>
      <c r="T597" s="13" t="n">
        <v>1</v>
      </c>
      <c r="U597" s="13" t="n">
        <f aca="false">IF(B597="Individual",1,0)</f>
        <v>1</v>
      </c>
      <c r="V597" s="13" t="n">
        <f aca="false">IF(B597="Company",1,0)</f>
        <v>0</v>
      </c>
      <c r="W597" s="13" t="n">
        <f aca="false">IF(H597="Home",1,0)</f>
        <v>1</v>
      </c>
      <c r="X597" s="13" t="n">
        <f aca="false">IF(H597="Investment",1,0)</f>
        <v>0</v>
      </c>
      <c r="Y597" s="13" t="n">
        <f aca="false">IF(K597="Website",1,0)</f>
        <v>0</v>
      </c>
      <c r="Z597" s="13" t="n">
        <f aca="false">IF(K597="Agency",1,0)</f>
        <v>1</v>
      </c>
      <c r="AA597" s="13" t="n">
        <f aca="false">IF(K597="Client",1,0)</f>
        <v>0</v>
      </c>
      <c r="AB597" s="13" t="n">
        <f aca="false">(D597-AVERAGE(D$2:D$2001))/STDEV(D$2:D$2001)</f>
        <v>-1.39179868811751</v>
      </c>
      <c r="AC597" s="13" t="n">
        <f aca="false">(I597-AVERAGE(I$2:I$2001))/STDEV(I$2:I$2001)</f>
        <v>0.686917069130275</v>
      </c>
      <c r="AD597" s="13" t="n">
        <f aca="false">(L597-AVERAGE(L$2:L$2001))/STDEV(L$2:L$2001)</f>
        <v>0.413838214490712</v>
      </c>
      <c r="AE597" s="13" t="n">
        <f aca="false">(M597-AVERAGE(M$2:M$2001))/STDEV(M$2:M$2001)</f>
        <v>-0.121553918890309</v>
      </c>
      <c r="AF597" s="13" t="n">
        <f aca="false">(N597-AVERAGE(N$2:N$2001))/STDEV(N$2:N$2001)</f>
        <v>-0.61051374966495</v>
      </c>
      <c r="AG597" s="13" t="n">
        <f aca="false">(O597-AVERAGE(O$2:O$2001))/STDEV(O$2:O$2001)</f>
        <v>-0.544144508522418</v>
      </c>
      <c r="AH597" s="0" t="str">
        <f aca="false">IF(B597="Company","C3 - Corporate Buyers",IF(AND(H597="Investment",M597&gt;'Segmentation Summary'!$C$1),"C1 - Global Investors",IF(AND(I597&gt;=4,M597&gt;'Segmentation Summary'!$C$1),"C4 - Luxury Investors",IF(AND(D597&lt;'Segmentation Summary'!$C$2,J597=1),"C2 - First-Time Buyers","C5 - Other Individual Buyers"))))</f>
        <v>C2 - First-Time Buyers</v>
      </c>
    </row>
    <row r="598" customFormat="false" ht="15" hidden="false" customHeight="true" outlineLevel="0" collapsed="false">
      <c r="A598" s="13" t="s">
        <v>1248</v>
      </c>
      <c r="B598" s="13" t="s">
        <v>34</v>
      </c>
      <c r="C598" s="13" t="s">
        <v>1249</v>
      </c>
      <c r="D598" s="13" t="n">
        <v>46</v>
      </c>
      <c r="E598" s="13" t="s">
        <v>90</v>
      </c>
      <c r="F598" s="13" t="s">
        <v>33</v>
      </c>
      <c r="G598" s="13" t="s">
        <v>97</v>
      </c>
      <c r="H598" s="13" t="s">
        <v>43</v>
      </c>
      <c r="I598" s="13" t="n">
        <v>4</v>
      </c>
      <c r="J598" s="13" t="n">
        <v>0</v>
      </c>
      <c r="K598" s="13" t="s">
        <v>116</v>
      </c>
      <c r="L598" s="13" t="n">
        <v>4</v>
      </c>
      <c r="M598" s="13" t="n">
        <v>1244666.12</v>
      </c>
      <c r="N598" s="13" t="n">
        <v>311166.53</v>
      </c>
      <c r="O598" s="13" t="n">
        <v>1027.0725</v>
      </c>
      <c r="P598" s="13" t="n">
        <v>0</v>
      </c>
      <c r="Q598" s="13" t="n">
        <v>4</v>
      </c>
      <c r="R598" s="13" t="s">
        <v>117</v>
      </c>
      <c r="S598" s="13" t="s">
        <v>128</v>
      </c>
      <c r="T598" s="13" t="n">
        <v>1</v>
      </c>
      <c r="U598" s="13" t="n">
        <f aca="false">IF(B598="Individual",1,0)</f>
        <v>1</v>
      </c>
      <c r="V598" s="13" t="n">
        <f aca="false">IF(B598="Company",1,0)</f>
        <v>0</v>
      </c>
      <c r="W598" s="13" t="n">
        <f aca="false">IF(H598="Home",1,0)</f>
        <v>0</v>
      </c>
      <c r="X598" s="13" t="n">
        <f aca="false">IF(H598="Investment",1,0)</f>
        <v>1</v>
      </c>
      <c r="Y598" s="13" t="n">
        <f aca="false">IF(K598="Website",1,0)</f>
        <v>0</v>
      </c>
      <c r="Z598" s="13" t="n">
        <f aca="false">IF(K598="Agency",1,0)</f>
        <v>0</v>
      </c>
      <c r="AA598" s="13" t="n">
        <f aca="false">IF(K598="Client",1,0)</f>
        <v>1</v>
      </c>
      <c r="AB598" s="13" t="n">
        <f aca="false">(D598-AVERAGE(D$2:D$2001))/STDEV(D$2:D$2001)</f>
        <v>-0.469199400307086</v>
      </c>
      <c r="AC598" s="13" t="n">
        <f aca="false">(I598-AVERAGE(I$2:I$2001))/STDEV(I$2:I$2001)</f>
        <v>0.686917069130275</v>
      </c>
      <c r="AD598" s="13" t="n">
        <f aca="false">(L598-AVERAGE(L$2:L$2001))/STDEV(L$2:L$2001)</f>
        <v>0.413838214490712</v>
      </c>
      <c r="AE598" s="13" t="n">
        <f aca="false">(M598-AVERAGE(M$2:M$2001))/STDEV(M$2:M$2001)</f>
        <v>-0.0451638167893918</v>
      </c>
      <c r="AF598" s="13" t="n">
        <f aca="false">(N598-AVERAGE(N$2:N$2001))/STDEV(N$2:N$2001)</f>
        <v>-0.515239345939211</v>
      </c>
      <c r="AG598" s="13" t="n">
        <f aca="false">(O598-AVERAGE(O$2:O$2001))/STDEV(O$2:O$2001)</f>
        <v>-0.547497961254102</v>
      </c>
      <c r="AH598" s="0" t="str">
        <f aca="false">IF(B598="Company","C3 - Corporate Buyers",IF(AND(H598="Investment",M598&gt;'Segmentation Summary'!$C$1),"C1 - Global Investors",IF(AND(I598&gt;=4,M598&gt;'Segmentation Summary'!$C$1),"C4 - Luxury Investors",IF(AND(D598&lt;'Segmentation Summary'!$C$2,J598=1),"C2 - First-Time Buyers","C5 - Other Individual Buyers"))))</f>
        <v>C1 - Global Investors</v>
      </c>
    </row>
    <row r="599" customFormat="false" ht="15" hidden="false" customHeight="true" outlineLevel="0" collapsed="false">
      <c r="A599" s="13" t="s">
        <v>1250</v>
      </c>
      <c r="B599" s="13" t="s">
        <v>34</v>
      </c>
      <c r="C599" s="13" t="s">
        <v>1251</v>
      </c>
      <c r="D599" s="13" t="n">
        <v>59</v>
      </c>
      <c r="E599" s="13" t="s">
        <v>83</v>
      </c>
      <c r="F599" s="13" t="s">
        <v>44</v>
      </c>
      <c r="G599" s="13" t="s">
        <v>209</v>
      </c>
      <c r="H599" s="13" t="s">
        <v>41</v>
      </c>
      <c r="I599" s="13" t="n">
        <v>3</v>
      </c>
      <c r="J599" s="13" t="n">
        <v>0</v>
      </c>
      <c r="K599" s="13" t="s">
        <v>91</v>
      </c>
      <c r="L599" s="13" t="n">
        <v>5</v>
      </c>
      <c r="M599" s="13" t="n">
        <v>1987876.4</v>
      </c>
      <c r="N599" s="13" t="n">
        <v>397575.28</v>
      </c>
      <c r="O599" s="13" t="n">
        <v>1445.752</v>
      </c>
      <c r="P599" s="13" t="n">
        <v>0</v>
      </c>
      <c r="Q599" s="13" t="n">
        <v>5</v>
      </c>
      <c r="R599" s="13" t="s">
        <v>128</v>
      </c>
      <c r="S599" s="13" t="s">
        <v>154</v>
      </c>
      <c r="T599" s="13" t="n">
        <v>1</v>
      </c>
      <c r="U599" s="13" t="n">
        <f aca="false">IF(B599="Individual",1,0)</f>
        <v>1</v>
      </c>
      <c r="V599" s="13" t="n">
        <f aca="false">IF(B599="Company",1,0)</f>
        <v>0</v>
      </c>
      <c r="W599" s="13" t="n">
        <f aca="false">IF(H599="Home",1,0)</f>
        <v>1</v>
      </c>
      <c r="X599" s="13" t="n">
        <f aca="false">IF(H599="Investment",1,0)</f>
        <v>0</v>
      </c>
      <c r="Y599" s="13" t="n">
        <f aca="false">IF(K599="Website",1,0)</f>
        <v>0</v>
      </c>
      <c r="Z599" s="13" t="n">
        <f aca="false">IF(K599="Agency",1,0)</f>
        <v>1</v>
      </c>
      <c r="AA599" s="13" t="n">
        <f aca="false">IF(K599="Client",1,0)</f>
        <v>0</v>
      </c>
      <c r="AB599" s="13" t="n">
        <f aca="false">(D599-AVERAGE(D$2:D$2001))/STDEV(D$2:D$2001)</f>
        <v>0.280412521038879</v>
      </c>
      <c r="AC599" s="13" t="n">
        <f aca="false">(I599-AVERAGE(I$2:I$2001))/STDEV(I$2:I$2001)</f>
        <v>-0.0205155458339628</v>
      </c>
      <c r="AD599" s="13" t="n">
        <f aca="false">(L599-AVERAGE(L$2:L$2001))/STDEV(L$2:L$2001)</f>
        <v>1.60473955115463</v>
      </c>
      <c r="AE599" s="13" t="n">
        <f aca="false">(M599-AVERAGE(M$2:M$2001))/STDEV(M$2:M$2001)</f>
        <v>2.09153761627331</v>
      </c>
      <c r="AF599" s="13" t="n">
        <f aca="false">(N599-AVERAGE(N$2:N$2001))/STDEV(N$2:N$2001)</f>
        <v>0.724096456709926</v>
      </c>
      <c r="AG599" s="13" t="n">
        <f aca="false">(O599-AVERAGE(O$2:O$2001))/STDEV(O$2:O$2001)</f>
        <v>1.35626056481402</v>
      </c>
      <c r="AH599" s="0" t="str">
        <f aca="false">IF(B599="Company","C3 - Corporate Buyers",IF(AND(H599="Investment",M599&gt;'Segmentation Summary'!$C$1),"C1 - Global Investors",IF(AND(I599&gt;=4,M599&gt;'Segmentation Summary'!$C$1),"C4 - Luxury Investors",IF(AND(D599&lt;'Segmentation Summary'!$C$2,J599=1),"C2 - First-Time Buyers","C5 - Other Individual Buyers"))))</f>
        <v>C5 - Other Individual Buyers</v>
      </c>
    </row>
    <row r="600" customFormat="false" ht="15" hidden="false" customHeight="true" outlineLevel="0" collapsed="false">
      <c r="A600" s="13" t="s">
        <v>1252</v>
      </c>
      <c r="B600" s="13" t="s">
        <v>34</v>
      </c>
      <c r="C600" s="13" t="s">
        <v>1253</v>
      </c>
      <c r="D600" s="13" t="n">
        <v>64</v>
      </c>
      <c r="E600" s="13" t="s">
        <v>83</v>
      </c>
      <c r="F600" s="13" t="s">
        <v>45</v>
      </c>
      <c r="G600" s="13" t="s">
        <v>225</v>
      </c>
      <c r="H600" s="13" t="s">
        <v>41</v>
      </c>
      <c r="I600" s="13" t="n">
        <v>3</v>
      </c>
      <c r="J600" s="13" t="n">
        <v>0</v>
      </c>
      <c r="K600" s="13" t="s">
        <v>91</v>
      </c>
      <c r="L600" s="13" t="n">
        <v>4</v>
      </c>
      <c r="M600" s="13" t="n">
        <v>886149.52</v>
      </c>
      <c r="N600" s="13" t="n">
        <v>221537.38</v>
      </c>
      <c r="O600" s="13" t="n">
        <v>748.33</v>
      </c>
      <c r="P600" s="13" t="n">
        <v>0</v>
      </c>
      <c r="Q600" s="13" t="n">
        <v>4</v>
      </c>
      <c r="R600" s="13" t="s">
        <v>92</v>
      </c>
      <c r="S600" s="13" t="s">
        <v>135</v>
      </c>
      <c r="T600" s="13" t="n">
        <v>1</v>
      </c>
      <c r="U600" s="13" t="n">
        <f aca="false">IF(B600="Individual",1,0)</f>
        <v>1</v>
      </c>
      <c r="V600" s="13" t="n">
        <f aca="false">IF(B600="Company",1,0)</f>
        <v>0</v>
      </c>
      <c r="W600" s="13" t="n">
        <f aca="false">IF(H600="Home",1,0)</f>
        <v>1</v>
      </c>
      <c r="X600" s="13" t="n">
        <f aca="false">IF(H600="Investment",1,0)</f>
        <v>0</v>
      </c>
      <c r="Y600" s="13" t="n">
        <f aca="false">IF(K600="Website",1,0)</f>
        <v>0</v>
      </c>
      <c r="Z600" s="13" t="n">
        <f aca="false">IF(K600="Agency",1,0)</f>
        <v>1</v>
      </c>
      <c r="AA600" s="13" t="n">
        <f aca="false">IF(K600="Client",1,0)</f>
        <v>0</v>
      </c>
      <c r="AB600" s="13" t="n">
        <f aca="false">(D600-AVERAGE(D$2:D$2001))/STDEV(D$2:D$2001)</f>
        <v>0.568724798479635</v>
      </c>
      <c r="AC600" s="13" t="n">
        <f aca="false">(I600-AVERAGE(I$2:I$2001))/STDEV(I$2:I$2001)</f>
        <v>-0.0205155458339628</v>
      </c>
      <c r="AD600" s="13" t="n">
        <f aca="false">(L600-AVERAGE(L$2:L$2001))/STDEV(L$2:L$2001)</f>
        <v>0.413838214490712</v>
      </c>
      <c r="AE600" s="13" t="n">
        <f aca="false">(M600-AVERAGE(M$2:M$2001))/STDEV(M$2:M$2001)</f>
        <v>-1.07588547607103</v>
      </c>
      <c r="AF600" s="13" t="n">
        <f aca="false">(N600-AVERAGE(N$2:N$2001))/STDEV(N$2:N$2001)</f>
        <v>-1.80076441783309</v>
      </c>
      <c r="AG600" s="13" t="n">
        <f aca="false">(O600-AVERAGE(O$2:O$2001))/STDEV(O$2:O$2001)</f>
        <v>-1.81495531455787</v>
      </c>
      <c r="AH600" s="0" t="str">
        <f aca="false">IF(B600="Company","C3 - Corporate Buyers",IF(AND(H600="Investment",M600&gt;'Segmentation Summary'!$C$1),"C1 - Global Investors",IF(AND(I600&gt;=4,M600&gt;'Segmentation Summary'!$C$1),"C4 - Luxury Investors",IF(AND(D600&lt;'Segmentation Summary'!$C$2,J600=1),"C2 - First-Time Buyers","C5 - Other Individual Buyers"))))</f>
        <v>C5 - Other Individual Buyers</v>
      </c>
    </row>
    <row r="601" customFormat="false" ht="15" hidden="false" customHeight="true" outlineLevel="0" collapsed="false">
      <c r="A601" s="13" t="s">
        <v>1254</v>
      </c>
      <c r="B601" s="13" t="s">
        <v>34</v>
      </c>
      <c r="C601" s="13" t="s">
        <v>1255</v>
      </c>
      <c r="D601" s="13" t="n">
        <v>51</v>
      </c>
      <c r="E601" s="13" t="s">
        <v>83</v>
      </c>
      <c r="F601" s="13" t="s">
        <v>33</v>
      </c>
      <c r="G601" s="13" t="s">
        <v>95</v>
      </c>
      <c r="H601" s="13" t="s">
        <v>41</v>
      </c>
      <c r="I601" s="13" t="n">
        <v>5</v>
      </c>
      <c r="J601" s="13" t="n">
        <v>0</v>
      </c>
      <c r="K601" s="13" t="s">
        <v>85</v>
      </c>
      <c r="L601" s="13" t="n">
        <v>4</v>
      </c>
      <c r="M601" s="13" t="n">
        <v>1436006.22</v>
      </c>
      <c r="N601" s="13" t="n">
        <v>359001.555</v>
      </c>
      <c r="O601" s="13" t="n">
        <v>1214.5625</v>
      </c>
      <c r="P601" s="13" t="n">
        <v>0</v>
      </c>
      <c r="Q601" s="13" t="n">
        <v>4</v>
      </c>
      <c r="R601" s="13" t="s">
        <v>121</v>
      </c>
      <c r="S601" s="13" t="s">
        <v>107</v>
      </c>
      <c r="T601" s="13" t="n">
        <v>1</v>
      </c>
      <c r="U601" s="13" t="n">
        <f aca="false">IF(B601="Individual",1,0)</f>
        <v>1</v>
      </c>
      <c r="V601" s="13" t="n">
        <f aca="false">IF(B601="Company",1,0)</f>
        <v>0</v>
      </c>
      <c r="W601" s="13" t="n">
        <f aca="false">IF(H601="Home",1,0)</f>
        <v>1</v>
      </c>
      <c r="X601" s="13" t="n">
        <f aca="false">IF(H601="Investment",1,0)</f>
        <v>0</v>
      </c>
      <c r="Y601" s="13" t="n">
        <f aca="false">IF(K601="Website",1,0)</f>
        <v>1</v>
      </c>
      <c r="Z601" s="13" t="n">
        <f aca="false">IF(K601="Agency",1,0)</f>
        <v>0</v>
      </c>
      <c r="AA601" s="13" t="n">
        <f aca="false">IF(K601="Client",1,0)</f>
        <v>0</v>
      </c>
      <c r="AB601" s="13" t="n">
        <f aca="false">(D601-AVERAGE(D$2:D$2001))/STDEV(D$2:D$2001)</f>
        <v>-0.18088712286633</v>
      </c>
      <c r="AC601" s="13" t="n">
        <f aca="false">(I601-AVERAGE(I$2:I$2001))/STDEV(I$2:I$2001)</f>
        <v>1.39434968409451</v>
      </c>
      <c r="AD601" s="13" t="n">
        <f aca="false">(L601-AVERAGE(L$2:L$2001))/STDEV(L$2:L$2001)</f>
        <v>0.413838214490712</v>
      </c>
      <c r="AE601" s="13" t="n">
        <f aca="false">(M601-AVERAGE(M$2:M$2001))/STDEV(M$2:M$2001)</f>
        <v>0.50493173069464</v>
      </c>
      <c r="AF601" s="13" t="n">
        <f aca="false">(N601-AVERAGE(N$2:N$2001))/STDEV(N$2:N$2001)</f>
        <v>0.170844634017871</v>
      </c>
      <c r="AG601" s="13" t="n">
        <f aca="false">(O601-AVERAGE(O$2:O$2001))/STDEV(O$2:O$2001)</f>
        <v>0.305029296594713</v>
      </c>
      <c r="AH601" s="0" t="str">
        <f aca="false">IF(B601="Company","C3 - Corporate Buyers",IF(AND(H601="Investment",M601&gt;'Segmentation Summary'!$C$1),"C1 - Global Investors",IF(AND(I601&gt;=4,M601&gt;'Segmentation Summary'!$C$1),"C4 - Luxury Investors",IF(AND(D601&lt;'Segmentation Summary'!$C$2,J601=1),"C2 - First-Time Buyers","C5 - Other Individual Buyers"))))</f>
        <v>C4 - Luxury Investors</v>
      </c>
    </row>
    <row r="602" customFormat="false" ht="15" hidden="false" customHeight="true" outlineLevel="0" collapsed="false">
      <c r="A602" s="13" t="s">
        <v>1256</v>
      </c>
      <c r="B602" s="13" t="s">
        <v>34</v>
      </c>
      <c r="C602" s="13" t="s">
        <v>1257</v>
      </c>
      <c r="D602" s="13" t="n">
        <v>42</v>
      </c>
      <c r="E602" s="13" t="s">
        <v>83</v>
      </c>
      <c r="F602" s="13" t="s">
        <v>33</v>
      </c>
      <c r="G602" s="13" t="s">
        <v>84</v>
      </c>
      <c r="H602" s="13" t="s">
        <v>43</v>
      </c>
      <c r="I602" s="13" t="n">
        <v>3</v>
      </c>
      <c r="J602" s="13" t="n">
        <v>1</v>
      </c>
      <c r="K602" s="13" t="s">
        <v>85</v>
      </c>
      <c r="L602" s="13" t="n">
        <v>3</v>
      </c>
      <c r="M602" s="13" t="n">
        <v>961599.42</v>
      </c>
      <c r="N602" s="13" t="n">
        <v>320533.14</v>
      </c>
      <c r="O602" s="13" t="n">
        <v>975.943333333333</v>
      </c>
      <c r="P602" s="13" t="n">
        <v>1</v>
      </c>
      <c r="Q602" s="13" t="n">
        <v>2</v>
      </c>
      <c r="R602" s="13" t="s">
        <v>101</v>
      </c>
      <c r="S602" s="13" t="s">
        <v>164</v>
      </c>
      <c r="T602" s="13" t="n">
        <v>1</v>
      </c>
      <c r="U602" s="13" t="n">
        <f aca="false">IF(B602="Individual",1,0)</f>
        <v>1</v>
      </c>
      <c r="V602" s="13" t="n">
        <f aca="false">IF(B602="Company",1,0)</f>
        <v>0</v>
      </c>
      <c r="W602" s="13" t="n">
        <f aca="false">IF(H602="Home",1,0)</f>
        <v>0</v>
      </c>
      <c r="X602" s="13" t="n">
        <f aca="false">IF(H602="Investment",1,0)</f>
        <v>1</v>
      </c>
      <c r="Y602" s="13" t="n">
        <f aca="false">IF(K602="Website",1,0)</f>
        <v>1</v>
      </c>
      <c r="Z602" s="13" t="n">
        <f aca="false">IF(K602="Agency",1,0)</f>
        <v>0</v>
      </c>
      <c r="AA602" s="13" t="n">
        <f aca="false">IF(K602="Client",1,0)</f>
        <v>0</v>
      </c>
      <c r="AB602" s="13" t="n">
        <f aca="false">(D602-AVERAGE(D$2:D$2001))/STDEV(D$2:D$2001)</f>
        <v>-0.699849222259691</v>
      </c>
      <c r="AC602" s="13" t="n">
        <f aca="false">(I602-AVERAGE(I$2:I$2001))/STDEV(I$2:I$2001)</f>
        <v>-0.0205155458339628</v>
      </c>
      <c r="AD602" s="13" t="n">
        <f aca="false">(L602-AVERAGE(L$2:L$2001))/STDEV(L$2:L$2001)</f>
        <v>-0.777063122173208</v>
      </c>
      <c r="AE602" s="13" t="n">
        <f aca="false">(M602-AVERAGE(M$2:M$2001))/STDEV(M$2:M$2001)</f>
        <v>-0.85896986847954</v>
      </c>
      <c r="AF602" s="13" t="n">
        <f aca="false">(N602-AVERAGE(N$2:N$2001))/STDEV(N$2:N$2001)</f>
        <v>-0.380896757689162</v>
      </c>
      <c r="AG602" s="13" t="n">
        <f aca="false">(O602-AVERAGE(O$2:O$2001))/STDEV(O$2:O$2001)</f>
        <v>-0.779985071256922</v>
      </c>
      <c r="AH602" s="0" t="str">
        <f aca="false">IF(B602="Company","C3 - Corporate Buyers",IF(AND(H602="Investment",M602&gt;'Segmentation Summary'!$C$1),"C1 - Global Investors",IF(AND(I602&gt;=4,M602&gt;'Segmentation Summary'!$C$1),"C4 - Luxury Investors",IF(AND(D602&lt;'Segmentation Summary'!$C$2,J602=1),"C2 - First-Time Buyers","C5 - Other Individual Buyers"))))</f>
        <v>C2 - First-Time Buyers</v>
      </c>
    </row>
    <row r="603" customFormat="false" ht="15" hidden="false" customHeight="true" outlineLevel="0" collapsed="false">
      <c r="A603" s="13" t="s">
        <v>1258</v>
      </c>
      <c r="B603" s="13" t="s">
        <v>34</v>
      </c>
      <c r="C603" s="13" t="s">
        <v>1259</v>
      </c>
      <c r="D603" s="13" t="n">
        <v>62</v>
      </c>
      <c r="E603" s="13" t="s">
        <v>83</v>
      </c>
      <c r="F603" s="13" t="s">
        <v>33</v>
      </c>
      <c r="G603" s="13" t="s">
        <v>95</v>
      </c>
      <c r="H603" s="13" t="s">
        <v>41</v>
      </c>
      <c r="I603" s="13" t="n">
        <v>3</v>
      </c>
      <c r="J603" s="13" t="n">
        <v>0</v>
      </c>
      <c r="K603" s="13" t="s">
        <v>85</v>
      </c>
      <c r="L603" s="13" t="n">
        <v>4</v>
      </c>
      <c r="M603" s="13" t="n">
        <v>981962.01</v>
      </c>
      <c r="N603" s="13" t="n">
        <v>245490.5025</v>
      </c>
      <c r="O603" s="13" t="n">
        <v>820.9225</v>
      </c>
      <c r="P603" s="13" t="n">
        <v>0</v>
      </c>
      <c r="Q603" s="13" t="n">
        <v>4</v>
      </c>
      <c r="R603" s="13" t="s">
        <v>101</v>
      </c>
      <c r="S603" s="13" t="s">
        <v>141</v>
      </c>
      <c r="T603" s="13" t="n">
        <v>1</v>
      </c>
      <c r="U603" s="13" t="n">
        <f aca="false">IF(B603="Individual",1,0)</f>
        <v>1</v>
      </c>
      <c r="V603" s="13" t="n">
        <f aca="false">IF(B603="Company",1,0)</f>
        <v>0</v>
      </c>
      <c r="W603" s="13" t="n">
        <f aca="false">IF(H603="Home",1,0)</f>
        <v>1</v>
      </c>
      <c r="X603" s="13" t="n">
        <f aca="false">IF(H603="Investment",1,0)</f>
        <v>0</v>
      </c>
      <c r="Y603" s="13" t="n">
        <f aca="false">IF(K603="Website",1,0)</f>
        <v>1</v>
      </c>
      <c r="Z603" s="13" t="n">
        <f aca="false">IF(K603="Agency",1,0)</f>
        <v>0</v>
      </c>
      <c r="AA603" s="13" t="n">
        <f aca="false">IF(K603="Client",1,0)</f>
        <v>0</v>
      </c>
      <c r="AB603" s="13" t="n">
        <f aca="false">(D603-AVERAGE(D$2:D$2001))/STDEV(D$2:D$2001)</f>
        <v>0.453399887503333</v>
      </c>
      <c r="AC603" s="13" t="n">
        <f aca="false">(I603-AVERAGE(I$2:I$2001))/STDEV(I$2:I$2001)</f>
        <v>-0.0205155458339628</v>
      </c>
      <c r="AD603" s="13" t="n">
        <f aca="false">(L603-AVERAGE(L$2:L$2001))/STDEV(L$2:L$2001)</f>
        <v>0.413838214490712</v>
      </c>
      <c r="AE603" s="13" t="n">
        <f aca="false">(M603-AVERAGE(M$2:M$2001))/STDEV(M$2:M$2001)</f>
        <v>-0.80042819271872</v>
      </c>
      <c r="AF603" s="13" t="n">
        <f aca="false">(N603-AVERAGE(N$2:N$2001))/STDEV(N$2:N$2001)</f>
        <v>-1.45721168388553</v>
      </c>
      <c r="AG603" s="13" t="n">
        <f aca="false">(O603-AVERAGE(O$2:O$2001))/STDEV(O$2:O$2001)</f>
        <v>-1.48487325703272</v>
      </c>
      <c r="AH603" s="0" t="str">
        <f aca="false">IF(B603="Company","C3 - Corporate Buyers",IF(AND(H603="Investment",M603&gt;'Segmentation Summary'!$C$1),"C1 - Global Investors",IF(AND(I603&gt;=4,M603&gt;'Segmentation Summary'!$C$1),"C4 - Luxury Investors",IF(AND(D603&lt;'Segmentation Summary'!$C$2,J603=1),"C2 - First-Time Buyers","C5 - Other Individual Buyers"))))</f>
        <v>C5 - Other Individual Buyers</v>
      </c>
    </row>
    <row r="604" customFormat="false" ht="15" hidden="false" customHeight="true" outlineLevel="0" collapsed="false">
      <c r="A604" s="13" t="s">
        <v>1260</v>
      </c>
      <c r="B604" s="13" t="s">
        <v>34</v>
      </c>
      <c r="C604" s="13" t="s">
        <v>1261</v>
      </c>
      <c r="D604" s="13" t="n">
        <v>58</v>
      </c>
      <c r="E604" s="13" t="s">
        <v>83</v>
      </c>
      <c r="F604" s="13" t="s">
        <v>33</v>
      </c>
      <c r="G604" s="13" t="s">
        <v>95</v>
      </c>
      <c r="H604" s="13" t="s">
        <v>41</v>
      </c>
      <c r="I604" s="13" t="n">
        <v>1</v>
      </c>
      <c r="J604" s="13" t="n">
        <v>1</v>
      </c>
      <c r="K604" s="13" t="s">
        <v>85</v>
      </c>
      <c r="L604" s="13" t="n">
        <v>4</v>
      </c>
      <c r="M604" s="13" t="n">
        <v>1647197.45</v>
      </c>
      <c r="N604" s="13" t="n">
        <v>411799.3625</v>
      </c>
      <c r="O604" s="13" t="n">
        <v>1294.645</v>
      </c>
      <c r="P604" s="13" t="n">
        <v>1</v>
      </c>
      <c r="Q604" s="13" t="n">
        <v>3</v>
      </c>
      <c r="R604" s="13" t="s">
        <v>124</v>
      </c>
      <c r="S604" s="13" t="s">
        <v>135</v>
      </c>
      <c r="T604" s="13" t="n">
        <v>1</v>
      </c>
      <c r="U604" s="13" t="n">
        <f aca="false">IF(B604="Individual",1,0)</f>
        <v>1</v>
      </c>
      <c r="V604" s="13" t="n">
        <f aca="false">IF(B604="Company",1,0)</f>
        <v>0</v>
      </c>
      <c r="W604" s="13" t="n">
        <f aca="false">IF(H604="Home",1,0)</f>
        <v>1</v>
      </c>
      <c r="X604" s="13" t="n">
        <f aca="false">IF(H604="Investment",1,0)</f>
        <v>0</v>
      </c>
      <c r="Y604" s="13" t="n">
        <f aca="false">IF(K604="Website",1,0)</f>
        <v>1</v>
      </c>
      <c r="Z604" s="13" t="n">
        <f aca="false">IF(K604="Agency",1,0)</f>
        <v>0</v>
      </c>
      <c r="AA604" s="13" t="n">
        <f aca="false">IF(K604="Client",1,0)</f>
        <v>0</v>
      </c>
      <c r="AB604" s="13" t="n">
        <f aca="false">(D604-AVERAGE(D$2:D$2001))/STDEV(D$2:D$2001)</f>
        <v>0.222750065550728</v>
      </c>
      <c r="AC604" s="13" t="n">
        <f aca="false">(I604-AVERAGE(I$2:I$2001))/STDEV(I$2:I$2001)</f>
        <v>-1.43538077576244</v>
      </c>
      <c r="AD604" s="13" t="n">
        <f aca="false">(L604-AVERAGE(L$2:L$2001))/STDEV(L$2:L$2001)</f>
        <v>0.413838214490712</v>
      </c>
      <c r="AE604" s="13" t="n">
        <f aca="false">(M604-AVERAGE(M$2:M$2001))/STDEV(M$2:M$2001)</f>
        <v>1.11209852579235</v>
      </c>
      <c r="AF604" s="13" t="n">
        <f aca="false">(N604-AVERAGE(N$2:N$2001))/STDEV(N$2:N$2001)</f>
        <v>0.928108373351296</v>
      </c>
      <c r="AG604" s="13" t="n">
        <f aca="false">(O604-AVERAGE(O$2:O$2001))/STDEV(O$2:O$2001)</f>
        <v>0.66916879271012</v>
      </c>
      <c r="AH604" s="0" t="str">
        <f aca="false">IF(B604="Company","C3 - Corporate Buyers",IF(AND(H604="Investment",M604&gt;'Segmentation Summary'!$C$1),"C1 - Global Investors",IF(AND(I604&gt;=4,M604&gt;'Segmentation Summary'!$C$1),"C4 - Luxury Investors",IF(AND(D604&lt;'Segmentation Summary'!$C$2,J604=1),"C2 - First-Time Buyers","C5 - Other Individual Buyers"))))</f>
        <v>C5 - Other Individual Buyers</v>
      </c>
    </row>
    <row r="605" customFormat="false" ht="15" hidden="false" customHeight="true" outlineLevel="0" collapsed="false">
      <c r="A605" s="13" t="s">
        <v>1262</v>
      </c>
      <c r="B605" s="13" t="s">
        <v>34</v>
      </c>
      <c r="C605" s="13" t="s">
        <v>1263</v>
      </c>
      <c r="D605" s="13" t="n">
        <v>66</v>
      </c>
      <c r="E605" s="13" t="s">
        <v>83</v>
      </c>
      <c r="F605" s="13" t="s">
        <v>33</v>
      </c>
      <c r="G605" s="13" t="s">
        <v>95</v>
      </c>
      <c r="H605" s="13" t="s">
        <v>41</v>
      </c>
      <c r="I605" s="13" t="n">
        <v>2</v>
      </c>
      <c r="J605" s="13" t="n">
        <v>0</v>
      </c>
      <c r="K605" s="13" t="s">
        <v>85</v>
      </c>
      <c r="L605" s="13" t="n">
        <v>4</v>
      </c>
      <c r="M605" s="13" t="n">
        <v>1316624.69</v>
      </c>
      <c r="N605" s="13" t="n">
        <v>329156.1725</v>
      </c>
      <c r="O605" s="13" t="n">
        <v>1023.9675</v>
      </c>
      <c r="P605" s="13" t="n">
        <v>1</v>
      </c>
      <c r="Q605" s="13" t="n">
        <v>3</v>
      </c>
      <c r="R605" s="13" t="s">
        <v>117</v>
      </c>
      <c r="S605" s="13" t="s">
        <v>135</v>
      </c>
      <c r="T605" s="13" t="n">
        <v>1</v>
      </c>
      <c r="U605" s="13" t="n">
        <f aca="false">IF(B605="Individual",1,0)</f>
        <v>1</v>
      </c>
      <c r="V605" s="13" t="n">
        <f aca="false">IF(B605="Company",1,0)</f>
        <v>0</v>
      </c>
      <c r="W605" s="13" t="n">
        <f aca="false">IF(H605="Home",1,0)</f>
        <v>1</v>
      </c>
      <c r="X605" s="13" t="n">
        <f aca="false">IF(H605="Investment",1,0)</f>
        <v>0</v>
      </c>
      <c r="Y605" s="13" t="n">
        <f aca="false">IF(K605="Website",1,0)</f>
        <v>1</v>
      </c>
      <c r="Z605" s="13" t="n">
        <f aca="false">IF(K605="Agency",1,0)</f>
        <v>0</v>
      </c>
      <c r="AA605" s="13" t="n">
        <f aca="false">IF(K605="Client",1,0)</f>
        <v>0</v>
      </c>
      <c r="AB605" s="13" t="n">
        <f aca="false">(D605-AVERAGE(D$2:D$2001))/STDEV(D$2:D$2001)</f>
        <v>0.684049709455938</v>
      </c>
      <c r="AC605" s="13" t="n">
        <f aca="false">(I605-AVERAGE(I$2:I$2001))/STDEV(I$2:I$2001)</f>
        <v>-0.727948160798201</v>
      </c>
      <c r="AD605" s="13" t="n">
        <f aca="false">(L605-AVERAGE(L$2:L$2001))/STDEV(L$2:L$2001)</f>
        <v>0.413838214490712</v>
      </c>
      <c r="AE605" s="13" t="n">
        <f aca="false">(M605-AVERAGE(M$2:M$2001))/STDEV(M$2:M$2001)</f>
        <v>0.161714349158666</v>
      </c>
      <c r="AF605" s="13" t="n">
        <f aca="false">(N605-AVERAGE(N$2:N$2001))/STDEV(N$2:N$2001)</f>
        <v>-0.257219087260449</v>
      </c>
      <c r="AG605" s="13" t="n">
        <f aca="false">(O605-AVERAGE(O$2:O$2001))/STDEV(O$2:O$2001)</f>
        <v>-0.561616565636312</v>
      </c>
      <c r="AH605" s="0" t="str">
        <f aca="false">IF(B605="Company","C3 - Corporate Buyers",IF(AND(H605="Investment",M605&gt;'Segmentation Summary'!$C$1),"C1 - Global Investors",IF(AND(I605&gt;=4,M605&gt;'Segmentation Summary'!$C$1),"C4 - Luxury Investors",IF(AND(D605&lt;'Segmentation Summary'!$C$2,J605=1),"C2 - First-Time Buyers","C5 - Other Individual Buyers"))))</f>
        <v>C5 - Other Individual Buyers</v>
      </c>
    </row>
    <row r="606" customFormat="false" ht="15" hidden="false" customHeight="true" outlineLevel="0" collapsed="false">
      <c r="A606" s="13" t="s">
        <v>1264</v>
      </c>
      <c r="B606" s="13" t="s">
        <v>34</v>
      </c>
      <c r="C606" s="13" t="s">
        <v>1265</v>
      </c>
      <c r="D606" s="13" t="n">
        <v>35</v>
      </c>
      <c r="E606" s="13" t="s">
        <v>83</v>
      </c>
      <c r="F606" s="13" t="s">
        <v>33</v>
      </c>
      <c r="G606" s="13" t="s">
        <v>95</v>
      </c>
      <c r="H606" s="13" t="s">
        <v>41</v>
      </c>
      <c r="I606" s="13" t="n">
        <v>4</v>
      </c>
      <c r="J606" s="13" t="n">
        <v>0</v>
      </c>
      <c r="K606" s="13" t="s">
        <v>85</v>
      </c>
      <c r="L606" s="13" t="n">
        <v>4</v>
      </c>
      <c r="M606" s="13" t="n">
        <v>1310405.32</v>
      </c>
      <c r="N606" s="13" t="n">
        <v>327601.33</v>
      </c>
      <c r="O606" s="13" t="n">
        <v>972.335</v>
      </c>
      <c r="P606" s="13" t="n">
        <v>0</v>
      </c>
      <c r="Q606" s="13" t="n">
        <v>4</v>
      </c>
      <c r="R606" s="13" t="s">
        <v>117</v>
      </c>
      <c r="S606" s="13" t="s">
        <v>164</v>
      </c>
      <c r="T606" s="13" t="n">
        <v>1</v>
      </c>
      <c r="U606" s="13" t="n">
        <f aca="false">IF(B606="Individual",1,0)</f>
        <v>1</v>
      </c>
      <c r="V606" s="13" t="n">
        <f aca="false">IF(B606="Company",1,0)</f>
        <v>0</v>
      </c>
      <c r="W606" s="13" t="n">
        <f aca="false">IF(H606="Home",1,0)</f>
        <v>1</v>
      </c>
      <c r="X606" s="13" t="n">
        <f aca="false">IF(H606="Investment",1,0)</f>
        <v>0</v>
      </c>
      <c r="Y606" s="13" t="n">
        <f aca="false">IF(K606="Website",1,0)</f>
        <v>1</v>
      </c>
      <c r="Z606" s="13" t="n">
        <f aca="false">IF(K606="Agency",1,0)</f>
        <v>0</v>
      </c>
      <c r="AA606" s="13" t="n">
        <f aca="false">IF(K606="Client",1,0)</f>
        <v>0</v>
      </c>
      <c r="AB606" s="13" t="n">
        <f aca="false">(D606-AVERAGE(D$2:D$2001))/STDEV(D$2:D$2001)</f>
        <v>-1.10348641067675</v>
      </c>
      <c r="AC606" s="13" t="n">
        <f aca="false">(I606-AVERAGE(I$2:I$2001))/STDEV(I$2:I$2001)</f>
        <v>0.686917069130275</v>
      </c>
      <c r="AD606" s="13" t="n">
        <f aca="false">(L606-AVERAGE(L$2:L$2001))/STDEV(L$2:L$2001)</f>
        <v>0.413838214490712</v>
      </c>
      <c r="AE606" s="13" t="n">
        <f aca="false">(M606-AVERAGE(M$2:M$2001))/STDEV(M$2:M$2001)</f>
        <v>0.14383389574009</v>
      </c>
      <c r="AF606" s="13" t="n">
        <f aca="false">(N606-AVERAGE(N$2:N$2001))/STDEV(N$2:N$2001)</f>
        <v>-0.27951974521153</v>
      </c>
      <c r="AG606" s="13" t="n">
        <f aca="false">(O606-AVERAGE(O$2:O$2001))/STDEV(O$2:O$2001)</f>
        <v>-0.796392359763353</v>
      </c>
      <c r="AH606" s="0" t="str">
        <f aca="false">IF(B606="Company","C3 - Corporate Buyers",IF(AND(H606="Investment",M606&gt;'Segmentation Summary'!$C$1),"C1 - Global Investors",IF(AND(I606&gt;=4,M606&gt;'Segmentation Summary'!$C$1),"C4 - Luxury Investors",IF(AND(D606&lt;'Segmentation Summary'!$C$2,J606=1),"C2 - First-Time Buyers","C5 - Other Individual Buyers"))))</f>
        <v>C4 - Luxury Investors</v>
      </c>
    </row>
    <row r="607" customFormat="false" ht="15" hidden="false" customHeight="true" outlineLevel="0" collapsed="false">
      <c r="A607" s="13" t="s">
        <v>1266</v>
      </c>
      <c r="B607" s="13" t="s">
        <v>34</v>
      </c>
      <c r="C607" s="13" t="s">
        <v>1267</v>
      </c>
      <c r="D607" s="13" t="n">
        <v>39</v>
      </c>
      <c r="E607" s="13" t="s">
        <v>83</v>
      </c>
      <c r="F607" s="13" t="s">
        <v>33</v>
      </c>
      <c r="G607" s="13" t="s">
        <v>95</v>
      </c>
      <c r="H607" s="13" t="s">
        <v>41</v>
      </c>
      <c r="I607" s="13" t="n">
        <v>1</v>
      </c>
      <c r="J607" s="13" t="n">
        <v>0</v>
      </c>
      <c r="K607" s="13" t="s">
        <v>91</v>
      </c>
      <c r="L607" s="13" t="n">
        <v>4</v>
      </c>
      <c r="M607" s="13" t="n">
        <v>1402625.45</v>
      </c>
      <c r="N607" s="13" t="n">
        <v>350656.3625</v>
      </c>
      <c r="O607" s="13" t="n">
        <v>1120.62</v>
      </c>
      <c r="P607" s="13" t="n">
        <v>1</v>
      </c>
      <c r="Q607" s="13" t="n">
        <v>3</v>
      </c>
      <c r="R607" s="13" t="s">
        <v>117</v>
      </c>
      <c r="S607" s="13" t="s">
        <v>87</v>
      </c>
      <c r="T607" s="13" t="n">
        <v>1</v>
      </c>
      <c r="U607" s="13" t="n">
        <f aca="false">IF(B607="Individual",1,0)</f>
        <v>1</v>
      </c>
      <c r="V607" s="13" t="n">
        <f aca="false">IF(B607="Company",1,0)</f>
        <v>0</v>
      </c>
      <c r="W607" s="13" t="n">
        <f aca="false">IF(H607="Home",1,0)</f>
        <v>1</v>
      </c>
      <c r="X607" s="13" t="n">
        <f aca="false">IF(H607="Investment",1,0)</f>
        <v>0</v>
      </c>
      <c r="Y607" s="13" t="n">
        <f aca="false">IF(K607="Website",1,0)</f>
        <v>0</v>
      </c>
      <c r="Z607" s="13" t="n">
        <f aca="false">IF(K607="Agency",1,0)</f>
        <v>1</v>
      </c>
      <c r="AA607" s="13" t="n">
        <f aca="false">IF(K607="Client",1,0)</f>
        <v>0</v>
      </c>
      <c r="AB607" s="13" t="n">
        <f aca="false">(D607-AVERAGE(D$2:D$2001))/STDEV(D$2:D$2001)</f>
        <v>-0.872836588724145</v>
      </c>
      <c r="AC607" s="13" t="n">
        <f aca="false">(I607-AVERAGE(I$2:I$2001))/STDEV(I$2:I$2001)</f>
        <v>-1.43538077576244</v>
      </c>
      <c r="AD607" s="13" t="n">
        <f aca="false">(L607-AVERAGE(L$2:L$2001))/STDEV(L$2:L$2001)</f>
        <v>0.413838214490712</v>
      </c>
      <c r="AE607" s="13" t="n">
        <f aca="false">(M607-AVERAGE(M$2:M$2001))/STDEV(M$2:M$2001)</f>
        <v>0.408963280021788</v>
      </c>
      <c r="AF607" s="13" t="n">
        <f aca="false">(N607-AVERAGE(N$2:N$2001))/STDEV(N$2:N$2001)</f>
        <v>0.05115194264982</v>
      </c>
      <c r="AG607" s="13" t="n">
        <f aca="false">(O607-AVERAGE(O$2:O$2001))/STDEV(O$2:O$2001)</f>
        <v>-0.122132375603604</v>
      </c>
      <c r="AH607" s="0" t="str">
        <f aca="false">IF(B607="Company","C3 - Corporate Buyers",IF(AND(H607="Investment",M607&gt;'Segmentation Summary'!$C$1),"C1 - Global Investors",IF(AND(I607&gt;=4,M607&gt;'Segmentation Summary'!$C$1),"C4 - Luxury Investors",IF(AND(D607&lt;'Segmentation Summary'!$C$2,J607=1),"C2 - First-Time Buyers","C5 - Other Individual Buyers"))))</f>
        <v>C5 - Other Individual Buyers</v>
      </c>
    </row>
    <row r="608" customFormat="false" ht="15" hidden="false" customHeight="true" outlineLevel="0" collapsed="false">
      <c r="A608" s="13" t="s">
        <v>1268</v>
      </c>
      <c r="B608" s="13" t="s">
        <v>34</v>
      </c>
      <c r="C608" s="13" t="s">
        <v>1267</v>
      </c>
      <c r="D608" s="13" t="n">
        <v>52</v>
      </c>
      <c r="E608" s="13" t="s">
        <v>83</v>
      </c>
      <c r="F608" s="13" t="s">
        <v>38</v>
      </c>
      <c r="G608" s="13" t="s">
        <v>339</v>
      </c>
      <c r="H608" s="13" t="s">
        <v>41</v>
      </c>
      <c r="I608" s="13" t="n">
        <v>1</v>
      </c>
      <c r="J608" s="13" t="n">
        <v>1</v>
      </c>
      <c r="K608" s="13" t="s">
        <v>85</v>
      </c>
      <c r="L608" s="13" t="n">
        <v>4</v>
      </c>
      <c r="M608" s="13" t="n">
        <v>1199064.43</v>
      </c>
      <c r="N608" s="13" t="n">
        <v>299766.1075</v>
      </c>
      <c r="O608" s="13" t="n">
        <v>946.6525</v>
      </c>
      <c r="P608" s="13" t="n">
        <v>2</v>
      </c>
      <c r="Q608" s="13" t="n">
        <v>2</v>
      </c>
      <c r="R608" s="13" t="s">
        <v>101</v>
      </c>
      <c r="S608" s="13" t="s">
        <v>141</v>
      </c>
      <c r="T608" s="13" t="n">
        <v>1</v>
      </c>
      <c r="U608" s="13" t="n">
        <f aca="false">IF(B608="Individual",1,0)</f>
        <v>1</v>
      </c>
      <c r="V608" s="13" t="n">
        <f aca="false">IF(B608="Company",1,0)</f>
        <v>0</v>
      </c>
      <c r="W608" s="13" t="n">
        <f aca="false">IF(H608="Home",1,0)</f>
        <v>1</v>
      </c>
      <c r="X608" s="13" t="n">
        <f aca="false">IF(H608="Investment",1,0)</f>
        <v>0</v>
      </c>
      <c r="Y608" s="13" t="n">
        <f aca="false">IF(K608="Website",1,0)</f>
        <v>1</v>
      </c>
      <c r="Z608" s="13" t="n">
        <f aca="false">IF(K608="Agency",1,0)</f>
        <v>0</v>
      </c>
      <c r="AA608" s="13" t="n">
        <f aca="false">IF(K608="Client",1,0)</f>
        <v>0</v>
      </c>
      <c r="AB608" s="13" t="n">
        <f aca="false">(D608-AVERAGE(D$2:D$2001))/STDEV(D$2:D$2001)</f>
        <v>-0.123224667378179</v>
      </c>
      <c r="AC608" s="13" t="n">
        <f aca="false">(I608-AVERAGE(I$2:I$2001))/STDEV(I$2:I$2001)</f>
        <v>-1.43538077576244</v>
      </c>
      <c r="AD608" s="13" t="n">
        <f aca="false">(L608-AVERAGE(L$2:L$2001))/STDEV(L$2:L$2001)</f>
        <v>0.413838214490712</v>
      </c>
      <c r="AE608" s="13" t="n">
        <f aca="false">(M608-AVERAGE(M$2:M$2001))/STDEV(M$2:M$2001)</f>
        <v>-0.176266950041372</v>
      </c>
      <c r="AF608" s="13" t="n">
        <f aca="false">(N608-AVERAGE(N$2:N$2001))/STDEV(N$2:N$2001)</f>
        <v>-0.678752320835582</v>
      </c>
      <c r="AG608" s="13" t="n">
        <f aca="false">(O608-AVERAGE(O$2:O$2001))/STDEV(O$2:O$2001)</f>
        <v>-0.913172088280619</v>
      </c>
      <c r="AH608" s="0" t="str">
        <f aca="false">IF(B608="Company","C3 - Corporate Buyers",IF(AND(H608="Investment",M608&gt;'Segmentation Summary'!$C$1),"C1 - Global Investors",IF(AND(I608&gt;=4,M608&gt;'Segmentation Summary'!$C$1),"C4 - Luxury Investors",IF(AND(D608&lt;'Segmentation Summary'!$C$2,J608=1),"C2 - First-Time Buyers","C5 - Other Individual Buyers"))))</f>
        <v>C2 - First-Time Buyers</v>
      </c>
    </row>
    <row r="609" customFormat="false" ht="15" hidden="false" customHeight="true" outlineLevel="0" collapsed="false">
      <c r="A609" s="13" t="s">
        <v>1269</v>
      </c>
      <c r="B609" s="13" t="s">
        <v>34</v>
      </c>
      <c r="C609" s="13" t="s">
        <v>1270</v>
      </c>
      <c r="D609" s="13" t="n">
        <v>51</v>
      </c>
      <c r="E609" s="13" t="s">
        <v>83</v>
      </c>
      <c r="F609" s="13" t="s">
        <v>33</v>
      </c>
      <c r="G609" s="13" t="s">
        <v>207</v>
      </c>
      <c r="H609" s="13" t="s">
        <v>41</v>
      </c>
      <c r="I609" s="13" t="n">
        <v>5</v>
      </c>
      <c r="J609" s="13" t="n">
        <v>1</v>
      </c>
      <c r="K609" s="13" t="s">
        <v>85</v>
      </c>
      <c r="L609" s="13" t="n">
        <v>4</v>
      </c>
      <c r="M609" s="13" t="n">
        <v>1221529.77</v>
      </c>
      <c r="N609" s="13" t="n">
        <v>305382.4425</v>
      </c>
      <c r="O609" s="13" t="n">
        <v>988.7175</v>
      </c>
      <c r="P609" s="13" t="n">
        <v>1</v>
      </c>
      <c r="Q609" s="13" t="n">
        <v>3</v>
      </c>
      <c r="R609" s="13" t="s">
        <v>111</v>
      </c>
      <c r="S609" s="13" t="s">
        <v>141</v>
      </c>
      <c r="T609" s="13" t="n">
        <v>1</v>
      </c>
      <c r="U609" s="13" t="n">
        <f aca="false">IF(B609="Individual",1,0)</f>
        <v>1</v>
      </c>
      <c r="V609" s="13" t="n">
        <f aca="false">IF(B609="Company",1,0)</f>
        <v>0</v>
      </c>
      <c r="W609" s="13" t="n">
        <f aca="false">IF(H609="Home",1,0)</f>
        <v>1</v>
      </c>
      <c r="X609" s="13" t="n">
        <f aca="false">IF(H609="Investment",1,0)</f>
        <v>0</v>
      </c>
      <c r="Y609" s="13" t="n">
        <f aca="false">IF(K609="Website",1,0)</f>
        <v>1</v>
      </c>
      <c r="Z609" s="13" t="n">
        <f aca="false">IF(K609="Agency",1,0)</f>
        <v>0</v>
      </c>
      <c r="AA609" s="13" t="n">
        <f aca="false">IF(K609="Client",1,0)</f>
        <v>0</v>
      </c>
      <c r="AB609" s="13" t="n">
        <f aca="false">(D609-AVERAGE(D$2:D$2001))/STDEV(D$2:D$2001)</f>
        <v>-0.18088712286633</v>
      </c>
      <c r="AC609" s="13" t="n">
        <f aca="false">(I609-AVERAGE(I$2:I$2001))/STDEV(I$2:I$2001)</f>
        <v>1.39434968409451</v>
      </c>
      <c r="AD609" s="13" t="n">
        <f aca="false">(L609-AVERAGE(L$2:L$2001))/STDEV(L$2:L$2001)</f>
        <v>0.413838214490712</v>
      </c>
      <c r="AE609" s="13" t="n">
        <f aca="false">(M609-AVERAGE(M$2:M$2001))/STDEV(M$2:M$2001)</f>
        <v>-0.111679947595387</v>
      </c>
      <c r="AF609" s="13" t="n">
        <f aca="false">(N609-AVERAGE(N$2:N$2001))/STDEV(N$2:N$2001)</f>
        <v>-0.598198846272283</v>
      </c>
      <c r="AG609" s="13" t="n">
        <f aca="false">(O609-AVERAGE(O$2:O$2001))/STDEV(O$2:O$2001)</f>
        <v>-0.721900238574446</v>
      </c>
      <c r="AH609" s="0" t="str">
        <f aca="false">IF(B609="Company","C3 - Corporate Buyers",IF(AND(H609="Investment",M609&gt;'Segmentation Summary'!$C$1),"C1 - Global Investors",IF(AND(I609&gt;=4,M609&gt;'Segmentation Summary'!$C$1),"C4 - Luxury Investors",IF(AND(D609&lt;'Segmentation Summary'!$C$2,J609=1),"C2 - First-Time Buyers","C5 - Other Individual Buyers"))))</f>
        <v>C4 - Luxury Investors</v>
      </c>
    </row>
    <row r="610" customFormat="false" ht="15" hidden="false" customHeight="true" outlineLevel="0" collapsed="false">
      <c r="A610" s="13" t="s">
        <v>1271</v>
      </c>
      <c r="B610" s="13" t="s">
        <v>34</v>
      </c>
      <c r="C610" s="13" t="s">
        <v>1272</v>
      </c>
      <c r="D610" s="13" t="n">
        <v>34</v>
      </c>
      <c r="E610" s="13" t="s">
        <v>83</v>
      </c>
      <c r="F610" s="13" t="s">
        <v>42</v>
      </c>
      <c r="G610" s="13" t="s">
        <v>143</v>
      </c>
      <c r="H610" s="13" t="s">
        <v>41</v>
      </c>
      <c r="I610" s="13" t="n">
        <v>1</v>
      </c>
      <c r="J610" s="13" t="n">
        <v>0</v>
      </c>
      <c r="K610" s="13" t="s">
        <v>85</v>
      </c>
      <c r="L610" s="13" t="n">
        <v>4</v>
      </c>
      <c r="M610" s="13" t="n">
        <v>1557035.08</v>
      </c>
      <c r="N610" s="13" t="n">
        <v>389258.77</v>
      </c>
      <c r="O610" s="13" t="n">
        <v>1342.1525</v>
      </c>
      <c r="P610" s="13" t="n">
        <v>2</v>
      </c>
      <c r="Q610" s="13" t="n">
        <v>2</v>
      </c>
      <c r="R610" s="13" t="s">
        <v>101</v>
      </c>
      <c r="S610" s="13" t="s">
        <v>87</v>
      </c>
      <c r="T610" s="13" t="n">
        <v>1</v>
      </c>
      <c r="U610" s="13" t="n">
        <f aca="false">IF(B610="Individual",1,0)</f>
        <v>1</v>
      </c>
      <c r="V610" s="13" t="n">
        <f aca="false">IF(B610="Company",1,0)</f>
        <v>0</v>
      </c>
      <c r="W610" s="13" t="n">
        <f aca="false">IF(H610="Home",1,0)</f>
        <v>1</v>
      </c>
      <c r="X610" s="13" t="n">
        <f aca="false">IF(H610="Investment",1,0)</f>
        <v>0</v>
      </c>
      <c r="Y610" s="13" t="n">
        <f aca="false">IF(K610="Website",1,0)</f>
        <v>1</v>
      </c>
      <c r="Z610" s="13" t="n">
        <f aca="false">IF(K610="Agency",1,0)</f>
        <v>0</v>
      </c>
      <c r="AA610" s="13" t="n">
        <f aca="false">IF(K610="Client",1,0)</f>
        <v>0</v>
      </c>
      <c r="AB610" s="13" t="n">
        <f aca="false">(D610-AVERAGE(D$2:D$2001))/STDEV(D$2:D$2001)</f>
        <v>-1.1611488661649</v>
      </c>
      <c r="AC610" s="13" t="n">
        <f aca="false">(I610-AVERAGE(I$2:I$2001))/STDEV(I$2:I$2001)</f>
        <v>-1.43538077576244</v>
      </c>
      <c r="AD610" s="13" t="n">
        <f aca="false">(L610-AVERAGE(L$2:L$2001))/STDEV(L$2:L$2001)</f>
        <v>0.413838214490712</v>
      </c>
      <c r="AE610" s="13" t="n">
        <f aca="false">(M610-AVERAGE(M$2:M$2001))/STDEV(M$2:M$2001)</f>
        <v>0.852885123648172</v>
      </c>
      <c r="AF610" s="13" t="n">
        <f aca="false">(N610-AVERAGE(N$2:N$2001))/STDEV(N$2:N$2001)</f>
        <v>0.604815150174539</v>
      </c>
      <c r="AG610" s="13" t="n">
        <f aca="false">(O610-AVERAGE(O$2:O$2001))/STDEV(O$2:O$2001)</f>
        <v>0.885187986812486</v>
      </c>
      <c r="AH610" s="0" t="str">
        <f aca="false">IF(B610="Company","C3 - Corporate Buyers",IF(AND(H610="Investment",M610&gt;'Segmentation Summary'!$C$1),"C1 - Global Investors",IF(AND(I610&gt;=4,M610&gt;'Segmentation Summary'!$C$1),"C4 - Luxury Investors",IF(AND(D610&lt;'Segmentation Summary'!$C$2,J610=1),"C2 - First-Time Buyers","C5 - Other Individual Buyers"))))</f>
        <v>C5 - Other Individual Buyers</v>
      </c>
    </row>
    <row r="611" customFormat="false" ht="15" hidden="false" customHeight="true" outlineLevel="0" collapsed="false">
      <c r="A611" s="13" t="s">
        <v>1273</v>
      </c>
      <c r="B611" s="13" t="s">
        <v>34</v>
      </c>
      <c r="C611" s="13" t="s">
        <v>1274</v>
      </c>
      <c r="D611" s="13" t="n">
        <v>39</v>
      </c>
      <c r="E611" s="13" t="s">
        <v>83</v>
      </c>
      <c r="F611" s="13" t="s">
        <v>33</v>
      </c>
      <c r="G611" s="13" t="s">
        <v>95</v>
      </c>
      <c r="H611" s="13" t="s">
        <v>41</v>
      </c>
      <c r="I611" s="13" t="n">
        <v>1</v>
      </c>
      <c r="J611" s="13" t="n">
        <v>1</v>
      </c>
      <c r="K611" s="13" t="s">
        <v>116</v>
      </c>
      <c r="L611" s="13" t="n">
        <v>5</v>
      </c>
      <c r="M611" s="13" t="n">
        <v>1150384.09</v>
      </c>
      <c r="N611" s="13" t="n">
        <v>230076.818</v>
      </c>
      <c r="O611" s="13" t="n">
        <v>833.38</v>
      </c>
      <c r="P611" s="13" t="n">
        <v>0</v>
      </c>
      <c r="Q611" s="13" t="n">
        <v>5</v>
      </c>
      <c r="R611" s="13" t="s">
        <v>92</v>
      </c>
      <c r="S611" s="13" t="s">
        <v>164</v>
      </c>
      <c r="T611" s="13" t="n">
        <v>1</v>
      </c>
      <c r="U611" s="13" t="n">
        <f aca="false">IF(B611="Individual",1,0)</f>
        <v>1</v>
      </c>
      <c r="V611" s="13" t="n">
        <f aca="false">IF(B611="Company",1,0)</f>
        <v>0</v>
      </c>
      <c r="W611" s="13" t="n">
        <f aca="false">IF(H611="Home",1,0)</f>
        <v>1</v>
      </c>
      <c r="X611" s="13" t="n">
        <f aca="false">IF(H611="Investment",1,0)</f>
        <v>0</v>
      </c>
      <c r="Y611" s="13" t="n">
        <f aca="false">IF(K611="Website",1,0)</f>
        <v>0</v>
      </c>
      <c r="Z611" s="13" t="n">
        <f aca="false">IF(K611="Agency",1,0)</f>
        <v>0</v>
      </c>
      <c r="AA611" s="13" t="n">
        <f aca="false">IF(K611="Client",1,0)</f>
        <v>1</v>
      </c>
      <c r="AB611" s="13" t="n">
        <f aca="false">(D611-AVERAGE(D$2:D$2001))/STDEV(D$2:D$2001)</f>
        <v>-0.872836588724145</v>
      </c>
      <c r="AC611" s="13" t="n">
        <f aca="false">(I611-AVERAGE(I$2:I$2001))/STDEV(I$2:I$2001)</f>
        <v>-1.43538077576244</v>
      </c>
      <c r="AD611" s="13" t="n">
        <f aca="false">(L611-AVERAGE(L$2:L$2001))/STDEV(L$2:L$2001)</f>
        <v>1.60473955115463</v>
      </c>
      <c r="AE611" s="13" t="n">
        <f aca="false">(M611-AVERAGE(M$2:M$2001))/STDEV(M$2:M$2001)</f>
        <v>-0.316221085551956</v>
      </c>
      <c r="AF611" s="13" t="n">
        <f aca="false">(N611-AVERAGE(N$2:N$2001))/STDEV(N$2:N$2001)</f>
        <v>-1.67828571923019</v>
      </c>
      <c r="AG611" s="13" t="n">
        <f aca="false">(O611-AVERAGE(O$2:O$2001))/STDEV(O$2:O$2001)</f>
        <v>-1.4282283249582</v>
      </c>
      <c r="AH611" s="0" t="str">
        <f aca="false">IF(B611="Company","C3 - Corporate Buyers",IF(AND(H611="Investment",M611&gt;'Segmentation Summary'!$C$1),"C1 - Global Investors",IF(AND(I611&gt;=4,M611&gt;'Segmentation Summary'!$C$1),"C4 - Luxury Investors",IF(AND(D611&lt;'Segmentation Summary'!$C$2,J611=1),"C2 - First-Time Buyers","C5 - Other Individual Buyers"))))</f>
        <v>C2 - First-Time Buyers</v>
      </c>
    </row>
    <row r="612" customFormat="false" ht="15" hidden="false" customHeight="true" outlineLevel="0" collapsed="false">
      <c r="A612" s="13" t="s">
        <v>1275</v>
      </c>
      <c r="B612" s="13" t="s">
        <v>34</v>
      </c>
      <c r="C612" s="13" t="s">
        <v>1276</v>
      </c>
      <c r="D612" s="13" t="n">
        <v>62</v>
      </c>
      <c r="E612" s="13" t="s">
        <v>90</v>
      </c>
      <c r="F612" s="13" t="s">
        <v>33</v>
      </c>
      <c r="G612" s="13" t="s">
        <v>95</v>
      </c>
      <c r="H612" s="13" t="s">
        <v>43</v>
      </c>
      <c r="I612" s="13" t="n">
        <v>2</v>
      </c>
      <c r="J612" s="13" t="n">
        <v>0</v>
      </c>
      <c r="K612" s="13" t="s">
        <v>85</v>
      </c>
      <c r="L612" s="13" t="n">
        <v>4</v>
      </c>
      <c r="M612" s="13" t="n">
        <v>1713149.19</v>
      </c>
      <c r="N612" s="13" t="n">
        <v>428287.2975</v>
      </c>
      <c r="O612" s="13" t="n">
        <v>1342.1525</v>
      </c>
      <c r="P612" s="13" t="n">
        <v>0</v>
      </c>
      <c r="Q612" s="13" t="n">
        <v>4</v>
      </c>
      <c r="R612" s="13" t="s">
        <v>92</v>
      </c>
      <c r="S612" s="13" t="s">
        <v>164</v>
      </c>
      <c r="T612" s="13" t="n">
        <v>1</v>
      </c>
      <c r="U612" s="13" t="n">
        <f aca="false">IF(B612="Individual",1,0)</f>
        <v>1</v>
      </c>
      <c r="V612" s="13" t="n">
        <f aca="false">IF(B612="Company",1,0)</f>
        <v>0</v>
      </c>
      <c r="W612" s="13" t="n">
        <f aca="false">IF(H612="Home",1,0)</f>
        <v>0</v>
      </c>
      <c r="X612" s="13" t="n">
        <f aca="false">IF(H612="Investment",1,0)</f>
        <v>1</v>
      </c>
      <c r="Y612" s="13" t="n">
        <f aca="false">IF(K612="Website",1,0)</f>
        <v>1</v>
      </c>
      <c r="Z612" s="13" t="n">
        <f aca="false">IF(K612="Agency",1,0)</f>
        <v>0</v>
      </c>
      <c r="AA612" s="13" t="n">
        <f aca="false">IF(K612="Client",1,0)</f>
        <v>0</v>
      </c>
      <c r="AB612" s="13" t="n">
        <f aca="false">(D612-AVERAGE(D$2:D$2001))/STDEV(D$2:D$2001)</f>
        <v>0.453399887503333</v>
      </c>
      <c r="AC612" s="13" t="n">
        <f aca="false">(I612-AVERAGE(I$2:I$2001))/STDEV(I$2:I$2001)</f>
        <v>-0.727948160798201</v>
      </c>
      <c r="AD612" s="13" t="n">
        <f aca="false">(L612-AVERAGE(L$2:L$2001))/STDEV(L$2:L$2001)</f>
        <v>0.413838214490712</v>
      </c>
      <c r="AE612" s="13" t="n">
        <f aca="false">(M612-AVERAGE(M$2:M$2001))/STDEV(M$2:M$2001)</f>
        <v>1.30170728277965</v>
      </c>
      <c r="AF612" s="13" t="n">
        <f aca="false">(N612-AVERAGE(N$2:N$2001))/STDEV(N$2:N$2001)</f>
        <v>1.16459007407318</v>
      </c>
      <c r="AG612" s="13" t="n">
        <f aca="false">(O612-AVERAGE(O$2:O$2001))/STDEV(O$2:O$2001)</f>
        <v>0.885187986812486</v>
      </c>
      <c r="AH612" s="0" t="str">
        <f aca="false">IF(B612="Company","C3 - Corporate Buyers",IF(AND(H612="Investment",M612&gt;'Segmentation Summary'!$C$1),"C1 - Global Investors",IF(AND(I612&gt;=4,M612&gt;'Segmentation Summary'!$C$1),"C4 - Luxury Investors",IF(AND(D612&lt;'Segmentation Summary'!$C$2,J612=1),"C2 - First-Time Buyers","C5 - Other Individual Buyers"))))</f>
        <v>C1 - Global Investors</v>
      </c>
    </row>
    <row r="613" customFormat="false" ht="15" hidden="false" customHeight="true" outlineLevel="0" collapsed="false">
      <c r="A613" s="13" t="s">
        <v>1277</v>
      </c>
      <c r="B613" s="13" t="s">
        <v>34</v>
      </c>
      <c r="C613" s="13" t="s">
        <v>1278</v>
      </c>
      <c r="D613" s="13" t="n">
        <v>32</v>
      </c>
      <c r="E613" s="13" t="s">
        <v>90</v>
      </c>
      <c r="F613" s="13" t="s">
        <v>33</v>
      </c>
      <c r="G613" s="13" t="s">
        <v>207</v>
      </c>
      <c r="H613" s="13" t="s">
        <v>41</v>
      </c>
      <c r="I613" s="13" t="n">
        <v>5</v>
      </c>
      <c r="J613" s="13" t="n">
        <v>0</v>
      </c>
      <c r="K613" s="13" t="s">
        <v>91</v>
      </c>
      <c r="L613" s="13" t="n">
        <v>3</v>
      </c>
      <c r="M613" s="13" t="n">
        <v>1170883.93</v>
      </c>
      <c r="N613" s="13" t="n">
        <v>390294.643333333</v>
      </c>
      <c r="O613" s="13" t="n">
        <v>1258.69</v>
      </c>
      <c r="P613" s="13" t="n">
        <v>0</v>
      </c>
      <c r="Q613" s="13" t="n">
        <v>3</v>
      </c>
      <c r="R613" s="13" t="s">
        <v>215</v>
      </c>
      <c r="S613" s="13" t="s">
        <v>135</v>
      </c>
      <c r="T613" s="13" t="n">
        <v>1</v>
      </c>
      <c r="U613" s="13" t="n">
        <f aca="false">IF(B613="Individual",1,0)</f>
        <v>1</v>
      </c>
      <c r="V613" s="13" t="n">
        <f aca="false">IF(B613="Company",1,0)</f>
        <v>0</v>
      </c>
      <c r="W613" s="13" t="n">
        <f aca="false">IF(H613="Home",1,0)</f>
        <v>1</v>
      </c>
      <c r="X613" s="13" t="n">
        <f aca="false">IF(H613="Investment",1,0)</f>
        <v>0</v>
      </c>
      <c r="Y613" s="13" t="n">
        <f aca="false">IF(K613="Website",1,0)</f>
        <v>0</v>
      </c>
      <c r="Z613" s="13" t="n">
        <f aca="false">IF(K613="Agency",1,0)</f>
        <v>1</v>
      </c>
      <c r="AA613" s="13" t="n">
        <f aca="false">IF(K613="Client",1,0)</f>
        <v>0</v>
      </c>
      <c r="AB613" s="13" t="n">
        <f aca="false">(D613-AVERAGE(D$2:D$2001))/STDEV(D$2:D$2001)</f>
        <v>-1.2764737771412</v>
      </c>
      <c r="AC613" s="13" t="n">
        <f aca="false">(I613-AVERAGE(I$2:I$2001))/STDEV(I$2:I$2001)</f>
        <v>1.39434968409451</v>
      </c>
      <c r="AD613" s="13" t="n">
        <f aca="false">(L613-AVERAGE(L$2:L$2001))/STDEV(L$2:L$2001)</f>
        <v>-0.777063122173208</v>
      </c>
      <c r="AE613" s="13" t="n">
        <f aca="false">(M613-AVERAGE(M$2:M$2001))/STDEV(M$2:M$2001)</f>
        <v>-0.257284821234466</v>
      </c>
      <c r="AF613" s="13" t="n">
        <f aca="false">(N613-AVERAGE(N$2:N$2001))/STDEV(N$2:N$2001)</f>
        <v>0.619672382908598</v>
      </c>
      <c r="AG613" s="13" t="n">
        <f aca="false">(O613-AVERAGE(O$2:O$2001))/STDEV(O$2:O$2001)</f>
        <v>0.505679446313224</v>
      </c>
      <c r="AH613" s="0" t="str">
        <f aca="false">IF(B613="Company","C3 - Corporate Buyers",IF(AND(H613="Investment",M613&gt;'Segmentation Summary'!$C$1),"C1 - Global Investors",IF(AND(I613&gt;=4,M613&gt;'Segmentation Summary'!$C$1),"C4 - Luxury Investors",IF(AND(D613&lt;'Segmentation Summary'!$C$2,J613=1),"C2 - First-Time Buyers","C5 - Other Individual Buyers"))))</f>
        <v>C5 - Other Individual Buyers</v>
      </c>
    </row>
    <row r="614" customFormat="false" ht="15" hidden="false" customHeight="true" outlineLevel="0" collapsed="false">
      <c r="A614" s="13" t="s">
        <v>1279</v>
      </c>
      <c r="B614" s="13" t="s">
        <v>34</v>
      </c>
      <c r="C614" s="13" t="s">
        <v>1280</v>
      </c>
      <c r="D614" s="13" t="n">
        <v>81</v>
      </c>
      <c r="E614" s="13" t="s">
        <v>90</v>
      </c>
      <c r="F614" s="13" t="s">
        <v>33</v>
      </c>
      <c r="G614" s="13" t="s">
        <v>95</v>
      </c>
      <c r="H614" s="13" t="s">
        <v>43</v>
      </c>
      <c r="I614" s="13" t="n">
        <v>1</v>
      </c>
      <c r="J614" s="13" t="n">
        <v>0</v>
      </c>
      <c r="K614" s="13" t="s">
        <v>85</v>
      </c>
      <c r="L614" s="13" t="n">
        <v>4</v>
      </c>
      <c r="M614" s="13" t="n">
        <v>1088583.78</v>
      </c>
      <c r="N614" s="13" t="n">
        <v>272145.945</v>
      </c>
      <c r="O614" s="13" t="n">
        <v>905.0375</v>
      </c>
      <c r="P614" s="13" t="n">
        <v>2</v>
      </c>
      <c r="Q614" s="13" t="n">
        <v>2</v>
      </c>
      <c r="R614" s="13" t="s">
        <v>121</v>
      </c>
      <c r="S614" s="13" t="s">
        <v>87</v>
      </c>
      <c r="T614" s="13" t="n">
        <v>1</v>
      </c>
      <c r="U614" s="13" t="n">
        <f aca="false">IF(B614="Individual",1,0)</f>
        <v>1</v>
      </c>
      <c r="V614" s="13" t="n">
        <f aca="false">IF(B614="Company",1,0)</f>
        <v>0</v>
      </c>
      <c r="W614" s="13" t="n">
        <f aca="false">IF(H614="Home",1,0)</f>
        <v>0</v>
      </c>
      <c r="X614" s="13" t="n">
        <f aca="false">IF(H614="Investment",1,0)</f>
        <v>1</v>
      </c>
      <c r="Y614" s="13" t="n">
        <f aca="false">IF(K614="Website",1,0)</f>
        <v>1</v>
      </c>
      <c r="Z614" s="13" t="n">
        <f aca="false">IF(K614="Agency",1,0)</f>
        <v>0</v>
      </c>
      <c r="AA614" s="13" t="n">
        <f aca="false">IF(K614="Client",1,0)</f>
        <v>0</v>
      </c>
      <c r="AB614" s="13" t="n">
        <f aca="false">(D614-AVERAGE(D$2:D$2001))/STDEV(D$2:D$2001)</f>
        <v>1.54898654177821</v>
      </c>
      <c r="AC614" s="13" t="n">
        <f aca="false">(I614-AVERAGE(I$2:I$2001))/STDEV(I$2:I$2001)</f>
        <v>-1.43538077576244</v>
      </c>
      <c r="AD614" s="13" t="n">
        <f aca="false">(L614-AVERAGE(L$2:L$2001))/STDEV(L$2:L$2001)</f>
        <v>0.413838214490712</v>
      </c>
      <c r="AE614" s="13" t="n">
        <f aca="false">(M614-AVERAGE(M$2:M$2001))/STDEV(M$2:M$2001)</f>
        <v>-0.493894638372995</v>
      </c>
      <c r="AF614" s="13" t="n">
        <f aca="false">(N614-AVERAGE(N$2:N$2001))/STDEV(N$2:N$2001)</f>
        <v>-1.07490035284897</v>
      </c>
      <c r="AG614" s="13" t="n">
        <f aca="false">(O614-AVERAGE(O$2:O$2001))/STDEV(O$2:O$2001)</f>
        <v>-1.10239776343865</v>
      </c>
      <c r="AH614" s="0" t="str">
        <f aca="false">IF(B614="Company","C3 - Corporate Buyers",IF(AND(H614="Investment",M614&gt;'Segmentation Summary'!$C$1),"C1 - Global Investors",IF(AND(I614&gt;=4,M614&gt;'Segmentation Summary'!$C$1),"C4 - Luxury Investors",IF(AND(D614&lt;'Segmentation Summary'!$C$2,J614=1),"C2 - First-Time Buyers","C5 - Other Individual Buyers"))))</f>
        <v>C5 - Other Individual Buyers</v>
      </c>
    </row>
    <row r="615" customFormat="false" ht="15" hidden="false" customHeight="true" outlineLevel="0" collapsed="false">
      <c r="A615" s="13" t="s">
        <v>1281</v>
      </c>
      <c r="B615" s="13" t="s">
        <v>34</v>
      </c>
      <c r="C615" s="13" t="s">
        <v>1282</v>
      </c>
      <c r="D615" s="13" t="n">
        <v>37</v>
      </c>
      <c r="E615" s="13" t="s">
        <v>90</v>
      </c>
      <c r="F615" s="13" t="s">
        <v>33</v>
      </c>
      <c r="G615" s="13" t="s">
        <v>162</v>
      </c>
      <c r="H615" s="13" t="s">
        <v>41</v>
      </c>
      <c r="I615" s="13" t="n">
        <v>2</v>
      </c>
      <c r="J615" s="13" t="n">
        <v>1</v>
      </c>
      <c r="K615" s="13" t="s">
        <v>85</v>
      </c>
      <c r="L615" s="13" t="n">
        <v>3</v>
      </c>
      <c r="M615" s="13" t="n">
        <v>1196488.96</v>
      </c>
      <c r="N615" s="13" t="n">
        <v>398829.653333333</v>
      </c>
      <c r="O615" s="13" t="n">
        <v>1350.49333333333</v>
      </c>
      <c r="P615" s="13" t="n">
        <v>0</v>
      </c>
      <c r="Q615" s="13" t="n">
        <v>3</v>
      </c>
      <c r="R615" s="13" t="s">
        <v>86</v>
      </c>
      <c r="S615" s="13" t="s">
        <v>128</v>
      </c>
      <c r="T615" s="13" t="n">
        <v>1</v>
      </c>
      <c r="U615" s="13" t="n">
        <f aca="false">IF(B615="Individual",1,0)</f>
        <v>1</v>
      </c>
      <c r="V615" s="13" t="n">
        <f aca="false">IF(B615="Company",1,0)</f>
        <v>0</v>
      </c>
      <c r="W615" s="13" t="n">
        <f aca="false">IF(H615="Home",1,0)</f>
        <v>1</v>
      </c>
      <c r="X615" s="13" t="n">
        <f aca="false">IF(H615="Investment",1,0)</f>
        <v>0</v>
      </c>
      <c r="Y615" s="13" t="n">
        <f aca="false">IF(K615="Website",1,0)</f>
        <v>1</v>
      </c>
      <c r="Z615" s="13" t="n">
        <f aca="false">IF(K615="Agency",1,0)</f>
        <v>0</v>
      </c>
      <c r="AA615" s="13" t="n">
        <f aca="false">IF(K615="Client",1,0)</f>
        <v>0</v>
      </c>
      <c r="AB615" s="13" t="n">
        <f aca="false">(D615-AVERAGE(D$2:D$2001))/STDEV(D$2:D$2001)</f>
        <v>-0.988161499700447</v>
      </c>
      <c r="AC615" s="13" t="n">
        <f aca="false">(I615-AVERAGE(I$2:I$2001))/STDEV(I$2:I$2001)</f>
        <v>-0.727948160798201</v>
      </c>
      <c r="AD615" s="13" t="n">
        <f aca="false">(L615-AVERAGE(L$2:L$2001))/STDEV(L$2:L$2001)</f>
        <v>-0.777063122173208</v>
      </c>
      <c r="AE615" s="13" t="n">
        <f aca="false">(M615-AVERAGE(M$2:M$2001))/STDEV(M$2:M$2001)</f>
        <v>-0.183671328839536</v>
      </c>
      <c r="AF615" s="13" t="n">
        <f aca="false">(N615-AVERAGE(N$2:N$2001))/STDEV(N$2:N$2001)</f>
        <v>0.742087571983412</v>
      </c>
      <c r="AG615" s="13" t="n">
        <f aca="false">(O615-AVERAGE(O$2:O$2001))/STDEV(O$2:O$2001)</f>
        <v>0.923114210983577</v>
      </c>
      <c r="AH615" s="0" t="str">
        <f aca="false">IF(B615="Company","C3 - Corporate Buyers",IF(AND(H615="Investment",M615&gt;'Segmentation Summary'!$C$1),"C1 - Global Investors",IF(AND(I615&gt;=4,M615&gt;'Segmentation Summary'!$C$1),"C4 - Luxury Investors",IF(AND(D615&lt;'Segmentation Summary'!$C$2,J615=1),"C2 - First-Time Buyers","C5 - Other Individual Buyers"))))</f>
        <v>C2 - First-Time Buyers</v>
      </c>
    </row>
    <row r="616" customFormat="false" ht="15" hidden="false" customHeight="true" outlineLevel="0" collapsed="false">
      <c r="A616" s="13" t="s">
        <v>1283</v>
      </c>
      <c r="B616" s="13" t="s">
        <v>34</v>
      </c>
      <c r="C616" s="13" t="s">
        <v>1284</v>
      </c>
      <c r="D616" s="13" t="n">
        <v>49</v>
      </c>
      <c r="E616" s="13" t="s">
        <v>90</v>
      </c>
      <c r="F616" s="13" t="s">
        <v>42</v>
      </c>
      <c r="G616" s="13" t="s">
        <v>288</v>
      </c>
      <c r="H616" s="13" t="s">
        <v>41</v>
      </c>
      <c r="I616" s="13" t="n">
        <v>4</v>
      </c>
      <c r="J616" s="13" t="n">
        <v>0</v>
      </c>
      <c r="K616" s="13" t="s">
        <v>91</v>
      </c>
      <c r="L616" s="13" t="n">
        <v>3</v>
      </c>
      <c r="M616" s="13" t="n">
        <v>985031.21</v>
      </c>
      <c r="N616" s="13" t="n">
        <v>328343.736666667</v>
      </c>
      <c r="O616" s="13" t="n">
        <v>1023.88</v>
      </c>
      <c r="P616" s="13" t="n">
        <v>1</v>
      </c>
      <c r="Q616" s="13" t="n">
        <v>2</v>
      </c>
      <c r="R616" s="13" t="s">
        <v>92</v>
      </c>
      <c r="S616" s="13" t="s">
        <v>135</v>
      </c>
      <c r="T616" s="13" t="n">
        <v>1</v>
      </c>
      <c r="U616" s="13" t="n">
        <f aca="false">IF(B616="Individual",1,0)</f>
        <v>1</v>
      </c>
      <c r="V616" s="13" t="n">
        <f aca="false">IF(B616="Company",1,0)</f>
        <v>0</v>
      </c>
      <c r="W616" s="13" t="n">
        <f aca="false">IF(H616="Home",1,0)</f>
        <v>1</v>
      </c>
      <c r="X616" s="13" t="n">
        <f aca="false">IF(H616="Investment",1,0)</f>
        <v>0</v>
      </c>
      <c r="Y616" s="13" t="n">
        <f aca="false">IF(K616="Website",1,0)</f>
        <v>0</v>
      </c>
      <c r="Z616" s="13" t="n">
        <f aca="false">IF(K616="Agency",1,0)</f>
        <v>1</v>
      </c>
      <c r="AA616" s="13" t="n">
        <f aca="false">IF(K616="Client",1,0)</f>
        <v>0</v>
      </c>
      <c r="AB616" s="13" t="n">
        <f aca="false">(D616-AVERAGE(D$2:D$2001))/STDEV(D$2:D$2001)</f>
        <v>-0.296212033842633</v>
      </c>
      <c r="AC616" s="13" t="n">
        <f aca="false">(I616-AVERAGE(I$2:I$2001))/STDEV(I$2:I$2001)</f>
        <v>0.686917069130275</v>
      </c>
      <c r="AD616" s="13" t="n">
        <f aca="false">(L616-AVERAGE(L$2:L$2001))/STDEV(L$2:L$2001)</f>
        <v>-0.777063122173208</v>
      </c>
      <c r="AE616" s="13" t="n">
        <f aca="false">(M616-AVERAGE(M$2:M$2001))/STDEV(M$2:M$2001)</f>
        <v>-0.791604358852542</v>
      </c>
      <c r="AF616" s="13" t="n">
        <f aca="false">(N616-AVERAGE(N$2:N$2001))/STDEV(N$2:N$2001)</f>
        <v>-0.268871620315315</v>
      </c>
      <c r="AG616" s="13" t="n">
        <f aca="false">(O616-AVERAGE(O$2:O$2001))/STDEV(O$2:O$2001)</f>
        <v>-0.562014432909563</v>
      </c>
      <c r="AH616" s="0" t="str">
        <f aca="false">IF(B616="Company","C3 - Corporate Buyers",IF(AND(H616="Investment",M616&gt;'Segmentation Summary'!$C$1),"C1 - Global Investors",IF(AND(I616&gt;=4,M616&gt;'Segmentation Summary'!$C$1),"C4 - Luxury Investors",IF(AND(D616&lt;'Segmentation Summary'!$C$2,J616=1),"C2 - First-Time Buyers","C5 - Other Individual Buyers"))))</f>
        <v>C5 - Other Individual Buyers</v>
      </c>
    </row>
    <row r="617" customFormat="false" ht="15" hidden="false" customHeight="true" outlineLevel="0" collapsed="false">
      <c r="A617" s="13" t="s">
        <v>1285</v>
      </c>
      <c r="B617" s="13" t="s">
        <v>34</v>
      </c>
      <c r="C617" s="13" t="s">
        <v>1286</v>
      </c>
      <c r="D617" s="13" t="n">
        <v>74</v>
      </c>
      <c r="E617" s="13" t="s">
        <v>90</v>
      </c>
      <c r="F617" s="13" t="s">
        <v>33</v>
      </c>
      <c r="G617" s="13" t="s">
        <v>95</v>
      </c>
      <c r="H617" s="13" t="s">
        <v>43</v>
      </c>
      <c r="I617" s="13" t="n">
        <v>4</v>
      </c>
      <c r="J617" s="13" t="n">
        <v>0</v>
      </c>
      <c r="K617" s="13" t="s">
        <v>91</v>
      </c>
      <c r="L617" s="13" t="n">
        <v>3</v>
      </c>
      <c r="M617" s="13" t="n">
        <v>961425.37</v>
      </c>
      <c r="N617" s="13" t="n">
        <v>320475.123333333</v>
      </c>
      <c r="O617" s="13" t="n">
        <v>1077.32333333333</v>
      </c>
      <c r="P617" s="13" t="n">
        <v>0</v>
      </c>
      <c r="Q617" s="13" t="n">
        <v>3</v>
      </c>
      <c r="R617" s="13" t="s">
        <v>92</v>
      </c>
      <c r="S617" s="13" t="s">
        <v>107</v>
      </c>
      <c r="T617" s="13" t="n">
        <v>1</v>
      </c>
      <c r="U617" s="13" t="n">
        <f aca="false">IF(B617="Individual",1,0)</f>
        <v>1</v>
      </c>
      <c r="V617" s="13" t="n">
        <f aca="false">IF(B617="Company",1,0)</f>
        <v>0</v>
      </c>
      <c r="W617" s="13" t="n">
        <f aca="false">IF(H617="Home",1,0)</f>
        <v>0</v>
      </c>
      <c r="X617" s="13" t="n">
        <f aca="false">IF(H617="Investment",1,0)</f>
        <v>1</v>
      </c>
      <c r="Y617" s="13" t="n">
        <f aca="false">IF(K617="Website",1,0)</f>
        <v>0</v>
      </c>
      <c r="Z617" s="13" t="n">
        <f aca="false">IF(K617="Agency",1,0)</f>
        <v>1</v>
      </c>
      <c r="AA617" s="13" t="n">
        <f aca="false">IF(K617="Client",1,0)</f>
        <v>0</v>
      </c>
      <c r="AB617" s="13" t="n">
        <f aca="false">(D617-AVERAGE(D$2:D$2001))/STDEV(D$2:D$2001)</f>
        <v>1.14534935336115</v>
      </c>
      <c r="AC617" s="13" t="n">
        <f aca="false">(I617-AVERAGE(I$2:I$2001))/STDEV(I$2:I$2001)</f>
        <v>0.686917069130275</v>
      </c>
      <c r="AD617" s="13" t="n">
        <f aca="false">(L617-AVERAGE(L$2:L$2001))/STDEV(L$2:L$2001)</f>
        <v>-0.777063122173208</v>
      </c>
      <c r="AE617" s="13" t="n">
        <f aca="false">(M617-AVERAGE(M$2:M$2001))/STDEV(M$2:M$2001)</f>
        <v>-0.859470255643755</v>
      </c>
      <c r="AF617" s="13" t="n">
        <f aca="false">(N617-AVERAGE(N$2:N$2001))/STDEV(N$2:N$2001)</f>
        <v>-0.381728874021718</v>
      </c>
      <c r="AG617" s="13" t="n">
        <f aca="false">(O617-AVERAGE(O$2:O$2001))/STDEV(O$2:O$2001)</f>
        <v>-0.319004680832311</v>
      </c>
      <c r="AH617" s="0" t="str">
        <f aca="false">IF(B617="Company","C3 - Corporate Buyers",IF(AND(H617="Investment",M617&gt;'Segmentation Summary'!$C$1),"C1 - Global Investors",IF(AND(I617&gt;=4,M617&gt;'Segmentation Summary'!$C$1),"C4 - Luxury Investors",IF(AND(D617&lt;'Segmentation Summary'!$C$2,J617=1),"C2 - First-Time Buyers","C5 - Other Individual Buyers"))))</f>
        <v>C5 - Other Individual Buyers</v>
      </c>
    </row>
    <row r="618" customFormat="false" ht="15" hidden="false" customHeight="true" outlineLevel="0" collapsed="false">
      <c r="A618" s="13" t="s">
        <v>1287</v>
      </c>
      <c r="B618" s="13" t="s">
        <v>34</v>
      </c>
      <c r="C618" s="13" t="s">
        <v>1288</v>
      </c>
      <c r="D618" s="13" t="n">
        <v>58</v>
      </c>
      <c r="E618" s="13" t="s">
        <v>90</v>
      </c>
      <c r="F618" s="13" t="s">
        <v>33</v>
      </c>
      <c r="G618" s="13" t="s">
        <v>95</v>
      </c>
      <c r="H618" s="13" t="s">
        <v>41</v>
      </c>
      <c r="I618" s="13" t="n">
        <v>5</v>
      </c>
      <c r="J618" s="13" t="n">
        <v>0</v>
      </c>
      <c r="K618" s="13" t="s">
        <v>85</v>
      </c>
      <c r="L618" s="13" t="n">
        <v>4</v>
      </c>
      <c r="M618" s="13" t="n">
        <v>1534891.22</v>
      </c>
      <c r="N618" s="13" t="n">
        <v>383722.805</v>
      </c>
      <c r="O618" s="13" t="n">
        <v>1227.645</v>
      </c>
      <c r="P618" s="13" t="n">
        <v>1</v>
      </c>
      <c r="Q618" s="13" t="n">
        <v>3</v>
      </c>
      <c r="R618" s="13" t="s">
        <v>121</v>
      </c>
      <c r="S618" s="13" t="s">
        <v>135</v>
      </c>
      <c r="T618" s="13" t="n">
        <v>1</v>
      </c>
      <c r="U618" s="13" t="n">
        <f aca="false">IF(B618="Individual",1,0)</f>
        <v>1</v>
      </c>
      <c r="V618" s="13" t="n">
        <f aca="false">IF(B618="Company",1,0)</f>
        <v>0</v>
      </c>
      <c r="W618" s="13" t="n">
        <f aca="false">IF(H618="Home",1,0)</f>
        <v>1</v>
      </c>
      <c r="X618" s="13" t="n">
        <f aca="false">IF(H618="Investment",1,0)</f>
        <v>0</v>
      </c>
      <c r="Y618" s="13" t="n">
        <f aca="false">IF(K618="Website",1,0)</f>
        <v>1</v>
      </c>
      <c r="Z618" s="13" t="n">
        <f aca="false">IF(K618="Agency",1,0)</f>
        <v>0</v>
      </c>
      <c r="AA618" s="13" t="n">
        <f aca="false">IF(K618="Client",1,0)</f>
        <v>0</v>
      </c>
      <c r="AB618" s="13" t="n">
        <f aca="false">(D618-AVERAGE(D$2:D$2001))/STDEV(D$2:D$2001)</f>
        <v>0.222750065550728</v>
      </c>
      <c r="AC618" s="13" t="n">
        <f aca="false">(I618-AVERAGE(I$2:I$2001))/STDEV(I$2:I$2001)</f>
        <v>1.39434968409451</v>
      </c>
      <c r="AD618" s="13" t="n">
        <f aca="false">(L618-AVERAGE(L$2:L$2001))/STDEV(L$2:L$2001)</f>
        <v>0.413838214490712</v>
      </c>
      <c r="AE618" s="13" t="n">
        <f aca="false">(M618-AVERAGE(M$2:M$2001))/STDEV(M$2:M$2001)</f>
        <v>0.789222364037877</v>
      </c>
      <c r="AF618" s="13" t="n">
        <f aca="false">(N618-AVERAGE(N$2:N$2001))/STDEV(N$2:N$2001)</f>
        <v>0.525414399362699</v>
      </c>
      <c r="AG618" s="13" t="n">
        <f aca="false">(O618-AVERAGE(O$2:O$2001))/STDEV(O$2:O$2001)</f>
        <v>0.36451613776388</v>
      </c>
      <c r="AH618" s="0" t="str">
        <f aca="false">IF(B618="Company","C3 - Corporate Buyers",IF(AND(H618="Investment",M618&gt;'Segmentation Summary'!$C$1),"C1 - Global Investors",IF(AND(I618&gt;=4,M618&gt;'Segmentation Summary'!$C$1),"C4 - Luxury Investors",IF(AND(D618&lt;'Segmentation Summary'!$C$2,J618=1),"C2 - First-Time Buyers","C5 - Other Individual Buyers"))))</f>
        <v>C4 - Luxury Investors</v>
      </c>
    </row>
    <row r="619" customFormat="false" ht="15" hidden="false" customHeight="true" outlineLevel="0" collapsed="false">
      <c r="A619" s="13" t="s">
        <v>1289</v>
      </c>
      <c r="B619" s="13" t="s">
        <v>34</v>
      </c>
      <c r="C619" s="13" t="s">
        <v>1290</v>
      </c>
      <c r="D619" s="13" t="n">
        <v>68</v>
      </c>
      <c r="E619" s="13" t="s">
        <v>90</v>
      </c>
      <c r="F619" s="13" t="s">
        <v>33</v>
      </c>
      <c r="G619" s="13" t="s">
        <v>100</v>
      </c>
      <c r="H619" s="13" t="s">
        <v>41</v>
      </c>
      <c r="I619" s="13" t="n">
        <v>4</v>
      </c>
      <c r="J619" s="13" t="n">
        <v>0</v>
      </c>
      <c r="K619" s="13" t="s">
        <v>91</v>
      </c>
      <c r="L619" s="13" t="n">
        <v>3</v>
      </c>
      <c r="M619" s="13" t="n">
        <v>859956.66</v>
      </c>
      <c r="N619" s="13" t="n">
        <v>286652.22</v>
      </c>
      <c r="O619" s="13" t="n">
        <v>1008.13</v>
      </c>
      <c r="P619" s="13" t="n">
        <v>0</v>
      </c>
      <c r="Q619" s="13" t="n">
        <v>3</v>
      </c>
      <c r="R619" s="13" t="s">
        <v>86</v>
      </c>
      <c r="S619" s="13" t="s">
        <v>125</v>
      </c>
      <c r="T619" s="13" t="n">
        <v>1</v>
      </c>
      <c r="U619" s="13" t="n">
        <f aca="false">IF(B619="Individual",1,0)</f>
        <v>1</v>
      </c>
      <c r="V619" s="13" t="n">
        <f aca="false">IF(B619="Company",1,0)</f>
        <v>0</v>
      </c>
      <c r="W619" s="13" t="n">
        <f aca="false">IF(H619="Home",1,0)</f>
        <v>1</v>
      </c>
      <c r="X619" s="13" t="n">
        <f aca="false">IF(H619="Investment",1,0)</f>
        <v>0</v>
      </c>
      <c r="Y619" s="13" t="n">
        <f aca="false">IF(K619="Website",1,0)</f>
        <v>0</v>
      </c>
      <c r="Z619" s="13" t="n">
        <f aca="false">IF(K619="Agency",1,0)</f>
        <v>1</v>
      </c>
      <c r="AA619" s="13" t="n">
        <f aca="false">IF(K619="Client",1,0)</f>
        <v>0</v>
      </c>
      <c r="AB619" s="13" t="n">
        <f aca="false">(D619-AVERAGE(D$2:D$2001))/STDEV(D$2:D$2001)</f>
        <v>0.79937462043224</v>
      </c>
      <c r="AC619" s="13" t="n">
        <f aca="false">(I619-AVERAGE(I$2:I$2001))/STDEV(I$2:I$2001)</f>
        <v>0.686917069130275</v>
      </c>
      <c r="AD619" s="13" t="n">
        <f aca="false">(L619-AVERAGE(L$2:L$2001))/STDEV(L$2:L$2001)</f>
        <v>-0.777063122173208</v>
      </c>
      <c r="AE619" s="13" t="n">
        <f aca="false">(M619-AVERAGE(M$2:M$2001))/STDEV(M$2:M$2001)</f>
        <v>-1.15118895747337</v>
      </c>
      <c r="AF619" s="13" t="n">
        <f aca="false">(N619-AVERAGE(N$2:N$2001))/STDEV(N$2:N$2001)</f>
        <v>-0.866841030493608</v>
      </c>
      <c r="AG619" s="13" t="n">
        <f aca="false">(O619-AVERAGE(O$2:O$2001))/STDEV(O$2:O$2001)</f>
        <v>-0.633630542094687</v>
      </c>
      <c r="AH619" s="0" t="str">
        <f aca="false">IF(B619="Company","C3 - Corporate Buyers",IF(AND(H619="Investment",M619&gt;'Segmentation Summary'!$C$1),"C1 - Global Investors",IF(AND(I619&gt;=4,M619&gt;'Segmentation Summary'!$C$1),"C4 - Luxury Investors",IF(AND(D619&lt;'Segmentation Summary'!$C$2,J619=1),"C2 - First-Time Buyers","C5 - Other Individual Buyers"))))</f>
        <v>C5 - Other Individual Buyers</v>
      </c>
    </row>
    <row r="620" customFormat="false" ht="15" hidden="false" customHeight="true" outlineLevel="0" collapsed="false">
      <c r="A620" s="13" t="s">
        <v>1291</v>
      </c>
      <c r="B620" s="13" t="s">
        <v>34</v>
      </c>
      <c r="C620" s="13" t="s">
        <v>1292</v>
      </c>
      <c r="D620" s="13" t="n">
        <v>56</v>
      </c>
      <c r="E620" s="13" t="s">
        <v>90</v>
      </c>
      <c r="F620" s="13" t="s">
        <v>33</v>
      </c>
      <c r="G620" s="13" t="s">
        <v>84</v>
      </c>
      <c r="H620" s="13" t="s">
        <v>41</v>
      </c>
      <c r="I620" s="13" t="n">
        <v>1</v>
      </c>
      <c r="J620" s="13" t="n">
        <v>0</v>
      </c>
      <c r="K620" s="13" t="s">
        <v>85</v>
      </c>
      <c r="L620" s="13" t="n">
        <v>3</v>
      </c>
      <c r="M620" s="13" t="n">
        <v>1336217.65</v>
      </c>
      <c r="N620" s="13" t="n">
        <v>445405.883333333</v>
      </c>
      <c r="O620" s="13" t="n">
        <v>1460.49333333333</v>
      </c>
      <c r="P620" s="13" t="n">
        <v>0</v>
      </c>
      <c r="Q620" s="13" t="n">
        <v>3</v>
      </c>
      <c r="R620" s="13" t="s">
        <v>98</v>
      </c>
      <c r="S620" s="13" t="s">
        <v>107</v>
      </c>
      <c r="T620" s="13" t="n">
        <v>1</v>
      </c>
      <c r="U620" s="13" t="n">
        <f aca="false">IF(B620="Individual",1,0)</f>
        <v>1</v>
      </c>
      <c r="V620" s="13" t="n">
        <f aca="false">IF(B620="Company",1,0)</f>
        <v>0</v>
      </c>
      <c r="W620" s="13" t="n">
        <f aca="false">IF(H620="Home",1,0)</f>
        <v>1</v>
      </c>
      <c r="X620" s="13" t="n">
        <f aca="false">IF(H620="Investment",1,0)</f>
        <v>0</v>
      </c>
      <c r="Y620" s="13" t="n">
        <f aca="false">IF(K620="Website",1,0)</f>
        <v>1</v>
      </c>
      <c r="Z620" s="13" t="n">
        <f aca="false">IF(K620="Agency",1,0)</f>
        <v>0</v>
      </c>
      <c r="AA620" s="13" t="n">
        <f aca="false">IF(K620="Client",1,0)</f>
        <v>0</v>
      </c>
      <c r="AB620" s="13" t="n">
        <f aca="false">(D620-AVERAGE(D$2:D$2001))/STDEV(D$2:D$2001)</f>
        <v>0.107425154574426</v>
      </c>
      <c r="AC620" s="13" t="n">
        <f aca="false">(I620-AVERAGE(I$2:I$2001))/STDEV(I$2:I$2001)</f>
        <v>-1.43538077576244</v>
      </c>
      <c r="AD620" s="13" t="n">
        <f aca="false">(L620-AVERAGE(L$2:L$2001))/STDEV(L$2:L$2001)</f>
        <v>-0.777063122173208</v>
      </c>
      <c r="AE620" s="13" t="n">
        <f aca="false">(M620-AVERAGE(M$2:M$2001))/STDEV(M$2:M$2001)</f>
        <v>0.218043367791105</v>
      </c>
      <c r="AF620" s="13" t="n">
        <f aca="false">(N620-AVERAGE(N$2:N$2001))/STDEV(N$2:N$2001)</f>
        <v>1.4101170179761</v>
      </c>
      <c r="AG620" s="13" t="n">
        <f aca="false">(O620-AVERAGE(O$2:O$2001))/STDEV(O$2:O$2001)</f>
        <v>1.42329021164158</v>
      </c>
      <c r="AH620" s="0" t="str">
        <f aca="false">IF(B620="Company","C3 - Corporate Buyers",IF(AND(H620="Investment",M620&gt;'Segmentation Summary'!$C$1),"C1 - Global Investors",IF(AND(I620&gt;=4,M620&gt;'Segmentation Summary'!$C$1),"C4 - Luxury Investors",IF(AND(D620&lt;'Segmentation Summary'!$C$2,J620=1),"C2 - First-Time Buyers","C5 - Other Individual Buyers"))))</f>
        <v>C5 - Other Individual Buyers</v>
      </c>
    </row>
    <row r="621" customFormat="false" ht="15" hidden="false" customHeight="true" outlineLevel="0" collapsed="false">
      <c r="A621" s="13" t="s">
        <v>1293</v>
      </c>
      <c r="B621" s="13" t="s">
        <v>34</v>
      </c>
      <c r="C621" s="13" t="s">
        <v>1294</v>
      </c>
      <c r="D621" s="13" t="n">
        <v>84</v>
      </c>
      <c r="E621" s="13" t="s">
        <v>90</v>
      </c>
      <c r="F621" s="13" t="s">
        <v>33</v>
      </c>
      <c r="G621" s="13" t="s">
        <v>95</v>
      </c>
      <c r="H621" s="13" t="s">
        <v>41</v>
      </c>
      <c r="I621" s="13" t="n">
        <v>1</v>
      </c>
      <c r="J621" s="13" t="n">
        <v>0</v>
      </c>
      <c r="K621" s="13" t="s">
        <v>116</v>
      </c>
      <c r="L621" s="13" t="n">
        <v>4</v>
      </c>
      <c r="M621" s="13" t="n">
        <v>1019401.51</v>
      </c>
      <c r="N621" s="13" t="n">
        <v>254850.3775</v>
      </c>
      <c r="O621" s="13" t="n">
        <v>765.6675</v>
      </c>
      <c r="P621" s="13" t="n">
        <v>2</v>
      </c>
      <c r="Q621" s="13" t="n">
        <v>2</v>
      </c>
      <c r="R621" s="13" t="s">
        <v>93</v>
      </c>
      <c r="S621" s="13" t="s">
        <v>154</v>
      </c>
      <c r="T621" s="13" t="n">
        <v>1</v>
      </c>
      <c r="U621" s="13" t="n">
        <f aca="false">IF(B621="Individual",1,0)</f>
        <v>1</v>
      </c>
      <c r="V621" s="13" t="n">
        <f aca="false">IF(B621="Company",1,0)</f>
        <v>0</v>
      </c>
      <c r="W621" s="13" t="n">
        <f aca="false">IF(H621="Home",1,0)</f>
        <v>1</v>
      </c>
      <c r="X621" s="13" t="n">
        <f aca="false">IF(H621="Investment",1,0)</f>
        <v>0</v>
      </c>
      <c r="Y621" s="13" t="n">
        <f aca="false">IF(K621="Website",1,0)</f>
        <v>0</v>
      </c>
      <c r="Z621" s="13" t="n">
        <f aca="false">IF(K621="Agency",1,0)</f>
        <v>0</v>
      </c>
      <c r="AA621" s="13" t="n">
        <f aca="false">IF(K621="Client",1,0)</f>
        <v>1</v>
      </c>
      <c r="AB621" s="13" t="n">
        <f aca="false">(D621-AVERAGE(D$2:D$2001))/STDEV(D$2:D$2001)</f>
        <v>1.72197390824266</v>
      </c>
      <c r="AC621" s="13" t="n">
        <f aca="false">(I621-AVERAGE(I$2:I$2001))/STDEV(I$2:I$2001)</f>
        <v>-1.43538077576244</v>
      </c>
      <c r="AD621" s="13" t="n">
        <f aca="false">(L621-AVERAGE(L$2:L$2001))/STDEV(L$2:L$2001)</f>
        <v>0.413838214490712</v>
      </c>
      <c r="AE621" s="13" t="n">
        <f aca="false">(M621-AVERAGE(M$2:M$2001))/STDEV(M$2:M$2001)</f>
        <v>-0.692791046871988</v>
      </c>
      <c r="AF621" s="13" t="n">
        <f aca="false">(N621-AVERAGE(N$2:N$2001))/STDEV(N$2:N$2001)</f>
        <v>-1.3229656937998</v>
      </c>
      <c r="AG621" s="13" t="n">
        <f aca="false">(O621-AVERAGE(O$2:O$2001))/STDEV(O$2:O$2001)</f>
        <v>-1.73612075627234</v>
      </c>
      <c r="AH621" s="0" t="str">
        <f aca="false">IF(B621="Company","C3 - Corporate Buyers",IF(AND(H621="Investment",M621&gt;'Segmentation Summary'!$C$1),"C1 - Global Investors",IF(AND(I621&gt;=4,M621&gt;'Segmentation Summary'!$C$1),"C4 - Luxury Investors",IF(AND(D621&lt;'Segmentation Summary'!$C$2,J621=1),"C2 - First-Time Buyers","C5 - Other Individual Buyers"))))</f>
        <v>C5 - Other Individual Buyers</v>
      </c>
    </row>
    <row r="622" customFormat="false" ht="15" hidden="false" customHeight="true" outlineLevel="0" collapsed="false">
      <c r="A622" s="13" t="s">
        <v>1295</v>
      </c>
      <c r="B622" s="13" t="s">
        <v>34</v>
      </c>
      <c r="C622" s="13" t="s">
        <v>1296</v>
      </c>
      <c r="D622" s="13" t="n">
        <v>59</v>
      </c>
      <c r="E622" s="13" t="s">
        <v>90</v>
      </c>
      <c r="F622" s="13" t="s">
        <v>33</v>
      </c>
      <c r="G622" s="13" t="s">
        <v>162</v>
      </c>
      <c r="H622" s="13" t="s">
        <v>41</v>
      </c>
      <c r="I622" s="13" t="n">
        <v>3</v>
      </c>
      <c r="J622" s="13" t="n">
        <v>1</v>
      </c>
      <c r="K622" s="13" t="s">
        <v>85</v>
      </c>
      <c r="L622" s="13" t="n">
        <v>3</v>
      </c>
      <c r="M622" s="13" t="n">
        <v>1399933.88</v>
      </c>
      <c r="N622" s="13" t="n">
        <v>466644.626666667</v>
      </c>
      <c r="O622" s="13" t="n">
        <v>1529.46333333333</v>
      </c>
      <c r="P622" s="13" t="n">
        <v>0</v>
      </c>
      <c r="Q622" s="13" t="n">
        <v>3</v>
      </c>
      <c r="R622" s="13" t="s">
        <v>92</v>
      </c>
      <c r="S622" s="13" t="s">
        <v>215</v>
      </c>
      <c r="T622" s="13" t="n">
        <v>1</v>
      </c>
      <c r="U622" s="13" t="n">
        <f aca="false">IF(B622="Individual",1,0)</f>
        <v>1</v>
      </c>
      <c r="V622" s="13" t="n">
        <f aca="false">IF(B622="Company",1,0)</f>
        <v>0</v>
      </c>
      <c r="W622" s="13" t="n">
        <f aca="false">IF(H622="Home",1,0)</f>
        <v>1</v>
      </c>
      <c r="X622" s="13" t="n">
        <f aca="false">IF(H622="Investment",1,0)</f>
        <v>0</v>
      </c>
      <c r="Y622" s="13" t="n">
        <f aca="false">IF(K622="Website",1,0)</f>
        <v>1</v>
      </c>
      <c r="Z622" s="13" t="n">
        <f aca="false">IF(K622="Agency",1,0)</f>
        <v>0</v>
      </c>
      <c r="AA622" s="13" t="n">
        <f aca="false">IF(K622="Client",1,0)</f>
        <v>0</v>
      </c>
      <c r="AB622" s="13" t="n">
        <f aca="false">(D622-AVERAGE(D$2:D$2001))/STDEV(D$2:D$2001)</f>
        <v>0.280412521038879</v>
      </c>
      <c r="AC622" s="13" t="n">
        <f aca="false">(I622-AVERAGE(I$2:I$2001))/STDEV(I$2:I$2001)</f>
        <v>-0.0205155458339628</v>
      </c>
      <c r="AD622" s="13" t="n">
        <f aca="false">(L622-AVERAGE(L$2:L$2001))/STDEV(L$2:L$2001)</f>
        <v>-0.777063122173208</v>
      </c>
      <c r="AE622" s="13" t="n">
        <f aca="false">(M622-AVERAGE(M$2:M$2001))/STDEV(M$2:M$2001)</f>
        <v>0.401225118116669</v>
      </c>
      <c r="AF622" s="13" t="n">
        <f aca="false">(N622-AVERAGE(N$2:N$2001))/STDEV(N$2:N$2001)</f>
        <v>1.71473819368199</v>
      </c>
      <c r="AG622" s="13" t="n">
        <f aca="false">(O622-AVERAGE(O$2:O$2001))/STDEV(O$2:O$2001)</f>
        <v>1.73690056405415</v>
      </c>
      <c r="AH622" s="0" t="str">
        <f aca="false">IF(B622="Company","C3 - Corporate Buyers",IF(AND(H622="Investment",M622&gt;'Segmentation Summary'!$C$1),"C1 - Global Investors",IF(AND(I622&gt;=4,M622&gt;'Segmentation Summary'!$C$1),"C4 - Luxury Investors",IF(AND(D622&lt;'Segmentation Summary'!$C$2,J622=1),"C2 - First-Time Buyers","C5 - Other Individual Buyers"))))</f>
        <v>C5 - Other Individual Buyers</v>
      </c>
    </row>
    <row r="623" customFormat="false" ht="15" hidden="false" customHeight="true" outlineLevel="0" collapsed="false">
      <c r="A623" s="13" t="s">
        <v>1297</v>
      </c>
      <c r="B623" s="13" t="s">
        <v>34</v>
      </c>
      <c r="C623" s="13" t="s">
        <v>1298</v>
      </c>
      <c r="D623" s="13" t="n">
        <v>34</v>
      </c>
      <c r="E623" s="13" t="s">
        <v>90</v>
      </c>
      <c r="F623" s="13" t="s">
        <v>33</v>
      </c>
      <c r="G623" s="13" t="s">
        <v>84</v>
      </c>
      <c r="H623" s="13" t="s">
        <v>43</v>
      </c>
      <c r="I623" s="13" t="n">
        <v>3</v>
      </c>
      <c r="J623" s="13" t="n">
        <v>1</v>
      </c>
      <c r="K623" s="13" t="s">
        <v>85</v>
      </c>
      <c r="L623" s="13" t="n">
        <v>3</v>
      </c>
      <c r="M623" s="13" t="n">
        <v>1290741.99</v>
      </c>
      <c r="N623" s="13" t="n">
        <v>430247.33</v>
      </c>
      <c r="O623" s="13" t="n">
        <v>1336.61</v>
      </c>
      <c r="P623" s="13" t="n">
        <v>1</v>
      </c>
      <c r="Q623" s="13" t="n">
        <v>2</v>
      </c>
      <c r="R623" s="13" t="s">
        <v>98</v>
      </c>
      <c r="S623" s="13" t="s">
        <v>103</v>
      </c>
      <c r="T623" s="13" t="n">
        <v>1</v>
      </c>
      <c r="U623" s="13" t="n">
        <f aca="false">IF(B623="Individual",1,0)</f>
        <v>1</v>
      </c>
      <c r="V623" s="13" t="n">
        <f aca="false">IF(B623="Company",1,0)</f>
        <v>0</v>
      </c>
      <c r="W623" s="13" t="n">
        <f aca="false">IF(H623="Home",1,0)</f>
        <v>0</v>
      </c>
      <c r="X623" s="13" t="n">
        <f aca="false">IF(H623="Investment",1,0)</f>
        <v>1</v>
      </c>
      <c r="Y623" s="13" t="n">
        <f aca="false">IF(K623="Website",1,0)</f>
        <v>1</v>
      </c>
      <c r="Z623" s="13" t="n">
        <f aca="false">IF(K623="Agency",1,0)</f>
        <v>0</v>
      </c>
      <c r="AA623" s="13" t="n">
        <f aca="false">IF(K623="Client",1,0)</f>
        <v>0</v>
      </c>
      <c r="AB623" s="13" t="n">
        <f aca="false">(D623-AVERAGE(D$2:D$2001))/STDEV(D$2:D$2001)</f>
        <v>-1.1611488661649</v>
      </c>
      <c r="AC623" s="13" t="n">
        <f aca="false">(I623-AVERAGE(I$2:I$2001))/STDEV(I$2:I$2001)</f>
        <v>-0.0205155458339628</v>
      </c>
      <c r="AD623" s="13" t="n">
        <f aca="false">(L623-AVERAGE(L$2:L$2001))/STDEV(L$2:L$2001)</f>
        <v>-0.777063122173208</v>
      </c>
      <c r="AE623" s="13" t="n">
        <f aca="false">(M623-AVERAGE(M$2:M$2001))/STDEV(M$2:M$2001)</f>
        <v>0.0873025660203434</v>
      </c>
      <c r="AF623" s="13" t="n">
        <f aca="false">(N623-AVERAGE(N$2:N$2001))/STDEV(N$2:N$2001)</f>
        <v>1.19270225543914</v>
      </c>
      <c r="AG623" s="13" t="n">
        <f aca="false">(O623-AVERAGE(O$2:O$2001))/STDEV(O$2:O$2001)</f>
        <v>0.859985936961149</v>
      </c>
      <c r="AH623" s="0" t="str">
        <f aca="false">IF(B623="Company","C3 - Corporate Buyers",IF(AND(H623="Investment",M623&gt;'Segmentation Summary'!$C$1),"C1 - Global Investors",IF(AND(I623&gt;=4,M623&gt;'Segmentation Summary'!$C$1),"C4 - Luxury Investors",IF(AND(D623&lt;'Segmentation Summary'!$C$2,J623=1),"C2 - First-Time Buyers","C5 - Other Individual Buyers"))))</f>
        <v>C1 - Global Investors</v>
      </c>
    </row>
    <row r="624" customFormat="false" ht="15" hidden="false" customHeight="true" outlineLevel="0" collapsed="false">
      <c r="A624" s="13" t="s">
        <v>1299</v>
      </c>
      <c r="B624" s="13" t="s">
        <v>34</v>
      </c>
      <c r="C624" s="13" t="s">
        <v>1300</v>
      </c>
      <c r="D624" s="13" t="n">
        <v>29</v>
      </c>
      <c r="E624" s="13" t="s">
        <v>83</v>
      </c>
      <c r="F624" s="13" t="s">
        <v>33</v>
      </c>
      <c r="G624" s="13" t="s">
        <v>162</v>
      </c>
      <c r="H624" s="13" t="s">
        <v>41</v>
      </c>
      <c r="I624" s="13" t="n">
        <v>3</v>
      </c>
      <c r="J624" s="13" t="n">
        <v>0</v>
      </c>
      <c r="K624" s="13" t="s">
        <v>85</v>
      </c>
      <c r="L624" s="13" t="n">
        <v>4</v>
      </c>
      <c r="M624" s="13" t="n">
        <v>1378476.06</v>
      </c>
      <c r="N624" s="13" t="n">
        <v>344619.015</v>
      </c>
      <c r="O624" s="13" t="n">
        <v>1137.5875</v>
      </c>
      <c r="P624" s="13" t="n">
        <v>0</v>
      </c>
      <c r="Q624" s="13" t="n">
        <v>4</v>
      </c>
      <c r="R624" s="13" t="s">
        <v>93</v>
      </c>
      <c r="S624" s="13" t="s">
        <v>87</v>
      </c>
      <c r="T624" s="13" t="n">
        <v>1</v>
      </c>
      <c r="U624" s="13" t="n">
        <f aca="false">IF(B624="Individual",1,0)</f>
        <v>1</v>
      </c>
      <c r="V624" s="13" t="n">
        <f aca="false">IF(B624="Company",1,0)</f>
        <v>0</v>
      </c>
      <c r="W624" s="13" t="n">
        <f aca="false">IF(H624="Home",1,0)</f>
        <v>1</v>
      </c>
      <c r="X624" s="13" t="n">
        <f aca="false">IF(H624="Investment",1,0)</f>
        <v>0</v>
      </c>
      <c r="Y624" s="13" t="n">
        <f aca="false">IF(K624="Website",1,0)</f>
        <v>1</v>
      </c>
      <c r="Z624" s="13" t="n">
        <f aca="false">IF(K624="Agency",1,0)</f>
        <v>0</v>
      </c>
      <c r="AA624" s="13" t="n">
        <f aca="false">IF(K624="Client",1,0)</f>
        <v>0</v>
      </c>
      <c r="AB624" s="13" t="n">
        <f aca="false">(D624-AVERAGE(D$2:D$2001))/STDEV(D$2:D$2001)</f>
        <v>-1.44946114360566</v>
      </c>
      <c r="AC624" s="13" t="n">
        <f aca="false">(I624-AVERAGE(I$2:I$2001))/STDEV(I$2:I$2001)</f>
        <v>-0.0205155458339628</v>
      </c>
      <c r="AD624" s="13" t="n">
        <f aca="false">(L624-AVERAGE(L$2:L$2001))/STDEV(L$2:L$2001)</f>
        <v>0.413838214490712</v>
      </c>
      <c r="AE624" s="13" t="n">
        <f aca="false">(M624-AVERAGE(M$2:M$2001))/STDEV(M$2:M$2001)</f>
        <v>0.339534697547673</v>
      </c>
      <c r="AF624" s="13" t="n">
        <f aca="false">(N624-AVERAGE(N$2:N$2001))/STDEV(N$2:N$2001)</f>
        <v>-0.0354399928866184</v>
      </c>
      <c r="AG624" s="13" t="n">
        <f aca="false">(O624-AVERAGE(O$2:O$2001))/STDEV(O$2:O$2001)</f>
        <v>-0.0449802275021054</v>
      </c>
      <c r="AH624" s="0" t="str">
        <f aca="false">IF(B624="Company","C3 - Corporate Buyers",IF(AND(H624="Investment",M624&gt;'Segmentation Summary'!$C$1),"C1 - Global Investors",IF(AND(I624&gt;=4,M624&gt;'Segmentation Summary'!$C$1),"C4 - Luxury Investors",IF(AND(D624&lt;'Segmentation Summary'!$C$2,J624=1),"C2 - First-Time Buyers","C5 - Other Individual Buyers"))))</f>
        <v>C5 - Other Individual Buyers</v>
      </c>
    </row>
    <row r="625" customFormat="false" ht="15" hidden="false" customHeight="true" outlineLevel="0" collapsed="false">
      <c r="A625" s="13" t="s">
        <v>1301</v>
      </c>
      <c r="B625" s="13" t="s">
        <v>34</v>
      </c>
      <c r="C625" s="13" t="s">
        <v>1302</v>
      </c>
      <c r="D625" s="13" t="n">
        <v>36</v>
      </c>
      <c r="E625" s="13" t="s">
        <v>83</v>
      </c>
      <c r="F625" s="13" t="s">
        <v>33</v>
      </c>
      <c r="G625" s="13" t="s">
        <v>265</v>
      </c>
      <c r="H625" s="13" t="s">
        <v>41</v>
      </c>
      <c r="I625" s="13" t="n">
        <v>3</v>
      </c>
      <c r="J625" s="13" t="n">
        <v>1</v>
      </c>
      <c r="K625" s="13" t="s">
        <v>91</v>
      </c>
      <c r="L625" s="13" t="n">
        <v>3</v>
      </c>
      <c r="M625" s="13" t="n">
        <v>695033.8</v>
      </c>
      <c r="N625" s="13" t="n">
        <v>231677.933333333</v>
      </c>
      <c r="O625" s="13" t="n">
        <v>724.086666666667</v>
      </c>
      <c r="P625" s="13" t="n">
        <v>0</v>
      </c>
      <c r="Q625" s="13" t="n">
        <v>3</v>
      </c>
      <c r="R625" s="13" t="s">
        <v>101</v>
      </c>
      <c r="S625" s="13" t="s">
        <v>215</v>
      </c>
      <c r="T625" s="13" t="n">
        <v>1</v>
      </c>
      <c r="U625" s="13" t="n">
        <f aca="false">IF(B625="Individual",1,0)</f>
        <v>1</v>
      </c>
      <c r="V625" s="13" t="n">
        <f aca="false">IF(B625="Company",1,0)</f>
        <v>0</v>
      </c>
      <c r="W625" s="13" t="n">
        <f aca="false">IF(H625="Home",1,0)</f>
        <v>1</v>
      </c>
      <c r="X625" s="13" t="n">
        <f aca="false">IF(H625="Investment",1,0)</f>
        <v>0</v>
      </c>
      <c r="Y625" s="13" t="n">
        <f aca="false">IF(K625="Website",1,0)</f>
        <v>0</v>
      </c>
      <c r="Z625" s="13" t="n">
        <f aca="false">IF(K625="Agency",1,0)</f>
        <v>1</v>
      </c>
      <c r="AA625" s="13" t="n">
        <f aca="false">IF(K625="Client",1,0)</f>
        <v>0</v>
      </c>
      <c r="AB625" s="13" t="n">
        <f aca="false">(D625-AVERAGE(D$2:D$2001))/STDEV(D$2:D$2001)</f>
        <v>-1.0458239551886</v>
      </c>
      <c r="AC625" s="13" t="n">
        <f aca="false">(I625-AVERAGE(I$2:I$2001))/STDEV(I$2:I$2001)</f>
        <v>-0.0205155458339628</v>
      </c>
      <c r="AD625" s="13" t="n">
        <f aca="false">(L625-AVERAGE(L$2:L$2001))/STDEV(L$2:L$2001)</f>
        <v>-0.777063122173208</v>
      </c>
      <c r="AE625" s="13" t="n">
        <f aca="false">(M625-AVERAGE(M$2:M$2001))/STDEV(M$2:M$2001)</f>
        <v>-1.62533593954525</v>
      </c>
      <c r="AF625" s="13" t="n">
        <f aca="false">(N625-AVERAGE(N$2:N$2001))/STDEV(N$2:N$2001)</f>
        <v>-1.65532138336409</v>
      </c>
      <c r="AG625" s="13" t="n">
        <f aca="false">(O625-AVERAGE(O$2:O$2001))/STDEV(O$2:O$2001)</f>
        <v>-1.92519107373319</v>
      </c>
      <c r="AH625" s="0" t="str">
        <f aca="false">IF(B625="Company","C3 - Corporate Buyers",IF(AND(H625="Investment",M625&gt;'Segmentation Summary'!$C$1),"C1 - Global Investors",IF(AND(I625&gt;=4,M625&gt;'Segmentation Summary'!$C$1),"C4 - Luxury Investors",IF(AND(D625&lt;'Segmentation Summary'!$C$2,J625=1),"C2 - First-Time Buyers","C5 - Other Individual Buyers"))))</f>
        <v>C2 - First-Time Buyers</v>
      </c>
    </row>
    <row r="626" customFormat="false" ht="15" hidden="false" customHeight="true" outlineLevel="0" collapsed="false">
      <c r="A626" s="13" t="s">
        <v>1303</v>
      </c>
      <c r="B626" s="13" t="s">
        <v>34</v>
      </c>
      <c r="C626" s="13" t="s">
        <v>1304</v>
      </c>
      <c r="D626" s="13" t="n">
        <v>49</v>
      </c>
      <c r="E626" s="13" t="s">
        <v>83</v>
      </c>
      <c r="F626" s="13" t="s">
        <v>33</v>
      </c>
      <c r="G626" s="13" t="s">
        <v>95</v>
      </c>
      <c r="H626" s="13" t="s">
        <v>41</v>
      </c>
      <c r="I626" s="13" t="n">
        <v>3</v>
      </c>
      <c r="J626" s="13" t="n">
        <v>0</v>
      </c>
      <c r="K626" s="13" t="s">
        <v>91</v>
      </c>
      <c r="L626" s="13" t="n">
        <v>3</v>
      </c>
      <c r="M626" s="13" t="n">
        <v>1234378.85</v>
      </c>
      <c r="N626" s="13" t="n">
        <v>411459.616666667</v>
      </c>
      <c r="O626" s="13" t="n">
        <v>1435.66333333333</v>
      </c>
      <c r="P626" s="13" t="n">
        <v>1</v>
      </c>
      <c r="Q626" s="13" t="n">
        <v>2</v>
      </c>
      <c r="R626" s="13" t="s">
        <v>124</v>
      </c>
      <c r="S626" s="13" t="s">
        <v>133</v>
      </c>
      <c r="T626" s="13" t="n">
        <v>1</v>
      </c>
      <c r="U626" s="13" t="n">
        <f aca="false">IF(B626="Individual",1,0)</f>
        <v>1</v>
      </c>
      <c r="V626" s="13" t="n">
        <f aca="false">IF(B626="Company",1,0)</f>
        <v>0</v>
      </c>
      <c r="W626" s="13" t="n">
        <f aca="false">IF(H626="Home",1,0)</f>
        <v>1</v>
      </c>
      <c r="X626" s="13" t="n">
        <f aca="false">IF(H626="Investment",1,0)</f>
        <v>0</v>
      </c>
      <c r="Y626" s="13" t="n">
        <f aca="false">IF(K626="Website",1,0)</f>
        <v>0</v>
      </c>
      <c r="Z626" s="13" t="n">
        <f aca="false">IF(K626="Agency",1,0)</f>
        <v>1</v>
      </c>
      <c r="AA626" s="13" t="n">
        <f aca="false">IF(K626="Client",1,0)</f>
        <v>0</v>
      </c>
      <c r="AB626" s="13" t="n">
        <f aca="false">(D626-AVERAGE(D$2:D$2001))/STDEV(D$2:D$2001)</f>
        <v>-0.296212033842633</v>
      </c>
      <c r="AC626" s="13" t="n">
        <f aca="false">(I626-AVERAGE(I$2:I$2001))/STDEV(I$2:I$2001)</f>
        <v>-0.0205155458339628</v>
      </c>
      <c r="AD626" s="13" t="n">
        <f aca="false">(L626-AVERAGE(L$2:L$2001))/STDEV(L$2:L$2001)</f>
        <v>-0.777063122173208</v>
      </c>
      <c r="AE626" s="13" t="n">
        <f aca="false">(M626-AVERAGE(M$2:M$2001))/STDEV(M$2:M$2001)</f>
        <v>-0.0747393287848703</v>
      </c>
      <c r="AF626" s="13" t="n">
        <f aca="false">(N626-AVERAGE(N$2:N$2001))/STDEV(N$2:N$2001)</f>
        <v>0.923235496761246</v>
      </c>
      <c r="AG626" s="13" t="n">
        <f aca="false">(O626-AVERAGE(O$2:O$2001))/STDEV(O$2:O$2001)</f>
        <v>1.31038684712942</v>
      </c>
      <c r="AH626" s="0" t="str">
        <f aca="false">IF(B626="Company","C3 - Corporate Buyers",IF(AND(H626="Investment",M626&gt;'Segmentation Summary'!$C$1),"C1 - Global Investors",IF(AND(I626&gt;=4,M626&gt;'Segmentation Summary'!$C$1),"C4 - Luxury Investors",IF(AND(D626&lt;'Segmentation Summary'!$C$2,J626=1),"C2 - First-Time Buyers","C5 - Other Individual Buyers"))))</f>
        <v>C5 - Other Individual Buyers</v>
      </c>
    </row>
    <row r="627" customFormat="false" ht="15" hidden="false" customHeight="true" outlineLevel="0" collapsed="false">
      <c r="A627" s="13" t="s">
        <v>1305</v>
      </c>
      <c r="B627" s="13" t="s">
        <v>34</v>
      </c>
      <c r="C627" s="13" t="s">
        <v>1306</v>
      </c>
      <c r="D627" s="13" t="n">
        <v>38</v>
      </c>
      <c r="E627" s="13" t="s">
        <v>83</v>
      </c>
      <c r="F627" s="13" t="s">
        <v>42</v>
      </c>
      <c r="G627" s="13" t="s">
        <v>288</v>
      </c>
      <c r="H627" s="13" t="s">
        <v>43</v>
      </c>
      <c r="I627" s="13" t="n">
        <v>5</v>
      </c>
      <c r="J627" s="13" t="n">
        <v>0</v>
      </c>
      <c r="K627" s="13" t="s">
        <v>85</v>
      </c>
      <c r="L627" s="13" t="n">
        <v>4</v>
      </c>
      <c r="M627" s="13" t="n">
        <v>1316082.96</v>
      </c>
      <c r="N627" s="13" t="n">
        <v>329020.74</v>
      </c>
      <c r="O627" s="13" t="n">
        <v>1104.1725</v>
      </c>
      <c r="P627" s="13" t="n">
        <v>1</v>
      </c>
      <c r="Q627" s="13" t="n">
        <v>3</v>
      </c>
      <c r="R627" s="13" t="s">
        <v>117</v>
      </c>
      <c r="S627" s="13" t="s">
        <v>87</v>
      </c>
      <c r="T627" s="13" t="n">
        <v>1</v>
      </c>
      <c r="U627" s="13" t="n">
        <f aca="false">IF(B627="Individual",1,0)</f>
        <v>1</v>
      </c>
      <c r="V627" s="13" t="n">
        <f aca="false">IF(B627="Company",1,0)</f>
        <v>0</v>
      </c>
      <c r="W627" s="13" t="n">
        <f aca="false">IF(H627="Home",1,0)</f>
        <v>0</v>
      </c>
      <c r="X627" s="13" t="n">
        <f aca="false">IF(H627="Investment",1,0)</f>
        <v>1</v>
      </c>
      <c r="Y627" s="13" t="n">
        <f aca="false">IF(K627="Website",1,0)</f>
        <v>1</v>
      </c>
      <c r="Z627" s="13" t="n">
        <f aca="false">IF(K627="Agency",1,0)</f>
        <v>0</v>
      </c>
      <c r="AA627" s="13" t="n">
        <f aca="false">IF(K627="Client",1,0)</f>
        <v>0</v>
      </c>
      <c r="AB627" s="13" t="n">
        <f aca="false">(D627-AVERAGE(D$2:D$2001))/STDEV(D$2:D$2001)</f>
        <v>-0.930499044212296</v>
      </c>
      <c r="AC627" s="13" t="n">
        <f aca="false">(I627-AVERAGE(I$2:I$2001))/STDEV(I$2:I$2001)</f>
        <v>1.39434968409451</v>
      </c>
      <c r="AD627" s="13" t="n">
        <f aca="false">(L627-AVERAGE(L$2:L$2001))/STDEV(L$2:L$2001)</f>
        <v>0.413838214490712</v>
      </c>
      <c r="AE627" s="13" t="n">
        <f aca="false">(M627-AVERAGE(M$2:M$2001))/STDEV(M$2:M$2001)</f>
        <v>0.160156895906898</v>
      </c>
      <c r="AF627" s="13" t="n">
        <f aca="false">(N627-AVERAGE(N$2:N$2001))/STDEV(N$2:N$2001)</f>
        <v>-0.2591615565832</v>
      </c>
      <c r="AG627" s="13" t="n">
        <f aca="false">(O627-AVERAGE(O$2:O$2001))/STDEV(O$2:O$2001)</f>
        <v>-0.196920055338354</v>
      </c>
      <c r="AH627" s="0" t="str">
        <f aca="false">IF(B627="Company","C3 - Corporate Buyers",IF(AND(H627="Investment",M627&gt;'Segmentation Summary'!$C$1),"C1 - Global Investors",IF(AND(I627&gt;=4,M627&gt;'Segmentation Summary'!$C$1),"C4 - Luxury Investors",IF(AND(D627&lt;'Segmentation Summary'!$C$2,J627=1),"C2 - First-Time Buyers","C5 - Other Individual Buyers"))))</f>
        <v>C1 - Global Investors</v>
      </c>
    </row>
    <row r="628" customFormat="false" ht="15" hidden="false" customHeight="true" outlineLevel="0" collapsed="false">
      <c r="A628" s="13" t="s">
        <v>1307</v>
      </c>
      <c r="B628" s="13" t="s">
        <v>34</v>
      </c>
      <c r="C628" s="13" t="s">
        <v>1308</v>
      </c>
      <c r="D628" s="13" t="n">
        <v>28</v>
      </c>
      <c r="E628" s="13" t="s">
        <v>83</v>
      </c>
      <c r="F628" s="13" t="s">
        <v>33</v>
      </c>
      <c r="G628" s="13" t="s">
        <v>120</v>
      </c>
      <c r="H628" s="13" t="s">
        <v>41</v>
      </c>
      <c r="I628" s="13" t="n">
        <v>5</v>
      </c>
      <c r="J628" s="13" t="n">
        <v>0</v>
      </c>
      <c r="K628" s="13" t="s">
        <v>91</v>
      </c>
      <c r="L628" s="13" t="n">
        <v>4</v>
      </c>
      <c r="M628" s="13" t="n">
        <v>1629486.83</v>
      </c>
      <c r="N628" s="13" t="n">
        <v>407371.7075</v>
      </c>
      <c r="O628" s="13" t="n">
        <v>1276.8225</v>
      </c>
      <c r="P628" s="13" t="n">
        <v>0</v>
      </c>
      <c r="Q628" s="13" t="n">
        <v>4</v>
      </c>
      <c r="R628" s="13" t="s">
        <v>86</v>
      </c>
      <c r="S628" s="13" t="s">
        <v>141</v>
      </c>
      <c r="T628" s="13" t="n">
        <v>1</v>
      </c>
      <c r="U628" s="13" t="n">
        <f aca="false">IF(B628="Individual",1,0)</f>
        <v>1</v>
      </c>
      <c r="V628" s="13" t="n">
        <f aca="false">IF(B628="Company",1,0)</f>
        <v>0</v>
      </c>
      <c r="W628" s="13" t="n">
        <f aca="false">IF(H628="Home",1,0)</f>
        <v>1</v>
      </c>
      <c r="X628" s="13" t="n">
        <f aca="false">IF(H628="Investment",1,0)</f>
        <v>0</v>
      </c>
      <c r="Y628" s="13" t="n">
        <f aca="false">IF(K628="Website",1,0)</f>
        <v>0</v>
      </c>
      <c r="Z628" s="13" t="n">
        <f aca="false">IF(K628="Agency",1,0)</f>
        <v>1</v>
      </c>
      <c r="AA628" s="13" t="n">
        <f aca="false">IF(K628="Client",1,0)</f>
        <v>0</v>
      </c>
      <c r="AB628" s="13" t="n">
        <f aca="false">(D628-AVERAGE(D$2:D$2001))/STDEV(D$2:D$2001)</f>
        <v>-1.50712359909381</v>
      </c>
      <c r="AC628" s="13" t="n">
        <f aca="false">(I628-AVERAGE(I$2:I$2001))/STDEV(I$2:I$2001)</f>
        <v>1.39434968409451</v>
      </c>
      <c r="AD628" s="13" t="n">
        <f aca="false">(L628-AVERAGE(L$2:L$2001))/STDEV(L$2:L$2001)</f>
        <v>0.413838214490712</v>
      </c>
      <c r="AE628" s="13" t="n">
        <f aca="false">(M628-AVERAGE(M$2:M$2001))/STDEV(M$2:M$2001)</f>
        <v>1.06118116343506</v>
      </c>
      <c r="AF628" s="13" t="n">
        <f aca="false">(N628-AVERAGE(N$2:N$2001))/STDEV(N$2:N$2001)</f>
        <v>0.864603793510962</v>
      </c>
      <c r="AG628" s="13" t="n">
        <f aca="false">(O628-AVERAGE(O$2:O$2001))/STDEV(O$2:O$2001)</f>
        <v>0.588128912967145</v>
      </c>
      <c r="AH628" s="0" t="str">
        <f aca="false">IF(B628="Company","C3 - Corporate Buyers",IF(AND(H628="Investment",M628&gt;'Segmentation Summary'!$C$1),"C1 - Global Investors",IF(AND(I628&gt;=4,M628&gt;'Segmentation Summary'!$C$1),"C4 - Luxury Investors",IF(AND(D628&lt;'Segmentation Summary'!$C$2,J628=1),"C2 - First-Time Buyers","C5 - Other Individual Buyers"))))</f>
        <v>C4 - Luxury Investors</v>
      </c>
    </row>
    <row r="629" customFormat="false" ht="15" hidden="false" customHeight="true" outlineLevel="0" collapsed="false">
      <c r="A629" s="13" t="s">
        <v>1309</v>
      </c>
      <c r="B629" s="13" t="s">
        <v>34</v>
      </c>
      <c r="C629" s="13" t="s">
        <v>1310</v>
      </c>
      <c r="D629" s="13" t="n">
        <v>55</v>
      </c>
      <c r="E629" s="13" t="s">
        <v>83</v>
      </c>
      <c r="F629" s="13" t="s">
        <v>35</v>
      </c>
      <c r="G629" s="13" t="s">
        <v>185</v>
      </c>
      <c r="H629" s="13" t="s">
        <v>43</v>
      </c>
      <c r="I629" s="13" t="n">
        <v>4</v>
      </c>
      <c r="J629" s="13" t="n">
        <v>0</v>
      </c>
      <c r="K629" s="13" t="s">
        <v>85</v>
      </c>
      <c r="L629" s="13" t="n">
        <v>3</v>
      </c>
      <c r="M629" s="13" t="n">
        <v>1289646.41</v>
      </c>
      <c r="N629" s="13" t="n">
        <v>429882.136666667</v>
      </c>
      <c r="O629" s="13" t="n">
        <v>1277.27333333333</v>
      </c>
      <c r="P629" s="13" t="n">
        <v>0</v>
      </c>
      <c r="Q629" s="13" t="n">
        <v>3</v>
      </c>
      <c r="R629" s="13" t="s">
        <v>117</v>
      </c>
      <c r="S629" s="13" t="s">
        <v>87</v>
      </c>
      <c r="T629" s="13" t="n">
        <v>1</v>
      </c>
      <c r="U629" s="13" t="n">
        <f aca="false">IF(B629="Individual",1,0)</f>
        <v>1</v>
      </c>
      <c r="V629" s="13" t="n">
        <f aca="false">IF(B629="Company",1,0)</f>
        <v>0</v>
      </c>
      <c r="W629" s="13" t="n">
        <f aca="false">IF(H629="Home",1,0)</f>
        <v>0</v>
      </c>
      <c r="X629" s="13" t="n">
        <f aca="false">IF(H629="Investment",1,0)</f>
        <v>1</v>
      </c>
      <c r="Y629" s="13" t="n">
        <f aca="false">IF(K629="Website",1,0)</f>
        <v>1</v>
      </c>
      <c r="Z629" s="13" t="n">
        <f aca="false">IF(K629="Agency",1,0)</f>
        <v>0</v>
      </c>
      <c r="AA629" s="13" t="n">
        <f aca="false">IF(K629="Client",1,0)</f>
        <v>0</v>
      </c>
      <c r="AB629" s="13" t="n">
        <f aca="false">(D629-AVERAGE(D$2:D$2001))/STDEV(D$2:D$2001)</f>
        <v>0.0497626990862745</v>
      </c>
      <c r="AC629" s="13" t="n">
        <f aca="false">(I629-AVERAGE(I$2:I$2001))/STDEV(I$2:I$2001)</f>
        <v>0.686917069130275</v>
      </c>
      <c r="AD629" s="13" t="n">
        <f aca="false">(L629-AVERAGE(L$2:L$2001))/STDEV(L$2:L$2001)</f>
        <v>-0.777063122173208</v>
      </c>
      <c r="AE629" s="13" t="n">
        <f aca="false">(M629-AVERAGE(M$2:M$2001))/STDEV(M$2:M$2001)</f>
        <v>0.0841528149754103</v>
      </c>
      <c r="AF629" s="13" t="n">
        <f aca="false">(N629-AVERAGE(N$2:N$2001))/STDEV(N$2:N$2001)</f>
        <v>1.18746439268926</v>
      </c>
      <c r="AG629" s="13" t="n">
        <f aca="false">(O629-AVERAGE(O$2:O$2001))/STDEV(O$2:O$2001)</f>
        <v>0.590178876727402</v>
      </c>
      <c r="AH629" s="0" t="str">
        <f aca="false">IF(B629="Company","C3 - Corporate Buyers",IF(AND(H629="Investment",M629&gt;'Segmentation Summary'!$C$1),"C1 - Global Investors",IF(AND(I629&gt;=4,M629&gt;'Segmentation Summary'!$C$1),"C4 - Luxury Investors",IF(AND(D629&lt;'Segmentation Summary'!$C$2,J629=1),"C2 - First-Time Buyers","C5 - Other Individual Buyers"))))</f>
        <v>C1 - Global Investors</v>
      </c>
    </row>
    <row r="630" customFormat="false" ht="15" hidden="false" customHeight="true" outlineLevel="0" collapsed="false">
      <c r="A630" s="13" t="s">
        <v>1311</v>
      </c>
      <c r="B630" s="13" t="s">
        <v>34</v>
      </c>
      <c r="C630" s="13" t="s">
        <v>1312</v>
      </c>
      <c r="D630" s="13" t="n">
        <v>70</v>
      </c>
      <c r="E630" s="13" t="s">
        <v>83</v>
      </c>
      <c r="F630" s="13" t="s">
        <v>33</v>
      </c>
      <c r="G630" s="13" t="s">
        <v>162</v>
      </c>
      <c r="H630" s="13" t="s">
        <v>41</v>
      </c>
      <c r="I630" s="13" t="n">
        <v>2</v>
      </c>
      <c r="J630" s="13" t="n">
        <v>0</v>
      </c>
      <c r="K630" s="13" t="s">
        <v>85</v>
      </c>
      <c r="L630" s="13" t="n">
        <v>3</v>
      </c>
      <c r="M630" s="13" t="n">
        <v>1024655.04</v>
      </c>
      <c r="N630" s="13" t="n">
        <v>341551.68</v>
      </c>
      <c r="O630" s="13" t="n">
        <v>1258.69</v>
      </c>
      <c r="P630" s="13" t="n">
        <v>1</v>
      </c>
      <c r="Q630" s="13" t="n">
        <v>2</v>
      </c>
      <c r="R630" s="13" t="s">
        <v>101</v>
      </c>
      <c r="S630" s="13" t="s">
        <v>103</v>
      </c>
      <c r="T630" s="13" t="n">
        <v>1</v>
      </c>
      <c r="U630" s="13" t="n">
        <f aca="false">IF(B630="Individual",1,0)</f>
        <v>1</v>
      </c>
      <c r="V630" s="13" t="n">
        <f aca="false">IF(B630="Company",1,0)</f>
        <v>0</v>
      </c>
      <c r="W630" s="13" t="n">
        <f aca="false">IF(H630="Home",1,0)</f>
        <v>1</v>
      </c>
      <c r="X630" s="13" t="n">
        <f aca="false">IF(H630="Investment",1,0)</f>
        <v>0</v>
      </c>
      <c r="Y630" s="13" t="n">
        <f aca="false">IF(K630="Website",1,0)</f>
        <v>1</v>
      </c>
      <c r="Z630" s="13" t="n">
        <f aca="false">IF(K630="Agency",1,0)</f>
        <v>0</v>
      </c>
      <c r="AA630" s="13" t="n">
        <f aca="false">IF(K630="Client",1,0)</f>
        <v>0</v>
      </c>
      <c r="AB630" s="13" t="n">
        <f aca="false">(D630-AVERAGE(D$2:D$2001))/STDEV(D$2:D$2001)</f>
        <v>0.914699531408543</v>
      </c>
      <c r="AC630" s="13" t="n">
        <f aca="false">(I630-AVERAGE(I$2:I$2001))/STDEV(I$2:I$2001)</f>
        <v>-0.727948160798201</v>
      </c>
      <c r="AD630" s="13" t="n">
        <f aca="false">(L630-AVERAGE(L$2:L$2001))/STDEV(L$2:L$2001)</f>
        <v>-0.777063122173208</v>
      </c>
      <c r="AE630" s="13" t="n">
        <f aca="false">(M630-AVERAGE(M$2:M$2001))/STDEV(M$2:M$2001)</f>
        <v>-0.677687346907507</v>
      </c>
      <c r="AF630" s="13" t="n">
        <f aca="false">(N630-AVERAGE(N$2:N$2001))/STDEV(N$2:N$2001)</f>
        <v>-0.0794338949418943</v>
      </c>
      <c r="AG630" s="13" t="n">
        <f aca="false">(O630-AVERAGE(O$2:O$2001))/STDEV(O$2:O$2001)</f>
        <v>0.505679446313224</v>
      </c>
      <c r="AH630" s="0" t="str">
        <f aca="false">IF(B630="Company","C3 - Corporate Buyers",IF(AND(H630="Investment",M630&gt;'Segmentation Summary'!$C$1),"C1 - Global Investors",IF(AND(I630&gt;=4,M630&gt;'Segmentation Summary'!$C$1),"C4 - Luxury Investors",IF(AND(D630&lt;'Segmentation Summary'!$C$2,J630=1),"C2 - First-Time Buyers","C5 - Other Individual Buyers"))))</f>
        <v>C5 - Other Individual Buyers</v>
      </c>
    </row>
    <row r="631" customFormat="false" ht="15" hidden="false" customHeight="true" outlineLevel="0" collapsed="false">
      <c r="A631" s="13" t="s">
        <v>1313</v>
      </c>
      <c r="B631" s="13" t="s">
        <v>34</v>
      </c>
      <c r="C631" s="13" t="s">
        <v>1314</v>
      </c>
      <c r="D631" s="13" t="n">
        <v>39</v>
      </c>
      <c r="E631" s="13" t="s">
        <v>83</v>
      </c>
      <c r="F631" s="13" t="s">
        <v>33</v>
      </c>
      <c r="G631" s="13" t="s">
        <v>207</v>
      </c>
      <c r="H631" s="13" t="s">
        <v>41</v>
      </c>
      <c r="I631" s="13" t="n">
        <v>2</v>
      </c>
      <c r="J631" s="13" t="n">
        <v>0</v>
      </c>
      <c r="K631" s="13" t="s">
        <v>85</v>
      </c>
      <c r="L631" s="13" t="n">
        <v>3</v>
      </c>
      <c r="M631" s="13" t="n">
        <v>1385369.38</v>
      </c>
      <c r="N631" s="13" t="n">
        <v>461789.793333333</v>
      </c>
      <c r="O631" s="13" t="n">
        <v>1454.41</v>
      </c>
      <c r="P631" s="13" t="n">
        <v>1</v>
      </c>
      <c r="Q631" s="13" t="n">
        <v>2</v>
      </c>
      <c r="R631" s="13" t="s">
        <v>141</v>
      </c>
      <c r="S631" s="13" t="s">
        <v>133</v>
      </c>
      <c r="T631" s="13" t="n">
        <v>1</v>
      </c>
      <c r="U631" s="13" t="n">
        <f aca="false">IF(B631="Individual",1,0)</f>
        <v>1</v>
      </c>
      <c r="V631" s="13" t="n">
        <f aca="false">IF(B631="Company",1,0)</f>
        <v>0</v>
      </c>
      <c r="W631" s="13" t="n">
        <f aca="false">IF(H631="Home",1,0)</f>
        <v>1</v>
      </c>
      <c r="X631" s="13" t="n">
        <f aca="false">IF(H631="Investment",1,0)</f>
        <v>0</v>
      </c>
      <c r="Y631" s="13" t="n">
        <f aca="false">IF(K631="Website",1,0)</f>
        <v>1</v>
      </c>
      <c r="Z631" s="13" t="n">
        <f aca="false">IF(K631="Agency",1,0)</f>
        <v>0</v>
      </c>
      <c r="AA631" s="13" t="n">
        <f aca="false">IF(K631="Client",1,0)</f>
        <v>0</v>
      </c>
      <c r="AB631" s="13" t="n">
        <f aca="false">(D631-AVERAGE(D$2:D$2001))/STDEV(D$2:D$2001)</f>
        <v>-0.872836588724145</v>
      </c>
      <c r="AC631" s="13" t="n">
        <f aca="false">(I631-AVERAGE(I$2:I$2001))/STDEV(I$2:I$2001)</f>
        <v>-0.727948160798201</v>
      </c>
      <c r="AD631" s="13" t="n">
        <f aca="false">(L631-AVERAGE(L$2:L$2001))/STDEV(L$2:L$2001)</f>
        <v>-0.777063122173208</v>
      </c>
      <c r="AE631" s="13" t="n">
        <f aca="false">(M631-AVERAGE(M$2:M$2001))/STDEV(M$2:M$2001)</f>
        <v>0.359352731715014</v>
      </c>
      <c r="AF631" s="13" t="n">
        <f aca="false">(N631-AVERAGE(N$2:N$2001))/STDEV(N$2:N$2001)</f>
        <v>1.64510671809769</v>
      </c>
      <c r="AG631" s="13" t="n">
        <f aca="false">(O631-AVERAGE(O$2:O$2001))/STDEV(O$2:O$2001)</f>
        <v>1.39562896312036</v>
      </c>
      <c r="AH631" s="0" t="str">
        <f aca="false">IF(B631="Company","C3 - Corporate Buyers",IF(AND(H631="Investment",M631&gt;'Segmentation Summary'!$C$1),"C1 - Global Investors",IF(AND(I631&gt;=4,M631&gt;'Segmentation Summary'!$C$1),"C4 - Luxury Investors",IF(AND(D631&lt;'Segmentation Summary'!$C$2,J631=1),"C2 - First-Time Buyers","C5 - Other Individual Buyers"))))</f>
        <v>C5 - Other Individual Buyers</v>
      </c>
    </row>
    <row r="632" customFormat="false" ht="15" hidden="false" customHeight="true" outlineLevel="0" collapsed="false">
      <c r="A632" s="13" t="s">
        <v>1315</v>
      </c>
      <c r="B632" s="13" t="s">
        <v>34</v>
      </c>
      <c r="C632" s="13" t="s">
        <v>1316</v>
      </c>
      <c r="D632" s="13" t="n">
        <v>42</v>
      </c>
      <c r="E632" s="13" t="s">
        <v>83</v>
      </c>
      <c r="F632" s="13" t="s">
        <v>33</v>
      </c>
      <c r="G632" s="13" t="s">
        <v>162</v>
      </c>
      <c r="H632" s="13" t="s">
        <v>41</v>
      </c>
      <c r="I632" s="13" t="n">
        <v>5</v>
      </c>
      <c r="J632" s="13" t="n">
        <v>1</v>
      </c>
      <c r="K632" s="13" t="s">
        <v>91</v>
      </c>
      <c r="L632" s="13" t="n">
        <v>3</v>
      </c>
      <c r="M632" s="13" t="n">
        <v>1359605.1</v>
      </c>
      <c r="N632" s="13" t="n">
        <v>453201.7</v>
      </c>
      <c r="O632" s="13" t="n">
        <v>1526.95666666667</v>
      </c>
      <c r="P632" s="13" t="n">
        <v>1</v>
      </c>
      <c r="Q632" s="13" t="n">
        <v>2</v>
      </c>
      <c r="R632" s="13" t="s">
        <v>101</v>
      </c>
      <c r="S632" s="13" t="s">
        <v>125</v>
      </c>
      <c r="T632" s="13" t="n">
        <v>1</v>
      </c>
      <c r="U632" s="13" t="n">
        <f aca="false">IF(B632="Individual",1,0)</f>
        <v>1</v>
      </c>
      <c r="V632" s="13" t="n">
        <f aca="false">IF(B632="Company",1,0)</f>
        <v>0</v>
      </c>
      <c r="W632" s="13" t="n">
        <f aca="false">IF(H632="Home",1,0)</f>
        <v>1</v>
      </c>
      <c r="X632" s="13" t="n">
        <f aca="false">IF(H632="Investment",1,0)</f>
        <v>0</v>
      </c>
      <c r="Y632" s="13" t="n">
        <f aca="false">IF(K632="Website",1,0)</f>
        <v>0</v>
      </c>
      <c r="Z632" s="13" t="n">
        <f aca="false">IF(K632="Agency",1,0)</f>
        <v>1</v>
      </c>
      <c r="AA632" s="13" t="n">
        <f aca="false">IF(K632="Client",1,0)</f>
        <v>0</v>
      </c>
      <c r="AB632" s="13" t="n">
        <f aca="false">(D632-AVERAGE(D$2:D$2001))/STDEV(D$2:D$2001)</f>
        <v>-0.699849222259691</v>
      </c>
      <c r="AC632" s="13" t="n">
        <f aca="false">(I632-AVERAGE(I$2:I$2001))/STDEV(I$2:I$2001)</f>
        <v>1.39434968409451</v>
      </c>
      <c r="AD632" s="13" t="n">
        <f aca="false">(L632-AVERAGE(L$2:L$2001))/STDEV(L$2:L$2001)</f>
        <v>-0.777063122173208</v>
      </c>
      <c r="AE632" s="13" t="n">
        <f aca="false">(M632-AVERAGE(M$2:M$2001))/STDEV(M$2:M$2001)</f>
        <v>0.285281401595861</v>
      </c>
      <c r="AF632" s="13" t="n">
        <f aca="false">(N632-AVERAGE(N$2:N$2001))/STDEV(N$2:N$2001)</f>
        <v>1.52193017006879</v>
      </c>
      <c r="AG632" s="13" t="n">
        <f aca="false">(O632-AVERAGE(O$2:O$2001))/STDEV(O$2:O$2001)</f>
        <v>1.72550261397858</v>
      </c>
      <c r="AH632" s="0" t="str">
        <f aca="false">IF(B632="Company","C3 - Corporate Buyers",IF(AND(H632="Investment",M632&gt;'Segmentation Summary'!$C$1),"C1 - Global Investors",IF(AND(I632&gt;=4,M632&gt;'Segmentation Summary'!$C$1),"C4 - Luxury Investors",IF(AND(D632&lt;'Segmentation Summary'!$C$2,J632=1),"C2 - First-Time Buyers","C5 - Other Individual Buyers"))))</f>
        <v>C4 - Luxury Investors</v>
      </c>
    </row>
    <row r="633" customFormat="false" ht="15" hidden="false" customHeight="true" outlineLevel="0" collapsed="false">
      <c r="A633" s="13" t="s">
        <v>1317</v>
      </c>
      <c r="B633" s="13" t="s">
        <v>34</v>
      </c>
      <c r="C633" s="13" t="s">
        <v>1318</v>
      </c>
      <c r="D633" s="13" t="n">
        <v>35</v>
      </c>
      <c r="E633" s="13" t="s">
        <v>83</v>
      </c>
      <c r="F633" s="13" t="s">
        <v>33</v>
      </c>
      <c r="G633" s="13" t="s">
        <v>120</v>
      </c>
      <c r="H633" s="13" t="s">
        <v>41</v>
      </c>
      <c r="I633" s="13" t="n">
        <v>2</v>
      </c>
      <c r="J633" s="13" t="n">
        <v>1</v>
      </c>
      <c r="K633" s="13" t="s">
        <v>85</v>
      </c>
      <c r="L633" s="13" t="n">
        <v>3</v>
      </c>
      <c r="M633" s="13" t="n">
        <v>837920.58</v>
      </c>
      <c r="N633" s="13" t="n">
        <v>279306.86</v>
      </c>
      <c r="O633" s="13" t="n">
        <v>879.343333333333</v>
      </c>
      <c r="P633" s="13" t="n">
        <v>1</v>
      </c>
      <c r="Q633" s="13" t="n">
        <v>2</v>
      </c>
      <c r="R633" s="13" t="s">
        <v>124</v>
      </c>
      <c r="S633" s="13" t="s">
        <v>125</v>
      </c>
      <c r="T633" s="13" t="n">
        <v>1</v>
      </c>
      <c r="U633" s="13" t="n">
        <f aca="false">IF(B633="Individual",1,0)</f>
        <v>1</v>
      </c>
      <c r="V633" s="13" t="n">
        <f aca="false">IF(B633="Company",1,0)</f>
        <v>0</v>
      </c>
      <c r="W633" s="13" t="n">
        <f aca="false">IF(H633="Home",1,0)</f>
        <v>1</v>
      </c>
      <c r="X633" s="13" t="n">
        <f aca="false">IF(H633="Investment",1,0)</f>
        <v>0</v>
      </c>
      <c r="Y633" s="13" t="n">
        <f aca="false">IF(K633="Website",1,0)</f>
        <v>1</v>
      </c>
      <c r="Z633" s="13" t="n">
        <f aca="false">IF(K633="Agency",1,0)</f>
        <v>0</v>
      </c>
      <c r="AA633" s="13" t="n">
        <f aca="false">IF(K633="Client",1,0)</f>
        <v>0</v>
      </c>
      <c r="AB633" s="13" t="n">
        <f aca="false">(D633-AVERAGE(D$2:D$2001))/STDEV(D$2:D$2001)</f>
        <v>-1.10348641067675</v>
      </c>
      <c r="AC633" s="13" t="n">
        <f aca="false">(I633-AVERAGE(I$2:I$2001))/STDEV(I$2:I$2001)</f>
        <v>-0.727948160798201</v>
      </c>
      <c r="AD633" s="13" t="n">
        <f aca="false">(L633-AVERAGE(L$2:L$2001))/STDEV(L$2:L$2001)</f>
        <v>-0.777063122173208</v>
      </c>
      <c r="AE633" s="13" t="n">
        <f aca="false">(M633-AVERAGE(M$2:M$2001))/STDEV(M$2:M$2001)</f>
        <v>-1.21454185366189</v>
      </c>
      <c r="AF633" s="13" t="n">
        <f aca="false">(N633-AVERAGE(N$2:N$2001))/STDEV(N$2:N$2001)</f>
        <v>-0.972193412414963</v>
      </c>
      <c r="AG633" s="13" t="n">
        <f aca="false">(O633-AVERAGE(O$2:O$2001))/STDEV(O$2:O$2001)</f>
        <v>-1.21923054092568</v>
      </c>
      <c r="AH633" s="0" t="str">
        <f aca="false">IF(B633="Company","C3 - Corporate Buyers",IF(AND(H633="Investment",M633&gt;'Segmentation Summary'!$C$1),"C1 - Global Investors",IF(AND(I633&gt;=4,M633&gt;'Segmentation Summary'!$C$1),"C4 - Luxury Investors",IF(AND(D633&lt;'Segmentation Summary'!$C$2,J633=1),"C2 - First-Time Buyers","C5 - Other Individual Buyers"))))</f>
        <v>C2 - First-Time Buyers</v>
      </c>
    </row>
    <row r="634" customFormat="false" ht="15" hidden="false" customHeight="true" outlineLevel="0" collapsed="false">
      <c r="A634" s="13" t="s">
        <v>1319</v>
      </c>
      <c r="B634" s="13" t="s">
        <v>34</v>
      </c>
      <c r="C634" s="13" t="s">
        <v>1320</v>
      </c>
      <c r="D634" s="13" t="n">
        <v>56</v>
      </c>
      <c r="E634" s="13" t="s">
        <v>83</v>
      </c>
      <c r="F634" s="13" t="s">
        <v>33</v>
      </c>
      <c r="G634" s="13" t="s">
        <v>106</v>
      </c>
      <c r="H634" s="13" t="s">
        <v>43</v>
      </c>
      <c r="I634" s="13" t="n">
        <v>2</v>
      </c>
      <c r="J634" s="13" t="n">
        <v>0</v>
      </c>
      <c r="K634" s="13" t="s">
        <v>85</v>
      </c>
      <c r="L634" s="13" t="n">
        <v>3</v>
      </c>
      <c r="M634" s="13" t="n">
        <v>1065238.5</v>
      </c>
      <c r="N634" s="13" t="n">
        <v>355079.5</v>
      </c>
      <c r="O634" s="13" t="n">
        <v>1057.95</v>
      </c>
      <c r="P634" s="13" t="n">
        <v>1</v>
      </c>
      <c r="Q634" s="13" t="n">
        <v>2</v>
      </c>
      <c r="R634" s="13" t="s">
        <v>117</v>
      </c>
      <c r="S634" s="13" t="s">
        <v>103</v>
      </c>
      <c r="T634" s="13" t="n">
        <v>1</v>
      </c>
      <c r="U634" s="13" t="n">
        <f aca="false">IF(B634="Individual",1,0)</f>
        <v>1</v>
      </c>
      <c r="V634" s="13" t="n">
        <f aca="false">IF(B634="Company",1,0)</f>
        <v>0</v>
      </c>
      <c r="W634" s="13" t="n">
        <f aca="false">IF(H634="Home",1,0)</f>
        <v>0</v>
      </c>
      <c r="X634" s="13" t="n">
        <f aca="false">IF(H634="Investment",1,0)</f>
        <v>1</v>
      </c>
      <c r="Y634" s="13" t="n">
        <f aca="false">IF(K634="Website",1,0)</f>
        <v>1</v>
      </c>
      <c r="Z634" s="13" t="n">
        <f aca="false">IF(K634="Agency",1,0)</f>
        <v>0</v>
      </c>
      <c r="AA634" s="13" t="n">
        <f aca="false">IF(K634="Client",1,0)</f>
        <v>0</v>
      </c>
      <c r="AB634" s="13" t="n">
        <f aca="false">(D634-AVERAGE(D$2:D$2001))/STDEV(D$2:D$2001)</f>
        <v>0.107425154574426</v>
      </c>
      <c r="AC634" s="13" t="n">
        <f aca="false">(I634-AVERAGE(I$2:I$2001))/STDEV(I$2:I$2001)</f>
        <v>-0.727948160798201</v>
      </c>
      <c r="AD634" s="13" t="n">
        <f aca="false">(L634-AVERAGE(L$2:L$2001))/STDEV(L$2:L$2001)</f>
        <v>-0.777063122173208</v>
      </c>
      <c r="AE634" s="13" t="n">
        <f aca="false">(M634-AVERAGE(M$2:M$2001))/STDEV(M$2:M$2001)</f>
        <v>-0.561011435023399</v>
      </c>
      <c r="AF634" s="13" t="n">
        <f aca="false">(N634-AVERAGE(N$2:N$2001))/STDEV(N$2:N$2001)</f>
        <v>0.114591729289368</v>
      </c>
      <c r="AG634" s="13" t="n">
        <f aca="false">(O634-AVERAGE(O$2:O$2001))/STDEV(O$2:O$2001)</f>
        <v>-0.407096284342124</v>
      </c>
      <c r="AH634" s="0" t="str">
        <f aca="false">IF(B634="Company","C3 - Corporate Buyers",IF(AND(H634="Investment",M634&gt;'Segmentation Summary'!$C$1),"C1 - Global Investors",IF(AND(I634&gt;=4,M634&gt;'Segmentation Summary'!$C$1),"C4 - Luxury Investors",IF(AND(D634&lt;'Segmentation Summary'!$C$2,J634=1),"C2 - First-Time Buyers","C5 - Other Individual Buyers"))))</f>
        <v>C5 - Other Individual Buyers</v>
      </c>
    </row>
    <row r="635" customFormat="false" ht="15" hidden="false" customHeight="true" outlineLevel="0" collapsed="false">
      <c r="A635" s="13" t="s">
        <v>1321</v>
      </c>
      <c r="B635" s="13" t="s">
        <v>34</v>
      </c>
      <c r="C635" s="13" t="s">
        <v>1322</v>
      </c>
      <c r="D635" s="13" t="n">
        <v>73</v>
      </c>
      <c r="E635" s="13" t="s">
        <v>83</v>
      </c>
      <c r="F635" s="13" t="s">
        <v>33</v>
      </c>
      <c r="G635" s="13" t="s">
        <v>95</v>
      </c>
      <c r="H635" s="13" t="s">
        <v>41</v>
      </c>
      <c r="I635" s="13" t="n">
        <v>4</v>
      </c>
      <c r="J635" s="13" t="n">
        <v>0</v>
      </c>
      <c r="K635" s="13" t="s">
        <v>85</v>
      </c>
      <c r="L635" s="13" t="n">
        <v>3</v>
      </c>
      <c r="M635" s="13" t="n">
        <v>1277486.37</v>
      </c>
      <c r="N635" s="13" t="n">
        <v>425828.79</v>
      </c>
      <c r="O635" s="13" t="n">
        <v>1394.21</v>
      </c>
      <c r="P635" s="13" t="n">
        <v>0</v>
      </c>
      <c r="Q635" s="13" t="n">
        <v>3</v>
      </c>
      <c r="R635" s="13" t="s">
        <v>150</v>
      </c>
      <c r="S635" s="13" t="s">
        <v>125</v>
      </c>
      <c r="T635" s="13" t="n">
        <v>1</v>
      </c>
      <c r="U635" s="13" t="n">
        <f aca="false">IF(B635="Individual",1,0)</f>
        <v>1</v>
      </c>
      <c r="V635" s="13" t="n">
        <f aca="false">IF(B635="Company",1,0)</f>
        <v>0</v>
      </c>
      <c r="W635" s="13" t="n">
        <f aca="false">IF(H635="Home",1,0)</f>
        <v>1</v>
      </c>
      <c r="X635" s="13" t="n">
        <f aca="false">IF(H635="Investment",1,0)</f>
        <v>0</v>
      </c>
      <c r="Y635" s="13" t="n">
        <f aca="false">IF(K635="Website",1,0)</f>
        <v>1</v>
      </c>
      <c r="Z635" s="13" t="n">
        <f aca="false">IF(K635="Agency",1,0)</f>
        <v>0</v>
      </c>
      <c r="AA635" s="13" t="n">
        <f aca="false">IF(K635="Client",1,0)</f>
        <v>0</v>
      </c>
      <c r="AB635" s="13" t="n">
        <f aca="false">(D635-AVERAGE(D$2:D$2001))/STDEV(D$2:D$2001)</f>
        <v>1.087686897873</v>
      </c>
      <c r="AC635" s="13" t="n">
        <f aca="false">(I635-AVERAGE(I$2:I$2001))/STDEV(I$2:I$2001)</f>
        <v>0.686917069130275</v>
      </c>
      <c r="AD635" s="13" t="n">
        <f aca="false">(L635-AVERAGE(L$2:L$2001))/STDEV(L$2:L$2001)</f>
        <v>-0.777063122173208</v>
      </c>
      <c r="AE635" s="13" t="n">
        <f aca="false">(M635-AVERAGE(M$2:M$2001))/STDEV(M$2:M$2001)</f>
        <v>0.0491931600926773</v>
      </c>
      <c r="AF635" s="13" t="n">
        <f aca="false">(N635-AVERAGE(N$2:N$2001))/STDEV(N$2:N$2001)</f>
        <v>1.12932840941732</v>
      </c>
      <c r="AG635" s="13" t="n">
        <f aca="false">(O635-AVERAGE(O$2:O$2001))/STDEV(O$2:O$2001)</f>
        <v>1.12189627912389</v>
      </c>
      <c r="AH635" s="0" t="str">
        <f aca="false">IF(B635="Company","C3 - Corporate Buyers",IF(AND(H635="Investment",M635&gt;'Segmentation Summary'!$C$1),"C1 - Global Investors",IF(AND(I635&gt;=4,M635&gt;'Segmentation Summary'!$C$1),"C4 - Luxury Investors",IF(AND(D635&lt;'Segmentation Summary'!$C$2,J635=1),"C2 - First-Time Buyers","C5 - Other Individual Buyers"))))</f>
        <v>C4 - Luxury Investors</v>
      </c>
    </row>
    <row r="636" customFormat="false" ht="15" hidden="false" customHeight="true" outlineLevel="0" collapsed="false">
      <c r="A636" s="13" t="s">
        <v>1323</v>
      </c>
      <c r="B636" s="13" t="s">
        <v>34</v>
      </c>
      <c r="C636" s="13" t="s">
        <v>1324</v>
      </c>
      <c r="D636" s="13" t="n">
        <v>61</v>
      </c>
      <c r="E636" s="13" t="s">
        <v>83</v>
      </c>
      <c r="F636" s="13" t="s">
        <v>33</v>
      </c>
      <c r="G636" s="13" t="s">
        <v>95</v>
      </c>
      <c r="H636" s="13" t="s">
        <v>41</v>
      </c>
      <c r="I636" s="13" t="n">
        <v>3</v>
      </c>
      <c r="J636" s="13" t="n">
        <v>1</v>
      </c>
      <c r="K636" s="13" t="s">
        <v>91</v>
      </c>
      <c r="L636" s="13" t="n">
        <v>3</v>
      </c>
      <c r="M636" s="13" t="n">
        <v>1422519.51</v>
      </c>
      <c r="N636" s="13" t="n">
        <v>474173.17</v>
      </c>
      <c r="O636" s="13" t="n">
        <v>1529.46333333333</v>
      </c>
      <c r="P636" s="13" t="n">
        <v>0</v>
      </c>
      <c r="Q636" s="13" t="n">
        <v>3</v>
      </c>
      <c r="R636" s="13" t="s">
        <v>92</v>
      </c>
      <c r="S636" s="13" t="s">
        <v>114</v>
      </c>
      <c r="T636" s="13" t="n">
        <v>1</v>
      </c>
      <c r="U636" s="13" t="n">
        <f aca="false">IF(B636="Individual",1,0)</f>
        <v>1</v>
      </c>
      <c r="V636" s="13" t="n">
        <f aca="false">IF(B636="Company",1,0)</f>
        <v>0</v>
      </c>
      <c r="W636" s="13" t="n">
        <f aca="false">IF(H636="Home",1,0)</f>
        <v>1</v>
      </c>
      <c r="X636" s="13" t="n">
        <f aca="false">IF(H636="Investment",1,0)</f>
        <v>0</v>
      </c>
      <c r="Y636" s="13" t="n">
        <f aca="false">IF(K636="Website",1,0)</f>
        <v>0</v>
      </c>
      <c r="Z636" s="13" t="n">
        <f aca="false">IF(K636="Agency",1,0)</f>
        <v>1</v>
      </c>
      <c r="AA636" s="13" t="n">
        <f aca="false">IF(K636="Client",1,0)</f>
        <v>0</v>
      </c>
      <c r="AB636" s="13" t="n">
        <f aca="false">(D636-AVERAGE(D$2:D$2001))/STDEV(D$2:D$2001)</f>
        <v>0.395737432015182</v>
      </c>
      <c r="AC636" s="13" t="n">
        <f aca="false">(I636-AVERAGE(I$2:I$2001))/STDEV(I$2:I$2001)</f>
        <v>-0.0205155458339628</v>
      </c>
      <c r="AD636" s="13" t="n">
        <f aca="false">(L636-AVERAGE(L$2:L$2001))/STDEV(L$2:L$2001)</f>
        <v>-0.777063122173208</v>
      </c>
      <c r="AE636" s="13" t="n">
        <f aca="false">(M636-AVERAGE(M$2:M$2001))/STDEV(M$2:M$2001)</f>
        <v>0.466157949761064</v>
      </c>
      <c r="AF636" s="13" t="n">
        <f aca="false">(N636-AVERAGE(N$2:N$2001))/STDEV(N$2:N$2001)</f>
        <v>1.82271792136924</v>
      </c>
      <c r="AG636" s="13" t="n">
        <f aca="false">(O636-AVERAGE(O$2:O$2001))/STDEV(O$2:O$2001)</f>
        <v>1.73690056405415</v>
      </c>
      <c r="AH636" s="0" t="str">
        <f aca="false">IF(B636="Company","C3 - Corporate Buyers",IF(AND(H636="Investment",M636&gt;'Segmentation Summary'!$C$1),"C1 - Global Investors",IF(AND(I636&gt;=4,M636&gt;'Segmentation Summary'!$C$1),"C4 - Luxury Investors",IF(AND(D636&lt;'Segmentation Summary'!$C$2,J636=1),"C2 - First-Time Buyers","C5 - Other Individual Buyers"))))</f>
        <v>C5 - Other Individual Buyers</v>
      </c>
    </row>
    <row r="637" customFormat="false" ht="15" hidden="false" customHeight="true" outlineLevel="0" collapsed="false">
      <c r="A637" s="13" t="s">
        <v>1325</v>
      </c>
      <c r="B637" s="13" t="s">
        <v>34</v>
      </c>
      <c r="C637" s="13" t="s">
        <v>1326</v>
      </c>
      <c r="D637" s="13" t="n">
        <v>34</v>
      </c>
      <c r="E637" s="13" t="s">
        <v>83</v>
      </c>
      <c r="F637" s="13" t="s">
        <v>33</v>
      </c>
      <c r="G637" s="13" t="s">
        <v>123</v>
      </c>
      <c r="H637" s="13" t="s">
        <v>41</v>
      </c>
      <c r="I637" s="13" t="n">
        <v>3</v>
      </c>
      <c r="J637" s="13" t="n">
        <v>1</v>
      </c>
      <c r="K637" s="13" t="s">
        <v>85</v>
      </c>
      <c r="L637" s="13" t="n">
        <v>3</v>
      </c>
      <c r="M637" s="13" t="n">
        <v>1312191.47</v>
      </c>
      <c r="N637" s="13" t="n">
        <v>437397.156666667</v>
      </c>
      <c r="O637" s="13" t="n">
        <v>1457.83333333333</v>
      </c>
      <c r="P637" s="13" t="n">
        <v>0</v>
      </c>
      <c r="Q637" s="13" t="n">
        <v>3</v>
      </c>
      <c r="R637" s="13" t="s">
        <v>164</v>
      </c>
      <c r="S637" s="13" t="s">
        <v>133</v>
      </c>
      <c r="T637" s="13" t="n">
        <v>1</v>
      </c>
      <c r="U637" s="13" t="n">
        <f aca="false">IF(B637="Individual",1,0)</f>
        <v>1</v>
      </c>
      <c r="V637" s="13" t="n">
        <f aca="false">IF(B637="Company",1,0)</f>
        <v>0</v>
      </c>
      <c r="W637" s="13" t="n">
        <f aca="false">IF(H637="Home",1,0)</f>
        <v>1</v>
      </c>
      <c r="X637" s="13" t="n">
        <f aca="false">IF(H637="Investment",1,0)</f>
        <v>0</v>
      </c>
      <c r="Y637" s="13" t="n">
        <f aca="false">IF(K637="Website",1,0)</f>
        <v>1</v>
      </c>
      <c r="Z637" s="13" t="n">
        <f aca="false">IF(K637="Agency",1,0)</f>
        <v>0</v>
      </c>
      <c r="AA637" s="13" t="n">
        <f aca="false">IF(K637="Client",1,0)</f>
        <v>0</v>
      </c>
      <c r="AB637" s="13" t="n">
        <f aca="false">(D637-AVERAGE(D$2:D$2001))/STDEV(D$2:D$2001)</f>
        <v>-1.1611488661649</v>
      </c>
      <c r="AC637" s="13" t="n">
        <f aca="false">(I637-AVERAGE(I$2:I$2001))/STDEV(I$2:I$2001)</f>
        <v>-0.0205155458339628</v>
      </c>
      <c r="AD637" s="13" t="n">
        <f aca="false">(L637-AVERAGE(L$2:L$2001))/STDEV(L$2:L$2001)</f>
        <v>-0.777063122173208</v>
      </c>
      <c r="AE637" s="13" t="n">
        <f aca="false">(M637-AVERAGE(M$2:M$2001))/STDEV(M$2:M$2001)</f>
        <v>0.148969009404912</v>
      </c>
      <c r="AF637" s="13" t="n">
        <f aca="false">(N637-AVERAGE(N$2:N$2001))/STDEV(N$2:N$2001)</f>
        <v>1.29525015910324</v>
      </c>
      <c r="AG637" s="13" t="n">
        <f aca="false">(O637-AVERAGE(O$2:O$2001))/STDEV(O$2:O$2001)</f>
        <v>1.41119504653476</v>
      </c>
      <c r="AH637" s="0" t="str">
        <f aca="false">IF(B637="Company","C3 - Corporate Buyers",IF(AND(H637="Investment",M637&gt;'Segmentation Summary'!$C$1),"C1 - Global Investors",IF(AND(I637&gt;=4,M637&gt;'Segmentation Summary'!$C$1),"C4 - Luxury Investors",IF(AND(D637&lt;'Segmentation Summary'!$C$2,J637=1),"C2 - First-Time Buyers","C5 - Other Individual Buyers"))))</f>
        <v>C2 - First-Time Buyers</v>
      </c>
    </row>
    <row r="638" customFormat="false" ht="15" hidden="false" customHeight="true" outlineLevel="0" collapsed="false">
      <c r="A638" s="13" t="s">
        <v>1327</v>
      </c>
      <c r="B638" s="13" t="s">
        <v>34</v>
      </c>
      <c r="C638" s="13" t="s">
        <v>1328</v>
      </c>
      <c r="D638" s="13" t="n">
        <v>32</v>
      </c>
      <c r="E638" s="13" t="s">
        <v>83</v>
      </c>
      <c r="F638" s="13" t="s">
        <v>35</v>
      </c>
      <c r="G638" s="13" t="s">
        <v>185</v>
      </c>
      <c r="H638" s="13" t="s">
        <v>41</v>
      </c>
      <c r="I638" s="13" t="n">
        <v>3</v>
      </c>
      <c r="J638" s="13" t="n">
        <v>0</v>
      </c>
      <c r="K638" s="13" t="s">
        <v>85</v>
      </c>
      <c r="L638" s="13" t="n">
        <v>3</v>
      </c>
      <c r="M638" s="13" t="n">
        <v>1389329.62</v>
      </c>
      <c r="N638" s="13" t="n">
        <v>463109.873333333</v>
      </c>
      <c r="O638" s="13" t="n">
        <v>1565.32333333333</v>
      </c>
      <c r="P638" s="13" t="n">
        <v>0</v>
      </c>
      <c r="Q638" s="13" t="n">
        <v>3</v>
      </c>
      <c r="R638" s="13" t="s">
        <v>86</v>
      </c>
      <c r="S638" s="13" t="s">
        <v>135</v>
      </c>
      <c r="T638" s="13" t="n">
        <v>1</v>
      </c>
      <c r="U638" s="13" t="n">
        <f aca="false">IF(B638="Individual",1,0)</f>
        <v>1</v>
      </c>
      <c r="V638" s="13" t="n">
        <f aca="false">IF(B638="Company",1,0)</f>
        <v>0</v>
      </c>
      <c r="W638" s="13" t="n">
        <f aca="false">IF(H638="Home",1,0)</f>
        <v>1</v>
      </c>
      <c r="X638" s="13" t="n">
        <f aca="false">IF(H638="Investment",1,0)</f>
        <v>0</v>
      </c>
      <c r="Y638" s="13" t="n">
        <f aca="false">IF(K638="Website",1,0)</f>
        <v>1</v>
      </c>
      <c r="Z638" s="13" t="n">
        <f aca="false">IF(K638="Agency",1,0)</f>
        <v>0</v>
      </c>
      <c r="AA638" s="13" t="n">
        <f aca="false">IF(K638="Client",1,0)</f>
        <v>0</v>
      </c>
      <c r="AB638" s="13" t="n">
        <f aca="false">(D638-AVERAGE(D$2:D$2001))/STDEV(D$2:D$2001)</f>
        <v>-1.2764737771412</v>
      </c>
      <c r="AC638" s="13" t="n">
        <f aca="false">(I638-AVERAGE(I$2:I$2001))/STDEV(I$2:I$2001)</f>
        <v>-0.0205155458339628</v>
      </c>
      <c r="AD638" s="13" t="n">
        <f aca="false">(L638-AVERAGE(L$2:L$2001))/STDEV(L$2:L$2001)</f>
        <v>-0.777063122173208</v>
      </c>
      <c r="AE638" s="13" t="n">
        <f aca="false">(M638-AVERAGE(M$2:M$2001))/STDEV(M$2:M$2001)</f>
        <v>0.370738271865606</v>
      </c>
      <c r="AF638" s="13" t="n">
        <f aca="false">(N638-AVERAGE(N$2:N$2001))/STDEV(N$2:N$2001)</f>
        <v>1.66404024515787</v>
      </c>
      <c r="AG638" s="13" t="n">
        <f aca="false">(O638-AVERAGE(O$2:O$2001))/STDEV(O$2:O$2001)</f>
        <v>1.89995794026866</v>
      </c>
      <c r="AH638" s="0" t="str">
        <f aca="false">IF(B638="Company","C3 - Corporate Buyers",IF(AND(H638="Investment",M638&gt;'Segmentation Summary'!$C$1),"C1 - Global Investors",IF(AND(I638&gt;=4,M638&gt;'Segmentation Summary'!$C$1),"C4 - Luxury Investors",IF(AND(D638&lt;'Segmentation Summary'!$C$2,J638=1),"C2 - First-Time Buyers","C5 - Other Individual Buyers"))))</f>
        <v>C5 - Other Individual Buyers</v>
      </c>
    </row>
    <row r="639" customFormat="false" ht="15" hidden="false" customHeight="true" outlineLevel="0" collapsed="false">
      <c r="A639" s="13" t="s">
        <v>1329</v>
      </c>
      <c r="B639" s="13" t="s">
        <v>34</v>
      </c>
      <c r="C639" s="13" t="s">
        <v>1328</v>
      </c>
      <c r="D639" s="13" t="n">
        <v>49</v>
      </c>
      <c r="E639" s="13" t="s">
        <v>83</v>
      </c>
      <c r="F639" s="13" t="s">
        <v>33</v>
      </c>
      <c r="G639" s="13" t="s">
        <v>123</v>
      </c>
      <c r="H639" s="13" t="s">
        <v>41</v>
      </c>
      <c r="I639" s="13" t="n">
        <v>4</v>
      </c>
      <c r="J639" s="13" t="n">
        <v>0</v>
      </c>
      <c r="K639" s="13" t="s">
        <v>91</v>
      </c>
      <c r="L639" s="13" t="n">
        <v>4</v>
      </c>
      <c r="M639" s="13" t="n">
        <v>1033306.43</v>
      </c>
      <c r="N639" s="13" t="n">
        <v>258326.6075</v>
      </c>
      <c r="O639" s="13" t="n">
        <v>933.355</v>
      </c>
      <c r="P639" s="13" t="n">
        <v>0</v>
      </c>
      <c r="Q639" s="13" t="n">
        <v>4</v>
      </c>
      <c r="R639" s="13" t="s">
        <v>121</v>
      </c>
      <c r="S639" s="13" t="s">
        <v>114</v>
      </c>
      <c r="T639" s="13" t="n">
        <v>1</v>
      </c>
      <c r="U639" s="13" t="n">
        <f aca="false">IF(B639="Individual",1,0)</f>
        <v>1</v>
      </c>
      <c r="V639" s="13" t="n">
        <f aca="false">IF(B639="Company",1,0)</f>
        <v>0</v>
      </c>
      <c r="W639" s="13" t="n">
        <f aca="false">IF(H639="Home",1,0)</f>
        <v>1</v>
      </c>
      <c r="X639" s="13" t="n">
        <f aca="false">IF(H639="Investment",1,0)</f>
        <v>0</v>
      </c>
      <c r="Y639" s="13" t="n">
        <f aca="false">IF(K639="Website",1,0)</f>
        <v>0</v>
      </c>
      <c r="Z639" s="13" t="n">
        <f aca="false">IF(K639="Agency",1,0)</f>
        <v>1</v>
      </c>
      <c r="AA639" s="13" t="n">
        <f aca="false">IF(K639="Client",1,0)</f>
        <v>0</v>
      </c>
      <c r="AB639" s="13" t="n">
        <f aca="false">(D639-AVERAGE(D$2:D$2001))/STDEV(D$2:D$2001)</f>
        <v>-0.296212033842633</v>
      </c>
      <c r="AC639" s="13" t="n">
        <f aca="false">(I639-AVERAGE(I$2:I$2001))/STDEV(I$2:I$2001)</f>
        <v>0.686917069130275</v>
      </c>
      <c r="AD639" s="13" t="n">
        <f aca="false">(L639-AVERAGE(L$2:L$2001))/STDEV(L$2:L$2001)</f>
        <v>0.413838214490712</v>
      </c>
      <c r="AE639" s="13" t="n">
        <f aca="false">(M639-AVERAGE(M$2:M$2001))/STDEV(M$2:M$2001)</f>
        <v>-0.652814928012838</v>
      </c>
      <c r="AF639" s="13" t="n">
        <f aca="false">(N639-AVERAGE(N$2:N$2001))/STDEV(N$2:N$2001)</f>
        <v>-1.27310712858224</v>
      </c>
      <c r="AG639" s="13" t="n">
        <f aca="false">(O639-AVERAGE(O$2:O$2001))/STDEV(O$2:O$2001)</f>
        <v>-0.973636546178345</v>
      </c>
      <c r="AH639" s="0" t="str">
        <f aca="false">IF(B639="Company","C3 - Corporate Buyers",IF(AND(H639="Investment",M639&gt;'Segmentation Summary'!$C$1),"C1 - Global Investors",IF(AND(I639&gt;=4,M639&gt;'Segmentation Summary'!$C$1),"C4 - Luxury Investors",IF(AND(D639&lt;'Segmentation Summary'!$C$2,J639=1),"C2 - First-Time Buyers","C5 - Other Individual Buyers"))))</f>
        <v>C5 - Other Individual Buyers</v>
      </c>
    </row>
    <row r="640" customFormat="false" ht="15" hidden="false" customHeight="true" outlineLevel="0" collapsed="false">
      <c r="A640" s="13" t="s">
        <v>1330</v>
      </c>
      <c r="B640" s="13" t="s">
        <v>34</v>
      </c>
      <c r="C640" s="13" t="s">
        <v>1331</v>
      </c>
      <c r="D640" s="13" t="n">
        <v>75</v>
      </c>
      <c r="E640" s="13" t="s">
        <v>90</v>
      </c>
      <c r="F640" s="13" t="s">
        <v>46</v>
      </c>
      <c r="G640" s="13" t="s">
        <v>1065</v>
      </c>
      <c r="H640" s="13" t="s">
        <v>41</v>
      </c>
      <c r="I640" s="13" t="n">
        <v>3</v>
      </c>
      <c r="J640" s="13" t="n">
        <v>1</v>
      </c>
      <c r="K640" s="13" t="s">
        <v>91</v>
      </c>
      <c r="L640" s="13" t="n">
        <v>4</v>
      </c>
      <c r="M640" s="13" t="n">
        <v>1131592.65</v>
      </c>
      <c r="N640" s="13" t="n">
        <v>282898.1625</v>
      </c>
      <c r="O640" s="13" t="n">
        <v>981.955</v>
      </c>
      <c r="P640" s="13" t="n">
        <v>0</v>
      </c>
      <c r="Q640" s="13" t="n">
        <v>4</v>
      </c>
      <c r="R640" s="13" t="s">
        <v>121</v>
      </c>
      <c r="S640" s="13" t="s">
        <v>93</v>
      </c>
      <c r="T640" s="13" t="n">
        <v>1</v>
      </c>
      <c r="U640" s="13" t="n">
        <f aca="false">IF(B640="Individual",1,0)</f>
        <v>1</v>
      </c>
      <c r="V640" s="13" t="n">
        <f aca="false">IF(B640="Company",1,0)</f>
        <v>0</v>
      </c>
      <c r="W640" s="13" t="n">
        <f aca="false">IF(H640="Home",1,0)</f>
        <v>1</v>
      </c>
      <c r="X640" s="13" t="n">
        <f aca="false">IF(H640="Investment",1,0)</f>
        <v>0</v>
      </c>
      <c r="Y640" s="13" t="n">
        <f aca="false">IF(K640="Website",1,0)</f>
        <v>0</v>
      </c>
      <c r="Z640" s="13" t="n">
        <f aca="false">IF(K640="Agency",1,0)</f>
        <v>1</v>
      </c>
      <c r="AA640" s="13" t="n">
        <f aca="false">IF(K640="Client",1,0)</f>
        <v>0</v>
      </c>
      <c r="AB640" s="13" t="n">
        <f aca="false">(D640-AVERAGE(D$2:D$2001))/STDEV(D$2:D$2001)</f>
        <v>1.2030118088493</v>
      </c>
      <c r="AC640" s="13" t="n">
        <f aca="false">(I640-AVERAGE(I$2:I$2001))/STDEV(I$2:I$2001)</f>
        <v>-0.0205155458339628</v>
      </c>
      <c r="AD640" s="13" t="n">
        <f aca="false">(L640-AVERAGE(L$2:L$2001))/STDEV(L$2:L$2001)</f>
        <v>0.413838214490712</v>
      </c>
      <c r="AE640" s="13" t="n">
        <f aca="false">(M640-AVERAGE(M$2:M$2001))/STDEV(M$2:M$2001)</f>
        <v>-0.370245764512683</v>
      </c>
      <c r="AF640" s="13" t="n">
        <f aca="false">(N640-AVERAGE(N$2:N$2001))/STDEV(N$2:N$2001)</f>
        <v>-0.920684395487935</v>
      </c>
      <c r="AG640" s="13" t="n">
        <f aca="false">(O640-AVERAGE(O$2:O$2001))/STDEV(O$2:O$2001)</f>
        <v>-0.752649694978535</v>
      </c>
      <c r="AH640" s="0" t="str">
        <f aca="false">IF(B640="Company","C3 - Corporate Buyers",IF(AND(H640="Investment",M640&gt;'Segmentation Summary'!$C$1),"C1 - Global Investors",IF(AND(I640&gt;=4,M640&gt;'Segmentation Summary'!$C$1),"C4 - Luxury Investors",IF(AND(D640&lt;'Segmentation Summary'!$C$2,J640=1),"C2 - First-Time Buyers","C5 - Other Individual Buyers"))))</f>
        <v>C5 - Other Individual Buyers</v>
      </c>
    </row>
    <row r="641" customFormat="false" ht="15" hidden="false" customHeight="true" outlineLevel="0" collapsed="false">
      <c r="A641" s="13" t="s">
        <v>1332</v>
      </c>
      <c r="B641" s="13" t="s">
        <v>34</v>
      </c>
      <c r="C641" s="13" t="s">
        <v>1333</v>
      </c>
      <c r="D641" s="13" t="n">
        <v>30</v>
      </c>
      <c r="E641" s="13" t="s">
        <v>90</v>
      </c>
      <c r="F641" s="13" t="s">
        <v>35</v>
      </c>
      <c r="G641" s="13" t="s">
        <v>374</v>
      </c>
      <c r="H641" s="13" t="s">
        <v>41</v>
      </c>
      <c r="I641" s="13" t="n">
        <v>5</v>
      </c>
      <c r="J641" s="13" t="n">
        <v>1</v>
      </c>
      <c r="K641" s="13" t="s">
        <v>91</v>
      </c>
      <c r="L641" s="13" t="n">
        <v>3</v>
      </c>
      <c r="M641" s="13" t="n">
        <v>1123967.69</v>
      </c>
      <c r="N641" s="13" t="n">
        <v>374655.896666667</v>
      </c>
      <c r="O641" s="13" t="n">
        <v>1308.51333333333</v>
      </c>
      <c r="P641" s="13" t="n">
        <v>1</v>
      </c>
      <c r="Q641" s="13" t="n">
        <v>2</v>
      </c>
      <c r="R641" s="13" t="s">
        <v>101</v>
      </c>
      <c r="S641" s="13" t="s">
        <v>114</v>
      </c>
      <c r="T641" s="13" t="n">
        <v>1</v>
      </c>
      <c r="U641" s="13" t="n">
        <f aca="false">IF(B641="Individual",1,0)</f>
        <v>1</v>
      </c>
      <c r="V641" s="13" t="n">
        <f aca="false">IF(B641="Company",1,0)</f>
        <v>0</v>
      </c>
      <c r="W641" s="13" t="n">
        <f aca="false">IF(H641="Home",1,0)</f>
        <v>1</v>
      </c>
      <c r="X641" s="13" t="n">
        <f aca="false">IF(H641="Investment",1,0)</f>
        <v>0</v>
      </c>
      <c r="Y641" s="13" t="n">
        <f aca="false">IF(K641="Website",1,0)</f>
        <v>0</v>
      </c>
      <c r="Z641" s="13" t="n">
        <f aca="false">IF(K641="Agency",1,0)</f>
        <v>1</v>
      </c>
      <c r="AA641" s="13" t="n">
        <f aca="false">IF(K641="Client",1,0)</f>
        <v>0</v>
      </c>
      <c r="AB641" s="13" t="n">
        <f aca="false">(D641-AVERAGE(D$2:D$2001))/STDEV(D$2:D$2001)</f>
        <v>-1.39179868811751</v>
      </c>
      <c r="AC641" s="13" t="n">
        <f aca="false">(I641-AVERAGE(I$2:I$2001))/STDEV(I$2:I$2001)</f>
        <v>1.39434968409451</v>
      </c>
      <c r="AD641" s="13" t="n">
        <f aca="false">(L641-AVERAGE(L$2:L$2001))/STDEV(L$2:L$2001)</f>
        <v>-0.777063122173208</v>
      </c>
      <c r="AE641" s="13" t="n">
        <f aca="false">(M641-AVERAGE(M$2:M$2001))/STDEV(M$2:M$2001)</f>
        <v>-0.392167235995889</v>
      </c>
      <c r="AF641" s="13" t="n">
        <f aca="false">(N641-AVERAGE(N$2:N$2001))/STDEV(N$2:N$2001)</f>
        <v>0.395370345758899</v>
      </c>
      <c r="AG641" s="13" t="n">
        <f aca="false">(O641-AVERAGE(O$2:O$2001))/STDEV(O$2:O$2001)</f>
        <v>0.732228860914276</v>
      </c>
      <c r="AH641" s="0" t="str">
        <f aca="false">IF(B641="Company","C3 - Corporate Buyers",IF(AND(H641="Investment",M641&gt;'Segmentation Summary'!$C$1),"C1 - Global Investors",IF(AND(I641&gt;=4,M641&gt;'Segmentation Summary'!$C$1),"C4 - Luxury Investors",IF(AND(D641&lt;'Segmentation Summary'!$C$2,J641=1),"C2 - First-Time Buyers","C5 - Other Individual Buyers"))))</f>
        <v>C2 - First-Time Buyers</v>
      </c>
    </row>
    <row r="642" customFormat="false" ht="15" hidden="false" customHeight="true" outlineLevel="0" collapsed="false">
      <c r="A642" s="13" t="s">
        <v>1334</v>
      </c>
      <c r="B642" s="13" t="s">
        <v>34</v>
      </c>
      <c r="C642" s="13" t="s">
        <v>1335</v>
      </c>
      <c r="D642" s="13" t="n">
        <v>72</v>
      </c>
      <c r="E642" s="13" t="s">
        <v>90</v>
      </c>
      <c r="F642" s="13" t="s">
        <v>33</v>
      </c>
      <c r="G642" s="13" t="s">
        <v>95</v>
      </c>
      <c r="H642" s="13" t="s">
        <v>41</v>
      </c>
      <c r="I642" s="13" t="n">
        <v>2</v>
      </c>
      <c r="J642" s="13" t="n">
        <v>1</v>
      </c>
      <c r="K642" s="13" t="s">
        <v>91</v>
      </c>
      <c r="L642" s="13" t="n">
        <v>4</v>
      </c>
      <c r="M642" s="13" t="n">
        <v>2012063.38</v>
      </c>
      <c r="N642" s="13" t="n">
        <v>503015.845</v>
      </c>
      <c r="O642" s="13" t="n">
        <v>1575.1075</v>
      </c>
      <c r="P642" s="13" t="n">
        <v>0</v>
      </c>
      <c r="Q642" s="13" t="n">
        <v>4</v>
      </c>
      <c r="R642" s="13" t="s">
        <v>117</v>
      </c>
      <c r="S642" s="13" t="s">
        <v>111</v>
      </c>
      <c r="T642" s="13" t="n">
        <v>1</v>
      </c>
      <c r="U642" s="13" t="n">
        <f aca="false">IF(B642="Individual",1,0)</f>
        <v>1</v>
      </c>
      <c r="V642" s="13" t="n">
        <f aca="false">IF(B642="Company",1,0)</f>
        <v>0</v>
      </c>
      <c r="W642" s="13" t="n">
        <f aca="false">IF(H642="Home",1,0)</f>
        <v>1</v>
      </c>
      <c r="X642" s="13" t="n">
        <f aca="false">IF(H642="Investment",1,0)</f>
        <v>0</v>
      </c>
      <c r="Y642" s="13" t="n">
        <f aca="false">IF(K642="Website",1,0)</f>
        <v>0</v>
      </c>
      <c r="Z642" s="13" t="n">
        <f aca="false">IF(K642="Agency",1,0)</f>
        <v>1</v>
      </c>
      <c r="AA642" s="13" t="n">
        <f aca="false">IF(K642="Client",1,0)</f>
        <v>0</v>
      </c>
      <c r="AB642" s="13" t="n">
        <f aca="false">(D642-AVERAGE(D$2:D$2001))/STDEV(D$2:D$2001)</f>
        <v>1.03002444238485</v>
      </c>
      <c r="AC642" s="13" t="n">
        <f aca="false">(I642-AVERAGE(I$2:I$2001))/STDEV(I$2:I$2001)</f>
        <v>-0.727948160798201</v>
      </c>
      <c r="AD642" s="13" t="n">
        <f aca="false">(L642-AVERAGE(L$2:L$2001))/STDEV(L$2:L$2001)</f>
        <v>0.413838214490712</v>
      </c>
      <c r="AE642" s="13" t="n">
        <f aca="false">(M642-AVERAGE(M$2:M$2001))/STDEV(M$2:M$2001)</f>
        <v>2.16107426857508</v>
      </c>
      <c r="AF642" s="13" t="n">
        <f aca="false">(N642-AVERAGE(N$2:N$2001))/STDEV(N$2:N$2001)</f>
        <v>2.23640009790429</v>
      </c>
      <c r="AG642" s="13" t="n">
        <f aca="false">(O642-AVERAGE(O$2:O$2001))/STDEV(O$2:O$2001)</f>
        <v>1.94444707984236</v>
      </c>
      <c r="AH642" s="0" t="str">
        <f aca="false">IF(B642="Company","C3 - Corporate Buyers",IF(AND(H642="Investment",M642&gt;'Segmentation Summary'!$C$1),"C1 - Global Investors",IF(AND(I642&gt;=4,M642&gt;'Segmentation Summary'!$C$1),"C4 - Luxury Investors",IF(AND(D642&lt;'Segmentation Summary'!$C$2,J642=1),"C2 - First-Time Buyers","C5 - Other Individual Buyers"))))</f>
        <v>C5 - Other Individual Buyers</v>
      </c>
    </row>
    <row r="643" customFormat="false" ht="15" hidden="false" customHeight="true" outlineLevel="0" collapsed="false">
      <c r="A643" s="13" t="s">
        <v>1336</v>
      </c>
      <c r="B643" s="13" t="s">
        <v>34</v>
      </c>
      <c r="C643" s="13" t="s">
        <v>1337</v>
      </c>
      <c r="D643" s="13" t="n">
        <v>43</v>
      </c>
      <c r="E643" s="13" t="s">
        <v>90</v>
      </c>
      <c r="F643" s="13" t="s">
        <v>33</v>
      </c>
      <c r="G643" s="13" t="s">
        <v>157</v>
      </c>
      <c r="H643" s="13" t="s">
        <v>43</v>
      </c>
      <c r="I643" s="13" t="n">
        <v>2</v>
      </c>
      <c r="J643" s="13" t="n">
        <v>1</v>
      </c>
      <c r="K643" s="13" t="s">
        <v>85</v>
      </c>
      <c r="L643" s="13" t="n">
        <v>3</v>
      </c>
      <c r="M643" s="13" t="n">
        <v>1001510.58</v>
      </c>
      <c r="N643" s="13" t="n">
        <v>333836.86</v>
      </c>
      <c r="O643" s="13" t="n">
        <v>1070.19333333333</v>
      </c>
      <c r="P643" s="13" t="n">
        <v>0</v>
      </c>
      <c r="Q643" s="13" t="n">
        <v>3</v>
      </c>
      <c r="R643" s="13" t="s">
        <v>117</v>
      </c>
      <c r="S643" s="13" t="s">
        <v>135</v>
      </c>
      <c r="T643" s="13" t="n">
        <v>1</v>
      </c>
      <c r="U643" s="13" t="n">
        <f aca="false">IF(B643="Individual",1,0)</f>
        <v>1</v>
      </c>
      <c r="V643" s="13" t="n">
        <f aca="false">IF(B643="Company",1,0)</f>
        <v>0</v>
      </c>
      <c r="W643" s="13" t="n">
        <f aca="false">IF(H643="Home",1,0)</f>
        <v>0</v>
      </c>
      <c r="X643" s="13" t="n">
        <f aca="false">IF(H643="Investment",1,0)</f>
        <v>1</v>
      </c>
      <c r="Y643" s="13" t="n">
        <f aca="false">IF(K643="Website",1,0)</f>
        <v>1</v>
      </c>
      <c r="Z643" s="13" t="n">
        <f aca="false">IF(K643="Agency",1,0)</f>
        <v>0</v>
      </c>
      <c r="AA643" s="13" t="n">
        <f aca="false">IF(K643="Client",1,0)</f>
        <v>0</v>
      </c>
      <c r="AB643" s="13" t="n">
        <f aca="false">(D643-AVERAGE(D$2:D$2001))/STDEV(D$2:D$2001)</f>
        <v>-0.64218676677154</v>
      </c>
      <c r="AC643" s="13" t="n">
        <f aca="false">(I643-AVERAGE(I$2:I$2001))/STDEV(I$2:I$2001)</f>
        <v>-0.727948160798201</v>
      </c>
      <c r="AD643" s="13" t="n">
        <f aca="false">(L643-AVERAGE(L$2:L$2001))/STDEV(L$2:L$2001)</f>
        <v>-0.777063122173208</v>
      </c>
      <c r="AE643" s="13" t="n">
        <f aca="false">(M643-AVERAGE(M$2:M$2001))/STDEV(M$2:M$2001)</f>
        <v>-0.744226793656632</v>
      </c>
      <c r="AF643" s="13" t="n">
        <f aca="false">(N643-AVERAGE(N$2:N$2001))/STDEV(N$2:N$2001)</f>
        <v>-0.190085335183694</v>
      </c>
      <c r="AG643" s="13" t="n">
        <f aca="false">(O643-AVERAGE(O$2:O$2001))/STDEV(O$2:O$2001)</f>
        <v>-0.351425179784053</v>
      </c>
      <c r="AH643" s="0" t="str">
        <f aca="false">IF(B643="Company","C3 - Corporate Buyers",IF(AND(H643="Investment",M643&gt;'Segmentation Summary'!$C$1),"C1 - Global Investors",IF(AND(I643&gt;=4,M643&gt;'Segmentation Summary'!$C$1),"C4 - Luxury Investors",IF(AND(D643&lt;'Segmentation Summary'!$C$2,J643=1),"C2 - First-Time Buyers","C5 - Other Individual Buyers"))))</f>
        <v>C2 - First-Time Buyers</v>
      </c>
    </row>
    <row r="644" customFormat="false" ht="15" hidden="false" customHeight="true" outlineLevel="0" collapsed="false">
      <c r="A644" s="13" t="s">
        <v>1338</v>
      </c>
      <c r="B644" s="13" t="s">
        <v>34</v>
      </c>
      <c r="C644" s="13" t="s">
        <v>1337</v>
      </c>
      <c r="D644" s="13" t="n">
        <v>71</v>
      </c>
      <c r="E644" s="13" t="s">
        <v>90</v>
      </c>
      <c r="F644" s="13" t="s">
        <v>33</v>
      </c>
      <c r="G644" s="13" t="s">
        <v>95</v>
      </c>
      <c r="H644" s="13" t="s">
        <v>41</v>
      </c>
      <c r="I644" s="13" t="n">
        <v>4</v>
      </c>
      <c r="J644" s="13" t="n">
        <v>0</v>
      </c>
      <c r="K644" s="13" t="s">
        <v>85</v>
      </c>
      <c r="L644" s="13" t="n">
        <v>3</v>
      </c>
      <c r="M644" s="13" t="n">
        <v>1015121.69</v>
      </c>
      <c r="N644" s="13" t="n">
        <v>338373.896666667</v>
      </c>
      <c r="O644" s="13" t="n">
        <v>1168.38333333333</v>
      </c>
      <c r="P644" s="13" t="n">
        <v>0</v>
      </c>
      <c r="Q644" s="13" t="n">
        <v>3</v>
      </c>
      <c r="R644" s="13" t="s">
        <v>101</v>
      </c>
      <c r="S644" s="13" t="s">
        <v>107</v>
      </c>
      <c r="T644" s="13" t="n">
        <v>1</v>
      </c>
      <c r="U644" s="13" t="n">
        <f aca="false">IF(B644="Individual",1,0)</f>
        <v>1</v>
      </c>
      <c r="V644" s="13" t="n">
        <f aca="false">IF(B644="Company",1,0)</f>
        <v>0</v>
      </c>
      <c r="W644" s="13" t="n">
        <f aca="false">IF(H644="Home",1,0)</f>
        <v>1</v>
      </c>
      <c r="X644" s="13" t="n">
        <f aca="false">IF(H644="Investment",1,0)</f>
        <v>0</v>
      </c>
      <c r="Y644" s="13" t="n">
        <f aca="false">IF(K644="Website",1,0)</f>
        <v>1</v>
      </c>
      <c r="Z644" s="13" t="n">
        <f aca="false">IF(K644="Agency",1,0)</f>
        <v>0</v>
      </c>
      <c r="AA644" s="13" t="n">
        <f aca="false">IF(K644="Client",1,0)</f>
        <v>0</v>
      </c>
      <c r="AB644" s="13" t="n">
        <f aca="false">(D644-AVERAGE(D$2:D$2001))/STDEV(D$2:D$2001)</f>
        <v>0.972361986896694</v>
      </c>
      <c r="AC644" s="13" t="n">
        <f aca="false">(I644-AVERAGE(I$2:I$2001))/STDEV(I$2:I$2001)</f>
        <v>0.686917069130275</v>
      </c>
      <c r="AD644" s="13" t="n">
        <f aca="false">(L644-AVERAGE(L$2:L$2001))/STDEV(L$2:L$2001)</f>
        <v>-0.777063122173208</v>
      </c>
      <c r="AE644" s="13" t="n">
        <f aca="false">(M644-AVERAGE(M$2:M$2001))/STDEV(M$2:M$2001)</f>
        <v>-0.705095367430162</v>
      </c>
      <c r="AF644" s="13" t="n">
        <f aca="false">(N644-AVERAGE(N$2:N$2001))/STDEV(N$2:N$2001)</f>
        <v>-0.12501192561658</v>
      </c>
      <c r="AG644" s="13" t="n">
        <f aca="false">(O644-AVERAGE(O$2:O$2001))/STDEV(O$2:O$2001)</f>
        <v>0.09505010662149</v>
      </c>
      <c r="AH644" s="0" t="str">
        <f aca="false">IF(B644="Company","C3 - Corporate Buyers",IF(AND(H644="Investment",M644&gt;'Segmentation Summary'!$C$1),"C1 - Global Investors",IF(AND(I644&gt;=4,M644&gt;'Segmentation Summary'!$C$1),"C4 - Luxury Investors",IF(AND(D644&lt;'Segmentation Summary'!$C$2,J644=1),"C2 - First-Time Buyers","C5 - Other Individual Buyers"))))</f>
        <v>C5 - Other Individual Buyers</v>
      </c>
    </row>
    <row r="645" customFormat="false" ht="15" hidden="false" customHeight="true" outlineLevel="0" collapsed="false">
      <c r="A645" s="13" t="s">
        <v>1339</v>
      </c>
      <c r="B645" s="13" t="s">
        <v>34</v>
      </c>
      <c r="C645" s="13" t="s">
        <v>1340</v>
      </c>
      <c r="D645" s="13" t="n">
        <v>67</v>
      </c>
      <c r="E645" s="13" t="s">
        <v>90</v>
      </c>
      <c r="F645" s="13" t="s">
        <v>33</v>
      </c>
      <c r="G645" s="13" t="s">
        <v>95</v>
      </c>
      <c r="H645" s="13" t="s">
        <v>41</v>
      </c>
      <c r="I645" s="13" t="n">
        <v>5</v>
      </c>
      <c r="J645" s="13" t="n">
        <v>1</v>
      </c>
      <c r="K645" s="13" t="s">
        <v>91</v>
      </c>
      <c r="L645" s="13" t="n">
        <v>3</v>
      </c>
      <c r="M645" s="13" t="n">
        <v>1371213.26</v>
      </c>
      <c r="N645" s="13" t="n">
        <v>457071.086666667</v>
      </c>
      <c r="O645" s="13" t="n">
        <v>1467.89</v>
      </c>
      <c r="P645" s="13" t="n">
        <v>1</v>
      </c>
      <c r="Q645" s="13" t="n">
        <v>2</v>
      </c>
      <c r="R645" s="13" t="s">
        <v>117</v>
      </c>
      <c r="S645" s="13" t="s">
        <v>141</v>
      </c>
      <c r="T645" s="13" t="n">
        <v>1</v>
      </c>
      <c r="U645" s="13" t="n">
        <f aca="false">IF(B645="Individual",1,0)</f>
        <v>1</v>
      </c>
      <c r="V645" s="13" t="n">
        <f aca="false">IF(B645="Company",1,0)</f>
        <v>0</v>
      </c>
      <c r="W645" s="13" t="n">
        <f aca="false">IF(H645="Home",1,0)</f>
        <v>1</v>
      </c>
      <c r="X645" s="13" t="n">
        <f aca="false">IF(H645="Investment",1,0)</f>
        <v>0</v>
      </c>
      <c r="Y645" s="13" t="n">
        <f aca="false">IF(K645="Website",1,0)</f>
        <v>0</v>
      </c>
      <c r="Z645" s="13" t="n">
        <f aca="false">IF(K645="Agency",1,0)</f>
        <v>1</v>
      </c>
      <c r="AA645" s="13" t="n">
        <f aca="false">IF(K645="Client",1,0)</f>
        <v>0</v>
      </c>
      <c r="AB645" s="13" t="n">
        <f aca="false">(D645-AVERAGE(D$2:D$2001))/STDEV(D$2:D$2001)</f>
        <v>0.741712164944089</v>
      </c>
      <c r="AC645" s="13" t="n">
        <f aca="false">(I645-AVERAGE(I$2:I$2001))/STDEV(I$2:I$2001)</f>
        <v>1.39434968409451</v>
      </c>
      <c r="AD645" s="13" t="n">
        <f aca="false">(L645-AVERAGE(L$2:L$2001))/STDEV(L$2:L$2001)</f>
        <v>-0.777063122173208</v>
      </c>
      <c r="AE645" s="13" t="n">
        <f aca="false">(M645-AVERAGE(M$2:M$2001))/STDEV(M$2:M$2001)</f>
        <v>0.318654422360888</v>
      </c>
      <c r="AF645" s="13" t="n">
        <f aca="false">(N645-AVERAGE(N$2:N$2001))/STDEV(N$2:N$2001)</f>
        <v>1.57742766806863</v>
      </c>
      <c r="AG645" s="13" t="n">
        <f aca="false">(O645-AVERAGE(O$2:O$2001))/STDEV(O$2:O$2001)</f>
        <v>1.45692325847372</v>
      </c>
      <c r="AH645" s="0" t="str">
        <f aca="false">IF(B645="Company","C3 - Corporate Buyers",IF(AND(H645="Investment",M645&gt;'Segmentation Summary'!$C$1),"C1 - Global Investors",IF(AND(I645&gt;=4,M645&gt;'Segmentation Summary'!$C$1),"C4 - Luxury Investors",IF(AND(D645&lt;'Segmentation Summary'!$C$2,J645=1),"C2 - First-Time Buyers","C5 - Other Individual Buyers"))))</f>
        <v>C4 - Luxury Investors</v>
      </c>
    </row>
    <row r="646" customFormat="false" ht="15" hidden="false" customHeight="true" outlineLevel="0" collapsed="false">
      <c r="A646" s="13" t="s">
        <v>1341</v>
      </c>
      <c r="B646" s="13" t="s">
        <v>34</v>
      </c>
      <c r="C646" s="13" t="s">
        <v>1342</v>
      </c>
      <c r="D646" s="13" t="n">
        <v>32</v>
      </c>
      <c r="E646" s="13" t="s">
        <v>90</v>
      </c>
      <c r="F646" s="13" t="s">
        <v>33</v>
      </c>
      <c r="G646" s="13" t="s">
        <v>95</v>
      </c>
      <c r="H646" s="13" t="s">
        <v>43</v>
      </c>
      <c r="I646" s="13" t="n">
        <v>1</v>
      </c>
      <c r="J646" s="13" t="n">
        <v>1</v>
      </c>
      <c r="K646" s="13" t="s">
        <v>85</v>
      </c>
      <c r="L646" s="13" t="n">
        <v>3</v>
      </c>
      <c r="M646" s="13" t="n">
        <v>1101811.15</v>
      </c>
      <c r="N646" s="13" t="n">
        <v>367270.383333333</v>
      </c>
      <c r="O646" s="13" t="n">
        <v>1254.50333333333</v>
      </c>
      <c r="P646" s="13" t="n">
        <v>0</v>
      </c>
      <c r="Q646" s="13" t="n">
        <v>3</v>
      </c>
      <c r="R646" s="13" t="s">
        <v>92</v>
      </c>
      <c r="S646" s="13" t="s">
        <v>117</v>
      </c>
      <c r="T646" s="13" t="n">
        <v>1</v>
      </c>
      <c r="U646" s="13" t="n">
        <f aca="false">IF(B646="Individual",1,0)</f>
        <v>1</v>
      </c>
      <c r="V646" s="13" t="n">
        <f aca="false">IF(B646="Company",1,0)</f>
        <v>0</v>
      </c>
      <c r="W646" s="13" t="n">
        <f aca="false">IF(H646="Home",1,0)</f>
        <v>0</v>
      </c>
      <c r="X646" s="13" t="n">
        <f aca="false">IF(H646="Investment",1,0)</f>
        <v>1</v>
      </c>
      <c r="Y646" s="13" t="n">
        <f aca="false">IF(K646="Website",1,0)</f>
        <v>1</v>
      </c>
      <c r="Z646" s="13" t="n">
        <f aca="false">IF(K646="Agency",1,0)</f>
        <v>0</v>
      </c>
      <c r="AA646" s="13" t="n">
        <f aca="false">IF(K646="Client",1,0)</f>
        <v>0</v>
      </c>
      <c r="AB646" s="13" t="n">
        <f aca="false">(D646-AVERAGE(D$2:D$2001))/STDEV(D$2:D$2001)</f>
        <v>-1.2764737771412</v>
      </c>
      <c r="AC646" s="13" t="n">
        <f aca="false">(I646-AVERAGE(I$2:I$2001))/STDEV(I$2:I$2001)</f>
        <v>-1.43538077576244</v>
      </c>
      <c r="AD646" s="13" t="n">
        <f aca="false">(L646-AVERAGE(L$2:L$2001))/STDEV(L$2:L$2001)</f>
        <v>-0.777063122173208</v>
      </c>
      <c r="AE646" s="13" t="n">
        <f aca="false">(M646-AVERAGE(M$2:M$2001))/STDEV(M$2:M$2001)</f>
        <v>-0.455866450126392</v>
      </c>
      <c r="AF646" s="13" t="n">
        <f aca="false">(N646-AVERAGE(N$2:N$2001))/STDEV(N$2:N$2001)</f>
        <v>0.289442056147681</v>
      </c>
      <c r="AG646" s="13" t="n">
        <f aca="false">(O646-AVERAGE(O$2:O$2001))/STDEV(O$2:O$2001)</f>
        <v>0.486642444591194</v>
      </c>
      <c r="AH646" s="0" t="str">
        <f aca="false">IF(B646="Company","C3 - Corporate Buyers",IF(AND(H646="Investment",M646&gt;'Segmentation Summary'!$C$1),"C1 - Global Investors",IF(AND(I646&gt;=4,M646&gt;'Segmentation Summary'!$C$1),"C4 - Luxury Investors",IF(AND(D646&lt;'Segmentation Summary'!$C$2,J646=1),"C2 - First-Time Buyers","C5 - Other Individual Buyers"))))</f>
        <v>C2 - First-Time Buyers</v>
      </c>
    </row>
    <row r="647" customFormat="false" ht="15" hidden="false" customHeight="true" outlineLevel="0" collapsed="false">
      <c r="A647" s="13" t="s">
        <v>1343</v>
      </c>
      <c r="B647" s="13" t="s">
        <v>34</v>
      </c>
      <c r="C647" s="13" t="s">
        <v>1344</v>
      </c>
      <c r="D647" s="13" t="n">
        <v>71</v>
      </c>
      <c r="E647" s="13" t="s">
        <v>90</v>
      </c>
      <c r="F647" s="13" t="s">
        <v>33</v>
      </c>
      <c r="G647" s="13" t="s">
        <v>84</v>
      </c>
      <c r="H647" s="13" t="s">
        <v>43</v>
      </c>
      <c r="I647" s="13" t="n">
        <v>2</v>
      </c>
      <c r="J647" s="13" t="n">
        <v>0</v>
      </c>
      <c r="K647" s="13" t="s">
        <v>85</v>
      </c>
      <c r="L647" s="13" t="n">
        <v>3</v>
      </c>
      <c r="M647" s="13" t="n">
        <v>1082221.48</v>
      </c>
      <c r="N647" s="13" t="n">
        <v>360740.493333333</v>
      </c>
      <c r="O647" s="13" t="n">
        <v>1209.64</v>
      </c>
      <c r="P647" s="13" t="n">
        <v>1</v>
      </c>
      <c r="Q647" s="13" t="n">
        <v>2</v>
      </c>
      <c r="R647" s="13" t="s">
        <v>92</v>
      </c>
      <c r="S647" s="13" t="s">
        <v>154</v>
      </c>
      <c r="T647" s="13" t="n">
        <v>1</v>
      </c>
      <c r="U647" s="13" t="n">
        <f aca="false">IF(B647="Individual",1,0)</f>
        <v>1</v>
      </c>
      <c r="V647" s="13" t="n">
        <f aca="false">IF(B647="Company",1,0)</f>
        <v>0</v>
      </c>
      <c r="W647" s="13" t="n">
        <f aca="false">IF(H647="Home",1,0)</f>
        <v>0</v>
      </c>
      <c r="X647" s="13" t="n">
        <f aca="false">IF(H647="Investment",1,0)</f>
        <v>1</v>
      </c>
      <c r="Y647" s="13" t="n">
        <f aca="false">IF(K647="Website",1,0)</f>
        <v>1</v>
      </c>
      <c r="Z647" s="13" t="n">
        <f aca="false">IF(K647="Agency",1,0)</f>
        <v>0</v>
      </c>
      <c r="AA647" s="13" t="n">
        <f aca="false">IF(K647="Client",1,0)</f>
        <v>0</v>
      </c>
      <c r="AB647" s="13" t="n">
        <f aca="false">(D647-AVERAGE(D$2:D$2001))/STDEV(D$2:D$2001)</f>
        <v>0.972361986896694</v>
      </c>
      <c r="AC647" s="13" t="n">
        <f aca="false">(I647-AVERAGE(I$2:I$2001))/STDEV(I$2:I$2001)</f>
        <v>-0.727948160798201</v>
      </c>
      <c r="AD647" s="13" t="n">
        <f aca="false">(L647-AVERAGE(L$2:L$2001))/STDEV(L$2:L$2001)</f>
        <v>-0.777063122173208</v>
      </c>
      <c r="AE647" s="13" t="n">
        <f aca="false">(M647-AVERAGE(M$2:M$2001))/STDEV(M$2:M$2001)</f>
        <v>-0.51218601013332</v>
      </c>
      <c r="AF647" s="13" t="n">
        <f aca="false">(N647-AVERAGE(N$2:N$2001))/STDEV(N$2:N$2001)</f>
        <v>0.195785725459404</v>
      </c>
      <c r="AG647" s="13" t="n">
        <f aca="false">(O647-AVERAGE(O$2:O$2001))/STDEV(O$2:O$2001)</f>
        <v>0.282646420565268</v>
      </c>
      <c r="AH647" s="0" t="str">
        <f aca="false">IF(B647="Company","C3 - Corporate Buyers",IF(AND(H647="Investment",M647&gt;'Segmentation Summary'!$C$1),"C1 - Global Investors",IF(AND(I647&gt;=4,M647&gt;'Segmentation Summary'!$C$1),"C4 - Luxury Investors",IF(AND(D647&lt;'Segmentation Summary'!$C$2,J647=1),"C2 - First-Time Buyers","C5 - Other Individual Buyers"))))</f>
        <v>C5 - Other Individual Buyers</v>
      </c>
    </row>
    <row r="648" customFormat="false" ht="15" hidden="false" customHeight="true" outlineLevel="0" collapsed="false">
      <c r="A648" s="13" t="s">
        <v>1345</v>
      </c>
      <c r="B648" s="13" t="s">
        <v>34</v>
      </c>
      <c r="C648" s="13" t="s">
        <v>1346</v>
      </c>
      <c r="D648" s="13" t="n">
        <v>77</v>
      </c>
      <c r="E648" s="13" t="s">
        <v>90</v>
      </c>
      <c r="F648" s="13" t="s">
        <v>33</v>
      </c>
      <c r="G648" s="13" t="s">
        <v>120</v>
      </c>
      <c r="H648" s="13" t="s">
        <v>43</v>
      </c>
      <c r="I648" s="13" t="n">
        <v>4</v>
      </c>
      <c r="J648" s="13" t="n">
        <v>1</v>
      </c>
      <c r="K648" s="13" t="s">
        <v>85</v>
      </c>
      <c r="L648" s="13" t="n">
        <v>4</v>
      </c>
      <c r="M648" s="13" t="n">
        <v>1313574.2</v>
      </c>
      <c r="N648" s="13" t="n">
        <v>328393.55</v>
      </c>
      <c r="O648" s="13" t="n">
        <v>1122.0925</v>
      </c>
      <c r="P648" s="13" t="n">
        <v>1</v>
      </c>
      <c r="Q648" s="13" t="n">
        <v>3</v>
      </c>
      <c r="R648" s="13" t="s">
        <v>107</v>
      </c>
      <c r="S648" s="13" t="s">
        <v>114</v>
      </c>
      <c r="T648" s="13" t="n">
        <v>1</v>
      </c>
      <c r="U648" s="13" t="n">
        <f aca="false">IF(B648="Individual",1,0)</f>
        <v>1</v>
      </c>
      <c r="V648" s="13" t="n">
        <f aca="false">IF(B648="Company",1,0)</f>
        <v>0</v>
      </c>
      <c r="W648" s="13" t="n">
        <f aca="false">IF(H648="Home",1,0)</f>
        <v>0</v>
      </c>
      <c r="X648" s="13" t="n">
        <f aca="false">IF(H648="Investment",1,0)</f>
        <v>1</v>
      </c>
      <c r="Y648" s="13" t="n">
        <f aca="false">IF(K648="Website",1,0)</f>
        <v>1</v>
      </c>
      <c r="Z648" s="13" t="n">
        <f aca="false">IF(K648="Agency",1,0)</f>
        <v>0</v>
      </c>
      <c r="AA648" s="13" t="n">
        <f aca="false">IF(K648="Client",1,0)</f>
        <v>0</v>
      </c>
      <c r="AB648" s="13" t="n">
        <f aca="false">(D648-AVERAGE(D$2:D$2001))/STDEV(D$2:D$2001)</f>
        <v>1.3183367198256</v>
      </c>
      <c r="AC648" s="13" t="n">
        <f aca="false">(I648-AVERAGE(I$2:I$2001))/STDEV(I$2:I$2001)</f>
        <v>0.686917069130275</v>
      </c>
      <c r="AD648" s="13" t="n">
        <f aca="false">(L648-AVERAGE(L$2:L$2001))/STDEV(L$2:L$2001)</f>
        <v>0.413838214490712</v>
      </c>
      <c r="AE648" s="13" t="n">
        <f aca="false">(M648-AVERAGE(M$2:M$2001))/STDEV(M$2:M$2001)</f>
        <v>0.15294430583453</v>
      </c>
      <c r="AF648" s="13" t="n">
        <f aca="false">(N648-AVERAGE(N$2:N$2001))/STDEV(N$2:N$2001)</f>
        <v>-0.268157162028985</v>
      </c>
      <c r="AG648" s="13" t="n">
        <f aca="false">(O648-AVERAGE(O$2:O$2001))/STDEV(O$2:O$2001)</f>
        <v>-0.115436837776613</v>
      </c>
      <c r="AH648" s="0" t="str">
        <f aca="false">IF(B648="Company","C3 - Corporate Buyers",IF(AND(H648="Investment",M648&gt;'Segmentation Summary'!$C$1),"C1 - Global Investors",IF(AND(I648&gt;=4,M648&gt;'Segmentation Summary'!$C$1),"C4 - Luxury Investors",IF(AND(D648&lt;'Segmentation Summary'!$C$2,J648=1),"C2 - First-Time Buyers","C5 - Other Individual Buyers"))))</f>
        <v>C1 - Global Investors</v>
      </c>
    </row>
    <row r="649" customFormat="false" ht="15" hidden="false" customHeight="true" outlineLevel="0" collapsed="false">
      <c r="A649" s="13" t="s">
        <v>1347</v>
      </c>
      <c r="B649" s="13" t="s">
        <v>34</v>
      </c>
      <c r="C649" s="13" t="s">
        <v>1348</v>
      </c>
      <c r="D649" s="13" t="n">
        <v>63</v>
      </c>
      <c r="E649" s="13" t="s">
        <v>90</v>
      </c>
      <c r="F649" s="13" t="s">
        <v>35</v>
      </c>
      <c r="G649" s="13" t="s">
        <v>137</v>
      </c>
      <c r="H649" s="13" t="s">
        <v>41</v>
      </c>
      <c r="I649" s="13" t="n">
        <v>1</v>
      </c>
      <c r="J649" s="13" t="n">
        <v>0</v>
      </c>
      <c r="K649" s="13" t="s">
        <v>91</v>
      </c>
      <c r="L649" s="13" t="n">
        <v>4</v>
      </c>
      <c r="M649" s="13" t="n">
        <v>1116366.72</v>
      </c>
      <c r="N649" s="13" t="n">
        <v>279091.68</v>
      </c>
      <c r="O649" s="13" t="n">
        <v>933.355</v>
      </c>
      <c r="P649" s="13" t="n">
        <v>0</v>
      </c>
      <c r="Q649" s="13" t="n">
        <v>4</v>
      </c>
      <c r="R649" s="13" t="s">
        <v>121</v>
      </c>
      <c r="S649" s="13" t="s">
        <v>87</v>
      </c>
      <c r="T649" s="13" t="n">
        <v>1</v>
      </c>
      <c r="U649" s="13" t="n">
        <f aca="false">IF(B649="Individual",1,0)</f>
        <v>1</v>
      </c>
      <c r="V649" s="13" t="n">
        <f aca="false">IF(B649="Company",1,0)</f>
        <v>0</v>
      </c>
      <c r="W649" s="13" t="n">
        <f aca="false">IF(H649="Home",1,0)</f>
        <v>1</v>
      </c>
      <c r="X649" s="13" t="n">
        <f aca="false">IF(H649="Investment",1,0)</f>
        <v>0</v>
      </c>
      <c r="Y649" s="13" t="n">
        <f aca="false">IF(K649="Website",1,0)</f>
        <v>0</v>
      </c>
      <c r="Z649" s="13" t="n">
        <f aca="false">IF(K649="Agency",1,0)</f>
        <v>1</v>
      </c>
      <c r="AA649" s="13" t="n">
        <f aca="false">IF(K649="Client",1,0)</f>
        <v>0</v>
      </c>
      <c r="AB649" s="13" t="n">
        <f aca="false">(D649-AVERAGE(D$2:D$2001))/STDEV(D$2:D$2001)</f>
        <v>0.511062342991484</v>
      </c>
      <c r="AC649" s="13" t="n">
        <f aca="false">(I649-AVERAGE(I$2:I$2001))/STDEV(I$2:I$2001)</f>
        <v>-1.43538077576244</v>
      </c>
      <c r="AD649" s="13" t="n">
        <f aca="false">(L649-AVERAGE(L$2:L$2001))/STDEV(L$2:L$2001)</f>
        <v>0.413838214490712</v>
      </c>
      <c r="AE649" s="13" t="n">
        <f aca="false">(M649-AVERAGE(M$2:M$2001))/STDEV(M$2:M$2001)</f>
        <v>-0.41401973713684</v>
      </c>
      <c r="AF649" s="13" t="n">
        <f aca="false">(N649-AVERAGE(N$2:N$2001))/STDEV(N$2:N$2001)</f>
        <v>-0.975279677151046</v>
      </c>
      <c r="AG649" s="13" t="n">
        <f aca="false">(O649-AVERAGE(O$2:O$2001))/STDEV(O$2:O$2001)</f>
        <v>-0.973636546178345</v>
      </c>
      <c r="AH649" s="0" t="str">
        <f aca="false">IF(B649="Company","C3 - Corporate Buyers",IF(AND(H649="Investment",M649&gt;'Segmentation Summary'!$C$1),"C1 - Global Investors",IF(AND(I649&gt;=4,M649&gt;'Segmentation Summary'!$C$1),"C4 - Luxury Investors",IF(AND(D649&lt;'Segmentation Summary'!$C$2,J649=1),"C2 - First-Time Buyers","C5 - Other Individual Buyers"))))</f>
        <v>C5 - Other Individual Buyers</v>
      </c>
    </row>
    <row r="650" customFormat="false" ht="15" hidden="false" customHeight="true" outlineLevel="0" collapsed="false">
      <c r="A650" s="13" t="s">
        <v>1349</v>
      </c>
      <c r="B650" s="13" t="s">
        <v>34</v>
      </c>
      <c r="C650" s="13" t="s">
        <v>1348</v>
      </c>
      <c r="D650" s="13" t="n">
        <v>32</v>
      </c>
      <c r="E650" s="13" t="s">
        <v>90</v>
      </c>
      <c r="F650" s="13" t="s">
        <v>33</v>
      </c>
      <c r="G650" s="13" t="s">
        <v>95</v>
      </c>
      <c r="H650" s="13" t="s">
        <v>41</v>
      </c>
      <c r="I650" s="13" t="n">
        <v>2</v>
      </c>
      <c r="J650" s="13" t="n">
        <v>0</v>
      </c>
      <c r="K650" s="13" t="s">
        <v>91</v>
      </c>
      <c r="L650" s="13" t="n">
        <v>4</v>
      </c>
      <c r="M650" s="13" t="n">
        <v>1633449.34</v>
      </c>
      <c r="N650" s="13" t="n">
        <v>408362.335</v>
      </c>
      <c r="O650" s="13" t="n">
        <v>1423.1725</v>
      </c>
      <c r="P650" s="13" t="n">
        <v>1</v>
      </c>
      <c r="Q650" s="13" t="n">
        <v>3</v>
      </c>
      <c r="R650" s="13" t="s">
        <v>111</v>
      </c>
      <c r="S650" s="13" t="s">
        <v>87</v>
      </c>
      <c r="T650" s="13" t="n">
        <v>1</v>
      </c>
      <c r="U650" s="13" t="n">
        <f aca="false">IF(B650="Individual",1,0)</f>
        <v>1</v>
      </c>
      <c r="V650" s="13" t="n">
        <f aca="false">IF(B650="Company",1,0)</f>
        <v>0</v>
      </c>
      <c r="W650" s="13" t="n">
        <f aca="false">IF(H650="Home",1,0)</f>
        <v>1</v>
      </c>
      <c r="X650" s="13" t="n">
        <f aca="false">IF(H650="Investment",1,0)</f>
        <v>0</v>
      </c>
      <c r="Y650" s="13" t="n">
        <f aca="false">IF(K650="Website",1,0)</f>
        <v>0</v>
      </c>
      <c r="Z650" s="13" t="n">
        <f aca="false">IF(K650="Agency",1,0)</f>
        <v>1</v>
      </c>
      <c r="AA650" s="13" t="n">
        <f aca="false">IF(K650="Client",1,0)</f>
        <v>0</v>
      </c>
      <c r="AB650" s="13" t="n">
        <f aca="false">(D650-AVERAGE(D$2:D$2001))/STDEV(D$2:D$2001)</f>
        <v>-1.2764737771412</v>
      </c>
      <c r="AC650" s="13" t="n">
        <f aca="false">(I650-AVERAGE(I$2:I$2001))/STDEV(I$2:I$2001)</f>
        <v>-0.727948160798201</v>
      </c>
      <c r="AD650" s="13" t="n">
        <f aca="false">(L650-AVERAGE(L$2:L$2001))/STDEV(L$2:L$2001)</f>
        <v>0.413838214490712</v>
      </c>
      <c r="AE650" s="13" t="n">
        <f aca="false">(M650-AVERAGE(M$2:M$2001))/STDEV(M$2:M$2001)</f>
        <v>1.07257322974975</v>
      </c>
      <c r="AF650" s="13" t="n">
        <f aca="false">(N650-AVERAGE(N$2:N$2001))/STDEV(N$2:N$2001)</f>
        <v>0.87881207829507</v>
      </c>
      <c r="AG650" s="13" t="n">
        <f aca="false">(O650-AVERAGE(O$2:O$2001))/STDEV(O$2:O$2001)</f>
        <v>1.25359034656986</v>
      </c>
      <c r="AH650" s="0" t="str">
        <f aca="false">IF(B650="Company","C3 - Corporate Buyers",IF(AND(H650="Investment",M650&gt;'Segmentation Summary'!$C$1),"C1 - Global Investors",IF(AND(I650&gt;=4,M650&gt;'Segmentation Summary'!$C$1),"C4 - Luxury Investors",IF(AND(D650&lt;'Segmentation Summary'!$C$2,J650=1),"C2 - First-Time Buyers","C5 - Other Individual Buyers"))))</f>
        <v>C5 - Other Individual Buyers</v>
      </c>
    </row>
    <row r="651" customFormat="false" ht="15" hidden="false" customHeight="true" outlineLevel="0" collapsed="false">
      <c r="A651" s="13" t="s">
        <v>1350</v>
      </c>
      <c r="B651" s="13" t="s">
        <v>34</v>
      </c>
      <c r="C651" s="13" t="s">
        <v>1351</v>
      </c>
      <c r="D651" s="13" t="n">
        <v>30</v>
      </c>
      <c r="E651" s="13" t="s">
        <v>90</v>
      </c>
      <c r="F651" s="13" t="s">
        <v>35</v>
      </c>
      <c r="G651" s="13" t="s">
        <v>267</v>
      </c>
      <c r="H651" s="13" t="s">
        <v>41</v>
      </c>
      <c r="I651" s="13" t="n">
        <v>5</v>
      </c>
      <c r="J651" s="13" t="n">
        <v>1</v>
      </c>
      <c r="K651" s="13" t="s">
        <v>85</v>
      </c>
      <c r="L651" s="13" t="n">
        <v>4</v>
      </c>
      <c r="M651" s="13" t="n">
        <v>1045772.34</v>
      </c>
      <c r="N651" s="13" t="n">
        <v>261443.085</v>
      </c>
      <c r="O651" s="13" t="n">
        <v>911.0425</v>
      </c>
      <c r="P651" s="13" t="n">
        <v>0</v>
      </c>
      <c r="Q651" s="13" t="n">
        <v>4</v>
      </c>
      <c r="R651" s="13" t="s">
        <v>98</v>
      </c>
      <c r="S651" s="13" t="s">
        <v>103</v>
      </c>
      <c r="T651" s="13" t="n">
        <v>1</v>
      </c>
      <c r="U651" s="13" t="n">
        <f aca="false">IF(B651="Individual",1,0)</f>
        <v>1</v>
      </c>
      <c r="V651" s="13" t="n">
        <f aca="false">IF(B651="Company",1,0)</f>
        <v>0</v>
      </c>
      <c r="W651" s="13" t="n">
        <f aca="false">IF(H651="Home",1,0)</f>
        <v>1</v>
      </c>
      <c r="X651" s="13" t="n">
        <f aca="false">IF(H651="Investment",1,0)</f>
        <v>0</v>
      </c>
      <c r="Y651" s="13" t="n">
        <f aca="false">IF(K651="Website",1,0)</f>
        <v>1</v>
      </c>
      <c r="Z651" s="13" t="n">
        <f aca="false">IF(K651="Agency",1,0)</f>
        <v>0</v>
      </c>
      <c r="AA651" s="13" t="n">
        <f aca="false">IF(K651="Client",1,0)</f>
        <v>0</v>
      </c>
      <c r="AB651" s="13" t="n">
        <f aca="false">(D651-AVERAGE(D$2:D$2001))/STDEV(D$2:D$2001)</f>
        <v>-1.39179868811751</v>
      </c>
      <c r="AC651" s="13" t="n">
        <f aca="false">(I651-AVERAGE(I$2:I$2001))/STDEV(I$2:I$2001)</f>
        <v>1.39434968409451</v>
      </c>
      <c r="AD651" s="13" t="n">
        <f aca="false">(L651-AVERAGE(L$2:L$2001))/STDEV(L$2:L$2001)</f>
        <v>0.413838214490712</v>
      </c>
      <c r="AE651" s="13" t="n">
        <f aca="false">(M651-AVERAGE(M$2:M$2001))/STDEV(M$2:M$2001)</f>
        <v>-0.616975908453756</v>
      </c>
      <c r="AF651" s="13" t="n">
        <f aca="false">(N651-AVERAGE(N$2:N$2001))/STDEV(N$2:N$2001)</f>
        <v>-1.22840838980983</v>
      </c>
      <c r="AG651" s="13" t="n">
        <f aca="false">(O651-AVERAGE(O$2:O$2001))/STDEV(O$2:O$2001)</f>
        <v>-1.07509270085727</v>
      </c>
      <c r="AH651" s="0" t="str">
        <f aca="false">IF(B651="Company","C3 - Corporate Buyers",IF(AND(H651="Investment",M651&gt;'Segmentation Summary'!$C$1),"C1 - Global Investors",IF(AND(I651&gt;=4,M651&gt;'Segmentation Summary'!$C$1),"C4 - Luxury Investors",IF(AND(D651&lt;'Segmentation Summary'!$C$2,J651=1),"C2 - First-Time Buyers","C5 - Other Individual Buyers"))))</f>
        <v>C2 - First-Time Buyers</v>
      </c>
    </row>
    <row r="652" customFormat="false" ht="15" hidden="false" customHeight="true" outlineLevel="0" collapsed="false">
      <c r="A652" s="13" t="s">
        <v>1352</v>
      </c>
      <c r="B652" s="13" t="s">
        <v>34</v>
      </c>
      <c r="C652" s="13" t="s">
        <v>1353</v>
      </c>
      <c r="D652" s="13" t="n">
        <v>44</v>
      </c>
      <c r="E652" s="13" t="s">
        <v>90</v>
      </c>
      <c r="F652" s="13" t="s">
        <v>42</v>
      </c>
      <c r="G652" s="13" t="s">
        <v>551</v>
      </c>
      <c r="H652" s="13" t="s">
        <v>41</v>
      </c>
      <c r="I652" s="13" t="n">
        <v>1</v>
      </c>
      <c r="J652" s="13" t="n">
        <v>0</v>
      </c>
      <c r="K652" s="13" t="s">
        <v>85</v>
      </c>
      <c r="L652" s="13" t="n">
        <v>4</v>
      </c>
      <c r="M652" s="13" t="n">
        <v>1508352.25</v>
      </c>
      <c r="N652" s="13" t="n">
        <v>377088.0625</v>
      </c>
      <c r="O652" s="13" t="n">
        <v>1329.5925</v>
      </c>
      <c r="P652" s="13" t="n">
        <v>0</v>
      </c>
      <c r="Q652" s="13" t="n">
        <v>4</v>
      </c>
      <c r="R652" s="13" t="s">
        <v>117</v>
      </c>
      <c r="S652" s="13" t="s">
        <v>114</v>
      </c>
      <c r="T652" s="13" t="n">
        <v>1</v>
      </c>
      <c r="U652" s="13" t="n">
        <f aca="false">IF(B652="Individual",1,0)</f>
        <v>1</v>
      </c>
      <c r="V652" s="13" t="n">
        <f aca="false">IF(B652="Company",1,0)</f>
        <v>0</v>
      </c>
      <c r="W652" s="13" t="n">
        <f aca="false">IF(H652="Home",1,0)</f>
        <v>1</v>
      </c>
      <c r="X652" s="13" t="n">
        <f aca="false">IF(H652="Investment",1,0)</f>
        <v>0</v>
      </c>
      <c r="Y652" s="13" t="n">
        <f aca="false">IF(K652="Website",1,0)</f>
        <v>1</v>
      </c>
      <c r="Z652" s="13" t="n">
        <f aca="false">IF(K652="Agency",1,0)</f>
        <v>0</v>
      </c>
      <c r="AA652" s="13" t="n">
        <f aca="false">IF(K652="Client",1,0)</f>
        <v>0</v>
      </c>
      <c r="AB652" s="13" t="n">
        <f aca="false">(D652-AVERAGE(D$2:D$2001))/STDEV(D$2:D$2001)</f>
        <v>-0.584524311283389</v>
      </c>
      <c r="AC652" s="13" t="n">
        <f aca="false">(I652-AVERAGE(I$2:I$2001))/STDEV(I$2:I$2001)</f>
        <v>-1.43538077576244</v>
      </c>
      <c r="AD652" s="13" t="n">
        <f aca="false">(L652-AVERAGE(L$2:L$2001))/STDEV(L$2:L$2001)</f>
        <v>0.413838214490712</v>
      </c>
      <c r="AE652" s="13" t="n">
        <f aca="false">(M652-AVERAGE(M$2:M$2001))/STDEV(M$2:M$2001)</f>
        <v>0.712923829481805</v>
      </c>
      <c r="AF652" s="13" t="n">
        <f aca="false">(N652-AVERAGE(N$2:N$2001))/STDEV(N$2:N$2001)</f>
        <v>0.430254199480074</v>
      </c>
      <c r="AG652" s="13" t="n">
        <f aca="false">(O652-AVERAGE(O$2:O$2001))/STDEV(O$2:O$2001)</f>
        <v>0.828076981646445</v>
      </c>
      <c r="AH652" s="0" t="str">
        <f aca="false">IF(B652="Company","C3 - Corporate Buyers",IF(AND(H652="Investment",M652&gt;'Segmentation Summary'!$C$1),"C1 - Global Investors",IF(AND(I652&gt;=4,M652&gt;'Segmentation Summary'!$C$1),"C4 - Luxury Investors",IF(AND(D652&lt;'Segmentation Summary'!$C$2,J652=1),"C2 - First-Time Buyers","C5 - Other Individual Buyers"))))</f>
        <v>C5 - Other Individual Buyers</v>
      </c>
    </row>
    <row r="653" customFormat="false" ht="15" hidden="false" customHeight="true" outlineLevel="0" collapsed="false">
      <c r="A653" s="13" t="s">
        <v>1354</v>
      </c>
      <c r="B653" s="13" t="s">
        <v>34</v>
      </c>
      <c r="C653" s="13" t="s">
        <v>1355</v>
      </c>
      <c r="D653" s="13" t="n">
        <v>60</v>
      </c>
      <c r="E653" s="13" t="s">
        <v>90</v>
      </c>
      <c r="F653" s="13" t="s">
        <v>33</v>
      </c>
      <c r="G653" s="13" t="s">
        <v>95</v>
      </c>
      <c r="H653" s="13" t="s">
        <v>41</v>
      </c>
      <c r="I653" s="13" t="n">
        <v>4</v>
      </c>
      <c r="J653" s="13" t="n">
        <v>0</v>
      </c>
      <c r="K653" s="13" t="s">
        <v>85</v>
      </c>
      <c r="L653" s="13" t="n">
        <v>5</v>
      </c>
      <c r="M653" s="13" t="n">
        <v>1746571.55</v>
      </c>
      <c r="N653" s="13" t="n">
        <v>349314.31</v>
      </c>
      <c r="O653" s="13" t="n">
        <v>1297.32</v>
      </c>
      <c r="P653" s="13" t="n">
        <v>1</v>
      </c>
      <c r="Q653" s="13" t="n">
        <v>4</v>
      </c>
      <c r="R653" s="13" t="s">
        <v>92</v>
      </c>
      <c r="S653" s="13" t="s">
        <v>135</v>
      </c>
      <c r="T653" s="13" t="n">
        <v>1</v>
      </c>
      <c r="U653" s="13" t="n">
        <f aca="false">IF(B653="Individual",1,0)</f>
        <v>1</v>
      </c>
      <c r="V653" s="13" t="n">
        <f aca="false">IF(B653="Company",1,0)</f>
        <v>0</v>
      </c>
      <c r="W653" s="13" t="n">
        <f aca="false">IF(H653="Home",1,0)</f>
        <v>1</v>
      </c>
      <c r="X653" s="13" t="n">
        <f aca="false">IF(H653="Investment",1,0)</f>
        <v>0</v>
      </c>
      <c r="Y653" s="13" t="n">
        <f aca="false">IF(K653="Website",1,0)</f>
        <v>1</v>
      </c>
      <c r="Z653" s="13" t="n">
        <f aca="false">IF(K653="Agency",1,0)</f>
        <v>0</v>
      </c>
      <c r="AA653" s="13" t="n">
        <f aca="false">IF(K653="Client",1,0)</f>
        <v>0</v>
      </c>
      <c r="AB653" s="13" t="n">
        <f aca="false">(D653-AVERAGE(D$2:D$2001))/STDEV(D$2:D$2001)</f>
        <v>0.338074976527031</v>
      </c>
      <c r="AC653" s="13" t="n">
        <f aca="false">(I653-AVERAGE(I$2:I$2001))/STDEV(I$2:I$2001)</f>
        <v>0.686917069130275</v>
      </c>
      <c r="AD653" s="13" t="n">
        <f aca="false">(L653-AVERAGE(L$2:L$2001))/STDEV(L$2:L$2001)</f>
        <v>1.60473955115463</v>
      </c>
      <c r="AE653" s="13" t="n">
        <f aca="false">(M653-AVERAGE(M$2:M$2001))/STDEV(M$2:M$2001)</f>
        <v>1.3977953031288</v>
      </c>
      <c r="AF653" s="13" t="n">
        <f aca="false">(N653-AVERAGE(N$2:N$2001))/STDEV(N$2:N$2001)</f>
        <v>0.0319032703534985</v>
      </c>
      <c r="AG653" s="13" t="n">
        <f aca="false">(O653-AVERAGE(O$2:O$2001))/STDEV(O$2:O$2001)</f>
        <v>0.681332163635212</v>
      </c>
      <c r="AH653" s="0" t="str">
        <f aca="false">IF(B653="Company","C3 - Corporate Buyers",IF(AND(H653="Investment",M653&gt;'Segmentation Summary'!$C$1),"C1 - Global Investors",IF(AND(I653&gt;=4,M653&gt;'Segmentation Summary'!$C$1),"C4 - Luxury Investors",IF(AND(D653&lt;'Segmentation Summary'!$C$2,J653=1),"C2 - First-Time Buyers","C5 - Other Individual Buyers"))))</f>
        <v>C4 - Luxury Investors</v>
      </c>
    </row>
    <row r="654" customFormat="false" ht="15" hidden="false" customHeight="true" outlineLevel="0" collapsed="false">
      <c r="A654" s="13" t="s">
        <v>1356</v>
      </c>
      <c r="B654" s="13" t="s">
        <v>34</v>
      </c>
      <c r="C654" s="13" t="s">
        <v>1357</v>
      </c>
      <c r="D654" s="13" t="n">
        <v>67</v>
      </c>
      <c r="E654" s="13" t="s">
        <v>90</v>
      </c>
      <c r="F654" s="13" t="s">
        <v>33</v>
      </c>
      <c r="G654" s="13" t="s">
        <v>95</v>
      </c>
      <c r="H654" s="13" t="s">
        <v>41</v>
      </c>
      <c r="I654" s="13" t="n">
        <v>3</v>
      </c>
      <c r="J654" s="13" t="n">
        <v>1</v>
      </c>
      <c r="K654" s="13" t="s">
        <v>85</v>
      </c>
      <c r="L654" s="13" t="n">
        <v>4</v>
      </c>
      <c r="M654" s="13" t="n">
        <v>989750.45</v>
      </c>
      <c r="N654" s="13" t="n">
        <v>247437.6125</v>
      </c>
      <c r="O654" s="13" t="n">
        <v>855.07</v>
      </c>
      <c r="P654" s="13" t="n">
        <v>1</v>
      </c>
      <c r="Q654" s="13" t="n">
        <v>3</v>
      </c>
      <c r="R654" s="13" t="s">
        <v>101</v>
      </c>
      <c r="S654" s="13" t="s">
        <v>215</v>
      </c>
      <c r="T654" s="13" t="n">
        <v>1</v>
      </c>
      <c r="U654" s="13" t="n">
        <f aca="false">IF(B654="Individual",1,0)</f>
        <v>1</v>
      </c>
      <c r="V654" s="13" t="n">
        <f aca="false">IF(B654="Company",1,0)</f>
        <v>0</v>
      </c>
      <c r="W654" s="13" t="n">
        <f aca="false">IF(H654="Home",1,0)</f>
        <v>1</v>
      </c>
      <c r="X654" s="13" t="n">
        <f aca="false">IF(H654="Investment",1,0)</f>
        <v>0</v>
      </c>
      <c r="Y654" s="13" t="n">
        <f aca="false">IF(K654="Website",1,0)</f>
        <v>1</v>
      </c>
      <c r="Z654" s="13" t="n">
        <f aca="false">IF(K654="Agency",1,0)</f>
        <v>0</v>
      </c>
      <c r="AA654" s="13" t="n">
        <f aca="false">IF(K654="Client",1,0)</f>
        <v>0</v>
      </c>
      <c r="AB654" s="13" t="n">
        <f aca="false">(D654-AVERAGE(D$2:D$2001))/STDEV(D$2:D$2001)</f>
        <v>0.741712164944089</v>
      </c>
      <c r="AC654" s="13" t="n">
        <f aca="false">(I654-AVERAGE(I$2:I$2001))/STDEV(I$2:I$2001)</f>
        <v>-0.0205155458339628</v>
      </c>
      <c r="AD654" s="13" t="n">
        <f aca="false">(L654-AVERAGE(L$2:L$2001))/STDEV(L$2:L$2001)</f>
        <v>0.413838214490712</v>
      </c>
      <c r="AE654" s="13" t="n">
        <f aca="false">(M654-AVERAGE(M$2:M$2001))/STDEV(M$2:M$2001)</f>
        <v>-0.778036722421347</v>
      </c>
      <c r="AF654" s="13" t="n">
        <f aca="false">(N654-AVERAGE(N$2:N$2001))/STDEV(N$2:N$2001)</f>
        <v>-1.42928484621347</v>
      </c>
      <c r="AG654" s="13" t="n">
        <f aca="false">(O654-AVERAGE(O$2:O$2001))/STDEV(O$2:O$2001)</f>
        <v>-1.32960271173755</v>
      </c>
      <c r="AH654" s="0" t="str">
        <f aca="false">IF(B654="Company","C3 - Corporate Buyers",IF(AND(H654="Investment",M654&gt;'Segmentation Summary'!$C$1),"C1 - Global Investors",IF(AND(I654&gt;=4,M654&gt;'Segmentation Summary'!$C$1),"C4 - Luxury Investors",IF(AND(D654&lt;'Segmentation Summary'!$C$2,J654=1),"C2 - First-Time Buyers","C5 - Other Individual Buyers"))))</f>
        <v>C5 - Other Individual Buyers</v>
      </c>
    </row>
    <row r="655" customFormat="false" ht="15" hidden="false" customHeight="true" outlineLevel="0" collapsed="false">
      <c r="A655" s="13" t="s">
        <v>1358</v>
      </c>
      <c r="B655" s="13" t="s">
        <v>34</v>
      </c>
      <c r="C655" s="13" t="s">
        <v>1359</v>
      </c>
      <c r="D655" s="13" t="n">
        <v>27</v>
      </c>
      <c r="E655" s="13" t="s">
        <v>90</v>
      </c>
      <c r="F655" s="13" t="s">
        <v>33</v>
      </c>
      <c r="G655" s="13" t="s">
        <v>95</v>
      </c>
      <c r="H655" s="13" t="s">
        <v>43</v>
      </c>
      <c r="I655" s="13" t="n">
        <v>5</v>
      </c>
      <c r="J655" s="13" t="n">
        <v>0</v>
      </c>
      <c r="K655" s="13" t="s">
        <v>85</v>
      </c>
      <c r="L655" s="13" t="n">
        <v>4</v>
      </c>
      <c r="M655" s="13" t="n">
        <v>1137226.12</v>
      </c>
      <c r="N655" s="13" t="n">
        <v>284306.53</v>
      </c>
      <c r="O655" s="13" t="n">
        <v>940.485</v>
      </c>
      <c r="P655" s="13" t="n">
        <v>0</v>
      </c>
      <c r="Q655" s="13" t="n">
        <v>4</v>
      </c>
      <c r="R655" s="13" t="s">
        <v>86</v>
      </c>
      <c r="S655" s="13" t="s">
        <v>164</v>
      </c>
      <c r="T655" s="13" t="n">
        <v>1</v>
      </c>
      <c r="U655" s="13" t="n">
        <f aca="false">IF(B655="Individual",1,0)</f>
        <v>1</v>
      </c>
      <c r="V655" s="13" t="n">
        <f aca="false">IF(B655="Company",1,0)</f>
        <v>0</v>
      </c>
      <c r="W655" s="13" t="n">
        <f aca="false">IF(H655="Home",1,0)</f>
        <v>0</v>
      </c>
      <c r="X655" s="13" t="n">
        <f aca="false">IF(H655="Investment",1,0)</f>
        <v>1</v>
      </c>
      <c r="Y655" s="13" t="n">
        <f aca="false">IF(K655="Website",1,0)</f>
        <v>1</v>
      </c>
      <c r="Z655" s="13" t="n">
        <f aca="false">IF(K655="Agency",1,0)</f>
        <v>0</v>
      </c>
      <c r="AA655" s="13" t="n">
        <f aca="false">IF(K655="Client",1,0)</f>
        <v>0</v>
      </c>
      <c r="AB655" s="13" t="n">
        <f aca="false">(D655-AVERAGE(D$2:D$2001))/STDEV(D$2:D$2001)</f>
        <v>-1.56478605458196</v>
      </c>
      <c r="AC655" s="13" t="n">
        <f aca="false">(I655-AVERAGE(I$2:I$2001))/STDEV(I$2:I$2001)</f>
        <v>1.39434968409451</v>
      </c>
      <c r="AD655" s="13" t="n">
        <f aca="false">(L655-AVERAGE(L$2:L$2001))/STDEV(L$2:L$2001)</f>
        <v>0.413838214490712</v>
      </c>
      <c r="AE655" s="13" t="n">
        <f aca="false">(M655-AVERAGE(M$2:M$2001))/STDEV(M$2:M$2001)</f>
        <v>-0.354049751424549</v>
      </c>
      <c r="AF655" s="13" t="n">
        <f aca="false">(N655-AVERAGE(N$2:N$2001))/STDEV(N$2:N$2001)</f>
        <v>-0.900484586255218</v>
      </c>
      <c r="AG655" s="13" t="n">
        <f aca="false">(O655-AVERAGE(O$2:O$2001))/STDEV(O$2:O$2001)</f>
        <v>-0.941216047226604</v>
      </c>
      <c r="AH655" s="0" t="str">
        <f aca="false">IF(B655="Company","C3 - Corporate Buyers",IF(AND(H655="Investment",M655&gt;'Segmentation Summary'!$C$1),"C1 - Global Investors",IF(AND(I655&gt;=4,M655&gt;'Segmentation Summary'!$C$1),"C4 - Luxury Investors",IF(AND(D655&lt;'Segmentation Summary'!$C$2,J655=1),"C2 - First-Time Buyers","C5 - Other Individual Buyers"))))</f>
        <v>C5 - Other Individual Buyers</v>
      </c>
    </row>
    <row r="656" customFormat="false" ht="15" hidden="false" customHeight="true" outlineLevel="0" collapsed="false">
      <c r="A656" s="13" t="s">
        <v>1360</v>
      </c>
      <c r="B656" s="13" t="s">
        <v>34</v>
      </c>
      <c r="C656" s="13" t="s">
        <v>1361</v>
      </c>
      <c r="D656" s="13" t="n">
        <v>79</v>
      </c>
      <c r="E656" s="13" t="s">
        <v>90</v>
      </c>
      <c r="F656" s="13" t="s">
        <v>40</v>
      </c>
      <c r="G656" s="13" t="s">
        <v>528</v>
      </c>
      <c r="H656" s="13" t="s">
        <v>41</v>
      </c>
      <c r="I656" s="13" t="n">
        <v>4</v>
      </c>
      <c r="J656" s="13" t="n">
        <v>0</v>
      </c>
      <c r="K656" s="13" t="s">
        <v>85</v>
      </c>
      <c r="L656" s="13" t="n">
        <v>3</v>
      </c>
      <c r="M656" s="13" t="n">
        <v>973406.55</v>
      </c>
      <c r="N656" s="13" t="n">
        <v>324468.85</v>
      </c>
      <c r="O656" s="13" t="n">
        <v>1102.86333333333</v>
      </c>
      <c r="P656" s="13" t="n">
        <v>0</v>
      </c>
      <c r="Q656" s="13" t="n">
        <v>3</v>
      </c>
      <c r="R656" s="13" t="s">
        <v>98</v>
      </c>
      <c r="S656" s="13" t="s">
        <v>135</v>
      </c>
      <c r="T656" s="13" t="n">
        <v>1</v>
      </c>
      <c r="U656" s="13" t="n">
        <f aca="false">IF(B656="Individual",1,0)</f>
        <v>1</v>
      </c>
      <c r="V656" s="13" t="n">
        <f aca="false">IF(B656="Company",1,0)</f>
        <v>0</v>
      </c>
      <c r="W656" s="13" t="n">
        <f aca="false">IF(H656="Home",1,0)</f>
        <v>1</v>
      </c>
      <c r="X656" s="13" t="n">
        <f aca="false">IF(H656="Investment",1,0)</f>
        <v>0</v>
      </c>
      <c r="Y656" s="13" t="n">
        <f aca="false">IF(K656="Website",1,0)</f>
        <v>1</v>
      </c>
      <c r="Z656" s="13" t="n">
        <f aca="false">IF(K656="Agency",1,0)</f>
        <v>0</v>
      </c>
      <c r="AA656" s="13" t="n">
        <f aca="false">IF(K656="Client",1,0)</f>
        <v>0</v>
      </c>
      <c r="AB656" s="13" t="n">
        <f aca="false">(D656-AVERAGE(D$2:D$2001))/STDEV(D$2:D$2001)</f>
        <v>1.4336616308019</v>
      </c>
      <c r="AC656" s="13" t="n">
        <f aca="false">(I656-AVERAGE(I$2:I$2001))/STDEV(I$2:I$2001)</f>
        <v>0.686917069130275</v>
      </c>
      <c r="AD656" s="13" t="n">
        <f aca="false">(L656-AVERAGE(L$2:L$2001))/STDEV(L$2:L$2001)</f>
        <v>-0.777063122173208</v>
      </c>
      <c r="AE656" s="13" t="n">
        <f aca="false">(M656-AVERAGE(M$2:M$2001))/STDEV(M$2:M$2001)</f>
        <v>-0.825024816493233</v>
      </c>
      <c r="AF656" s="13" t="n">
        <f aca="false">(N656-AVERAGE(N$2:N$2001))/STDEV(N$2:N$2001)</f>
        <v>-0.324448003230335</v>
      </c>
      <c r="AG656" s="13" t="n">
        <f aca="false">(O656-AVERAGE(O$2:O$2001))/STDEV(O$2:O$2001)</f>
        <v>-0.202872907588624</v>
      </c>
      <c r="AH656" s="0" t="str">
        <f aca="false">IF(B656="Company","C3 - Corporate Buyers",IF(AND(H656="Investment",M656&gt;'Segmentation Summary'!$C$1),"C1 - Global Investors",IF(AND(I656&gt;=4,M656&gt;'Segmentation Summary'!$C$1),"C4 - Luxury Investors",IF(AND(D656&lt;'Segmentation Summary'!$C$2,J656=1),"C2 - First-Time Buyers","C5 - Other Individual Buyers"))))</f>
        <v>C5 - Other Individual Buyers</v>
      </c>
    </row>
    <row r="657" customFormat="false" ht="15" hidden="false" customHeight="true" outlineLevel="0" collapsed="false">
      <c r="A657" s="13" t="s">
        <v>1362</v>
      </c>
      <c r="B657" s="13" t="s">
        <v>34</v>
      </c>
      <c r="C657" s="13" t="s">
        <v>1363</v>
      </c>
      <c r="D657" s="13" t="n">
        <v>83</v>
      </c>
      <c r="E657" s="13" t="s">
        <v>90</v>
      </c>
      <c r="F657" s="13" t="s">
        <v>33</v>
      </c>
      <c r="G657" s="13" t="s">
        <v>95</v>
      </c>
      <c r="H657" s="13" t="s">
        <v>41</v>
      </c>
      <c r="I657" s="13" t="n">
        <v>5</v>
      </c>
      <c r="J657" s="13" t="n">
        <v>1</v>
      </c>
      <c r="K657" s="13" t="s">
        <v>85</v>
      </c>
      <c r="L657" s="13" t="n">
        <v>4</v>
      </c>
      <c r="M657" s="13" t="n">
        <v>1614623.53</v>
      </c>
      <c r="N657" s="13" t="n">
        <v>403655.8825</v>
      </c>
      <c r="O657" s="13" t="n">
        <v>1268.7075</v>
      </c>
      <c r="P657" s="13" t="n">
        <v>1</v>
      </c>
      <c r="Q657" s="13" t="n">
        <v>3</v>
      </c>
      <c r="R657" s="13" t="s">
        <v>117</v>
      </c>
      <c r="S657" s="13" t="s">
        <v>125</v>
      </c>
      <c r="T657" s="13" t="n">
        <v>1</v>
      </c>
      <c r="U657" s="13" t="n">
        <f aca="false">IF(B657="Individual",1,0)</f>
        <v>1</v>
      </c>
      <c r="V657" s="13" t="n">
        <f aca="false">IF(B657="Company",1,0)</f>
        <v>0</v>
      </c>
      <c r="W657" s="13" t="n">
        <f aca="false">IF(H657="Home",1,0)</f>
        <v>1</v>
      </c>
      <c r="X657" s="13" t="n">
        <f aca="false">IF(H657="Investment",1,0)</f>
        <v>0</v>
      </c>
      <c r="Y657" s="13" t="n">
        <f aca="false">IF(K657="Website",1,0)</f>
        <v>1</v>
      </c>
      <c r="Z657" s="13" t="n">
        <f aca="false">IF(K657="Agency",1,0)</f>
        <v>0</v>
      </c>
      <c r="AA657" s="13" t="n">
        <f aca="false">IF(K657="Client",1,0)</f>
        <v>0</v>
      </c>
      <c r="AB657" s="13" t="n">
        <f aca="false">(D657-AVERAGE(D$2:D$2001))/STDEV(D$2:D$2001)</f>
        <v>1.66431145275451</v>
      </c>
      <c r="AC657" s="13" t="n">
        <f aca="false">(I657-AVERAGE(I$2:I$2001))/STDEV(I$2:I$2001)</f>
        <v>1.39434968409451</v>
      </c>
      <c r="AD657" s="13" t="n">
        <f aca="false">(L657-AVERAGE(L$2:L$2001))/STDEV(L$2:L$2001)</f>
        <v>0.413838214490712</v>
      </c>
      <c r="AE657" s="13" t="n">
        <f aca="false">(M657-AVERAGE(M$2:M$2001))/STDEV(M$2:M$2001)</f>
        <v>1.01844973833953</v>
      </c>
      <c r="AF657" s="13" t="n">
        <f aca="false">(N657-AVERAGE(N$2:N$2001))/STDEV(N$2:N$2001)</f>
        <v>0.811308786247476</v>
      </c>
      <c r="AG657" s="13" t="n">
        <f aca="false">(O657-AVERAGE(O$2:O$2001))/STDEV(O$2:O$2001)</f>
        <v>0.551229565282238</v>
      </c>
      <c r="AH657" s="0" t="str">
        <f aca="false">IF(B657="Company","C3 - Corporate Buyers",IF(AND(H657="Investment",M657&gt;'Segmentation Summary'!$C$1),"C1 - Global Investors",IF(AND(I657&gt;=4,M657&gt;'Segmentation Summary'!$C$1),"C4 - Luxury Investors",IF(AND(D657&lt;'Segmentation Summary'!$C$2,J657=1),"C2 - First-Time Buyers","C5 - Other Individual Buyers"))))</f>
        <v>C4 - Luxury Investors</v>
      </c>
    </row>
    <row r="658" customFormat="false" ht="15" hidden="false" customHeight="true" outlineLevel="0" collapsed="false">
      <c r="A658" s="13" t="s">
        <v>1364</v>
      </c>
      <c r="B658" s="13" t="s">
        <v>34</v>
      </c>
      <c r="C658" s="13" t="s">
        <v>1365</v>
      </c>
      <c r="D658" s="13" t="n">
        <v>37</v>
      </c>
      <c r="E658" s="13" t="s">
        <v>90</v>
      </c>
      <c r="F658" s="13" t="s">
        <v>33</v>
      </c>
      <c r="G658" s="13" t="s">
        <v>145</v>
      </c>
      <c r="H658" s="13" t="s">
        <v>41</v>
      </c>
      <c r="I658" s="13" t="n">
        <v>1</v>
      </c>
      <c r="J658" s="13" t="n">
        <v>0</v>
      </c>
      <c r="K658" s="13" t="s">
        <v>85</v>
      </c>
      <c r="L658" s="13" t="n">
        <v>4</v>
      </c>
      <c r="M658" s="13" t="n">
        <v>1316025.35</v>
      </c>
      <c r="N658" s="13" t="n">
        <v>329006.3375</v>
      </c>
      <c r="O658" s="13" t="n">
        <v>1092.085</v>
      </c>
      <c r="P658" s="13" t="n">
        <v>0</v>
      </c>
      <c r="Q658" s="13" t="n">
        <v>4</v>
      </c>
      <c r="R658" s="13" t="s">
        <v>121</v>
      </c>
      <c r="S658" s="13" t="s">
        <v>141</v>
      </c>
      <c r="T658" s="13" t="n">
        <v>1</v>
      </c>
      <c r="U658" s="13" t="n">
        <f aca="false">IF(B658="Individual",1,0)</f>
        <v>1</v>
      </c>
      <c r="V658" s="13" t="n">
        <f aca="false">IF(B658="Company",1,0)</f>
        <v>0</v>
      </c>
      <c r="W658" s="13" t="n">
        <f aca="false">IF(H658="Home",1,0)</f>
        <v>1</v>
      </c>
      <c r="X658" s="13" t="n">
        <f aca="false">IF(H658="Investment",1,0)</f>
        <v>0</v>
      </c>
      <c r="Y658" s="13" t="n">
        <f aca="false">IF(K658="Website",1,0)</f>
        <v>1</v>
      </c>
      <c r="Z658" s="13" t="n">
        <f aca="false">IF(K658="Agency",1,0)</f>
        <v>0</v>
      </c>
      <c r="AA658" s="13" t="n">
        <f aca="false">IF(K658="Client",1,0)</f>
        <v>0</v>
      </c>
      <c r="AB658" s="13" t="n">
        <f aca="false">(D658-AVERAGE(D$2:D$2001))/STDEV(D$2:D$2001)</f>
        <v>-0.988161499700447</v>
      </c>
      <c r="AC658" s="13" t="n">
        <f aca="false">(I658-AVERAGE(I$2:I$2001))/STDEV(I$2:I$2001)</f>
        <v>-1.43538077576244</v>
      </c>
      <c r="AD658" s="13" t="n">
        <f aca="false">(L658-AVERAGE(L$2:L$2001))/STDEV(L$2:L$2001)</f>
        <v>0.413838214490712</v>
      </c>
      <c r="AE658" s="13" t="n">
        <f aca="false">(M658-AVERAGE(M$2:M$2001))/STDEV(M$2:M$2001)</f>
        <v>0.159991269336773</v>
      </c>
      <c r="AF658" s="13" t="n">
        <f aca="false">(N658-AVERAGE(N$2:N$2001))/STDEV(N$2:N$2001)</f>
        <v>-0.259368127490633</v>
      </c>
      <c r="AG658" s="13" t="n">
        <f aca="false">(O658-AVERAGE(O$2:O$2001))/STDEV(O$2:O$2001)</f>
        <v>-0.251882577228842</v>
      </c>
      <c r="AH658" s="0" t="str">
        <f aca="false">IF(B658="Company","C3 - Corporate Buyers",IF(AND(H658="Investment",M658&gt;'Segmentation Summary'!$C$1),"C1 - Global Investors",IF(AND(I658&gt;=4,M658&gt;'Segmentation Summary'!$C$1),"C4 - Luxury Investors",IF(AND(D658&lt;'Segmentation Summary'!$C$2,J658=1),"C2 - First-Time Buyers","C5 - Other Individual Buyers"))))</f>
        <v>C5 - Other Individual Buyers</v>
      </c>
    </row>
    <row r="659" customFormat="false" ht="15" hidden="false" customHeight="true" outlineLevel="0" collapsed="false">
      <c r="A659" s="13" t="s">
        <v>1366</v>
      </c>
      <c r="B659" s="13" t="s">
        <v>34</v>
      </c>
      <c r="C659" s="13" t="s">
        <v>1367</v>
      </c>
      <c r="D659" s="13" t="n">
        <v>29</v>
      </c>
      <c r="E659" s="13" t="s">
        <v>90</v>
      </c>
      <c r="F659" s="13" t="s">
        <v>33</v>
      </c>
      <c r="G659" s="13" t="s">
        <v>120</v>
      </c>
      <c r="H659" s="13" t="s">
        <v>41</v>
      </c>
      <c r="I659" s="13" t="n">
        <v>1</v>
      </c>
      <c r="J659" s="13" t="n">
        <v>0</v>
      </c>
      <c r="K659" s="13" t="s">
        <v>85</v>
      </c>
      <c r="L659" s="13" t="n">
        <v>3</v>
      </c>
      <c r="M659" s="13" t="n">
        <v>1327736.23</v>
      </c>
      <c r="N659" s="13" t="n">
        <v>442578.743333333</v>
      </c>
      <c r="O659" s="13" t="n">
        <v>1493.24333333333</v>
      </c>
      <c r="P659" s="13" t="n">
        <v>1</v>
      </c>
      <c r="Q659" s="13" t="n">
        <v>2</v>
      </c>
      <c r="R659" s="13" t="s">
        <v>215</v>
      </c>
      <c r="S659" s="13" t="s">
        <v>152</v>
      </c>
      <c r="T659" s="13" t="n">
        <v>1</v>
      </c>
      <c r="U659" s="13" t="n">
        <f aca="false">IF(B659="Individual",1,0)</f>
        <v>1</v>
      </c>
      <c r="V659" s="13" t="n">
        <f aca="false">IF(B659="Company",1,0)</f>
        <v>0</v>
      </c>
      <c r="W659" s="13" t="n">
        <f aca="false">IF(H659="Home",1,0)</f>
        <v>1</v>
      </c>
      <c r="X659" s="13" t="n">
        <f aca="false">IF(H659="Investment",1,0)</f>
        <v>0</v>
      </c>
      <c r="Y659" s="13" t="n">
        <f aca="false">IF(K659="Website",1,0)</f>
        <v>1</v>
      </c>
      <c r="Z659" s="13" t="n">
        <f aca="false">IF(K659="Agency",1,0)</f>
        <v>0</v>
      </c>
      <c r="AA659" s="13" t="n">
        <f aca="false">IF(K659="Client",1,0)</f>
        <v>0</v>
      </c>
      <c r="AB659" s="13" t="n">
        <f aca="false">(D659-AVERAGE(D$2:D$2001))/STDEV(D$2:D$2001)</f>
        <v>-1.44946114360566</v>
      </c>
      <c r="AC659" s="13" t="n">
        <f aca="false">(I659-AVERAGE(I$2:I$2001))/STDEV(I$2:I$2001)</f>
        <v>-1.43538077576244</v>
      </c>
      <c r="AD659" s="13" t="n">
        <f aca="false">(L659-AVERAGE(L$2:L$2001))/STDEV(L$2:L$2001)</f>
        <v>-0.777063122173208</v>
      </c>
      <c r="AE659" s="13" t="n">
        <f aca="false">(M659-AVERAGE(M$2:M$2001))/STDEV(M$2:M$2001)</f>
        <v>0.193659606215032</v>
      </c>
      <c r="AF659" s="13" t="n">
        <f aca="false">(N659-AVERAGE(N$2:N$2001))/STDEV(N$2:N$2001)</f>
        <v>1.36956816359386</v>
      </c>
      <c r="AG659" s="13" t="n">
        <f aca="false">(O659-AVERAGE(O$2:O$2001))/STDEV(O$2:O$2001)</f>
        <v>1.57220624820113</v>
      </c>
      <c r="AH659" s="0" t="str">
        <f aca="false">IF(B659="Company","C3 - Corporate Buyers",IF(AND(H659="Investment",M659&gt;'Segmentation Summary'!$C$1),"C1 - Global Investors",IF(AND(I659&gt;=4,M659&gt;'Segmentation Summary'!$C$1),"C4 - Luxury Investors",IF(AND(D659&lt;'Segmentation Summary'!$C$2,J659=1),"C2 - First-Time Buyers","C5 - Other Individual Buyers"))))</f>
        <v>C5 - Other Individual Buyers</v>
      </c>
    </row>
    <row r="660" customFormat="false" ht="15" hidden="false" customHeight="true" outlineLevel="0" collapsed="false">
      <c r="A660" s="13" t="s">
        <v>1368</v>
      </c>
      <c r="B660" s="13" t="s">
        <v>34</v>
      </c>
      <c r="C660" s="13" t="s">
        <v>1369</v>
      </c>
      <c r="D660" s="13" t="n">
        <v>27</v>
      </c>
      <c r="E660" s="13" t="s">
        <v>90</v>
      </c>
      <c r="F660" s="13" t="s">
        <v>33</v>
      </c>
      <c r="G660" s="13" t="s">
        <v>95</v>
      </c>
      <c r="H660" s="13" t="s">
        <v>43</v>
      </c>
      <c r="I660" s="13" t="n">
        <v>1</v>
      </c>
      <c r="J660" s="13" t="n">
        <v>0</v>
      </c>
      <c r="K660" s="13" t="s">
        <v>85</v>
      </c>
      <c r="L660" s="13" t="n">
        <v>4</v>
      </c>
      <c r="M660" s="13" t="n">
        <v>973863.8</v>
      </c>
      <c r="N660" s="13" t="n">
        <v>243465.95</v>
      </c>
      <c r="O660" s="13" t="n">
        <v>858.9825</v>
      </c>
      <c r="P660" s="13" t="n">
        <v>1</v>
      </c>
      <c r="Q660" s="13" t="n">
        <v>3</v>
      </c>
      <c r="R660" s="13" t="s">
        <v>92</v>
      </c>
      <c r="S660" s="13" t="s">
        <v>164</v>
      </c>
      <c r="T660" s="13" t="n">
        <v>1</v>
      </c>
      <c r="U660" s="13" t="n">
        <f aca="false">IF(B660="Individual",1,0)</f>
        <v>1</v>
      </c>
      <c r="V660" s="13" t="n">
        <f aca="false">IF(B660="Company",1,0)</f>
        <v>0</v>
      </c>
      <c r="W660" s="13" t="n">
        <f aca="false">IF(H660="Home",1,0)</f>
        <v>0</v>
      </c>
      <c r="X660" s="13" t="n">
        <f aca="false">IF(H660="Investment",1,0)</f>
        <v>1</v>
      </c>
      <c r="Y660" s="13" t="n">
        <f aca="false">IF(K660="Website",1,0)</f>
        <v>1</v>
      </c>
      <c r="Z660" s="13" t="n">
        <f aca="false">IF(K660="Agency",1,0)</f>
        <v>0</v>
      </c>
      <c r="AA660" s="13" t="n">
        <f aca="false">IF(K660="Client",1,0)</f>
        <v>0</v>
      </c>
      <c r="AB660" s="13" t="n">
        <f aca="false">(D660-AVERAGE(D$2:D$2001))/STDEV(D$2:D$2001)</f>
        <v>-1.56478605458196</v>
      </c>
      <c r="AC660" s="13" t="n">
        <f aca="false">(I660-AVERAGE(I$2:I$2001))/STDEV(I$2:I$2001)</f>
        <v>-1.43538077576244</v>
      </c>
      <c r="AD660" s="13" t="n">
        <f aca="false">(L660-AVERAGE(L$2:L$2001))/STDEV(L$2:L$2001)</f>
        <v>0.413838214490712</v>
      </c>
      <c r="AE660" s="13" t="n">
        <f aca="false">(M660-AVERAGE(M$2:M$2001))/STDEV(M$2:M$2001)</f>
        <v>-0.823710240044872</v>
      </c>
      <c r="AF660" s="13" t="n">
        <f aca="false">(N660-AVERAGE(N$2:N$2001))/STDEV(N$2:N$2001)</f>
        <v>-1.48624925702012</v>
      </c>
      <c r="AG660" s="13" t="n">
        <f aca="false">(O660-AVERAGE(O$2:O$2001))/STDEV(O$2:O$2001)</f>
        <v>-1.31181236080505</v>
      </c>
      <c r="AH660" s="0" t="str">
        <f aca="false">IF(B660="Company","C3 - Corporate Buyers",IF(AND(H660="Investment",M660&gt;'Segmentation Summary'!$C$1),"C1 - Global Investors",IF(AND(I660&gt;=4,M660&gt;'Segmentation Summary'!$C$1),"C4 - Luxury Investors",IF(AND(D660&lt;'Segmentation Summary'!$C$2,J660=1),"C2 - First-Time Buyers","C5 - Other Individual Buyers"))))</f>
        <v>C5 - Other Individual Buyers</v>
      </c>
    </row>
    <row r="661" customFormat="false" ht="15" hidden="false" customHeight="true" outlineLevel="0" collapsed="false">
      <c r="A661" s="13" t="s">
        <v>1370</v>
      </c>
      <c r="B661" s="13" t="s">
        <v>34</v>
      </c>
      <c r="C661" s="13" t="s">
        <v>1371</v>
      </c>
      <c r="D661" s="13" t="n">
        <v>66</v>
      </c>
      <c r="E661" s="13" t="s">
        <v>90</v>
      </c>
      <c r="F661" s="13" t="s">
        <v>37</v>
      </c>
      <c r="G661" s="13" t="s">
        <v>572</v>
      </c>
      <c r="H661" s="13" t="s">
        <v>43</v>
      </c>
      <c r="I661" s="13" t="n">
        <v>1</v>
      </c>
      <c r="J661" s="13" t="n">
        <v>0</v>
      </c>
      <c r="K661" s="13" t="s">
        <v>91</v>
      </c>
      <c r="L661" s="13" t="n">
        <v>3</v>
      </c>
      <c r="M661" s="13" t="n">
        <v>965772.74</v>
      </c>
      <c r="N661" s="13" t="n">
        <v>321924.246666667</v>
      </c>
      <c r="O661" s="13" t="n">
        <v>1082.89666666667</v>
      </c>
      <c r="P661" s="13" t="n">
        <v>0</v>
      </c>
      <c r="Q661" s="13" t="n">
        <v>3</v>
      </c>
      <c r="R661" s="13" t="s">
        <v>117</v>
      </c>
      <c r="S661" s="13" t="s">
        <v>107</v>
      </c>
      <c r="T661" s="13" t="n">
        <v>1</v>
      </c>
      <c r="U661" s="13" t="n">
        <f aca="false">IF(B661="Individual",1,0)</f>
        <v>1</v>
      </c>
      <c r="V661" s="13" t="n">
        <f aca="false">IF(B661="Company",1,0)</f>
        <v>0</v>
      </c>
      <c r="W661" s="13" t="n">
        <f aca="false">IF(H661="Home",1,0)</f>
        <v>0</v>
      </c>
      <c r="X661" s="13" t="n">
        <f aca="false">IF(H661="Investment",1,0)</f>
        <v>1</v>
      </c>
      <c r="Y661" s="13" t="n">
        <f aca="false">IF(K661="Website",1,0)</f>
        <v>0</v>
      </c>
      <c r="Z661" s="13" t="n">
        <f aca="false">IF(K661="Agency",1,0)</f>
        <v>1</v>
      </c>
      <c r="AA661" s="13" t="n">
        <f aca="false">IF(K661="Client",1,0)</f>
        <v>0</v>
      </c>
      <c r="AB661" s="13" t="n">
        <f aca="false">(D661-AVERAGE(D$2:D$2001))/STDEV(D$2:D$2001)</f>
        <v>0.684049709455938</v>
      </c>
      <c r="AC661" s="13" t="n">
        <f aca="false">(I661-AVERAGE(I$2:I$2001))/STDEV(I$2:I$2001)</f>
        <v>-1.43538077576244</v>
      </c>
      <c r="AD661" s="13" t="n">
        <f aca="false">(L661-AVERAGE(L$2:L$2001))/STDEV(L$2:L$2001)</f>
        <v>-0.777063122173208</v>
      </c>
      <c r="AE661" s="13" t="n">
        <f aca="false">(M661-AVERAGE(M$2:M$2001))/STDEV(M$2:M$2001)</f>
        <v>-0.846971731391569</v>
      </c>
      <c r="AF661" s="13" t="n">
        <f aca="false">(N661-AVERAGE(N$2:N$2001))/STDEV(N$2:N$2001)</f>
        <v>-0.360944515615248</v>
      </c>
      <c r="AG661" s="13" t="n">
        <f aca="false">(O661-AVERAGE(O$2:O$2001))/STDEV(O$2:O$2001)</f>
        <v>-0.293662430132275</v>
      </c>
      <c r="AH661" s="0" t="str">
        <f aca="false">IF(B661="Company","C3 - Corporate Buyers",IF(AND(H661="Investment",M661&gt;'Segmentation Summary'!$C$1),"C1 - Global Investors",IF(AND(I661&gt;=4,M661&gt;'Segmentation Summary'!$C$1),"C4 - Luxury Investors",IF(AND(D661&lt;'Segmentation Summary'!$C$2,J661=1),"C2 - First-Time Buyers","C5 - Other Individual Buyers"))))</f>
        <v>C5 - Other Individual Buyers</v>
      </c>
    </row>
    <row r="662" customFormat="false" ht="15" hidden="false" customHeight="true" outlineLevel="0" collapsed="false">
      <c r="A662" s="13" t="s">
        <v>1372</v>
      </c>
      <c r="B662" s="13" t="s">
        <v>34</v>
      </c>
      <c r="C662" s="13" t="s">
        <v>1373</v>
      </c>
      <c r="D662" s="13" t="n">
        <v>58</v>
      </c>
      <c r="E662" s="13" t="s">
        <v>90</v>
      </c>
      <c r="F662" s="13" t="s">
        <v>33</v>
      </c>
      <c r="G662" s="13" t="s">
        <v>110</v>
      </c>
      <c r="H662" s="13" t="s">
        <v>41</v>
      </c>
      <c r="I662" s="13" t="n">
        <v>3</v>
      </c>
      <c r="J662" s="13" t="n">
        <v>0</v>
      </c>
      <c r="K662" s="13" t="s">
        <v>91</v>
      </c>
      <c r="L662" s="13" t="n">
        <v>3</v>
      </c>
      <c r="M662" s="13" t="n">
        <v>772950.17</v>
      </c>
      <c r="N662" s="13" t="n">
        <v>257650.056666667</v>
      </c>
      <c r="O662" s="13" t="n">
        <v>915.636666666667</v>
      </c>
      <c r="P662" s="13" t="n">
        <v>0</v>
      </c>
      <c r="Q662" s="13" t="n">
        <v>3</v>
      </c>
      <c r="R662" s="13" t="s">
        <v>117</v>
      </c>
      <c r="S662" s="13" t="s">
        <v>164</v>
      </c>
      <c r="T662" s="13" t="n">
        <v>1</v>
      </c>
      <c r="U662" s="13" t="n">
        <f aca="false">IF(B662="Individual",1,0)</f>
        <v>1</v>
      </c>
      <c r="V662" s="13" t="n">
        <f aca="false">IF(B662="Company",1,0)</f>
        <v>0</v>
      </c>
      <c r="W662" s="13" t="n">
        <f aca="false">IF(H662="Home",1,0)</f>
        <v>1</v>
      </c>
      <c r="X662" s="13" t="n">
        <f aca="false">IF(H662="Investment",1,0)</f>
        <v>0</v>
      </c>
      <c r="Y662" s="13" t="n">
        <f aca="false">IF(K662="Website",1,0)</f>
        <v>0</v>
      </c>
      <c r="Z662" s="13" t="n">
        <f aca="false">IF(K662="Agency",1,0)</f>
        <v>1</v>
      </c>
      <c r="AA662" s="13" t="n">
        <f aca="false">IF(K662="Client",1,0)</f>
        <v>0</v>
      </c>
      <c r="AB662" s="13" t="n">
        <f aca="false">(D662-AVERAGE(D$2:D$2001))/STDEV(D$2:D$2001)</f>
        <v>0.222750065550728</v>
      </c>
      <c r="AC662" s="13" t="n">
        <f aca="false">(I662-AVERAGE(I$2:I$2001))/STDEV(I$2:I$2001)</f>
        <v>-0.0205155458339628</v>
      </c>
      <c r="AD662" s="13" t="n">
        <f aca="false">(L662-AVERAGE(L$2:L$2001))/STDEV(L$2:L$2001)</f>
        <v>-0.777063122173208</v>
      </c>
      <c r="AE662" s="13" t="n">
        <f aca="false">(M662-AVERAGE(M$2:M$2001))/STDEV(M$2:M$2001)</f>
        <v>-1.40132932403121</v>
      </c>
      <c r="AF662" s="13" t="n">
        <f aca="false">(N662-AVERAGE(N$2:N$2001))/STDEV(N$2:N$2001)</f>
        <v>-1.28281070223724</v>
      </c>
      <c r="AG662" s="13" t="n">
        <f aca="false">(O662-AVERAGE(O$2:O$2001))/STDEV(O$2:O$2001)</f>
        <v>-1.05420277440554</v>
      </c>
      <c r="AH662" s="0" t="str">
        <f aca="false">IF(B662="Company","C3 - Corporate Buyers",IF(AND(H662="Investment",M662&gt;'Segmentation Summary'!$C$1),"C1 - Global Investors",IF(AND(I662&gt;=4,M662&gt;'Segmentation Summary'!$C$1),"C4 - Luxury Investors",IF(AND(D662&lt;'Segmentation Summary'!$C$2,J662=1),"C2 - First-Time Buyers","C5 - Other Individual Buyers"))))</f>
        <v>C5 - Other Individual Buyers</v>
      </c>
    </row>
    <row r="663" customFormat="false" ht="15" hidden="false" customHeight="true" outlineLevel="0" collapsed="false">
      <c r="A663" s="13" t="s">
        <v>1374</v>
      </c>
      <c r="B663" s="13" t="s">
        <v>34</v>
      </c>
      <c r="C663" s="13" t="s">
        <v>1375</v>
      </c>
      <c r="D663" s="13" t="n">
        <v>48</v>
      </c>
      <c r="E663" s="13" t="s">
        <v>90</v>
      </c>
      <c r="F663" s="13" t="s">
        <v>33</v>
      </c>
      <c r="G663" s="13" t="s">
        <v>95</v>
      </c>
      <c r="H663" s="13" t="s">
        <v>41</v>
      </c>
      <c r="I663" s="13" t="n">
        <v>1</v>
      </c>
      <c r="J663" s="13" t="n">
        <v>0</v>
      </c>
      <c r="K663" s="13" t="s">
        <v>85</v>
      </c>
      <c r="L663" s="13" t="n">
        <v>4</v>
      </c>
      <c r="M663" s="13" t="n">
        <v>1911300.78</v>
      </c>
      <c r="N663" s="13" t="n">
        <v>477825.195</v>
      </c>
      <c r="O663" s="13" t="n">
        <v>1510.65</v>
      </c>
      <c r="P663" s="13" t="n">
        <v>0</v>
      </c>
      <c r="Q663" s="13" t="n">
        <v>4</v>
      </c>
      <c r="R663" s="13" t="s">
        <v>121</v>
      </c>
      <c r="S663" s="13" t="s">
        <v>154</v>
      </c>
      <c r="T663" s="13" t="n">
        <v>1</v>
      </c>
      <c r="U663" s="13" t="n">
        <f aca="false">IF(B663="Individual",1,0)</f>
        <v>1</v>
      </c>
      <c r="V663" s="13" t="n">
        <f aca="false">IF(B663="Company",1,0)</f>
        <v>0</v>
      </c>
      <c r="W663" s="13" t="n">
        <f aca="false">IF(H663="Home",1,0)</f>
        <v>1</v>
      </c>
      <c r="X663" s="13" t="n">
        <f aca="false">IF(H663="Investment",1,0)</f>
        <v>0</v>
      </c>
      <c r="Y663" s="13" t="n">
        <f aca="false">IF(K663="Website",1,0)</f>
        <v>1</v>
      </c>
      <c r="Z663" s="13" t="n">
        <f aca="false">IF(K663="Agency",1,0)</f>
        <v>0</v>
      </c>
      <c r="AA663" s="13" t="n">
        <f aca="false">IF(K663="Client",1,0)</f>
        <v>0</v>
      </c>
      <c r="AB663" s="13" t="n">
        <f aca="false">(D663-AVERAGE(D$2:D$2001))/STDEV(D$2:D$2001)</f>
        <v>-0.353874489330784</v>
      </c>
      <c r="AC663" s="13" t="n">
        <f aca="false">(I663-AVERAGE(I$2:I$2001))/STDEV(I$2:I$2001)</f>
        <v>-1.43538077576244</v>
      </c>
      <c r="AD663" s="13" t="n">
        <f aca="false">(L663-AVERAGE(L$2:L$2001))/STDEV(L$2:L$2001)</f>
        <v>0.413838214490712</v>
      </c>
      <c r="AE663" s="13" t="n">
        <f aca="false">(M663-AVERAGE(M$2:M$2001))/STDEV(M$2:M$2001)</f>
        <v>1.87138560627734</v>
      </c>
      <c r="AF663" s="13" t="n">
        <f aca="false">(N663-AVERAGE(N$2:N$2001))/STDEV(N$2:N$2001)</f>
        <v>1.87509786361663</v>
      </c>
      <c r="AG663" s="13" t="n">
        <f aca="false">(O663-AVERAGE(O$2:O$2001))/STDEV(O$2:O$2001)</f>
        <v>1.65135531109315</v>
      </c>
      <c r="AH663" s="0" t="str">
        <f aca="false">IF(B663="Company","C3 - Corporate Buyers",IF(AND(H663="Investment",M663&gt;'Segmentation Summary'!$C$1),"C1 - Global Investors",IF(AND(I663&gt;=4,M663&gt;'Segmentation Summary'!$C$1),"C4 - Luxury Investors",IF(AND(D663&lt;'Segmentation Summary'!$C$2,J663=1),"C2 - First-Time Buyers","C5 - Other Individual Buyers"))))</f>
        <v>C5 - Other Individual Buyers</v>
      </c>
    </row>
    <row r="664" customFormat="false" ht="15" hidden="false" customHeight="true" outlineLevel="0" collapsed="false">
      <c r="A664" s="13" t="s">
        <v>1376</v>
      </c>
      <c r="B664" s="13" t="s">
        <v>34</v>
      </c>
      <c r="C664" s="13" t="s">
        <v>1377</v>
      </c>
      <c r="D664" s="13" t="n">
        <v>70</v>
      </c>
      <c r="E664" s="13" t="s">
        <v>90</v>
      </c>
      <c r="F664" s="13" t="s">
        <v>33</v>
      </c>
      <c r="G664" s="13" t="s">
        <v>84</v>
      </c>
      <c r="H664" s="13" t="s">
        <v>43</v>
      </c>
      <c r="I664" s="13" t="n">
        <v>5</v>
      </c>
      <c r="J664" s="13" t="n">
        <v>1</v>
      </c>
      <c r="K664" s="13" t="s">
        <v>85</v>
      </c>
      <c r="L664" s="13" t="n">
        <v>3</v>
      </c>
      <c r="M664" s="13" t="n">
        <v>1292367.93</v>
      </c>
      <c r="N664" s="13" t="n">
        <v>430789.31</v>
      </c>
      <c r="O664" s="13" t="n">
        <v>1240.60666666667</v>
      </c>
      <c r="P664" s="13" t="n">
        <v>0</v>
      </c>
      <c r="Q664" s="13" t="n">
        <v>3</v>
      </c>
      <c r="R664" s="13" t="s">
        <v>92</v>
      </c>
      <c r="S664" s="13" t="s">
        <v>125</v>
      </c>
      <c r="T664" s="13" t="n">
        <v>1</v>
      </c>
      <c r="U664" s="13" t="n">
        <f aca="false">IF(B664="Individual",1,0)</f>
        <v>1</v>
      </c>
      <c r="V664" s="13" t="n">
        <f aca="false">IF(B664="Company",1,0)</f>
        <v>0</v>
      </c>
      <c r="W664" s="13" t="n">
        <f aca="false">IF(H664="Home",1,0)</f>
        <v>0</v>
      </c>
      <c r="X664" s="13" t="n">
        <f aca="false">IF(H664="Investment",1,0)</f>
        <v>1</v>
      </c>
      <c r="Y664" s="13" t="n">
        <f aca="false">IF(K664="Website",1,0)</f>
        <v>1</v>
      </c>
      <c r="Z664" s="13" t="n">
        <f aca="false">IF(K664="Agency",1,0)</f>
        <v>0</v>
      </c>
      <c r="AA664" s="13" t="n">
        <f aca="false">IF(K664="Client",1,0)</f>
        <v>0</v>
      </c>
      <c r="AB664" s="13" t="n">
        <f aca="false">(D664-AVERAGE(D$2:D$2001))/STDEV(D$2:D$2001)</f>
        <v>0.914699531408543</v>
      </c>
      <c r="AC664" s="13" t="n">
        <f aca="false">(I664-AVERAGE(I$2:I$2001))/STDEV(I$2:I$2001)</f>
        <v>1.39434968409451</v>
      </c>
      <c r="AD664" s="13" t="n">
        <f aca="false">(L664-AVERAGE(L$2:L$2001))/STDEV(L$2:L$2001)</f>
        <v>-0.777063122173208</v>
      </c>
      <c r="AE664" s="13" t="n">
        <f aca="false">(M664-AVERAGE(M$2:M$2001))/STDEV(M$2:M$2001)</f>
        <v>0.091977081997267</v>
      </c>
      <c r="AF664" s="13" t="n">
        <f aca="false">(N664-AVERAGE(N$2:N$2001))/STDEV(N$2:N$2001)</f>
        <v>1.2004757184081</v>
      </c>
      <c r="AG664" s="13" t="n">
        <f aca="false">(O664-AVERAGE(O$2:O$2001))/STDEV(O$2:O$2001)</f>
        <v>0.423453543174763</v>
      </c>
      <c r="AH664" s="0" t="str">
        <f aca="false">IF(B664="Company","C3 - Corporate Buyers",IF(AND(H664="Investment",M664&gt;'Segmentation Summary'!$C$1),"C1 - Global Investors",IF(AND(I664&gt;=4,M664&gt;'Segmentation Summary'!$C$1),"C4 - Luxury Investors",IF(AND(D664&lt;'Segmentation Summary'!$C$2,J664=1),"C2 - First-Time Buyers","C5 - Other Individual Buyers"))))</f>
        <v>C1 - Global Investors</v>
      </c>
    </row>
    <row r="665" customFormat="false" ht="15" hidden="false" customHeight="true" outlineLevel="0" collapsed="false">
      <c r="A665" s="13" t="s">
        <v>1378</v>
      </c>
      <c r="B665" s="13" t="s">
        <v>34</v>
      </c>
      <c r="C665" s="13" t="s">
        <v>1377</v>
      </c>
      <c r="D665" s="13" t="n">
        <v>36</v>
      </c>
      <c r="E665" s="13" t="s">
        <v>90</v>
      </c>
      <c r="F665" s="13" t="s">
        <v>33</v>
      </c>
      <c r="G665" s="13" t="s">
        <v>95</v>
      </c>
      <c r="H665" s="13" t="s">
        <v>41</v>
      </c>
      <c r="I665" s="13" t="n">
        <v>4</v>
      </c>
      <c r="J665" s="13" t="n">
        <v>0</v>
      </c>
      <c r="K665" s="13" t="s">
        <v>85</v>
      </c>
      <c r="L665" s="13" t="n">
        <v>4</v>
      </c>
      <c r="M665" s="13" t="n">
        <v>1558670.83</v>
      </c>
      <c r="N665" s="13" t="n">
        <v>389667.7075</v>
      </c>
      <c r="O665" s="13" t="n">
        <v>1313.38</v>
      </c>
      <c r="P665" s="13" t="n">
        <v>1</v>
      </c>
      <c r="Q665" s="13" t="n">
        <v>3</v>
      </c>
      <c r="R665" s="13" t="s">
        <v>98</v>
      </c>
      <c r="S665" s="13" t="s">
        <v>133</v>
      </c>
      <c r="T665" s="13" t="n">
        <v>1</v>
      </c>
      <c r="U665" s="13" t="n">
        <f aca="false">IF(B665="Individual",1,0)</f>
        <v>1</v>
      </c>
      <c r="V665" s="13" t="n">
        <f aca="false">IF(B665="Company",1,0)</f>
        <v>0</v>
      </c>
      <c r="W665" s="13" t="n">
        <f aca="false">IF(H665="Home",1,0)</f>
        <v>1</v>
      </c>
      <c r="X665" s="13" t="n">
        <f aca="false">IF(H665="Investment",1,0)</f>
        <v>0</v>
      </c>
      <c r="Y665" s="13" t="n">
        <f aca="false">IF(K665="Website",1,0)</f>
        <v>1</v>
      </c>
      <c r="Z665" s="13" t="n">
        <f aca="false">IF(K665="Agency",1,0)</f>
        <v>0</v>
      </c>
      <c r="AA665" s="13" t="n">
        <f aca="false">IF(K665="Client",1,0)</f>
        <v>0</v>
      </c>
      <c r="AB665" s="13" t="n">
        <f aca="false">(D665-AVERAGE(D$2:D$2001))/STDEV(D$2:D$2001)</f>
        <v>-1.0458239551886</v>
      </c>
      <c r="AC665" s="13" t="n">
        <f aca="false">(I665-AVERAGE(I$2:I$2001))/STDEV(I$2:I$2001)</f>
        <v>0.686917069130275</v>
      </c>
      <c r="AD665" s="13" t="n">
        <f aca="false">(L665-AVERAGE(L$2:L$2001))/STDEV(L$2:L$2001)</f>
        <v>0.413838214490712</v>
      </c>
      <c r="AE665" s="13" t="n">
        <f aca="false">(M665-AVERAGE(M$2:M$2001))/STDEV(M$2:M$2001)</f>
        <v>0.857587843003901</v>
      </c>
      <c r="AF665" s="13" t="n">
        <f aca="false">(N665-AVERAGE(N$2:N$2001))/STDEV(N$2:N$2001)</f>
        <v>0.610680422902079</v>
      </c>
      <c r="AG665" s="13" t="n">
        <f aca="false">(O665-AVERAGE(O$2:O$2001))/STDEV(O$2:O$2001)</f>
        <v>0.754357859731282</v>
      </c>
      <c r="AH665" s="0" t="str">
        <f aca="false">IF(B665="Company","C3 - Corporate Buyers",IF(AND(H665="Investment",M665&gt;'Segmentation Summary'!$C$1),"C1 - Global Investors",IF(AND(I665&gt;=4,M665&gt;'Segmentation Summary'!$C$1),"C4 - Luxury Investors",IF(AND(D665&lt;'Segmentation Summary'!$C$2,J665=1),"C2 - First-Time Buyers","C5 - Other Individual Buyers"))))</f>
        <v>C4 - Luxury Investors</v>
      </c>
    </row>
    <row r="666" customFormat="false" ht="15" hidden="false" customHeight="true" outlineLevel="0" collapsed="false">
      <c r="A666" s="13" t="s">
        <v>1379</v>
      </c>
      <c r="B666" s="13" t="s">
        <v>34</v>
      </c>
      <c r="C666" s="13" t="s">
        <v>1380</v>
      </c>
      <c r="D666" s="13" t="n">
        <v>31</v>
      </c>
      <c r="E666" s="13" t="s">
        <v>90</v>
      </c>
      <c r="F666" s="13" t="s">
        <v>33</v>
      </c>
      <c r="G666" s="13" t="s">
        <v>100</v>
      </c>
      <c r="H666" s="13" t="s">
        <v>41</v>
      </c>
      <c r="I666" s="13" t="n">
        <v>5</v>
      </c>
      <c r="J666" s="13" t="n">
        <v>1</v>
      </c>
      <c r="K666" s="13" t="s">
        <v>85</v>
      </c>
      <c r="L666" s="13" t="n">
        <v>3</v>
      </c>
      <c r="M666" s="13" t="n">
        <v>877477.72</v>
      </c>
      <c r="N666" s="13" t="n">
        <v>292492.573333333</v>
      </c>
      <c r="O666" s="13" t="n">
        <v>927.606666666667</v>
      </c>
      <c r="P666" s="13" t="n">
        <v>0</v>
      </c>
      <c r="Q666" s="13" t="n">
        <v>3</v>
      </c>
      <c r="R666" s="13" t="s">
        <v>124</v>
      </c>
      <c r="S666" s="13" t="s">
        <v>215</v>
      </c>
      <c r="T666" s="13" t="n">
        <v>1</v>
      </c>
      <c r="U666" s="13" t="n">
        <f aca="false">IF(B666="Individual",1,0)</f>
        <v>1</v>
      </c>
      <c r="V666" s="13" t="n">
        <f aca="false">IF(B666="Company",1,0)</f>
        <v>0</v>
      </c>
      <c r="W666" s="13" t="n">
        <f aca="false">IF(H666="Home",1,0)</f>
        <v>1</v>
      </c>
      <c r="X666" s="13" t="n">
        <f aca="false">IF(H666="Investment",1,0)</f>
        <v>0</v>
      </c>
      <c r="Y666" s="13" t="n">
        <f aca="false">IF(K666="Website",1,0)</f>
        <v>1</v>
      </c>
      <c r="Z666" s="13" t="n">
        <f aca="false">IF(K666="Agency",1,0)</f>
        <v>0</v>
      </c>
      <c r="AA666" s="13" t="n">
        <f aca="false">IF(K666="Client",1,0)</f>
        <v>0</v>
      </c>
      <c r="AB666" s="13" t="n">
        <f aca="false">(D666-AVERAGE(D$2:D$2001))/STDEV(D$2:D$2001)</f>
        <v>-1.33413623262935</v>
      </c>
      <c r="AC666" s="13" t="n">
        <f aca="false">(I666-AVERAGE(I$2:I$2001))/STDEV(I$2:I$2001)</f>
        <v>1.39434968409451</v>
      </c>
      <c r="AD666" s="13" t="n">
        <f aca="false">(L666-AVERAGE(L$2:L$2001))/STDEV(L$2:L$2001)</f>
        <v>-0.777063122173208</v>
      </c>
      <c r="AE666" s="13" t="n">
        <f aca="false">(M666-AVERAGE(M$2:M$2001))/STDEV(M$2:M$2001)</f>
        <v>-1.10081657294341</v>
      </c>
      <c r="AF666" s="13" t="n">
        <f aca="false">(N666-AVERAGE(N$2:N$2001))/STDEV(N$2:N$2001)</f>
        <v>-0.783074525525988</v>
      </c>
      <c r="AG666" s="13" t="n">
        <f aca="false">(O666-AVERAGE(O$2:O$2001))/STDEV(O$2:O$2001)</f>
        <v>-0.999774531424851</v>
      </c>
      <c r="AH666" s="0" t="str">
        <f aca="false">IF(B666="Company","C3 - Corporate Buyers",IF(AND(H666="Investment",M666&gt;'Segmentation Summary'!$C$1),"C1 - Global Investors",IF(AND(I666&gt;=4,M666&gt;'Segmentation Summary'!$C$1),"C4 - Luxury Investors",IF(AND(D666&lt;'Segmentation Summary'!$C$2,J666=1),"C2 - First-Time Buyers","C5 - Other Individual Buyers"))))</f>
        <v>C2 - First-Time Buyers</v>
      </c>
    </row>
    <row r="667" customFormat="false" ht="15" hidden="false" customHeight="true" outlineLevel="0" collapsed="false">
      <c r="A667" s="13" t="s">
        <v>1381</v>
      </c>
      <c r="B667" s="13" t="s">
        <v>34</v>
      </c>
      <c r="C667" s="13" t="s">
        <v>1382</v>
      </c>
      <c r="D667" s="13" t="n">
        <v>38</v>
      </c>
      <c r="E667" s="13" t="s">
        <v>90</v>
      </c>
      <c r="F667" s="13" t="s">
        <v>33</v>
      </c>
      <c r="G667" s="13" t="s">
        <v>157</v>
      </c>
      <c r="H667" s="13" t="s">
        <v>43</v>
      </c>
      <c r="I667" s="13" t="n">
        <v>1</v>
      </c>
      <c r="J667" s="13" t="n">
        <v>0</v>
      </c>
      <c r="K667" s="13" t="s">
        <v>91</v>
      </c>
      <c r="L667" s="13" t="n">
        <v>3</v>
      </c>
      <c r="M667" s="13" t="n">
        <v>822999.76</v>
      </c>
      <c r="N667" s="13" t="n">
        <v>274333.253333333</v>
      </c>
      <c r="O667" s="13" t="n">
        <v>941.21</v>
      </c>
      <c r="P667" s="13" t="n">
        <v>0</v>
      </c>
      <c r="Q667" s="13" t="n">
        <v>3</v>
      </c>
      <c r="R667" s="13" t="s">
        <v>86</v>
      </c>
      <c r="S667" s="13" t="s">
        <v>152</v>
      </c>
      <c r="T667" s="13" t="n">
        <v>1</v>
      </c>
      <c r="U667" s="13" t="n">
        <f aca="false">IF(B667="Individual",1,0)</f>
        <v>1</v>
      </c>
      <c r="V667" s="13" t="n">
        <f aca="false">IF(B667="Company",1,0)</f>
        <v>0</v>
      </c>
      <c r="W667" s="13" t="n">
        <f aca="false">IF(H667="Home",1,0)</f>
        <v>0</v>
      </c>
      <c r="X667" s="13" t="n">
        <f aca="false">IF(H667="Investment",1,0)</f>
        <v>1</v>
      </c>
      <c r="Y667" s="13" t="n">
        <f aca="false">IF(K667="Website",1,0)</f>
        <v>0</v>
      </c>
      <c r="Z667" s="13" t="n">
        <f aca="false">IF(K667="Agency",1,0)</f>
        <v>1</v>
      </c>
      <c r="AA667" s="13" t="n">
        <f aca="false">IF(K667="Client",1,0)</f>
        <v>0</v>
      </c>
      <c r="AB667" s="13" t="n">
        <f aca="false">(D667-AVERAGE(D$2:D$2001))/STDEV(D$2:D$2001)</f>
        <v>-0.930499044212296</v>
      </c>
      <c r="AC667" s="13" t="n">
        <f aca="false">(I667-AVERAGE(I$2:I$2001))/STDEV(I$2:I$2001)</f>
        <v>-1.43538077576244</v>
      </c>
      <c r="AD667" s="13" t="n">
        <f aca="false">(L667-AVERAGE(L$2:L$2001))/STDEV(L$2:L$2001)</f>
        <v>-0.777063122173208</v>
      </c>
      <c r="AE667" s="13" t="n">
        <f aca="false">(M667-AVERAGE(M$2:M$2001))/STDEV(M$2:M$2001)</f>
        <v>-1.25743864658095</v>
      </c>
      <c r="AF667" s="13" t="n">
        <f aca="false">(N667-AVERAGE(N$2:N$2001))/STDEV(N$2:N$2001)</f>
        <v>-1.04352841969484</v>
      </c>
      <c r="AG667" s="13" t="n">
        <f aca="false">(O667-AVERAGE(O$2:O$2001))/STDEV(O$2:O$2001)</f>
        <v>-0.937919432676812</v>
      </c>
      <c r="AH667" s="0" t="str">
        <f aca="false">IF(B667="Company","C3 - Corporate Buyers",IF(AND(H667="Investment",M667&gt;'Segmentation Summary'!$C$1),"C1 - Global Investors",IF(AND(I667&gt;=4,M667&gt;'Segmentation Summary'!$C$1),"C4 - Luxury Investors",IF(AND(D667&lt;'Segmentation Summary'!$C$2,J667=1),"C2 - First-Time Buyers","C5 - Other Individual Buyers"))))</f>
        <v>C5 - Other Individual Buyers</v>
      </c>
    </row>
    <row r="668" customFormat="false" ht="15" hidden="false" customHeight="true" outlineLevel="0" collapsed="false">
      <c r="A668" s="13" t="s">
        <v>1383</v>
      </c>
      <c r="B668" s="13" t="s">
        <v>34</v>
      </c>
      <c r="C668" s="13" t="s">
        <v>1384</v>
      </c>
      <c r="D668" s="13" t="n">
        <v>34</v>
      </c>
      <c r="E668" s="13" t="s">
        <v>90</v>
      </c>
      <c r="F668" s="13" t="s">
        <v>33</v>
      </c>
      <c r="G668" s="13" t="s">
        <v>157</v>
      </c>
      <c r="H668" s="13" t="s">
        <v>41</v>
      </c>
      <c r="I668" s="13" t="n">
        <v>4</v>
      </c>
      <c r="J668" s="13" t="n">
        <v>0</v>
      </c>
      <c r="K668" s="13" t="s">
        <v>85</v>
      </c>
      <c r="L668" s="13" t="n">
        <v>3</v>
      </c>
      <c r="M668" s="13" t="n">
        <v>779396.41</v>
      </c>
      <c r="N668" s="13" t="n">
        <v>259798.803333333</v>
      </c>
      <c r="O668" s="13" t="n">
        <v>842.68</v>
      </c>
      <c r="P668" s="13" t="n">
        <v>0</v>
      </c>
      <c r="Q668" s="13" t="n">
        <v>3</v>
      </c>
      <c r="R668" s="13" t="s">
        <v>101</v>
      </c>
      <c r="S668" s="13" t="s">
        <v>93</v>
      </c>
      <c r="T668" s="13" t="n">
        <v>1</v>
      </c>
      <c r="U668" s="13" t="n">
        <f aca="false">IF(B668="Individual",1,0)</f>
        <v>1</v>
      </c>
      <c r="V668" s="13" t="n">
        <f aca="false">IF(B668="Company",1,0)</f>
        <v>0</v>
      </c>
      <c r="W668" s="13" t="n">
        <f aca="false">IF(H668="Home",1,0)</f>
        <v>1</v>
      </c>
      <c r="X668" s="13" t="n">
        <f aca="false">IF(H668="Investment",1,0)</f>
        <v>0</v>
      </c>
      <c r="Y668" s="13" t="n">
        <f aca="false">IF(K668="Website",1,0)</f>
        <v>1</v>
      </c>
      <c r="Z668" s="13" t="n">
        <f aca="false">IF(K668="Agency",1,0)</f>
        <v>0</v>
      </c>
      <c r="AA668" s="13" t="n">
        <f aca="false">IF(K668="Client",1,0)</f>
        <v>0</v>
      </c>
      <c r="AB668" s="13" t="n">
        <f aca="false">(D668-AVERAGE(D$2:D$2001))/STDEV(D$2:D$2001)</f>
        <v>-1.1611488661649</v>
      </c>
      <c r="AC668" s="13" t="n">
        <f aca="false">(I668-AVERAGE(I$2:I$2001))/STDEV(I$2:I$2001)</f>
        <v>0.686917069130275</v>
      </c>
      <c r="AD668" s="13" t="n">
        <f aca="false">(L668-AVERAGE(L$2:L$2001))/STDEV(L$2:L$2001)</f>
        <v>-0.777063122173208</v>
      </c>
      <c r="AE668" s="13" t="n">
        <f aca="false">(M668-AVERAGE(M$2:M$2001))/STDEV(M$2:M$2001)</f>
        <v>-1.38279662794705</v>
      </c>
      <c r="AF668" s="13" t="n">
        <f aca="false">(N668-AVERAGE(N$2:N$2001))/STDEV(N$2:N$2001)</f>
        <v>-1.2519918479566</v>
      </c>
      <c r="AG668" s="13" t="n">
        <f aca="false">(O668-AVERAGE(O$2:O$2001))/STDEV(O$2:O$2001)</f>
        <v>-1.38594071762984</v>
      </c>
      <c r="AH668" s="0" t="str">
        <f aca="false">IF(B668="Company","C3 - Corporate Buyers",IF(AND(H668="Investment",M668&gt;'Segmentation Summary'!$C$1),"C1 - Global Investors",IF(AND(I668&gt;=4,M668&gt;'Segmentation Summary'!$C$1),"C4 - Luxury Investors",IF(AND(D668&lt;'Segmentation Summary'!$C$2,J668=1),"C2 - First-Time Buyers","C5 - Other Individual Buyers"))))</f>
        <v>C5 - Other Individual Buyers</v>
      </c>
    </row>
    <row r="669" customFormat="false" ht="15" hidden="false" customHeight="true" outlineLevel="0" collapsed="false">
      <c r="A669" s="13" t="s">
        <v>1385</v>
      </c>
      <c r="B669" s="13" t="s">
        <v>34</v>
      </c>
      <c r="C669" s="13" t="s">
        <v>1386</v>
      </c>
      <c r="D669" s="13" t="n">
        <v>61</v>
      </c>
      <c r="E669" s="13" t="s">
        <v>90</v>
      </c>
      <c r="F669" s="13" t="s">
        <v>33</v>
      </c>
      <c r="G669" s="13" t="s">
        <v>95</v>
      </c>
      <c r="H669" s="13" t="s">
        <v>41</v>
      </c>
      <c r="I669" s="13" t="n">
        <v>3</v>
      </c>
      <c r="J669" s="13" t="n">
        <v>0</v>
      </c>
      <c r="K669" s="13" t="s">
        <v>91</v>
      </c>
      <c r="L669" s="13" t="n">
        <v>3</v>
      </c>
      <c r="M669" s="13" t="n">
        <v>829294.57</v>
      </c>
      <c r="N669" s="13" t="n">
        <v>276431.523333333</v>
      </c>
      <c r="O669" s="13" t="n">
        <v>927.606666666667</v>
      </c>
      <c r="P669" s="13" t="n">
        <v>0</v>
      </c>
      <c r="Q669" s="13" t="n">
        <v>3</v>
      </c>
      <c r="R669" s="13" t="s">
        <v>86</v>
      </c>
      <c r="S669" s="13" t="s">
        <v>164</v>
      </c>
      <c r="T669" s="13" t="n">
        <v>1</v>
      </c>
      <c r="U669" s="13" t="n">
        <f aca="false">IF(B669="Individual",1,0)</f>
        <v>1</v>
      </c>
      <c r="V669" s="13" t="n">
        <f aca="false">IF(B669="Company",1,0)</f>
        <v>0</v>
      </c>
      <c r="W669" s="13" t="n">
        <f aca="false">IF(H669="Home",1,0)</f>
        <v>1</v>
      </c>
      <c r="X669" s="13" t="n">
        <f aca="false">IF(H669="Investment",1,0)</f>
        <v>0</v>
      </c>
      <c r="Y669" s="13" t="n">
        <f aca="false">IF(K669="Website",1,0)</f>
        <v>0</v>
      </c>
      <c r="Z669" s="13" t="n">
        <f aca="false">IF(K669="Agency",1,0)</f>
        <v>1</v>
      </c>
      <c r="AA669" s="13" t="n">
        <f aca="false">IF(K669="Client",1,0)</f>
        <v>0</v>
      </c>
      <c r="AB669" s="13" t="n">
        <f aca="false">(D669-AVERAGE(D$2:D$2001))/STDEV(D$2:D$2001)</f>
        <v>0.395737432015182</v>
      </c>
      <c r="AC669" s="13" t="n">
        <f aca="false">(I669-AVERAGE(I$2:I$2001))/STDEV(I$2:I$2001)</f>
        <v>-0.0205155458339628</v>
      </c>
      <c r="AD669" s="13" t="n">
        <f aca="false">(L669-AVERAGE(L$2:L$2001))/STDEV(L$2:L$2001)</f>
        <v>-0.777063122173208</v>
      </c>
      <c r="AE669" s="13" t="n">
        <f aca="false">(M669-AVERAGE(M$2:M$2001))/STDEV(M$2:M$2001)</f>
        <v>-1.2393413060169</v>
      </c>
      <c r="AF669" s="13" t="n">
        <f aca="false">(N669-AVERAGE(N$2:N$2001))/STDEV(N$2:N$2001)</f>
        <v>-1.01343353769938</v>
      </c>
      <c r="AG669" s="13" t="n">
        <f aca="false">(O669-AVERAGE(O$2:O$2001))/STDEV(O$2:O$2001)</f>
        <v>-0.999774531424851</v>
      </c>
      <c r="AH669" s="0" t="str">
        <f aca="false">IF(B669="Company","C3 - Corporate Buyers",IF(AND(H669="Investment",M669&gt;'Segmentation Summary'!$C$1),"C1 - Global Investors",IF(AND(I669&gt;=4,M669&gt;'Segmentation Summary'!$C$1),"C4 - Luxury Investors",IF(AND(D669&lt;'Segmentation Summary'!$C$2,J669=1),"C2 - First-Time Buyers","C5 - Other Individual Buyers"))))</f>
        <v>C5 - Other Individual Buyers</v>
      </c>
    </row>
    <row r="670" customFormat="false" ht="15" hidden="false" customHeight="true" outlineLevel="0" collapsed="false">
      <c r="A670" s="13" t="s">
        <v>1387</v>
      </c>
      <c r="B670" s="13" t="s">
        <v>34</v>
      </c>
      <c r="C670" s="13" t="s">
        <v>1388</v>
      </c>
      <c r="D670" s="13" t="n">
        <v>48</v>
      </c>
      <c r="E670" s="13" t="s">
        <v>90</v>
      </c>
      <c r="F670" s="13" t="s">
        <v>33</v>
      </c>
      <c r="G670" s="13" t="s">
        <v>100</v>
      </c>
      <c r="H670" s="13" t="s">
        <v>41</v>
      </c>
      <c r="I670" s="13" t="n">
        <v>5</v>
      </c>
      <c r="J670" s="13" t="n">
        <v>0</v>
      </c>
      <c r="K670" s="13" t="s">
        <v>85</v>
      </c>
      <c r="L670" s="13" t="n">
        <v>3</v>
      </c>
      <c r="M670" s="13" t="n">
        <v>673422.32</v>
      </c>
      <c r="N670" s="13" t="n">
        <v>224474.106666667</v>
      </c>
      <c r="O670" s="13" t="n">
        <v>775.566666666667</v>
      </c>
      <c r="P670" s="13" t="n">
        <v>0</v>
      </c>
      <c r="Q670" s="13" t="n">
        <v>3</v>
      </c>
      <c r="R670" s="13" t="s">
        <v>121</v>
      </c>
      <c r="S670" s="13" t="s">
        <v>164</v>
      </c>
      <c r="T670" s="13" t="n">
        <v>1</v>
      </c>
      <c r="U670" s="13" t="n">
        <f aca="false">IF(B670="Individual",1,0)</f>
        <v>1</v>
      </c>
      <c r="V670" s="13" t="n">
        <f aca="false">IF(B670="Company",1,0)</f>
        <v>0</v>
      </c>
      <c r="W670" s="13" t="n">
        <f aca="false">IF(H670="Home",1,0)</f>
        <v>1</v>
      </c>
      <c r="X670" s="13" t="n">
        <f aca="false">IF(H670="Investment",1,0)</f>
        <v>0</v>
      </c>
      <c r="Y670" s="13" t="n">
        <f aca="false">IF(K670="Website",1,0)</f>
        <v>1</v>
      </c>
      <c r="Z670" s="13" t="n">
        <f aca="false">IF(K670="Agency",1,0)</f>
        <v>0</v>
      </c>
      <c r="AA670" s="13" t="n">
        <f aca="false">IF(K670="Client",1,0)</f>
        <v>0</v>
      </c>
      <c r="AB670" s="13" t="n">
        <f aca="false">(D670-AVERAGE(D$2:D$2001))/STDEV(D$2:D$2001)</f>
        <v>-0.353874489330784</v>
      </c>
      <c r="AC670" s="13" t="n">
        <f aca="false">(I670-AVERAGE(I$2:I$2001))/STDEV(I$2:I$2001)</f>
        <v>1.39434968409451</v>
      </c>
      <c r="AD670" s="13" t="n">
        <f aca="false">(L670-AVERAGE(L$2:L$2001))/STDEV(L$2:L$2001)</f>
        <v>-0.777063122173208</v>
      </c>
      <c r="AE670" s="13" t="n">
        <f aca="false">(M670-AVERAGE(M$2:M$2001))/STDEV(M$2:M$2001)</f>
        <v>-1.68746812679999</v>
      </c>
      <c r="AF670" s="13" t="n">
        <f aca="false">(N670-AVERAGE(N$2:N$2001))/STDEV(N$2:N$2001)</f>
        <v>-1.75864379346814</v>
      </c>
      <c r="AG670" s="13" t="n">
        <f aca="false">(O670-AVERAGE(O$2:O$2001))/STDEV(O$2:O$2001)</f>
        <v>-1.69110870542524</v>
      </c>
      <c r="AH670" s="0" t="str">
        <f aca="false">IF(B670="Company","C3 - Corporate Buyers",IF(AND(H670="Investment",M670&gt;'Segmentation Summary'!$C$1),"C1 - Global Investors",IF(AND(I670&gt;=4,M670&gt;'Segmentation Summary'!$C$1),"C4 - Luxury Investors",IF(AND(D670&lt;'Segmentation Summary'!$C$2,J670=1),"C2 - First-Time Buyers","C5 - Other Individual Buyers"))))</f>
        <v>C5 - Other Individual Buyers</v>
      </c>
    </row>
    <row r="671" customFormat="false" ht="15" hidden="false" customHeight="true" outlineLevel="0" collapsed="false">
      <c r="A671" s="13" t="s">
        <v>1389</v>
      </c>
      <c r="B671" s="13" t="s">
        <v>34</v>
      </c>
      <c r="C671" s="13" t="s">
        <v>1390</v>
      </c>
      <c r="D671" s="13" t="n">
        <v>31</v>
      </c>
      <c r="E671" s="13" t="s">
        <v>90</v>
      </c>
      <c r="F671" s="13" t="s">
        <v>33</v>
      </c>
      <c r="G671" s="13" t="s">
        <v>162</v>
      </c>
      <c r="H671" s="13" t="s">
        <v>41</v>
      </c>
      <c r="I671" s="13" t="n">
        <v>2</v>
      </c>
      <c r="J671" s="13" t="n">
        <v>1</v>
      </c>
      <c r="K671" s="13" t="s">
        <v>85</v>
      </c>
      <c r="L671" s="13" t="n">
        <v>4</v>
      </c>
      <c r="M671" s="13" t="n">
        <v>1238162.97</v>
      </c>
      <c r="N671" s="13" t="n">
        <v>309540.7425</v>
      </c>
      <c r="O671" s="13" t="n">
        <v>1052.8325</v>
      </c>
      <c r="P671" s="13" t="n">
        <v>0</v>
      </c>
      <c r="Q671" s="13" t="n">
        <v>4</v>
      </c>
      <c r="R671" s="13" t="s">
        <v>98</v>
      </c>
      <c r="S671" s="13" t="s">
        <v>87</v>
      </c>
      <c r="T671" s="13" t="n">
        <v>1</v>
      </c>
      <c r="U671" s="13" t="n">
        <f aca="false">IF(B671="Individual",1,0)</f>
        <v>1</v>
      </c>
      <c r="V671" s="13" t="n">
        <f aca="false">IF(B671="Company",1,0)</f>
        <v>0</v>
      </c>
      <c r="W671" s="13" t="n">
        <f aca="false">IF(H671="Home",1,0)</f>
        <v>1</v>
      </c>
      <c r="X671" s="13" t="n">
        <f aca="false">IF(H671="Investment",1,0)</f>
        <v>0</v>
      </c>
      <c r="Y671" s="13" t="n">
        <f aca="false">IF(K671="Website",1,0)</f>
        <v>1</v>
      </c>
      <c r="Z671" s="13" t="n">
        <f aca="false">IF(K671="Agency",1,0)</f>
        <v>0</v>
      </c>
      <c r="AA671" s="13" t="n">
        <f aca="false">IF(K671="Client",1,0)</f>
        <v>0</v>
      </c>
      <c r="AB671" s="13" t="n">
        <f aca="false">(D671-AVERAGE(D$2:D$2001))/STDEV(D$2:D$2001)</f>
        <v>-1.33413623262935</v>
      </c>
      <c r="AC671" s="13" t="n">
        <f aca="false">(I671-AVERAGE(I$2:I$2001))/STDEV(I$2:I$2001)</f>
        <v>-0.727948160798201</v>
      </c>
      <c r="AD671" s="13" t="n">
        <f aca="false">(L671-AVERAGE(L$2:L$2001))/STDEV(L$2:L$2001)</f>
        <v>0.413838214490712</v>
      </c>
      <c r="AE671" s="13" t="n">
        <f aca="false">(M671-AVERAGE(M$2:M$2001))/STDEV(M$2:M$2001)</f>
        <v>-0.0638601269701686</v>
      </c>
      <c r="AF671" s="13" t="n">
        <f aca="false">(N671-AVERAGE(N$2:N$2001))/STDEV(N$2:N$2001)</f>
        <v>-0.538557547582557</v>
      </c>
      <c r="AG671" s="13" t="n">
        <f aca="false">(O671-AVERAGE(O$2:O$2001))/STDEV(O$2:O$2001)</f>
        <v>-0.4303658360091</v>
      </c>
      <c r="AH671" s="0" t="str">
        <f aca="false">IF(B671="Company","C3 - Corporate Buyers",IF(AND(H671="Investment",M671&gt;'Segmentation Summary'!$C$1),"C1 - Global Investors",IF(AND(I671&gt;=4,M671&gt;'Segmentation Summary'!$C$1),"C4 - Luxury Investors",IF(AND(D671&lt;'Segmentation Summary'!$C$2,J671=1),"C2 - First-Time Buyers","C5 - Other Individual Buyers"))))</f>
        <v>C2 - First-Time Buyers</v>
      </c>
    </row>
    <row r="672" customFormat="false" ht="15" hidden="false" customHeight="true" outlineLevel="0" collapsed="false">
      <c r="A672" s="13" t="s">
        <v>1391</v>
      </c>
      <c r="B672" s="13" t="s">
        <v>34</v>
      </c>
      <c r="C672" s="13" t="s">
        <v>1392</v>
      </c>
      <c r="D672" s="13" t="n">
        <v>35</v>
      </c>
      <c r="E672" s="13" t="s">
        <v>90</v>
      </c>
      <c r="F672" s="13" t="s">
        <v>33</v>
      </c>
      <c r="G672" s="13" t="s">
        <v>95</v>
      </c>
      <c r="H672" s="13" t="s">
        <v>43</v>
      </c>
      <c r="I672" s="13" t="n">
        <v>3</v>
      </c>
      <c r="J672" s="13" t="n">
        <v>1</v>
      </c>
      <c r="K672" s="13" t="s">
        <v>85</v>
      </c>
      <c r="L672" s="13" t="n">
        <v>4</v>
      </c>
      <c r="M672" s="13" t="n">
        <v>1532000.51</v>
      </c>
      <c r="N672" s="13" t="n">
        <v>383000.1275</v>
      </c>
      <c r="O672" s="13" t="n">
        <v>1299.3675</v>
      </c>
      <c r="P672" s="13" t="n">
        <v>2</v>
      </c>
      <c r="Q672" s="13" t="n">
        <v>2</v>
      </c>
      <c r="R672" s="13" t="s">
        <v>101</v>
      </c>
      <c r="S672" s="13" t="s">
        <v>133</v>
      </c>
      <c r="T672" s="13" t="n">
        <v>1</v>
      </c>
      <c r="U672" s="13" t="n">
        <f aca="false">IF(B672="Individual",1,0)</f>
        <v>1</v>
      </c>
      <c r="V672" s="13" t="n">
        <f aca="false">IF(B672="Company",1,0)</f>
        <v>0</v>
      </c>
      <c r="W672" s="13" t="n">
        <f aca="false">IF(H672="Home",1,0)</f>
        <v>0</v>
      </c>
      <c r="X672" s="13" t="n">
        <f aca="false">IF(H672="Investment",1,0)</f>
        <v>1</v>
      </c>
      <c r="Y672" s="13" t="n">
        <f aca="false">IF(K672="Website",1,0)</f>
        <v>1</v>
      </c>
      <c r="Z672" s="13" t="n">
        <f aca="false">IF(K672="Agency",1,0)</f>
        <v>0</v>
      </c>
      <c r="AA672" s="13" t="n">
        <f aca="false">IF(K672="Client",1,0)</f>
        <v>0</v>
      </c>
      <c r="AB672" s="13" t="n">
        <f aca="false">(D672-AVERAGE(D$2:D$2001))/STDEV(D$2:D$2001)</f>
        <v>-1.10348641067675</v>
      </c>
      <c r="AC672" s="13" t="n">
        <f aca="false">(I672-AVERAGE(I$2:I$2001))/STDEV(I$2:I$2001)</f>
        <v>-0.0205155458339628</v>
      </c>
      <c r="AD672" s="13" t="n">
        <f aca="false">(L672-AVERAGE(L$2:L$2001))/STDEV(L$2:L$2001)</f>
        <v>0.413838214490712</v>
      </c>
      <c r="AE672" s="13" t="n">
        <f aca="false">(M672-AVERAGE(M$2:M$2001))/STDEV(M$2:M$2001)</f>
        <v>0.780911682167911</v>
      </c>
      <c r="AF672" s="13" t="n">
        <f aca="false">(N672-AVERAGE(N$2:N$2001))/STDEV(N$2:N$2001)</f>
        <v>0.515049244219048</v>
      </c>
      <c r="AG672" s="13" t="n">
        <f aca="false">(O672-AVERAGE(O$2:O$2001))/STDEV(O$2:O$2001)</f>
        <v>0.690642257829279</v>
      </c>
      <c r="AH672" s="0" t="str">
        <f aca="false">IF(B672="Company","C3 - Corporate Buyers",IF(AND(H672="Investment",M672&gt;'Segmentation Summary'!$C$1),"C1 - Global Investors",IF(AND(I672&gt;=4,M672&gt;'Segmentation Summary'!$C$1),"C4 - Luxury Investors",IF(AND(D672&lt;'Segmentation Summary'!$C$2,J672=1),"C2 - First-Time Buyers","C5 - Other Individual Buyers"))))</f>
        <v>C1 - Global Investors</v>
      </c>
    </row>
    <row r="673" customFormat="false" ht="15" hidden="false" customHeight="true" outlineLevel="0" collapsed="false">
      <c r="A673" s="13" t="s">
        <v>1393</v>
      </c>
      <c r="B673" s="13" t="s">
        <v>34</v>
      </c>
      <c r="C673" s="13" t="s">
        <v>1394</v>
      </c>
      <c r="D673" s="13" t="n">
        <v>39</v>
      </c>
      <c r="E673" s="13" t="s">
        <v>90</v>
      </c>
      <c r="F673" s="13" t="s">
        <v>37</v>
      </c>
      <c r="G673" s="13" t="s">
        <v>169</v>
      </c>
      <c r="H673" s="13" t="s">
        <v>43</v>
      </c>
      <c r="I673" s="13" t="n">
        <v>5</v>
      </c>
      <c r="J673" s="13" t="n">
        <v>0</v>
      </c>
      <c r="K673" s="13" t="s">
        <v>85</v>
      </c>
      <c r="L673" s="13" t="n">
        <v>3</v>
      </c>
      <c r="M673" s="13" t="n">
        <v>918037.68</v>
      </c>
      <c r="N673" s="13" t="n">
        <v>306012.56</v>
      </c>
      <c r="O673" s="13" t="n">
        <v>1012.96</v>
      </c>
      <c r="P673" s="13" t="n">
        <v>0</v>
      </c>
      <c r="Q673" s="13" t="n">
        <v>3</v>
      </c>
      <c r="R673" s="13" t="s">
        <v>92</v>
      </c>
      <c r="S673" s="13" t="s">
        <v>215</v>
      </c>
      <c r="T673" s="13" t="n">
        <v>1</v>
      </c>
      <c r="U673" s="13" t="n">
        <f aca="false">IF(B673="Individual",1,0)</f>
        <v>1</v>
      </c>
      <c r="V673" s="13" t="n">
        <f aca="false">IF(B673="Company",1,0)</f>
        <v>0</v>
      </c>
      <c r="W673" s="13" t="n">
        <f aca="false">IF(H673="Home",1,0)</f>
        <v>0</v>
      </c>
      <c r="X673" s="13" t="n">
        <f aca="false">IF(H673="Investment",1,0)</f>
        <v>1</v>
      </c>
      <c r="Y673" s="13" t="n">
        <f aca="false">IF(K673="Website",1,0)</f>
        <v>1</v>
      </c>
      <c r="Z673" s="13" t="n">
        <f aca="false">IF(K673="Agency",1,0)</f>
        <v>0</v>
      </c>
      <c r="AA673" s="13" t="n">
        <f aca="false">IF(K673="Client",1,0)</f>
        <v>0</v>
      </c>
      <c r="AB673" s="13" t="n">
        <f aca="false">(D673-AVERAGE(D$2:D$2001))/STDEV(D$2:D$2001)</f>
        <v>-0.872836588724145</v>
      </c>
      <c r="AC673" s="13" t="n">
        <f aca="false">(I673-AVERAGE(I$2:I$2001))/STDEV(I$2:I$2001)</f>
        <v>1.39434968409451</v>
      </c>
      <c r="AD673" s="13" t="n">
        <f aca="false">(L673-AVERAGE(L$2:L$2001))/STDEV(L$2:L$2001)</f>
        <v>-0.777063122173208</v>
      </c>
      <c r="AE673" s="13" t="n">
        <f aca="false">(M673-AVERAGE(M$2:M$2001))/STDEV(M$2:M$2001)</f>
        <v>-0.9842082226701</v>
      </c>
      <c r="AF673" s="13" t="n">
        <f aca="false">(N673-AVERAGE(N$2:N$2001))/STDEV(N$2:N$2001)</f>
        <v>-0.589161252537554</v>
      </c>
      <c r="AG673" s="13" t="n">
        <f aca="false">(O673-AVERAGE(O$2:O$2001))/STDEV(O$2:O$2001)</f>
        <v>-0.611668268611249</v>
      </c>
      <c r="AH673" s="0" t="str">
        <f aca="false">IF(B673="Company","C3 - Corporate Buyers",IF(AND(H673="Investment",M673&gt;'Segmentation Summary'!$C$1),"C1 - Global Investors",IF(AND(I673&gt;=4,M673&gt;'Segmentation Summary'!$C$1),"C4 - Luxury Investors",IF(AND(D673&lt;'Segmentation Summary'!$C$2,J673=1),"C2 - First-Time Buyers","C5 - Other Individual Buyers"))))</f>
        <v>C5 - Other Individual Buyers</v>
      </c>
    </row>
    <row r="674" customFormat="false" ht="15" hidden="false" customHeight="true" outlineLevel="0" collapsed="false">
      <c r="A674" s="13" t="s">
        <v>1395</v>
      </c>
      <c r="B674" s="13" t="s">
        <v>34</v>
      </c>
      <c r="C674" s="13" t="s">
        <v>1396</v>
      </c>
      <c r="D674" s="13" t="n">
        <v>39</v>
      </c>
      <c r="E674" s="13" t="s">
        <v>90</v>
      </c>
      <c r="F674" s="13" t="s">
        <v>33</v>
      </c>
      <c r="G674" s="13" t="s">
        <v>120</v>
      </c>
      <c r="H674" s="13" t="s">
        <v>43</v>
      </c>
      <c r="I674" s="13" t="n">
        <v>4</v>
      </c>
      <c r="J674" s="13" t="n">
        <v>1</v>
      </c>
      <c r="K674" s="13" t="s">
        <v>85</v>
      </c>
      <c r="L674" s="13" t="n">
        <v>3</v>
      </c>
      <c r="M674" s="13" t="n">
        <v>1330684.99</v>
      </c>
      <c r="N674" s="13" t="n">
        <v>443561.663333333</v>
      </c>
      <c r="O674" s="13" t="n">
        <v>1438.29333333333</v>
      </c>
      <c r="P674" s="13" t="n">
        <v>1</v>
      </c>
      <c r="Q674" s="13" t="n">
        <v>2</v>
      </c>
      <c r="R674" s="13" t="s">
        <v>98</v>
      </c>
      <c r="S674" s="13" t="s">
        <v>141</v>
      </c>
      <c r="T674" s="13" t="n">
        <v>1</v>
      </c>
      <c r="U674" s="13" t="n">
        <f aca="false">IF(B674="Individual",1,0)</f>
        <v>1</v>
      </c>
      <c r="V674" s="13" t="n">
        <f aca="false">IF(B674="Company",1,0)</f>
        <v>0</v>
      </c>
      <c r="W674" s="13" t="n">
        <f aca="false">IF(H674="Home",1,0)</f>
        <v>0</v>
      </c>
      <c r="X674" s="13" t="n">
        <f aca="false">IF(H674="Investment",1,0)</f>
        <v>1</v>
      </c>
      <c r="Y674" s="13" t="n">
        <f aca="false">IF(K674="Website",1,0)</f>
        <v>1</v>
      </c>
      <c r="Z674" s="13" t="n">
        <f aca="false">IF(K674="Agency",1,0)</f>
        <v>0</v>
      </c>
      <c r="AA674" s="13" t="n">
        <f aca="false">IF(K674="Client",1,0)</f>
        <v>0</v>
      </c>
      <c r="AB674" s="13" t="n">
        <f aca="false">(D674-AVERAGE(D$2:D$2001))/STDEV(D$2:D$2001)</f>
        <v>-0.872836588724145</v>
      </c>
      <c r="AC674" s="13" t="n">
        <f aca="false">(I674-AVERAGE(I$2:I$2001))/STDEV(I$2:I$2001)</f>
        <v>0.686917069130275</v>
      </c>
      <c r="AD674" s="13" t="n">
        <f aca="false">(L674-AVERAGE(L$2:L$2001))/STDEV(L$2:L$2001)</f>
        <v>-0.777063122173208</v>
      </c>
      <c r="AE674" s="13" t="n">
        <f aca="false">(M674-AVERAGE(M$2:M$2001))/STDEV(M$2:M$2001)</f>
        <v>0.202137179638475</v>
      </c>
      <c r="AF674" s="13" t="n">
        <f aca="false">(N674-AVERAGE(N$2:N$2001))/STDEV(N$2:N$2001)</f>
        <v>1.38366590192638</v>
      </c>
      <c r="AG674" s="13" t="n">
        <f aca="false">(O674-AVERAGE(O$2:O$2001))/STDEV(O$2:O$2001)</f>
        <v>1.3223456005997</v>
      </c>
      <c r="AH674" s="0" t="str">
        <f aca="false">IF(B674="Company","C3 - Corporate Buyers",IF(AND(H674="Investment",M674&gt;'Segmentation Summary'!$C$1),"C1 - Global Investors",IF(AND(I674&gt;=4,M674&gt;'Segmentation Summary'!$C$1),"C4 - Luxury Investors",IF(AND(D674&lt;'Segmentation Summary'!$C$2,J674=1),"C2 - First-Time Buyers","C5 - Other Individual Buyers"))))</f>
        <v>C1 - Global Investors</v>
      </c>
    </row>
    <row r="675" customFormat="false" ht="15" hidden="false" customHeight="true" outlineLevel="0" collapsed="false">
      <c r="A675" s="13" t="s">
        <v>1397</v>
      </c>
      <c r="B675" s="13" t="s">
        <v>34</v>
      </c>
      <c r="C675" s="13" t="s">
        <v>1398</v>
      </c>
      <c r="D675" s="13" t="n">
        <v>56</v>
      </c>
      <c r="E675" s="13" t="s">
        <v>90</v>
      </c>
      <c r="F675" s="13" t="s">
        <v>42</v>
      </c>
      <c r="G675" s="13" t="s">
        <v>288</v>
      </c>
      <c r="H675" s="13" t="s">
        <v>41</v>
      </c>
      <c r="I675" s="13" t="n">
        <v>3</v>
      </c>
      <c r="J675" s="13" t="n">
        <v>1</v>
      </c>
      <c r="K675" s="13" t="s">
        <v>91</v>
      </c>
      <c r="L675" s="13" t="n">
        <v>4</v>
      </c>
      <c r="M675" s="13" t="n">
        <v>1315287.03</v>
      </c>
      <c r="N675" s="13" t="n">
        <v>328821.7575</v>
      </c>
      <c r="O675" s="13" t="n">
        <v>1169.615</v>
      </c>
      <c r="P675" s="13" t="n">
        <v>2</v>
      </c>
      <c r="Q675" s="13" t="n">
        <v>2</v>
      </c>
      <c r="R675" s="13" t="s">
        <v>124</v>
      </c>
      <c r="S675" s="13" t="s">
        <v>87</v>
      </c>
      <c r="T675" s="13" t="n">
        <v>1</v>
      </c>
      <c r="U675" s="13" t="n">
        <f aca="false">IF(B675="Individual",1,0)</f>
        <v>1</v>
      </c>
      <c r="V675" s="13" t="n">
        <f aca="false">IF(B675="Company",1,0)</f>
        <v>0</v>
      </c>
      <c r="W675" s="13" t="n">
        <f aca="false">IF(H675="Home",1,0)</f>
        <v>1</v>
      </c>
      <c r="X675" s="13" t="n">
        <f aca="false">IF(H675="Investment",1,0)</f>
        <v>0</v>
      </c>
      <c r="Y675" s="13" t="n">
        <f aca="false">IF(K675="Website",1,0)</f>
        <v>0</v>
      </c>
      <c r="Z675" s="13" t="n">
        <f aca="false">IF(K675="Agency",1,0)</f>
        <v>1</v>
      </c>
      <c r="AA675" s="13" t="n">
        <f aca="false">IF(K675="Client",1,0)</f>
        <v>0</v>
      </c>
      <c r="AB675" s="13" t="n">
        <f aca="false">(D675-AVERAGE(D$2:D$2001))/STDEV(D$2:D$2001)</f>
        <v>0.107425154574426</v>
      </c>
      <c r="AC675" s="13" t="n">
        <f aca="false">(I675-AVERAGE(I$2:I$2001))/STDEV(I$2:I$2001)</f>
        <v>-0.0205155458339628</v>
      </c>
      <c r="AD675" s="13" t="n">
        <f aca="false">(L675-AVERAGE(L$2:L$2001))/STDEV(L$2:L$2001)</f>
        <v>0.413838214490712</v>
      </c>
      <c r="AE675" s="13" t="n">
        <f aca="false">(M675-AVERAGE(M$2:M$2001))/STDEV(M$2:M$2001)</f>
        <v>0.157868627273669</v>
      </c>
      <c r="AF675" s="13" t="n">
        <f aca="false">(N675-AVERAGE(N$2:N$2001))/STDEV(N$2:N$2001)</f>
        <v>-0.262015505244078</v>
      </c>
      <c r="AG675" s="13" t="n">
        <f aca="false">(O675-AVERAGE(O$2:O$2001))/STDEV(O$2:O$2001)</f>
        <v>0.100650562144024</v>
      </c>
      <c r="AH675" s="0" t="str">
        <f aca="false">IF(B675="Company","C3 - Corporate Buyers",IF(AND(H675="Investment",M675&gt;'Segmentation Summary'!$C$1),"C1 - Global Investors",IF(AND(I675&gt;=4,M675&gt;'Segmentation Summary'!$C$1),"C4 - Luxury Investors",IF(AND(D675&lt;'Segmentation Summary'!$C$2,J675=1),"C2 - First-Time Buyers","C5 - Other Individual Buyers"))))</f>
        <v>C5 - Other Individual Buyers</v>
      </c>
    </row>
    <row r="676" customFormat="false" ht="15" hidden="false" customHeight="true" outlineLevel="0" collapsed="false">
      <c r="A676" s="13" t="s">
        <v>1399</v>
      </c>
      <c r="B676" s="13" t="s">
        <v>34</v>
      </c>
      <c r="C676" s="13" t="s">
        <v>1400</v>
      </c>
      <c r="D676" s="13" t="n">
        <v>55</v>
      </c>
      <c r="E676" s="13" t="s">
        <v>83</v>
      </c>
      <c r="F676" s="13" t="s">
        <v>33</v>
      </c>
      <c r="G676" s="13" t="s">
        <v>95</v>
      </c>
      <c r="H676" s="13" t="s">
        <v>41</v>
      </c>
      <c r="I676" s="13" t="n">
        <v>3</v>
      </c>
      <c r="J676" s="13" t="n">
        <v>0</v>
      </c>
      <c r="K676" s="13" t="s">
        <v>85</v>
      </c>
      <c r="L676" s="13" t="n">
        <v>4</v>
      </c>
      <c r="M676" s="13" t="n">
        <v>1449544.65</v>
      </c>
      <c r="N676" s="13" t="n">
        <v>362386.1625</v>
      </c>
      <c r="O676" s="13" t="n">
        <v>1174.44</v>
      </c>
      <c r="P676" s="13" t="n">
        <v>0</v>
      </c>
      <c r="Q676" s="13" t="n">
        <v>4</v>
      </c>
      <c r="R676" s="13" t="s">
        <v>86</v>
      </c>
      <c r="S676" s="13" t="s">
        <v>111</v>
      </c>
      <c r="T676" s="13" t="n">
        <v>1</v>
      </c>
      <c r="U676" s="13" t="n">
        <f aca="false">IF(B676="Individual",1,0)</f>
        <v>1</v>
      </c>
      <c r="V676" s="13" t="n">
        <f aca="false">IF(B676="Company",1,0)</f>
        <v>0</v>
      </c>
      <c r="W676" s="13" t="n">
        <f aca="false">IF(H676="Home",1,0)</f>
        <v>1</v>
      </c>
      <c r="X676" s="13" t="n">
        <f aca="false">IF(H676="Investment",1,0)</f>
        <v>0</v>
      </c>
      <c r="Y676" s="13" t="n">
        <f aca="false">IF(K676="Website",1,0)</f>
        <v>1</v>
      </c>
      <c r="Z676" s="13" t="n">
        <f aca="false">IF(K676="Agency",1,0)</f>
        <v>0</v>
      </c>
      <c r="AA676" s="13" t="n">
        <f aca="false">IF(K676="Client",1,0)</f>
        <v>0</v>
      </c>
      <c r="AB676" s="13" t="n">
        <f aca="false">(D676-AVERAGE(D$2:D$2001))/STDEV(D$2:D$2001)</f>
        <v>0.0497626990862745</v>
      </c>
      <c r="AC676" s="13" t="n">
        <f aca="false">(I676-AVERAGE(I$2:I$2001))/STDEV(I$2:I$2001)</f>
        <v>-0.0205155458339628</v>
      </c>
      <c r="AD676" s="13" t="n">
        <f aca="false">(L676-AVERAGE(L$2:L$2001))/STDEV(L$2:L$2001)</f>
        <v>0.413838214490712</v>
      </c>
      <c r="AE676" s="13" t="n">
        <f aca="false">(M676-AVERAGE(M$2:M$2001))/STDEV(M$2:M$2001)</f>
        <v>0.543854204671209</v>
      </c>
      <c r="AF676" s="13" t="n">
        <f aca="false">(N676-AVERAGE(N$2:N$2001))/STDEV(N$2:N$2001)</f>
        <v>0.219389084118871</v>
      </c>
      <c r="AG676" s="13" t="n">
        <f aca="false">(O676-AVERAGE(O$2:O$2001))/STDEV(O$2:O$2001)</f>
        <v>0.122590100354705</v>
      </c>
      <c r="AH676" s="0" t="str">
        <f aca="false">IF(B676="Company","C3 - Corporate Buyers",IF(AND(H676="Investment",M676&gt;'Segmentation Summary'!$C$1),"C1 - Global Investors",IF(AND(I676&gt;=4,M676&gt;'Segmentation Summary'!$C$1),"C4 - Luxury Investors",IF(AND(D676&lt;'Segmentation Summary'!$C$2,J676=1),"C2 - First-Time Buyers","C5 - Other Individual Buyers"))))</f>
        <v>C5 - Other Individual Buyers</v>
      </c>
    </row>
    <row r="677" customFormat="false" ht="15" hidden="false" customHeight="true" outlineLevel="0" collapsed="false">
      <c r="A677" s="13" t="s">
        <v>1401</v>
      </c>
      <c r="B677" s="13" t="s">
        <v>34</v>
      </c>
      <c r="C677" s="13" t="s">
        <v>1402</v>
      </c>
      <c r="D677" s="13" t="n">
        <v>45</v>
      </c>
      <c r="E677" s="13" t="s">
        <v>90</v>
      </c>
      <c r="F677" s="13" t="s">
        <v>33</v>
      </c>
      <c r="G677" s="13" t="s">
        <v>100</v>
      </c>
      <c r="H677" s="13" t="s">
        <v>43</v>
      </c>
      <c r="I677" s="13" t="n">
        <v>3</v>
      </c>
      <c r="J677" s="13" t="n">
        <v>1</v>
      </c>
      <c r="K677" s="13" t="s">
        <v>91</v>
      </c>
      <c r="L677" s="13" t="n">
        <v>4</v>
      </c>
      <c r="M677" s="13" t="n">
        <v>1439477.66</v>
      </c>
      <c r="N677" s="13" t="n">
        <v>359869.415</v>
      </c>
      <c r="O677" s="13" t="n">
        <v>1131.4975</v>
      </c>
      <c r="P677" s="13" t="n">
        <v>1</v>
      </c>
      <c r="Q677" s="13" t="n">
        <v>3</v>
      </c>
      <c r="R677" s="13" t="s">
        <v>121</v>
      </c>
      <c r="S677" s="13" t="s">
        <v>87</v>
      </c>
      <c r="T677" s="13" t="n">
        <v>1</v>
      </c>
      <c r="U677" s="13" t="n">
        <f aca="false">IF(B677="Individual",1,0)</f>
        <v>1</v>
      </c>
      <c r="V677" s="13" t="n">
        <f aca="false">IF(B677="Company",1,0)</f>
        <v>0</v>
      </c>
      <c r="W677" s="13" t="n">
        <f aca="false">IF(H677="Home",1,0)</f>
        <v>0</v>
      </c>
      <c r="X677" s="13" t="n">
        <f aca="false">IF(H677="Investment",1,0)</f>
        <v>1</v>
      </c>
      <c r="Y677" s="13" t="n">
        <f aca="false">IF(K677="Website",1,0)</f>
        <v>0</v>
      </c>
      <c r="Z677" s="13" t="n">
        <f aca="false">IF(K677="Agency",1,0)</f>
        <v>1</v>
      </c>
      <c r="AA677" s="13" t="n">
        <f aca="false">IF(K677="Client",1,0)</f>
        <v>0</v>
      </c>
      <c r="AB677" s="13" t="n">
        <f aca="false">(D677-AVERAGE(D$2:D$2001))/STDEV(D$2:D$2001)</f>
        <v>-0.526861855795238</v>
      </c>
      <c r="AC677" s="13" t="n">
        <f aca="false">(I677-AVERAGE(I$2:I$2001))/STDEV(I$2:I$2001)</f>
        <v>-0.0205155458339628</v>
      </c>
      <c r="AD677" s="13" t="n">
        <f aca="false">(L677-AVERAGE(L$2:L$2001))/STDEV(L$2:L$2001)</f>
        <v>0.413838214490712</v>
      </c>
      <c r="AE677" s="13" t="n">
        <f aca="false">(M677-AVERAGE(M$2:M$2001))/STDEV(M$2:M$2001)</f>
        <v>0.514911989340673</v>
      </c>
      <c r="AF677" s="13" t="n">
        <f aca="false">(N677-AVERAGE(N$2:N$2001))/STDEV(N$2:N$2001)</f>
        <v>0.18329209992482</v>
      </c>
      <c r="AG677" s="13" t="n">
        <f aca="false">(O677-AVERAGE(O$2:O$2001))/STDEV(O$2:O$2001)</f>
        <v>-0.0726717897203539</v>
      </c>
      <c r="AH677" s="0" t="str">
        <f aca="false">IF(B677="Company","C3 - Corporate Buyers",IF(AND(H677="Investment",M677&gt;'Segmentation Summary'!$C$1),"C1 - Global Investors",IF(AND(I677&gt;=4,M677&gt;'Segmentation Summary'!$C$1),"C4 - Luxury Investors",IF(AND(D677&lt;'Segmentation Summary'!$C$2,J677=1),"C2 - First-Time Buyers","C5 - Other Individual Buyers"))))</f>
        <v>C1 - Global Investors</v>
      </c>
    </row>
    <row r="678" customFormat="false" ht="15" hidden="false" customHeight="true" outlineLevel="0" collapsed="false">
      <c r="A678" s="13" t="s">
        <v>1403</v>
      </c>
      <c r="B678" s="13" t="s">
        <v>34</v>
      </c>
      <c r="C678" s="13" t="s">
        <v>1404</v>
      </c>
      <c r="D678" s="13" t="n">
        <v>47</v>
      </c>
      <c r="E678" s="13" t="s">
        <v>83</v>
      </c>
      <c r="F678" s="13" t="s">
        <v>33</v>
      </c>
      <c r="G678" s="13" t="s">
        <v>95</v>
      </c>
      <c r="H678" s="13" t="s">
        <v>41</v>
      </c>
      <c r="I678" s="13" t="n">
        <v>2</v>
      </c>
      <c r="J678" s="13" t="n">
        <v>0</v>
      </c>
      <c r="K678" s="13" t="s">
        <v>85</v>
      </c>
      <c r="L678" s="13" t="n">
        <v>5</v>
      </c>
      <c r="M678" s="13" t="n">
        <v>1431941.84</v>
      </c>
      <c r="N678" s="13" t="n">
        <v>286388.368</v>
      </c>
      <c r="O678" s="13" t="n">
        <v>851.818</v>
      </c>
      <c r="P678" s="13" t="n">
        <v>1</v>
      </c>
      <c r="Q678" s="13" t="n">
        <v>4</v>
      </c>
      <c r="R678" s="13" t="s">
        <v>117</v>
      </c>
      <c r="S678" s="13" t="s">
        <v>114</v>
      </c>
      <c r="T678" s="13" t="n">
        <v>1</v>
      </c>
      <c r="U678" s="13" t="n">
        <f aca="false">IF(B678="Individual",1,0)</f>
        <v>1</v>
      </c>
      <c r="V678" s="13" t="n">
        <f aca="false">IF(B678="Company",1,0)</f>
        <v>0</v>
      </c>
      <c r="W678" s="13" t="n">
        <f aca="false">IF(H678="Home",1,0)</f>
        <v>1</v>
      </c>
      <c r="X678" s="13" t="n">
        <f aca="false">IF(H678="Investment",1,0)</f>
        <v>0</v>
      </c>
      <c r="Y678" s="13" t="n">
        <f aca="false">IF(K678="Website",1,0)</f>
        <v>1</v>
      </c>
      <c r="Z678" s="13" t="n">
        <f aca="false">IF(K678="Agency",1,0)</f>
        <v>0</v>
      </c>
      <c r="AA678" s="13" t="n">
        <f aca="false">IF(K678="Client",1,0)</f>
        <v>0</v>
      </c>
      <c r="AB678" s="13" t="n">
        <f aca="false">(D678-AVERAGE(D$2:D$2001))/STDEV(D$2:D$2001)</f>
        <v>-0.411536944818935</v>
      </c>
      <c r="AC678" s="13" t="n">
        <f aca="false">(I678-AVERAGE(I$2:I$2001))/STDEV(I$2:I$2001)</f>
        <v>-0.727948160798201</v>
      </c>
      <c r="AD678" s="13" t="n">
        <f aca="false">(L678-AVERAGE(L$2:L$2001))/STDEV(L$2:L$2001)</f>
        <v>1.60473955115463</v>
      </c>
      <c r="AE678" s="13" t="n">
        <f aca="false">(M678-AVERAGE(M$2:M$2001))/STDEV(M$2:M$2001)</f>
        <v>0.493246791984546</v>
      </c>
      <c r="AF678" s="13" t="n">
        <f aca="false">(N678-AVERAGE(N$2:N$2001))/STDEV(N$2:N$2001)</f>
        <v>-0.8706253837009</v>
      </c>
      <c r="AG678" s="13" t="n">
        <f aca="false">(O678-AVERAGE(O$2:O$2001))/STDEV(O$2:O$2001)</f>
        <v>-1.34438973313882</v>
      </c>
      <c r="AH678" s="0" t="str">
        <f aca="false">IF(B678="Company","C3 - Corporate Buyers",IF(AND(H678="Investment",M678&gt;'Segmentation Summary'!$C$1),"C1 - Global Investors",IF(AND(I678&gt;=4,M678&gt;'Segmentation Summary'!$C$1),"C4 - Luxury Investors",IF(AND(D678&lt;'Segmentation Summary'!$C$2,J678=1),"C2 - First-Time Buyers","C5 - Other Individual Buyers"))))</f>
        <v>C5 - Other Individual Buyers</v>
      </c>
    </row>
    <row r="679" customFormat="false" ht="15" hidden="false" customHeight="true" outlineLevel="0" collapsed="false">
      <c r="A679" s="13" t="s">
        <v>1405</v>
      </c>
      <c r="B679" s="13" t="s">
        <v>34</v>
      </c>
      <c r="C679" s="13" t="s">
        <v>1406</v>
      </c>
      <c r="D679" s="13" t="n">
        <v>57</v>
      </c>
      <c r="E679" s="13" t="s">
        <v>83</v>
      </c>
      <c r="F679" s="13" t="s">
        <v>33</v>
      </c>
      <c r="G679" s="13" t="s">
        <v>95</v>
      </c>
      <c r="H679" s="13" t="s">
        <v>41</v>
      </c>
      <c r="I679" s="13" t="n">
        <v>4</v>
      </c>
      <c r="J679" s="13" t="n">
        <v>1</v>
      </c>
      <c r="K679" s="13" t="s">
        <v>85</v>
      </c>
      <c r="L679" s="13" t="n">
        <v>4</v>
      </c>
      <c r="M679" s="13" t="n">
        <v>1026117.62</v>
      </c>
      <c r="N679" s="13" t="n">
        <v>256529.405</v>
      </c>
      <c r="O679" s="13" t="n">
        <v>935.37</v>
      </c>
      <c r="P679" s="13" t="n">
        <v>1</v>
      </c>
      <c r="Q679" s="13" t="n">
        <v>3</v>
      </c>
      <c r="R679" s="13" t="s">
        <v>124</v>
      </c>
      <c r="S679" s="13" t="s">
        <v>125</v>
      </c>
      <c r="T679" s="13" t="n">
        <v>1</v>
      </c>
      <c r="U679" s="13" t="n">
        <f aca="false">IF(B679="Individual",1,0)</f>
        <v>1</v>
      </c>
      <c r="V679" s="13" t="n">
        <f aca="false">IF(B679="Company",1,0)</f>
        <v>0</v>
      </c>
      <c r="W679" s="13" t="n">
        <f aca="false">IF(H679="Home",1,0)</f>
        <v>1</v>
      </c>
      <c r="X679" s="13" t="n">
        <f aca="false">IF(H679="Investment",1,0)</f>
        <v>0</v>
      </c>
      <c r="Y679" s="13" t="n">
        <f aca="false">IF(K679="Website",1,0)</f>
        <v>1</v>
      </c>
      <c r="Z679" s="13" t="n">
        <f aca="false">IF(K679="Agency",1,0)</f>
        <v>0</v>
      </c>
      <c r="AA679" s="13" t="n">
        <f aca="false">IF(K679="Client",1,0)</f>
        <v>0</v>
      </c>
      <c r="AB679" s="13" t="n">
        <f aca="false">(D679-AVERAGE(D$2:D$2001))/STDEV(D$2:D$2001)</f>
        <v>0.165087610062577</v>
      </c>
      <c r="AC679" s="13" t="n">
        <f aca="false">(I679-AVERAGE(I$2:I$2001))/STDEV(I$2:I$2001)</f>
        <v>0.686917069130275</v>
      </c>
      <c r="AD679" s="13" t="n">
        <f aca="false">(L679-AVERAGE(L$2:L$2001))/STDEV(L$2:L$2001)</f>
        <v>0.413838214490712</v>
      </c>
      <c r="AE679" s="13" t="n">
        <f aca="false">(M679-AVERAGE(M$2:M$2001))/STDEV(M$2:M$2001)</f>
        <v>-0.673482484749291</v>
      </c>
      <c r="AF679" s="13" t="n">
        <f aca="false">(N679-AVERAGE(N$2:N$2001))/STDEV(N$2:N$2001)</f>
        <v>-1.29888388617751</v>
      </c>
      <c r="AG679" s="13" t="n">
        <f aca="false">(O679-AVERAGE(O$2:O$2001))/STDEV(O$2:O$2001)</f>
        <v>-0.964474231257201</v>
      </c>
      <c r="AH679" s="0" t="str">
        <f aca="false">IF(B679="Company","C3 - Corporate Buyers",IF(AND(H679="Investment",M679&gt;'Segmentation Summary'!$C$1),"C1 - Global Investors",IF(AND(I679&gt;=4,M679&gt;'Segmentation Summary'!$C$1),"C4 - Luxury Investors",IF(AND(D679&lt;'Segmentation Summary'!$C$2,J679=1),"C2 - First-Time Buyers","C5 - Other Individual Buyers"))))</f>
        <v>C5 - Other Individual Buyers</v>
      </c>
    </row>
    <row r="680" customFormat="false" ht="15" hidden="false" customHeight="true" outlineLevel="0" collapsed="false">
      <c r="A680" s="13" t="s">
        <v>1407</v>
      </c>
      <c r="B680" s="13" t="s">
        <v>34</v>
      </c>
      <c r="C680" s="13" t="s">
        <v>1408</v>
      </c>
      <c r="D680" s="13" t="n">
        <v>62</v>
      </c>
      <c r="E680" s="13" t="s">
        <v>83</v>
      </c>
      <c r="F680" s="13" t="s">
        <v>38</v>
      </c>
      <c r="G680" s="13" t="s">
        <v>475</v>
      </c>
      <c r="H680" s="13" t="s">
        <v>41</v>
      </c>
      <c r="I680" s="13" t="n">
        <v>3</v>
      </c>
      <c r="J680" s="13" t="n">
        <v>1</v>
      </c>
      <c r="K680" s="13" t="s">
        <v>85</v>
      </c>
      <c r="L680" s="13" t="n">
        <v>3</v>
      </c>
      <c r="M680" s="13" t="n">
        <v>1082639.91</v>
      </c>
      <c r="N680" s="13" t="n">
        <v>360879.97</v>
      </c>
      <c r="O680" s="13" t="n">
        <v>1131.09666666667</v>
      </c>
      <c r="P680" s="13" t="n">
        <v>0</v>
      </c>
      <c r="Q680" s="13" t="n">
        <v>3</v>
      </c>
      <c r="R680" s="13" t="s">
        <v>92</v>
      </c>
      <c r="S680" s="13" t="s">
        <v>103</v>
      </c>
      <c r="T680" s="13" t="n">
        <v>1</v>
      </c>
      <c r="U680" s="13" t="n">
        <f aca="false">IF(B680="Individual",1,0)</f>
        <v>1</v>
      </c>
      <c r="V680" s="13" t="n">
        <f aca="false">IF(B680="Company",1,0)</f>
        <v>0</v>
      </c>
      <c r="W680" s="13" t="n">
        <f aca="false">IF(H680="Home",1,0)</f>
        <v>1</v>
      </c>
      <c r="X680" s="13" t="n">
        <f aca="false">IF(H680="Investment",1,0)</f>
        <v>0</v>
      </c>
      <c r="Y680" s="13" t="n">
        <f aca="false">IF(K680="Website",1,0)</f>
        <v>1</v>
      </c>
      <c r="Z680" s="13" t="n">
        <f aca="false">IF(K680="Agency",1,0)</f>
        <v>0</v>
      </c>
      <c r="AA680" s="13" t="n">
        <f aca="false">IF(K680="Client",1,0)</f>
        <v>0</v>
      </c>
      <c r="AB680" s="13" t="n">
        <f aca="false">(D680-AVERAGE(D$2:D$2001))/STDEV(D$2:D$2001)</f>
        <v>0.453399887503333</v>
      </c>
      <c r="AC680" s="13" t="n">
        <f aca="false">(I680-AVERAGE(I$2:I$2001))/STDEV(I$2:I$2001)</f>
        <v>-0.0205155458339628</v>
      </c>
      <c r="AD680" s="13" t="n">
        <f aca="false">(L680-AVERAGE(L$2:L$2001))/STDEV(L$2:L$2001)</f>
        <v>-0.777063122173208</v>
      </c>
      <c r="AE680" s="13" t="n">
        <f aca="false">(M680-AVERAGE(M$2:M$2001))/STDEV(M$2:M$2001)</f>
        <v>-0.510983039716069</v>
      </c>
      <c r="AF680" s="13" t="n">
        <f aca="false">(N680-AVERAGE(N$2:N$2001))/STDEV(N$2:N$2001)</f>
        <v>0.197786199099337</v>
      </c>
      <c r="AG680" s="13" t="n">
        <f aca="false">(O680-AVERAGE(O$2:O$2001))/STDEV(O$2:O$2001)</f>
        <v>-0.0744944007530393</v>
      </c>
      <c r="AH680" s="0" t="str">
        <f aca="false">IF(B680="Company","C3 - Corporate Buyers",IF(AND(H680="Investment",M680&gt;'Segmentation Summary'!$C$1),"C1 - Global Investors",IF(AND(I680&gt;=4,M680&gt;'Segmentation Summary'!$C$1),"C4 - Luxury Investors",IF(AND(D680&lt;'Segmentation Summary'!$C$2,J680=1),"C2 - First-Time Buyers","C5 - Other Individual Buyers"))))</f>
        <v>C5 - Other Individual Buyers</v>
      </c>
    </row>
    <row r="681" customFormat="false" ht="15" hidden="false" customHeight="true" outlineLevel="0" collapsed="false">
      <c r="A681" s="13" t="s">
        <v>1409</v>
      </c>
      <c r="B681" s="13" t="s">
        <v>34</v>
      </c>
      <c r="C681" s="13" t="s">
        <v>1410</v>
      </c>
      <c r="D681" s="13" t="n">
        <v>64</v>
      </c>
      <c r="E681" s="13" t="s">
        <v>83</v>
      </c>
      <c r="F681" s="13" t="s">
        <v>33</v>
      </c>
      <c r="G681" s="13" t="s">
        <v>207</v>
      </c>
      <c r="H681" s="13" t="s">
        <v>41</v>
      </c>
      <c r="I681" s="13" t="n">
        <v>2</v>
      </c>
      <c r="J681" s="13" t="n">
        <v>1</v>
      </c>
      <c r="K681" s="13" t="s">
        <v>85</v>
      </c>
      <c r="L681" s="13" t="n">
        <v>3</v>
      </c>
      <c r="M681" s="13" t="n">
        <v>865293.89</v>
      </c>
      <c r="N681" s="13" t="n">
        <v>288431.296666667</v>
      </c>
      <c r="O681" s="13" t="n">
        <v>1015.94</v>
      </c>
      <c r="P681" s="13" t="n">
        <v>1</v>
      </c>
      <c r="Q681" s="13" t="n">
        <v>2</v>
      </c>
      <c r="R681" s="13" t="s">
        <v>121</v>
      </c>
      <c r="S681" s="13" t="s">
        <v>154</v>
      </c>
      <c r="T681" s="13" t="n">
        <v>1</v>
      </c>
      <c r="U681" s="13" t="n">
        <f aca="false">IF(B681="Individual",1,0)</f>
        <v>1</v>
      </c>
      <c r="V681" s="13" t="n">
        <f aca="false">IF(B681="Company",1,0)</f>
        <v>0</v>
      </c>
      <c r="W681" s="13" t="n">
        <f aca="false">IF(H681="Home",1,0)</f>
        <v>1</v>
      </c>
      <c r="X681" s="13" t="n">
        <f aca="false">IF(H681="Investment",1,0)</f>
        <v>0</v>
      </c>
      <c r="Y681" s="13" t="n">
        <f aca="false">IF(K681="Website",1,0)</f>
        <v>1</v>
      </c>
      <c r="Z681" s="13" t="n">
        <f aca="false">IF(K681="Agency",1,0)</f>
        <v>0</v>
      </c>
      <c r="AA681" s="13" t="n">
        <f aca="false">IF(K681="Client",1,0)</f>
        <v>0</v>
      </c>
      <c r="AB681" s="13" t="n">
        <f aca="false">(D681-AVERAGE(D$2:D$2001))/STDEV(D$2:D$2001)</f>
        <v>0.568724798479635</v>
      </c>
      <c r="AC681" s="13" t="n">
        <f aca="false">(I681-AVERAGE(I$2:I$2001))/STDEV(I$2:I$2001)</f>
        <v>-0.727948160798201</v>
      </c>
      <c r="AD681" s="13" t="n">
        <f aca="false">(L681-AVERAGE(L$2:L$2001))/STDEV(L$2:L$2001)</f>
        <v>-0.777063122173208</v>
      </c>
      <c r="AE681" s="13" t="n">
        <f aca="false">(M681-AVERAGE(M$2:M$2001))/STDEV(M$2:M$2001)</f>
        <v>-1.13584462317597</v>
      </c>
      <c r="AF681" s="13" t="n">
        <f aca="false">(N681-AVERAGE(N$2:N$2001))/STDEV(N$2:N$2001)</f>
        <v>-0.841324246502889</v>
      </c>
      <c r="AG681" s="13" t="n">
        <f aca="false">(O681-AVERAGE(O$2:O$2001))/STDEV(O$2:O$2001)</f>
        <v>-0.598118046047968</v>
      </c>
      <c r="AH681" s="0" t="str">
        <f aca="false">IF(B681="Company","C3 - Corporate Buyers",IF(AND(H681="Investment",M681&gt;'Segmentation Summary'!$C$1),"C1 - Global Investors",IF(AND(I681&gt;=4,M681&gt;'Segmentation Summary'!$C$1),"C4 - Luxury Investors",IF(AND(D681&lt;'Segmentation Summary'!$C$2,J681=1),"C2 - First-Time Buyers","C5 - Other Individual Buyers"))))</f>
        <v>C5 - Other Individual Buyers</v>
      </c>
    </row>
    <row r="682" customFormat="false" ht="15" hidden="false" customHeight="true" outlineLevel="0" collapsed="false">
      <c r="A682" s="13" t="s">
        <v>1411</v>
      </c>
      <c r="B682" s="13" t="s">
        <v>34</v>
      </c>
      <c r="C682" s="13" t="s">
        <v>1412</v>
      </c>
      <c r="D682" s="13" t="n">
        <v>53</v>
      </c>
      <c r="E682" s="13" t="s">
        <v>83</v>
      </c>
      <c r="F682" s="13" t="s">
        <v>33</v>
      </c>
      <c r="G682" s="13" t="s">
        <v>84</v>
      </c>
      <c r="H682" s="13" t="s">
        <v>43</v>
      </c>
      <c r="I682" s="13" t="n">
        <v>5</v>
      </c>
      <c r="J682" s="13" t="n">
        <v>0</v>
      </c>
      <c r="K682" s="13" t="s">
        <v>85</v>
      </c>
      <c r="L682" s="13" t="n">
        <v>4</v>
      </c>
      <c r="M682" s="13" t="n">
        <v>1368036.39</v>
      </c>
      <c r="N682" s="13" t="n">
        <v>342009.0975</v>
      </c>
      <c r="O682" s="13" t="n">
        <v>1145.535</v>
      </c>
      <c r="P682" s="13" t="n">
        <v>0</v>
      </c>
      <c r="Q682" s="13" t="n">
        <v>4</v>
      </c>
      <c r="R682" s="13" t="s">
        <v>101</v>
      </c>
      <c r="S682" s="13" t="s">
        <v>125</v>
      </c>
      <c r="T682" s="13" t="n">
        <v>1</v>
      </c>
      <c r="U682" s="13" t="n">
        <f aca="false">IF(B682="Individual",1,0)</f>
        <v>1</v>
      </c>
      <c r="V682" s="13" t="n">
        <f aca="false">IF(B682="Company",1,0)</f>
        <v>0</v>
      </c>
      <c r="W682" s="13" t="n">
        <f aca="false">IF(H682="Home",1,0)</f>
        <v>0</v>
      </c>
      <c r="X682" s="13" t="n">
        <f aca="false">IF(H682="Investment",1,0)</f>
        <v>1</v>
      </c>
      <c r="Y682" s="13" t="n">
        <f aca="false">IF(K682="Website",1,0)</f>
        <v>1</v>
      </c>
      <c r="Z682" s="13" t="n">
        <f aca="false">IF(K682="Agency",1,0)</f>
        <v>0</v>
      </c>
      <c r="AA682" s="13" t="n">
        <f aca="false">IF(K682="Client",1,0)</f>
        <v>0</v>
      </c>
      <c r="AB682" s="13" t="n">
        <f aca="false">(D682-AVERAGE(D$2:D$2001))/STDEV(D$2:D$2001)</f>
        <v>-0.065562211890028</v>
      </c>
      <c r="AC682" s="13" t="n">
        <f aca="false">(I682-AVERAGE(I$2:I$2001))/STDEV(I$2:I$2001)</f>
        <v>1.39434968409451</v>
      </c>
      <c r="AD682" s="13" t="n">
        <f aca="false">(L682-AVERAGE(L$2:L$2001))/STDEV(L$2:L$2001)</f>
        <v>0.413838214490712</v>
      </c>
      <c r="AE682" s="13" t="n">
        <f aca="false">(M682-AVERAGE(M$2:M$2001))/STDEV(M$2:M$2001)</f>
        <v>0.309521041318776</v>
      </c>
      <c r="AF682" s="13" t="n">
        <f aca="false">(N682-AVERAGE(N$2:N$2001))/STDEV(N$2:N$2001)</f>
        <v>-0.0728732875438213</v>
      </c>
      <c r="AG682" s="13" t="n">
        <f aca="false">(O682-AVERAGE(O$2:O$2001))/STDEV(O$2:O$2001)</f>
        <v>-0.00884251145456446</v>
      </c>
      <c r="AH682" s="0" t="str">
        <f aca="false">IF(B682="Company","C3 - Corporate Buyers",IF(AND(H682="Investment",M682&gt;'Segmentation Summary'!$C$1),"C1 - Global Investors",IF(AND(I682&gt;=4,M682&gt;'Segmentation Summary'!$C$1),"C4 - Luxury Investors",IF(AND(D682&lt;'Segmentation Summary'!$C$2,J682=1),"C2 - First-Time Buyers","C5 - Other Individual Buyers"))))</f>
        <v>C1 - Global Investors</v>
      </c>
    </row>
    <row r="683" customFormat="false" ht="15" hidden="false" customHeight="true" outlineLevel="0" collapsed="false">
      <c r="A683" s="13" t="s">
        <v>1413</v>
      </c>
      <c r="B683" s="13" t="s">
        <v>34</v>
      </c>
      <c r="C683" s="13" t="s">
        <v>1414</v>
      </c>
      <c r="D683" s="13" t="n">
        <v>62</v>
      </c>
      <c r="E683" s="13" t="s">
        <v>83</v>
      </c>
      <c r="F683" s="13" t="s">
        <v>40</v>
      </c>
      <c r="G683" s="13" t="s">
        <v>239</v>
      </c>
      <c r="H683" s="13" t="s">
        <v>41</v>
      </c>
      <c r="I683" s="13" t="n">
        <v>2</v>
      </c>
      <c r="J683" s="13" t="n">
        <v>0</v>
      </c>
      <c r="K683" s="13" t="s">
        <v>85</v>
      </c>
      <c r="L683" s="13" t="n">
        <v>4</v>
      </c>
      <c r="M683" s="13" t="n">
        <v>1496120.51</v>
      </c>
      <c r="N683" s="13" t="n">
        <v>374030.1275</v>
      </c>
      <c r="O683" s="13" t="n">
        <v>1313.38</v>
      </c>
      <c r="P683" s="13" t="n">
        <v>1</v>
      </c>
      <c r="Q683" s="13" t="n">
        <v>3</v>
      </c>
      <c r="R683" s="13" t="s">
        <v>111</v>
      </c>
      <c r="S683" s="13" t="s">
        <v>87</v>
      </c>
      <c r="T683" s="13" t="n">
        <v>1</v>
      </c>
      <c r="U683" s="13" t="n">
        <f aca="false">IF(B683="Individual",1,0)</f>
        <v>1</v>
      </c>
      <c r="V683" s="13" t="n">
        <f aca="false">IF(B683="Company",1,0)</f>
        <v>0</v>
      </c>
      <c r="W683" s="13" t="n">
        <f aca="false">IF(H683="Home",1,0)</f>
        <v>1</v>
      </c>
      <c r="X683" s="13" t="n">
        <f aca="false">IF(H683="Investment",1,0)</f>
        <v>0</v>
      </c>
      <c r="Y683" s="13" t="n">
        <f aca="false">IF(K683="Website",1,0)</f>
        <v>1</v>
      </c>
      <c r="Z683" s="13" t="n">
        <f aca="false">IF(K683="Agency",1,0)</f>
        <v>0</v>
      </c>
      <c r="AA683" s="13" t="n">
        <f aca="false">IF(K683="Client",1,0)</f>
        <v>0</v>
      </c>
      <c r="AB683" s="13" t="n">
        <f aca="false">(D683-AVERAGE(D$2:D$2001))/STDEV(D$2:D$2001)</f>
        <v>0.453399887503333</v>
      </c>
      <c r="AC683" s="13" t="n">
        <f aca="false">(I683-AVERAGE(I$2:I$2001))/STDEV(I$2:I$2001)</f>
        <v>-0.727948160798201</v>
      </c>
      <c r="AD683" s="13" t="n">
        <f aca="false">(L683-AVERAGE(L$2:L$2001))/STDEV(L$2:L$2001)</f>
        <v>0.413838214490712</v>
      </c>
      <c r="AE683" s="13" t="n">
        <f aca="false">(M683-AVERAGE(M$2:M$2001))/STDEV(M$2:M$2001)</f>
        <v>0.67775803981209</v>
      </c>
      <c r="AF683" s="13" t="n">
        <f aca="false">(N683-AVERAGE(N$2:N$2001))/STDEV(N$2:N$2001)</f>
        <v>0.386395118916197</v>
      </c>
      <c r="AG683" s="13" t="n">
        <f aca="false">(O683-AVERAGE(O$2:O$2001))/STDEV(O$2:O$2001)</f>
        <v>0.754357859731282</v>
      </c>
      <c r="AH683" s="0" t="str">
        <f aca="false">IF(B683="Company","C3 - Corporate Buyers",IF(AND(H683="Investment",M683&gt;'Segmentation Summary'!$C$1),"C1 - Global Investors",IF(AND(I683&gt;=4,M683&gt;'Segmentation Summary'!$C$1),"C4 - Luxury Investors",IF(AND(D683&lt;'Segmentation Summary'!$C$2,J683=1),"C2 - First-Time Buyers","C5 - Other Individual Buyers"))))</f>
        <v>C5 - Other Individual Buyers</v>
      </c>
    </row>
    <row r="684" customFormat="false" ht="15" hidden="false" customHeight="true" outlineLevel="0" collapsed="false">
      <c r="A684" s="13" t="s">
        <v>1415</v>
      </c>
      <c r="B684" s="13" t="s">
        <v>34</v>
      </c>
      <c r="C684" s="13" t="s">
        <v>1416</v>
      </c>
      <c r="D684" s="13" t="n">
        <v>68</v>
      </c>
      <c r="E684" s="13" t="s">
        <v>83</v>
      </c>
      <c r="F684" s="13" t="s">
        <v>44</v>
      </c>
      <c r="G684" s="13" t="s">
        <v>318</v>
      </c>
      <c r="H684" s="13" t="s">
        <v>41</v>
      </c>
      <c r="I684" s="13" t="n">
        <v>2</v>
      </c>
      <c r="J684" s="13" t="n">
        <v>0</v>
      </c>
      <c r="K684" s="13" t="s">
        <v>91</v>
      </c>
      <c r="L684" s="13" t="n">
        <v>4</v>
      </c>
      <c r="M684" s="13" t="n">
        <v>948769.93</v>
      </c>
      <c r="N684" s="13" t="n">
        <v>237192.4825</v>
      </c>
      <c r="O684" s="13" t="n">
        <v>802.7125</v>
      </c>
      <c r="P684" s="13" t="n">
        <v>0</v>
      </c>
      <c r="Q684" s="13" t="n">
        <v>4</v>
      </c>
      <c r="R684" s="13" t="s">
        <v>101</v>
      </c>
      <c r="S684" s="13" t="s">
        <v>215</v>
      </c>
      <c r="T684" s="13" t="n">
        <v>1</v>
      </c>
      <c r="U684" s="13" t="n">
        <f aca="false">IF(B684="Individual",1,0)</f>
        <v>1</v>
      </c>
      <c r="V684" s="13" t="n">
        <f aca="false">IF(B684="Company",1,0)</f>
        <v>0</v>
      </c>
      <c r="W684" s="13" t="n">
        <f aca="false">IF(H684="Home",1,0)</f>
        <v>1</v>
      </c>
      <c r="X684" s="13" t="n">
        <f aca="false">IF(H684="Investment",1,0)</f>
        <v>0</v>
      </c>
      <c r="Y684" s="13" t="n">
        <f aca="false">IF(K684="Website",1,0)</f>
        <v>0</v>
      </c>
      <c r="Z684" s="13" t="n">
        <f aca="false">IF(K684="Agency",1,0)</f>
        <v>1</v>
      </c>
      <c r="AA684" s="13" t="n">
        <f aca="false">IF(K684="Client",1,0)</f>
        <v>0</v>
      </c>
      <c r="AB684" s="13" t="n">
        <f aca="false">(D684-AVERAGE(D$2:D$2001))/STDEV(D$2:D$2001)</f>
        <v>0.79937462043224</v>
      </c>
      <c r="AC684" s="13" t="n">
        <f aca="false">(I684-AVERAGE(I$2:I$2001))/STDEV(I$2:I$2001)</f>
        <v>-0.727948160798201</v>
      </c>
      <c r="AD684" s="13" t="n">
        <f aca="false">(L684-AVERAGE(L$2:L$2001))/STDEV(L$2:L$2001)</f>
        <v>0.413838214490712</v>
      </c>
      <c r="AE684" s="13" t="n">
        <f aca="false">(M684-AVERAGE(M$2:M$2001))/STDEV(M$2:M$2001)</f>
        <v>-0.895854166781312</v>
      </c>
      <c r="AF684" s="13" t="n">
        <f aca="false">(N684-AVERAGE(N$2:N$2001))/STDEV(N$2:N$2001)</f>
        <v>-1.5762277936788</v>
      </c>
      <c r="AG684" s="13" t="n">
        <f aca="false">(O684-AVERAGE(O$2:O$2001))/STDEV(O$2:O$2001)</f>
        <v>-1.56767512041438</v>
      </c>
      <c r="AH684" s="0" t="str">
        <f aca="false">IF(B684="Company","C3 - Corporate Buyers",IF(AND(H684="Investment",M684&gt;'Segmentation Summary'!$C$1),"C1 - Global Investors",IF(AND(I684&gt;=4,M684&gt;'Segmentation Summary'!$C$1),"C4 - Luxury Investors",IF(AND(D684&lt;'Segmentation Summary'!$C$2,J684=1),"C2 - First-Time Buyers","C5 - Other Individual Buyers"))))</f>
        <v>C5 - Other Individual Buyers</v>
      </c>
    </row>
    <row r="685" customFormat="false" ht="15" hidden="false" customHeight="true" outlineLevel="0" collapsed="false">
      <c r="A685" s="13" t="s">
        <v>1417</v>
      </c>
      <c r="B685" s="13" t="s">
        <v>34</v>
      </c>
      <c r="C685" s="13" t="s">
        <v>1418</v>
      </c>
      <c r="D685" s="13" t="n">
        <v>51</v>
      </c>
      <c r="E685" s="13" t="s">
        <v>83</v>
      </c>
      <c r="F685" s="13" t="s">
        <v>33</v>
      </c>
      <c r="G685" s="13" t="s">
        <v>120</v>
      </c>
      <c r="H685" s="13" t="s">
        <v>41</v>
      </c>
      <c r="I685" s="13" t="n">
        <v>1</v>
      </c>
      <c r="J685" s="13" t="n">
        <v>0</v>
      </c>
      <c r="K685" s="13" t="s">
        <v>85</v>
      </c>
      <c r="L685" s="13" t="n">
        <v>3</v>
      </c>
      <c r="M685" s="13" t="n">
        <v>967521.23</v>
      </c>
      <c r="N685" s="13" t="n">
        <v>322507.076666667</v>
      </c>
      <c r="O685" s="13" t="n">
        <v>1042.71</v>
      </c>
      <c r="P685" s="13" t="n">
        <v>0</v>
      </c>
      <c r="Q685" s="13" t="n">
        <v>3</v>
      </c>
      <c r="R685" s="13" t="s">
        <v>121</v>
      </c>
      <c r="S685" s="13" t="s">
        <v>154</v>
      </c>
      <c r="T685" s="13" t="n">
        <v>1</v>
      </c>
      <c r="U685" s="13" t="n">
        <f aca="false">IF(B685="Individual",1,0)</f>
        <v>1</v>
      </c>
      <c r="V685" s="13" t="n">
        <f aca="false">IF(B685="Company",1,0)</f>
        <v>0</v>
      </c>
      <c r="W685" s="13" t="n">
        <f aca="false">IF(H685="Home",1,0)</f>
        <v>1</v>
      </c>
      <c r="X685" s="13" t="n">
        <f aca="false">IF(H685="Investment",1,0)</f>
        <v>0</v>
      </c>
      <c r="Y685" s="13" t="n">
        <f aca="false">IF(K685="Website",1,0)</f>
        <v>1</v>
      </c>
      <c r="Z685" s="13" t="n">
        <f aca="false">IF(K685="Agency",1,0)</f>
        <v>0</v>
      </c>
      <c r="AA685" s="13" t="n">
        <f aca="false">IF(K685="Client",1,0)</f>
        <v>0</v>
      </c>
      <c r="AB685" s="13" t="n">
        <f aca="false">(D685-AVERAGE(D$2:D$2001))/STDEV(D$2:D$2001)</f>
        <v>-0.18088712286633</v>
      </c>
      <c r="AC685" s="13" t="n">
        <f aca="false">(I685-AVERAGE(I$2:I$2001))/STDEV(I$2:I$2001)</f>
        <v>-1.43538077576244</v>
      </c>
      <c r="AD685" s="13" t="n">
        <f aca="false">(L685-AVERAGE(L$2:L$2001))/STDEV(L$2:L$2001)</f>
        <v>-0.777063122173208</v>
      </c>
      <c r="AE685" s="13" t="n">
        <f aca="false">(M685-AVERAGE(M$2:M$2001))/STDEV(M$2:M$2001)</f>
        <v>-0.84194488880175</v>
      </c>
      <c r="AF685" s="13" t="n">
        <f aca="false">(N685-AVERAGE(N$2:N$2001))/STDEV(N$2:N$2001)</f>
        <v>-0.35258515286717</v>
      </c>
      <c r="AG685" s="13" t="n">
        <f aca="false">(O685-AVERAGE(O$2:O$2001))/STDEV(O$2:O$2001)</f>
        <v>-0.476393395706015</v>
      </c>
      <c r="AH685" s="0" t="str">
        <f aca="false">IF(B685="Company","C3 - Corporate Buyers",IF(AND(H685="Investment",M685&gt;'Segmentation Summary'!$C$1),"C1 - Global Investors",IF(AND(I685&gt;=4,M685&gt;'Segmentation Summary'!$C$1),"C4 - Luxury Investors",IF(AND(D685&lt;'Segmentation Summary'!$C$2,J685=1),"C2 - First-Time Buyers","C5 - Other Individual Buyers"))))</f>
        <v>C5 - Other Individual Buyers</v>
      </c>
    </row>
    <row r="686" customFormat="false" ht="15" hidden="false" customHeight="true" outlineLevel="0" collapsed="false">
      <c r="A686" s="13" t="s">
        <v>1419</v>
      </c>
      <c r="B686" s="13" t="s">
        <v>34</v>
      </c>
      <c r="C686" s="13" t="s">
        <v>1420</v>
      </c>
      <c r="D686" s="13" t="n">
        <v>81</v>
      </c>
      <c r="E686" s="13" t="s">
        <v>83</v>
      </c>
      <c r="F686" s="13" t="s">
        <v>45</v>
      </c>
      <c r="G686" s="13" t="s">
        <v>196</v>
      </c>
      <c r="H686" s="13" t="s">
        <v>41</v>
      </c>
      <c r="I686" s="13" t="n">
        <v>2</v>
      </c>
      <c r="J686" s="13" t="n">
        <v>0</v>
      </c>
      <c r="K686" s="13" t="s">
        <v>91</v>
      </c>
      <c r="L686" s="13" t="n">
        <v>4</v>
      </c>
      <c r="M686" s="13" t="n">
        <v>1606667.68</v>
      </c>
      <c r="N686" s="13" t="n">
        <v>401666.92</v>
      </c>
      <c r="O686" s="13" t="n">
        <v>1316.0375</v>
      </c>
      <c r="P686" s="13" t="n">
        <v>0</v>
      </c>
      <c r="Q686" s="13" t="n">
        <v>4</v>
      </c>
      <c r="R686" s="13" t="s">
        <v>93</v>
      </c>
      <c r="S686" s="13" t="s">
        <v>152</v>
      </c>
      <c r="T686" s="13" t="n">
        <v>1</v>
      </c>
      <c r="U686" s="13" t="n">
        <f aca="false">IF(B686="Individual",1,0)</f>
        <v>1</v>
      </c>
      <c r="V686" s="13" t="n">
        <f aca="false">IF(B686="Company",1,0)</f>
        <v>0</v>
      </c>
      <c r="W686" s="13" t="n">
        <f aca="false">IF(H686="Home",1,0)</f>
        <v>1</v>
      </c>
      <c r="X686" s="13" t="n">
        <f aca="false">IF(H686="Investment",1,0)</f>
        <v>0</v>
      </c>
      <c r="Y686" s="13" t="n">
        <f aca="false">IF(K686="Website",1,0)</f>
        <v>0</v>
      </c>
      <c r="Z686" s="13" t="n">
        <f aca="false">IF(K686="Agency",1,0)</f>
        <v>1</v>
      </c>
      <c r="AA686" s="13" t="n">
        <f aca="false">IF(K686="Client",1,0)</f>
        <v>0</v>
      </c>
      <c r="AB686" s="13" t="n">
        <f aca="false">(D686-AVERAGE(D$2:D$2001))/STDEV(D$2:D$2001)</f>
        <v>1.54898654177821</v>
      </c>
      <c r="AC686" s="13" t="n">
        <f aca="false">(I686-AVERAGE(I$2:I$2001))/STDEV(I$2:I$2001)</f>
        <v>-0.727948160798201</v>
      </c>
      <c r="AD686" s="13" t="n">
        <f aca="false">(L686-AVERAGE(L$2:L$2001))/STDEV(L$2:L$2001)</f>
        <v>0.413838214490712</v>
      </c>
      <c r="AE686" s="13" t="n">
        <f aca="false">(M686-AVERAGE(M$2:M$2001))/STDEV(M$2:M$2001)</f>
        <v>0.995576970626698</v>
      </c>
      <c r="AF686" s="13" t="n">
        <f aca="false">(N686-AVERAGE(N$2:N$2001))/STDEV(N$2:N$2001)</f>
        <v>0.782781670227668</v>
      </c>
      <c r="AG686" s="13" t="n">
        <f aca="false">(O686-AVERAGE(O$2:O$2001))/STDEV(O$2:O$2001)</f>
        <v>0.766441657201724</v>
      </c>
      <c r="AH686" s="0" t="str">
        <f aca="false">IF(B686="Company","C3 - Corporate Buyers",IF(AND(H686="Investment",M686&gt;'Segmentation Summary'!$C$1),"C1 - Global Investors",IF(AND(I686&gt;=4,M686&gt;'Segmentation Summary'!$C$1),"C4 - Luxury Investors",IF(AND(D686&lt;'Segmentation Summary'!$C$2,J686=1),"C2 - First-Time Buyers","C5 - Other Individual Buyers"))))</f>
        <v>C5 - Other Individual Buyers</v>
      </c>
    </row>
    <row r="687" customFormat="false" ht="15" hidden="false" customHeight="true" outlineLevel="0" collapsed="false">
      <c r="A687" s="13" t="s">
        <v>1421</v>
      </c>
      <c r="B687" s="13" t="s">
        <v>34</v>
      </c>
      <c r="C687" s="13" t="s">
        <v>1422</v>
      </c>
      <c r="D687" s="13" t="n">
        <v>60</v>
      </c>
      <c r="E687" s="13" t="s">
        <v>83</v>
      </c>
      <c r="F687" s="13" t="s">
        <v>33</v>
      </c>
      <c r="G687" s="13" t="s">
        <v>157</v>
      </c>
      <c r="H687" s="13" t="s">
        <v>43</v>
      </c>
      <c r="I687" s="13" t="n">
        <v>5</v>
      </c>
      <c r="J687" s="13" t="n">
        <v>0</v>
      </c>
      <c r="K687" s="13" t="s">
        <v>91</v>
      </c>
      <c r="L687" s="13" t="n">
        <v>4</v>
      </c>
      <c r="M687" s="13" t="n">
        <v>1579301.36</v>
      </c>
      <c r="N687" s="13" t="n">
        <v>394825.34</v>
      </c>
      <c r="O687" s="13" t="n">
        <v>1355.5975</v>
      </c>
      <c r="P687" s="13" t="n">
        <v>1</v>
      </c>
      <c r="Q687" s="13" t="n">
        <v>3</v>
      </c>
      <c r="R687" s="13" t="s">
        <v>92</v>
      </c>
      <c r="S687" s="13" t="s">
        <v>114</v>
      </c>
      <c r="T687" s="13" t="n">
        <v>1</v>
      </c>
      <c r="U687" s="13" t="n">
        <f aca="false">IF(B687="Individual",1,0)</f>
        <v>1</v>
      </c>
      <c r="V687" s="13" t="n">
        <f aca="false">IF(B687="Company",1,0)</f>
        <v>0</v>
      </c>
      <c r="W687" s="13" t="n">
        <f aca="false">IF(H687="Home",1,0)</f>
        <v>0</v>
      </c>
      <c r="X687" s="13" t="n">
        <f aca="false">IF(H687="Investment",1,0)</f>
        <v>1</v>
      </c>
      <c r="Y687" s="13" t="n">
        <f aca="false">IF(K687="Website",1,0)</f>
        <v>0</v>
      </c>
      <c r="Z687" s="13" t="n">
        <f aca="false">IF(K687="Agency",1,0)</f>
        <v>1</v>
      </c>
      <c r="AA687" s="13" t="n">
        <f aca="false">IF(K687="Client",1,0)</f>
        <v>0</v>
      </c>
      <c r="AB687" s="13" t="n">
        <f aca="false">(D687-AVERAGE(D$2:D$2001))/STDEV(D$2:D$2001)</f>
        <v>0.338074976527031</v>
      </c>
      <c r="AC687" s="13" t="n">
        <f aca="false">(I687-AVERAGE(I$2:I$2001))/STDEV(I$2:I$2001)</f>
        <v>1.39434968409451</v>
      </c>
      <c r="AD687" s="13" t="n">
        <f aca="false">(L687-AVERAGE(L$2:L$2001))/STDEV(L$2:L$2001)</f>
        <v>0.413838214490712</v>
      </c>
      <c r="AE687" s="13" t="n">
        <f aca="false">(M687-AVERAGE(M$2:M$2001))/STDEV(M$2:M$2001)</f>
        <v>0.916899836126282</v>
      </c>
      <c r="AF687" s="13" t="n">
        <f aca="false">(N687-AVERAGE(N$2:N$2001))/STDEV(N$2:N$2001)</f>
        <v>0.684654859682576</v>
      </c>
      <c r="AG687" s="13" t="n">
        <f aca="false">(O687-AVERAGE(O$2:O$2001))/STDEV(O$2:O$2001)</f>
        <v>0.946323135256549</v>
      </c>
      <c r="AH687" s="0" t="str">
        <f aca="false">IF(B687="Company","C3 - Corporate Buyers",IF(AND(H687="Investment",M687&gt;'Segmentation Summary'!$C$1),"C1 - Global Investors",IF(AND(I687&gt;=4,M687&gt;'Segmentation Summary'!$C$1),"C4 - Luxury Investors",IF(AND(D687&lt;'Segmentation Summary'!$C$2,J687=1),"C2 - First-Time Buyers","C5 - Other Individual Buyers"))))</f>
        <v>C1 - Global Investors</v>
      </c>
    </row>
    <row r="688" customFormat="false" ht="15" hidden="false" customHeight="true" outlineLevel="0" collapsed="false">
      <c r="A688" s="13" t="s">
        <v>1423</v>
      </c>
      <c r="B688" s="13" t="s">
        <v>34</v>
      </c>
      <c r="C688" s="13" t="s">
        <v>1424</v>
      </c>
      <c r="D688" s="13" t="n">
        <v>82</v>
      </c>
      <c r="E688" s="13" t="s">
        <v>90</v>
      </c>
      <c r="F688" s="13" t="s">
        <v>33</v>
      </c>
      <c r="G688" s="13" t="s">
        <v>95</v>
      </c>
      <c r="H688" s="13" t="s">
        <v>41</v>
      </c>
      <c r="I688" s="13" t="n">
        <v>1</v>
      </c>
      <c r="J688" s="13" t="n">
        <v>1</v>
      </c>
      <c r="K688" s="13" t="s">
        <v>85</v>
      </c>
      <c r="L688" s="13" t="n">
        <v>4</v>
      </c>
      <c r="M688" s="13" t="n">
        <v>1603043.92</v>
      </c>
      <c r="N688" s="13" t="n">
        <v>400760.98</v>
      </c>
      <c r="O688" s="13" t="n">
        <v>1399.315</v>
      </c>
      <c r="P688" s="13" t="n">
        <v>0</v>
      </c>
      <c r="Q688" s="13" t="n">
        <v>4</v>
      </c>
      <c r="R688" s="13" t="s">
        <v>98</v>
      </c>
      <c r="S688" s="13" t="s">
        <v>87</v>
      </c>
      <c r="T688" s="13" t="n">
        <v>1</v>
      </c>
      <c r="U688" s="13" t="n">
        <f aca="false">IF(B688="Individual",1,0)</f>
        <v>1</v>
      </c>
      <c r="V688" s="13" t="n">
        <f aca="false">IF(B688="Company",1,0)</f>
        <v>0</v>
      </c>
      <c r="W688" s="13" t="n">
        <f aca="false">IF(H688="Home",1,0)</f>
        <v>1</v>
      </c>
      <c r="X688" s="13" t="n">
        <f aca="false">IF(H688="Investment",1,0)</f>
        <v>0</v>
      </c>
      <c r="Y688" s="13" t="n">
        <f aca="false">IF(K688="Website",1,0)</f>
        <v>1</v>
      </c>
      <c r="Z688" s="13" t="n">
        <f aca="false">IF(K688="Agency",1,0)</f>
        <v>0</v>
      </c>
      <c r="AA688" s="13" t="n">
        <f aca="false">IF(K688="Client",1,0)</f>
        <v>0</v>
      </c>
      <c r="AB688" s="13" t="n">
        <f aca="false">(D688-AVERAGE(D$2:D$2001))/STDEV(D$2:D$2001)</f>
        <v>1.60664899726636</v>
      </c>
      <c r="AC688" s="13" t="n">
        <f aca="false">(I688-AVERAGE(I$2:I$2001))/STDEV(I$2:I$2001)</f>
        <v>-1.43538077576244</v>
      </c>
      <c r="AD688" s="13" t="n">
        <f aca="false">(L688-AVERAGE(L$2:L$2001))/STDEV(L$2:L$2001)</f>
        <v>0.413838214490712</v>
      </c>
      <c r="AE688" s="13" t="n">
        <f aca="false">(M688-AVERAGE(M$2:M$2001))/STDEV(M$2:M$2001)</f>
        <v>0.98515879774422</v>
      </c>
      <c r="AF688" s="13" t="n">
        <f aca="false">(N688-AVERAGE(N$2:N$2001))/STDEV(N$2:N$2001)</f>
        <v>0.769788033853436</v>
      </c>
      <c r="AG688" s="13" t="n">
        <f aca="false">(O688-AVERAGE(O$2:O$2001))/STDEV(O$2:O$2001)</f>
        <v>1.14510899260897</v>
      </c>
      <c r="AH688" s="0" t="str">
        <f aca="false">IF(B688="Company","C3 - Corporate Buyers",IF(AND(H688="Investment",M688&gt;'Segmentation Summary'!$C$1),"C1 - Global Investors",IF(AND(I688&gt;=4,M688&gt;'Segmentation Summary'!$C$1),"C4 - Luxury Investors",IF(AND(D688&lt;'Segmentation Summary'!$C$2,J688=1),"C2 - First-Time Buyers","C5 - Other Individual Buyers"))))</f>
        <v>C5 - Other Individual Buyers</v>
      </c>
    </row>
    <row r="689" customFormat="false" ht="15" hidden="false" customHeight="true" outlineLevel="0" collapsed="false">
      <c r="A689" s="13" t="s">
        <v>1425</v>
      </c>
      <c r="B689" s="13" t="s">
        <v>34</v>
      </c>
      <c r="C689" s="13" t="s">
        <v>1426</v>
      </c>
      <c r="D689" s="13" t="n">
        <v>69</v>
      </c>
      <c r="E689" s="13" t="s">
        <v>90</v>
      </c>
      <c r="F689" s="13" t="s">
        <v>33</v>
      </c>
      <c r="G689" s="13" t="s">
        <v>95</v>
      </c>
      <c r="H689" s="13" t="s">
        <v>43</v>
      </c>
      <c r="I689" s="13" t="n">
        <v>4</v>
      </c>
      <c r="J689" s="13" t="n">
        <v>0</v>
      </c>
      <c r="K689" s="13" t="s">
        <v>85</v>
      </c>
      <c r="L689" s="13" t="n">
        <v>8</v>
      </c>
      <c r="M689" s="13" t="n">
        <v>2484590.08</v>
      </c>
      <c r="N689" s="13" t="n">
        <v>310573.76</v>
      </c>
      <c r="O689" s="13" t="n">
        <v>1039.8925</v>
      </c>
      <c r="P689" s="13" t="n">
        <v>1</v>
      </c>
      <c r="Q689" s="13" t="n">
        <v>7</v>
      </c>
      <c r="R689" s="13" t="s">
        <v>92</v>
      </c>
      <c r="S689" s="13" t="s">
        <v>114</v>
      </c>
      <c r="T689" s="13" t="n">
        <v>1</v>
      </c>
      <c r="U689" s="13" t="n">
        <f aca="false">IF(B689="Individual",1,0)</f>
        <v>1</v>
      </c>
      <c r="V689" s="13" t="n">
        <f aca="false">IF(B689="Company",1,0)</f>
        <v>0</v>
      </c>
      <c r="W689" s="13" t="n">
        <f aca="false">IF(H689="Home",1,0)</f>
        <v>0</v>
      </c>
      <c r="X689" s="13" t="n">
        <f aca="false">IF(H689="Investment",1,0)</f>
        <v>1</v>
      </c>
      <c r="Y689" s="13" t="n">
        <f aca="false">IF(K689="Website",1,0)</f>
        <v>1</v>
      </c>
      <c r="Z689" s="13" t="n">
        <f aca="false">IF(K689="Agency",1,0)</f>
        <v>0</v>
      </c>
      <c r="AA689" s="13" t="n">
        <f aca="false">IF(K689="Client",1,0)</f>
        <v>0</v>
      </c>
      <c r="AB689" s="13" t="n">
        <f aca="false">(D689-AVERAGE(D$2:D$2001))/STDEV(D$2:D$2001)</f>
        <v>0.857037075920391</v>
      </c>
      <c r="AC689" s="13" t="n">
        <f aca="false">(I689-AVERAGE(I$2:I$2001))/STDEV(I$2:I$2001)</f>
        <v>0.686917069130275</v>
      </c>
      <c r="AD689" s="13" t="n">
        <f aca="false">(L689-AVERAGE(L$2:L$2001))/STDEV(L$2:L$2001)</f>
        <v>5.17744356114639</v>
      </c>
      <c r="AE689" s="13" t="n">
        <f aca="false">(M689-AVERAGE(M$2:M$2001))/STDEV(M$2:M$2001)</f>
        <v>3.51957065138936</v>
      </c>
      <c r="AF689" s="13" t="n">
        <f aca="false">(N689-AVERAGE(N$2:N$2001))/STDEV(N$2:N$2001)</f>
        <v>-0.523741275243087</v>
      </c>
      <c r="AG689" s="13" t="n">
        <f aca="false">(O689-AVERAGE(O$2:O$2001))/STDEV(O$2:O$2001)</f>
        <v>-0.489204721904688</v>
      </c>
      <c r="AH689" s="0" t="str">
        <f aca="false">IF(B689="Company","C3 - Corporate Buyers",IF(AND(H689="Investment",M689&gt;'Segmentation Summary'!$C$1),"C1 - Global Investors",IF(AND(I689&gt;=4,M689&gt;'Segmentation Summary'!$C$1),"C4 - Luxury Investors",IF(AND(D689&lt;'Segmentation Summary'!$C$2,J689=1),"C2 - First-Time Buyers","C5 - Other Individual Buyers"))))</f>
        <v>C1 - Global Investors</v>
      </c>
    </row>
    <row r="690" customFormat="false" ht="15" hidden="false" customHeight="true" outlineLevel="0" collapsed="false">
      <c r="A690" s="13" t="s">
        <v>1427</v>
      </c>
      <c r="B690" s="13" t="s">
        <v>34</v>
      </c>
      <c r="C690" s="13" t="s">
        <v>1428</v>
      </c>
      <c r="D690" s="13" t="n">
        <v>41</v>
      </c>
      <c r="E690" s="13" t="s">
        <v>83</v>
      </c>
      <c r="F690" s="13" t="s">
        <v>38</v>
      </c>
      <c r="G690" s="13" t="s">
        <v>339</v>
      </c>
      <c r="H690" s="13" t="s">
        <v>41</v>
      </c>
      <c r="I690" s="13" t="n">
        <v>3</v>
      </c>
      <c r="J690" s="13" t="n">
        <v>0</v>
      </c>
      <c r="K690" s="13" t="s">
        <v>85</v>
      </c>
      <c r="L690" s="13" t="n">
        <v>3</v>
      </c>
      <c r="M690" s="13" t="n">
        <v>1427933.58</v>
      </c>
      <c r="N690" s="13" t="n">
        <v>475977.86</v>
      </c>
      <c r="O690" s="13" t="n">
        <v>1471.9</v>
      </c>
      <c r="P690" s="13" t="n">
        <v>1</v>
      </c>
      <c r="Q690" s="13" t="n">
        <v>2</v>
      </c>
      <c r="R690" s="13" t="s">
        <v>124</v>
      </c>
      <c r="S690" s="13" t="s">
        <v>125</v>
      </c>
      <c r="T690" s="13" t="n">
        <v>1</v>
      </c>
      <c r="U690" s="13" t="n">
        <f aca="false">IF(B690="Individual",1,0)</f>
        <v>1</v>
      </c>
      <c r="V690" s="13" t="n">
        <f aca="false">IF(B690="Company",1,0)</f>
        <v>0</v>
      </c>
      <c r="W690" s="13" t="n">
        <f aca="false">IF(H690="Home",1,0)</f>
        <v>1</v>
      </c>
      <c r="X690" s="13" t="n">
        <f aca="false">IF(H690="Investment",1,0)</f>
        <v>0</v>
      </c>
      <c r="Y690" s="13" t="n">
        <f aca="false">IF(K690="Website",1,0)</f>
        <v>1</v>
      </c>
      <c r="Z690" s="13" t="n">
        <f aca="false">IF(K690="Agency",1,0)</f>
        <v>0</v>
      </c>
      <c r="AA690" s="13" t="n">
        <f aca="false">IF(K690="Client",1,0)</f>
        <v>0</v>
      </c>
      <c r="AB690" s="13" t="n">
        <f aca="false">(D690-AVERAGE(D$2:D$2001))/STDEV(D$2:D$2001)</f>
        <v>-0.757511677747842</v>
      </c>
      <c r="AC690" s="13" t="n">
        <f aca="false">(I690-AVERAGE(I$2:I$2001))/STDEV(I$2:I$2001)</f>
        <v>-0.0205155458339628</v>
      </c>
      <c r="AD690" s="13" t="n">
        <f aca="false">(L690-AVERAGE(L$2:L$2001))/STDEV(L$2:L$2001)</f>
        <v>-0.777063122173208</v>
      </c>
      <c r="AE690" s="13" t="n">
        <f aca="false">(M690-AVERAGE(M$2:M$2001))/STDEV(M$2:M$2001)</f>
        <v>0.481723196150958</v>
      </c>
      <c r="AF690" s="13" t="n">
        <f aca="false">(N690-AVERAGE(N$2:N$2001))/STDEV(N$2:N$2001)</f>
        <v>1.84860207001949</v>
      </c>
      <c r="AG690" s="13" t="n">
        <f aca="false">(O690-AVERAGE(O$2:O$2001))/STDEV(O$2:O$2001)</f>
        <v>1.47515694722498</v>
      </c>
      <c r="AH690" s="0" t="str">
        <f aca="false">IF(B690="Company","C3 - Corporate Buyers",IF(AND(H690="Investment",M690&gt;'Segmentation Summary'!$C$1),"C1 - Global Investors",IF(AND(I690&gt;=4,M690&gt;'Segmentation Summary'!$C$1),"C4 - Luxury Investors",IF(AND(D690&lt;'Segmentation Summary'!$C$2,J690=1),"C2 - First-Time Buyers","C5 - Other Individual Buyers"))))</f>
        <v>C5 - Other Individual Buyers</v>
      </c>
    </row>
    <row r="691" customFormat="false" ht="15" hidden="false" customHeight="true" outlineLevel="0" collapsed="false">
      <c r="A691" s="13" t="s">
        <v>1429</v>
      </c>
      <c r="B691" s="13" t="s">
        <v>34</v>
      </c>
      <c r="C691" s="13" t="s">
        <v>1430</v>
      </c>
      <c r="D691" s="13" t="n">
        <v>68</v>
      </c>
      <c r="E691" s="13" t="s">
        <v>83</v>
      </c>
      <c r="F691" s="13" t="s">
        <v>33</v>
      </c>
      <c r="G691" s="13" t="s">
        <v>95</v>
      </c>
      <c r="H691" s="13" t="s">
        <v>41</v>
      </c>
      <c r="I691" s="13" t="n">
        <v>5</v>
      </c>
      <c r="J691" s="13" t="n">
        <v>1</v>
      </c>
      <c r="K691" s="13" t="s">
        <v>91</v>
      </c>
      <c r="L691" s="13" t="n">
        <v>4</v>
      </c>
      <c r="M691" s="13" t="n">
        <v>1604050.88</v>
      </c>
      <c r="N691" s="13" t="n">
        <v>401012.72</v>
      </c>
      <c r="O691" s="13" t="n">
        <v>1279.9</v>
      </c>
      <c r="P691" s="13" t="n">
        <v>0</v>
      </c>
      <c r="Q691" s="13" t="n">
        <v>4</v>
      </c>
      <c r="R691" s="13" t="s">
        <v>124</v>
      </c>
      <c r="S691" s="13" t="s">
        <v>141</v>
      </c>
      <c r="T691" s="13" t="n">
        <v>1</v>
      </c>
      <c r="U691" s="13" t="n">
        <f aca="false">IF(B691="Individual",1,0)</f>
        <v>1</v>
      </c>
      <c r="V691" s="13" t="n">
        <f aca="false">IF(B691="Company",1,0)</f>
        <v>0</v>
      </c>
      <c r="W691" s="13" t="n">
        <f aca="false">IF(H691="Home",1,0)</f>
        <v>1</v>
      </c>
      <c r="X691" s="13" t="n">
        <f aca="false">IF(H691="Investment",1,0)</f>
        <v>0</v>
      </c>
      <c r="Y691" s="13" t="n">
        <f aca="false">IF(K691="Website",1,0)</f>
        <v>0</v>
      </c>
      <c r="Z691" s="13" t="n">
        <f aca="false">IF(K691="Agency",1,0)</f>
        <v>1</v>
      </c>
      <c r="AA691" s="13" t="n">
        <f aca="false">IF(K691="Client",1,0)</f>
        <v>0</v>
      </c>
      <c r="AB691" s="13" t="n">
        <f aca="false">(D691-AVERAGE(D$2:D$2001))/STDEV(D$2:D$2001)</f>
        <v>0.79937462043224</v>
      </c>
      <c r="AC691" s="13" t="n">
        <f aca="false">(I691-AVERAGE(I$2:I$2001))/STDEV(I$2:I$2001)</f>
        <v>1.39434968409451</v>
      </c>
      <c r="AD691" s="13" t="n">
        <f aca="false">(L691-AVERAGE(L$2:L$2001))/STDEV(L$2:L$2001)</f>
        <v>0.413838214490712</v>
      </c>
      <c r="AE691" s="13" t="n">
        <f aca="false">(M691-AVERAGE(M$2:M$2001))/STDEV(M$2:M$2001)</f>
        <v>0.988053769642397</v>
      </c>
      <c r="AF691" s="13" t="n">
        <f aca="false">(N691-AVERAGE(N$2:N$2001))/STDEV(N$2:N$2001)</f>
        <v>0.773398668134789</v>
      </c>
      <c r="AG691" s="13" t="n">
        <f aca="false">(O691-AVERAGE(O$2:O$2001))/STDEV(O$2:O$2001)</f>
        <v>0.602122473349191</v>
      </c>
      <c r="AH691" s="0" t="str">
        <f aca="false">IF(B691="Company","C3 - Corporate Buyers",IF(AND(H691="Investment",M691&gt;'Segmentation Summary'!$C$1),"C1 - Global Investors",IF(AND(I691&gt;=4,M691&gt;'Segmentation Summary'!$C$1),"C4 - Luxury Investors",IF(AND(D691&lt;'Segmentation Summary'!$C$2,J691=1),"C2 - First-Time Buyers","C5 - Other Individual Buyers"))))</f>
        <v>C4 - Luxury Investors</v>
      </c>
    </row>
    <row r="692" customFormat="false" ht="15" hidden="false" customHeight="true" outlineLevel="0" collapsed="false">
      <c r="A692" s="13" t="s">
        <v>1431</v>
      </c>
      <c r="B692" s="13" t="s">
        <v>34</v>
      </c>
      <c r="C692" s="13" t="s">
        <v>1432</v>
      </c>
      <c r="D692" s="13" t="n">
        <v>31</v>
      </c>
      <c r="E692" s="13" t="s">
        <v>83</v>
      </c>
      <c r="F692" s="13" t="s">
        <v>33</v>
      </c>
      <c r="G692" s="13" t="s">
        <v>84</v>
      </c>
      <c r="H692" s="13" t="s">
        <v>41</v>
      </c>
      <c r="I692" s="13" t="n">
        <v>5</v>
      </c>
      <c r="J692" s="13" t="n">
        <v>0</v>
      </c>
      <c r="K692" s="13" t="s">
        <v>85</v>
      </c>
      <c r="L692" s="13" t="n">
        <v>3</v>
      </c>
      <c r="M692" s="13" t="n">
        <v>1118850.31</v>
      </c>
      <c r="N692" s="13" t="n">
        <v>372950.103333333</v>
      </c>
      <c r="O692" s="13" t="n">
        <v>1267.40666666667</v>
      </c>
      <c r="P692" s="13" t="n">
        <v>0</v>
      </c>
      <c r="Q692" s="13" t="n">
        <v>3</v>
      </c>
      <c r="R692" s="13" t="s">
        <v>86</v>
      </c>
      <c r="S692" s="13" t="s">
        <v>154</v>
      </c>
      <c r="T692" s="13" t="n">
        <v>1</v>
      </c>
      <c r="U692" s="13" t="n">
        <f aca="false">IF(B692="Individual",1,0)</f>
        <v>1</v>
      </c>
      <c r="V692" s="13" t="n">
        <f aca="false">IF(B692="Company",1,0)</f>
        <v>0</v>
      </c>
      <c r="W692" s="13" t="n">
        <f aca="false">IF(H692="Home",1,0)</f>
        <v>1</v>
      </c>
      <c r="X692" s="13" t="n">
        <f aca="false">IF(H692="Investment",1,0)</f>
        <v>0</v>
      </c>
      <c r="Y692" s="13" t="n">
        <f aca="false">IF(K692="Website",1,0)</f>
        <v>1</v>
      </c>
      <c r="Z692" s="13" t="n">
        <f aca="false">IF(K692="Agency",1,0)</f>
        <v>0</v>
      </c>
      <c r="AA692" s="13" t="n">
        <f aca="false">IF(K692="Client",1,0)</f>
        <v>0</v>
      </c>
      <c r="AB692" s="13" t="n">
        <f aca="false">(D692-AVERAGE(D$2:D$2001))/STDEV(D$2:D$2001)</f>
        <v>-1.33413623262935</v>
      </c>
      <c r="AC692" s="13" t="n">
        <f aca="false">(I692-AVERAGE(I$2:I$2001))/STDEV(I$2:I$2001)</f>
        <v>1.39434968409451</v>
      </c>
      <c r="AD692" s="13" t="n">
        <f aca="false">(L692-AVERAGE(L$2:L$2001))/STDEV(L$2:L$2001)</f>
        <v>-0.777063122173208</v>
      </c>
      <c r="AE692" s="13" t="n">
        <f aca="false">(M692-AVERAGE(M$2:M$2001))/STDEV(M$2:M$2001)</f>
        <v>-0.406879509862077</v>
      </c>
      <c r="AF692" s="13" t="n">
        <f aca="false">(N692-AVERAGE(N$2:N$2001))/STDEV(N$2:N$2001)</f>
        <v>0.37090464350165</v>
      </c>
      <c r="AG692" s="13" t="n">
        <f aca="false">(O692-AVERAGE(O$2:O$2001))/STDEV(O$2:O$2001)</f>
        <v>0.545314605153259</v>
      </c>
      <c r="AH692" s="0" t="str">
        <f aca="false">IF(B692="Company","C3 - Corporate Buyers",IF(AND(H692="Investment",M692&gt;'Segmentation Summary'!$C$1),"C1 - Global Investors",IF(AND(I692&gt;=4,M692&gt;'Segmentation Summary'!$C$1),"C4 - Luxury Investors",IF(AND(D692&lt;'Segmentation Summary'!$C$2,J692=1),"C2 - First-Time Buyers","C5 - Other Individual Buyers"))))</f>
        <v>C5 - Other Individual Buyers</v>
      </c>
    </row>
    <row r="693" customFormat="false" ht="15" hidden="false" customHeight="true" outlineLevel="0" collapsed="false">
      <c r="A693" s="13" t="s">
        <v>1433</v>
      </c>
      <c r="B693" s="13" t="s">
        <v>34</v>
      </c>
      <c r="C693" s="13" t="s">
        <v>1434</v>
      </c>
      <c r="D693" s="13" t="n">
        <v>46</v>
      </c>
      <c r="E693" s="13" t="s">
        <v>83</v>
      </c>
      <c r="F693" s="13" t="s">
        <v>33</v>
      </c>
      <c r="G693" s="13" t="s">
        <v>95</v>
      </c>
      <c r="H693" s="13" t="s">
        <v>41</v>
      </c>
      <c r="I693" s="13" t="n">
        <v>2</v>
      </c>
      <c r="J693" s="13" t="n">
        <v>0</v>
      </c>
      <c r="K693" s="13" t="s">
        <v>85</v>
      </c>
      <c r="L693" s="13" t="n">
        <v>4</v>
      </c>
      <c r="M693" s="13" t="n">
        <v>1243439.96</v>
      </c>
      <c r="N693" s="13" t="n">
        <v>310859.99</v>
      </c>
      <c r="O693" s="13" t="n">
        <v>1092.085</v>
      </c>
      <c r="P693" s="13" t="n">
        <v>0</v>
      </c>
      <c r="Q693" s="13" t="n">
        <v>4</v>
      </c>
      <c r="R693" s="13" t="s">
        <v>215</v>
      </c>
      <c r="S693" s="13" t="s">
        <v>125</v>
      </c>
      <c r="T693" s="13" t="n">
        <v>1</v>
      </c>
      <c r="U693" s="13" t="n">
        <f aca="false">IF(B693="Individual",1,0)</f>
        <v>1</v>
      </c>
      <c r="V693" s="13" t="n">
        <f aca="false">IF(B693="Company",1,0)</f>
        <v>0</v>
      </c>
      <c r="W693" s="13" t="n">
        <f aca="false">IF(H693="Home",1,0)</f>
        <v>1</v>
      </c>
      <c r="X693" s="13" t="n">
        <f aca="false">IF(H693="Investment",1,0)</f>
        <v>0</v>
      </c>
      <c r="Y693" s="13" t="n">
        <f aca="false">IF(K693="Website",1,0)</f>
        <v>1</v>
      </c>
      <c r="Z693" s="13" t="n">
        <f aca="false">IF(K693="Agency",1,0)</f>
        <v>0</v>
      </c>
      <c r="AA693" s="13" t="n">
        <f aca="false">IF(K693="Client",1,0)</f>
        <v>0</v>
      </c>
      <c r="AB693" s="13" t="n">
        <f aca="false">(D693-AVERAGE(D$2:D$2001))/STDEV(D$2:D$2001)</f>
        <v>-0.469199400307086</v>
      </c>
      <c r="AC693" s="13" t="n">
        <f aca="false">(I693-AVERAGE(I$2:I$2001))/STDEV(I$2:I$2001)</f>
        <v>-0.727948160798201</v>
      </c>
      <c r="AD693" s="13" t="n">
        <f aca="false">(L693-AVERAGE(L$2:L$2001))/STDEV(L$2:L$2001)</f>
        <v>0.413838214490712</v>
      </c>
      <c r="AE693" s="13" t="n">
        <f aca="false">(M693-AVERAGE(M$2:M$2001))/STDEV(M$2:M$2001)</f>
        <v>-0.0486889803933781</v>
      </c>
      <c r="AF693" s="13" t="n">
        <f aca="false">(N693-AVERAGE(N$2:N$2001))/STDEV(N$2:N$2001)</f>
        <v>-0.519635960829996</v>
      </c>
      <c r="AG693" s="13" t="n">
        <f aca="false">(O693-AVERAGE(O$2:O$2001))/STDEV(O$2:O$2001)</f>
        <v>-0.251882577228842</v>
      </c>
      <c r="AH693" s="0" t="str">
        <f aca="false">IF(B693="Company","C3 - Corporate Buyers",IF(AND(H693="Investment",M693&gt;'Segmentation Summary'!$C$1),"C1 - Global Investors",IF(AND(I693&gt;=4,M693&gt;'Segmentation Summary'!$C$1),"C4 - Luxury Investors",IF(AND(D693&lt;'Segmentation Summary'!$C$2,J693=1),"C2 - First-Time Buyers","C5 - Other Individual Buyers"))))</f>
        <v>C5 - Other Individual Buyers</v>
      </c>
    </row>
    <row r="694" customFormat="false" ht="15" hidden="false" customHeight="true" outlineLevel="0" collapsed="false">
      <c r="A694" s="13" t="s">
        <v>1435</v>
      </c>
      <c r="B694" s="13" t="s">
        <v>34</v>
      </c>
      <c r="C694" s="13" t="s">
        <v>1436</v>
      </c>
      <c r="D694" s="13" t="n">
        <v>33</v>
      </c>
      <c r="E694" s="13" t="s">
        <v>83</v>
      </c>
      <c r="F694" s="13" t="s">
        <v>33</v>
      </c>
      <c r="G694" s="13" t="s">
        <v>95</v>
      </c>
      <c r="H694" s="13" t="s">
        <v>43</v>
      </c>
      <c r="I694" s="13" t="n">
        <v>1</v>
      </c>
      <c r="J694" s="13" t="n">
        <v>0</v>
      </c>
      <c r="K694" s="13" t="s">
        <v>116</v>
      </c>
      <c r="L694" s="13" t="n">
        <v>3</v>
      </c>
      <c r="M694" s="13" t="n">
        <v>911164.52</v>
      </c>
      <c r="N694" s="13" t="n">
        <v>303721.506666667</v>
      </c>
      <c r="O694" s="13" t="n">
        <v>1038.2</v>
      </c>
      <c r="P694" s="13" t="n">
        <v>2</v>
      </c>
      <c r="Q694" s="13" t="n">
        <v>1</v>
      </c>
      <c r="R694" s="13" t="s">
        <v>92</v>
      </c>
      <c r="S694" s="13" t="s">
        <v>87</v>
      </c>
      <c r="T694" s="13" t="n">
        <v>1</v>
      </c>
      <c r="U694" s="13" t="n">
        <f aca="false">IF(B694="Individual",1,0)</f>
        <v>1</v>
      </c>
      <c r="V694" s="13" t="n">
        <f aca="false">IF(B694="Company",1,0)</f>
        <v>0</v>
      </c>
      <c r="W694" s="13" t="n">
        <f aca="false">IF(H694="Home",1,0)</f>
        <v>0</v>
      </c>
      <c r="X694" s="13" t="n">
        <f aca="false">IF(H694="Investment",1,0)</f>
        <v>1</v>
      </c>
      <c r="Y694" s="13" t="n">
        <f aca="false">IF(K694="Website",1,0)</f>
        <v>0</v>
      </c>
      <c r="Z694" s="13" t="n">
        <f aca="false">IF(K694="Agency",1,0)</f>
        <v>0</v>
      </c>
      <c r="AA694" s="13" t="n">
        <f aca="false">IF(K694="Client",1,0)</f>
        <v>1</v>
      </c>
      <c r="AB694" s="13" t="n">
        <f aca="false">(D694-AVERAGE(D$2:D$2001))/STDEV(D$2:D$2001)</f>
        <v>-1.21881132165305</v>
      </c>
      <c r="AC694" s="13" t="n">
        <f aca="false">(I694-AVERAGE(I$2:I$2001))/STDEV(I$2:I$2001)</f>
        <v>-1.43538077576244</v>
      </c>
      <c r="AD694" s="13" t="n">
        <f aca="false">(L694-AVERAGE(L$2:L$2001))/STDEV(L$2:L$2001)</f>
        <v>-0.777063122173208</v>
      </c>
      <c r="AE694" s="13" t="n">
        <f aca="false">(M694-AVERAGE(M$2:M$2001))/STDEV(M$2:M$2001)</f>
        <v>-1.00396829760027</v>
      </c>
      <c r="AF694" s="13" t="n">
        <f aca="false">(N694-AVERAGE(N$2:N$2001))/STDEV(N$2:N$2001)</f>
        <v>-0.622021170332664</v>
      </c>
      <c r="AG694" s="13" t="n">
        <f aca="false">(O694-AVERAGE(O$2:O$2001))/STDEV(O$2:O$2001)</f>
        <v>-0.496900611732993</v>
      </c>
      <c r="AH694" s="0" t="str">
        <f aca="false">IF(B694="Company","C3 - Corporate Buyers",IF(AND(H694="Investment",M694&gt;'Segmentation Summary'!$C$1),"C1 - Global Investors",IF(AND(I694&gt;=4,M694&gt;'Segmentation Summary'!$C$1),"C4 - Luxury Investors",IF(AND(D694&lt;'Segmentation Summary'!$C$2,J694=1),"C2 - First-Time Buyers","C5 - Other Individual Buyers"))))</f>
        <v>C5 - Other Individual Buyers</v>
      </c>
    </row>
    <row r="695" customFormat="false" ht="15" hidden="false" customHeight="true" outlineLevel="0" collapsed="false">
      <c r="A695" s="13" t="s">
        <v>1437</v>
      </c>
      <c r="B695" s="13" t="s">
        <v>34</v>
      </c>
      <c r="C695" s="13" t="s">
        <v>1438</v>
      </c>
      <c r="D695" s="13" t="n">
        <v>54</v>
      </c>
      <c r="E695" s="13" t="s">
        <v>83</v>
      </c>
      <c r="F695" s="13" t="s">
        <v>33</v>
      </c>
      <c r="G695" s="13" t="s">
        <v>110</v>
      </c>
      <c r="H695" s="13" t="s">
        <v>43</v>
      </c>
      <c r="I695" s="13" t="n">
        <v>2</v>
      </c>
      <c r="J695" s="13" t="n">
        <v>1</v>
      </c>
      <c r="K695" s="13" t="s">
        <v>85</v>
      </c>
      <c r="L695" s="13" t="n">
        <v>4</v>
      </c>
      <c r="M695" s="13" t="n">
        <v>1166638.16</v>
      </c>
      <c r="N695" s="13" t="n">
        <v>291659.54</v>
      </c>
      <c r="O695" s="13" t="n">
        <v>905.0375</v>
      </c>
      <c r="P695" s="13" t="n">
        <v>1</v>
      </c>
      <c r="Q695" s="13" t="n">
        <v>3</v>
      </c>
      <c r="R695" s="13" t="s">
        <v>92</v>
      </c>
      <c r="S695" s="13" t="s">
        <v>107</v>
      </c>
      <c r="T695" s="13" t="n">
        <v>1</v>
      </c>
      <c r="U695" s="13" t="n">
        <f aca="false">IF(B695="Individual",1,0)</f>
        <v>1</v>
      </c>
      <c r="V695" s="13" t="n">
        <f aca="false">IF(B695="Company",1,0)</f>
        <v>0</v>
      </c>
      <c r="W695" s="13" t="n">
        <f aca="false">IF(H695="Home",1,0)</f>
        <v>0</v>
      </c>
      <c r="X695" s="13" t="n">
        <f aca="false">IF(H695="Investment",1,0)</f>
        <v>1</v>
      </c>
      <c r="Y695" s="13" t="n">
        <f aca="false">IF(K695="Website",1,0)</f>
        <v>1</v>
      </c>
      <c r="Z695" s="13" t="n">
        <f aca="false">IF(K695="Agency",1,0)</f>
        <v>0</v>
      </c>
      <c r="AA695" s="13" t="n">
        <f aca="false">IF(K695="Client",1,0)</f>
        <v>0</v>
      </c>
      <c r="AB695" s="13" t="n">
        <f aca="false">(D695-AVERAGE(D$2:D$2001))/STDEV(D$2:D$2001)</f>
        <v>-0.00789975640187674</v>
      </c>
      <c r="AC695" s="13" t="n">
        <f aca="false">(I695-AVERAGE(I$2:I$2001))/STDEV(I$2:I$2001)</f>
        <v>-0.727948160798201</v>
      </c>
      <c r="AD695" s="13" t="n">
        <f aca="false">(L695-AVERAGE(L$2:L$2001))/STDEV(L$2:L$2001)</f>
        <v>0.413838214490712</v>
      </c>
      <c r="AE695" s="13" t="n">
        <f aca="false">(M695-AVERAGE(M$2:M$2001))/STDEV(M$2:M$2001)</f>
        <v>-0.26949124933104</v>
      </c>
      <c r="AF695" s="13" t="n">
        <f aca="false">(N695-AVERAGE(N$2:N$2001))/STDEV(N$2:N$2001)</f>
        <v>-0.795022482588204</v>
      </c>
      <c r="AG695" s="13" t="n">
        <f aca="false">(O695-AVERAGE(O$2:O$2001))/STDEV(O$2:O$2001)</f>
        <v>-1.10239776343865</v>
      </c>
      <c r="AH695" s="0" t="str">
        <f aca="false">IF(B695="Company","C3 - Corporate Buyers",IF(AND(H695="Investment",M695&gt;'Segmentation Summary'!$C$1),"C1 - Global Investors",IF(AND(I695&gt;=4,M695&gt;'Segmentation Summary'!$C$1),"C4 - Luxury Investors",IF(AND(D695&lt;'Segmentation Summary'!$C$2,J695=1),"C2 - First-Time Buyers","C5 - Other Individual Buyers"))))</f>
        <v>C2 - First-Time Buyers</v>
      </c>
    </row>
    <row r="696" customFormat="false" ht="15" hidden="false" customHeight="true" outlineLevel="0" collapsed="false">
      <c r="A696" s="13" t="s">
        <v>1439</v>
      </c>
      <c r="B696" s="13" t="s">
        <v>34</v>
      </c>
      <c r="C696" s="13" t="s">
        <v>1440</v>
      </c>
      <c r="D696" s="13" t="n">
        <v>74</v>
      </c>
      <c r="E696" s="13" t="s">
        <v>90</v>
      </c>
      <c r="F696" s="13" t="s">
        <v>33</v>
      </c>
      <c r="G696" s="13" t="s">
        <v>84</v>
      </c>
      <c r="H696" s="13" t="s">
        <v>43</v>
      </c>
      <c r="I696" s="13" t="n">
        <v>4</v>
      </c>
      <c r="J696" s="13" t="n">
        <v>1</v>
      </c>
      <c r="K696" s="13" t="s">
        <v>91</v>
      </c>
      <c r="L696" s="13" t="n">
        <v>3</v>
      </c>
      <c r="M696" s="13" t="n">
        <v>741160.04</v>
      </c>
      <c r="N696" s="13" t="n">
        <v>247053.346666667</v>
      </c>
      <c r="O696" s="13" t="n">
        <v>971.19</v>
      </c>
      <c r="P696" s="13" t="n">
        <v>0</v>
      </c>
      <c r="Q696" s="13" t="n">
        <v>3</v>
      </c>
      <c r="R696" s="13" t="s">
        <v>101</v>
      </c>
      <c r="S696" s="13" t="s">
        <v>150</v>
      </c>
      <c r="T696" s="13" t="n">
        <v>1</v>
      </c>
      <c r="U696" s="13" t="n">
        <f aca="false">IF(B696="Individual",1,0)</f>
        <v>1</v>
      </c>
      <c r="V696" s="13" t="n">
        <f aca="false">IF(B696="Company",1,0)</f>
        <v>0</v>
      </c>
      <c r="W696" s="13" t="n">
        <f aca="false">IF(H696="Home",1,0)</f>
        <v>0</v>
      </c>
      <c r="X696" s="13" t="n">
        <f aca="false">IF(H696="Investment",1,0)</f>
        <v>1</v>
      </c>
      <c r="Y696" s="13" t="n">
        <f aca="false">IF(K696="Website",1,0)</f>
        <v>0</v>
      </c>
      <c r="Z696" s="13" t="n">
        <f aca="false">IF(K696="Agency",1,0)</f>
        <v>1</v>
      </c>
      <c r="AA696" s="13" t="n">
        <f aca="false">IF(K696="Client",1,0)</f>
        <v>0</v>
      </c>
      <c r="AB696" s="13" t="n">
        <f aca="false">(D696-AVERAGE(D$2:D$2001))/STDEV(D$2:D$2001)</f>
        <v>1.14534935336115</v>
      </c>
      <c r="AC696" s="13" t="n">
        <f aca="false">(I696-AVERAGE(I$2:I$2001))/STDEV(I$2:I$2001)</f>
        <v>0.686917069130275</v>
      </c>
      <c r="AD696" s="13" t="n">
        <f aca="false">(L696-AVERAGE(L$2:L$2001))/STDEV(L$2:L$2001)</f>
        <v>-0.777063122173208</v>
      </c>
      <c r="AE696" s="13" t="n">
        <f aca="false">(M696-AVERAGE(M$2:M$2001))/STDEV(M$2:M$2001)</f>
        <v>-1.49272474489144</v>
      </c>
      <c r="AF696" s="13" t="n">
        <f aca="false">(N696-AVERAGE(N$2:N$2001))/STDEV(N$2:N$2001)</f>
        <v>-1.43479626033512</v>
      </c>
      <c r="AG696" s="13" t="n">
        <f aca="false">(O696-AVERAGE(O$2:O$2001))/STDEV(O$2:O$2001)</f>
        <v>-0.801598737224748</v>
      </c>
      <c r="AH696" s="0" t="str">
        <f aca="false">IF(B696="Company","C3 - Corporate Buyers",IF(AND(H696="Investment",M696&gt;'Segmentation Summary'!$C$1),"C1 - Global Investors",IF(AND(I696&gt;=4,M696&gt;'Segmentation Summary'!$C$1),"C4 - Luxury Investors",IF(AND(D696&lt;'Segmentation Summary'!$C$2,J696=1),"C2 - First-Time Buyers","C5 - Other Individual Buyers"))))</f>
        <v>C5 - Other Individual Buyers</v>
      </c>
    </row>
    <row r="697" customFormat="false" ht="15" hidden="false" customHeight="true" outlineLevel="0" collapsed="false">
      <c r="A697" s="13" t="s">
        <v>1441</v>
      </c>
      <c r="B697" s="13" t="s">
        <v>34</v>
      </c>
      <c r="C697" s="13" t="s">
        <v>1442</v>
      </c>
      <c r="D697" s="13" t="n">
        <v>51</v>
      </c>
      <c r="E697" s="13" t="s">
        <v>90</v>
      </c>
      <c r="F697" s="13" t="s">
        <v>33</v>
      </c>
      <c r="G697" s="13" t="s">
        <v>95</v>
      </c>
      <c r="H697" s="13" t="s">
        <v>41</v>
      </c>
      <c r="I697" s="13" t="n">
        <v>3</v>
      </c>
      <c r="J697" s="13" t="n">
        <v>1</v>
      </c>
      <c r="K697" s="13" t="s">
        <v>85</v>
      </c>
      <c r="L697" s="13" t="n">
        <v>3</v>
      </c>
      <c r="M697" s="13" t="n">
        <v>939708.87</v>
      </c>
      <c r="N697" s="13" t="n">
        <v>313236.29</v>
      </c>
      <c r="O697" s="13" t="n">
        <v>1175.45</v>
      </c>
      <c r="P697" s="13" t="n">
        <v>1</v>
      </c>
      <c r="Q697" s="13" t="n">
        <v>2</v>
      </c>
      <c r="R697" s="13" t="s">
        <v>117</v>
      </c>
      <c r="S697" s="13" t="s">
        <v>128</v>
      </c>
      <c r="T697" s="13" t="n">
        <v>1</v>
      </c>
      <c r="U697" s="13" t="n">
        <f aca="false">IF(B697="Individual",1,0)</f>
        <v>1</v>
      </c>
      <c r="V697" s="13" t="n">
        <f aca="false">IF(B697="Company",1,0)</f>
        <v>0</v>
      </c>
      <c r="W697" s="13" t="n">
        <f aca="false">IF(H697="Home",1,0)</f>
        <v>1</v>
      </c>
      <c r="X697" s="13" t="n">
        <f aca="false">IF(H697="Investment",1,0)</f>
        <v>0</v>
      </c>
      <c r="Y697" s="13" t="n">
        <f aca="false">IF(K697="Website",1,0)</f>
        <v>1</v>
      </c>
      <c r="Z697" s="13" t="n">
        <f aca="false">IF(K697="Agency",1,0)</f>
        <v>0</v>
      </c>
      <c r="AA697" s="13" t="n">
        <f aca="false">IF(K697="Client",1,0)</f>
        <v>0</v>
      </c>
      <c r="AB697" s="13" t="n">
        <f aca="false">(D697-AVERAGE(D$2:D$2001))/STDEV(D$2:D$2001)</f>
        <v>-0.18088712286633</v>
      </c>
      <c r="AC697" s="13" t="n">
        <f aca="false">(I697-AVERAGE(I$2:I$2001))/STDEV(I$2:I$2001)</f>
        <v>-0.0205155458339628</v>
      </c>
      <c r="AD697" s="13" t="n">
        <f aca="false">(L697-AVERAGE(L$2:L$2001))/STDEV(L$2:L$2001)</f>
        <v>-0.777063122173208</v>
      </c>
      <c r="AE697" s="13" t="n">
        <f aca="false">(M697-AVERAGE(M$2:M$2001))/STDEV(M$2:M$2001)</f>
        <v>-0.921904371424697</v>
      </c>
      <c r="AF697" s="13" t="n">
        <f aca="false">(N697-AVERAGE(N$2:N$2001))/STDEV(N$2:N$2001)</f>
        <v>-0.485553374658628</v>
      </c>
      <c r="AG697" s="13" t="n">
        <f aca="false">(O697-AVERAGE(O$2:O$2001))/STDEV(O$2:O$2001)</f>
        <v>0.127182625451656</v>
      </c>
      <c r="AH697" s="0" t="str">
        <f aca="false">IF(B697="Company","C3 - Corporate Buyers",IF(AND(H697="Investment",M697&gt;'Segmentation Summary'!$C$1),"C1 - Global Investors",IF(AND(I697&gt;=4,M697&gt;'Segmentation Summary'!$C$1),"C4 - Luxury Investors",IF(AND(D697&lt;'Segmentation Summary'!$C$2,J697=1),"C2 - First-Time Buyers","C5 - Other Individual Buyers"))))</f>
        <v>C2 - First-Time Buyers</v>
      </c>
    </row>
    <row r="698" customFormat="false" ht="15" hidden="false" customHeight="true" outlineLevel="0" collapsed="false">
      <c r="A698" s="13" t="s">
        <v>1443</v>
      </c>
      <c r="B698" s="13" t="s">
        <v>34</v>
      </c>
      <c r="C698" s="13" t="s">
        <v>1444</v>
      </c>
      <c r="D698" s="13" t="n">
        <v>65</v>
      </c>
      <c r="E698" s="13" t="s">
        <v>90</v>
      </c>
      <c r="F698" s="13" t="s">
        <v>33</v>
      </c>
      <c r="G698" s="13" t="s">
        <v>95</v>
      </c>
      <c r="H698" s="13" t="s">
        <v>41</v>
      </c>
      <c r="I698" s="13" t="n">
        <v>2</v>
      </c>
      <c r="J698" s="13" t="n">
        <v>0</v>
      </c>
      <c r="K698" s="13" t="s">
        <v>85</v>
      </c>
      <c r="L698" s="13" t="n">
        <v>4</v>
      </c>
      <c r="M698" s="13" t="n">
        <v>1766232.62</v>
      </c>
      <c r="N698" s="13" t="n">
        <v>441558.155</v>
      </c>
      <c r="O698" s="13" t="n">
        <v>1449.3775</v>
      </c>
      <c r="P698" s="13" t="n">
        <v>0</v>
      </c>
      <c r="Q698" s="13" t="n">
        <v>4</v>
      </c>
      <c r="R698" s="13" t="s">
        <v>101</v>
      </c>
      <c r="S698" s="13" t="s">
        <v>114</v>
      </c>
      <c r="T698" s="13" t="n">
        <v>1</v>
      </c>
      <c r="U698" s="13" t="n">
        <f aca="false">IF(B698="Individual",1,0)</f>
        <v>1</v>
      </c>
      <c r="V698" s="13" t="n">
        <f aca="false">IF(B698="Company",1,0)</f>
        <v>0</v>
      </c>
      <c r="W698" s="13" t="n">
        <f aca="false">IF(H698="Home",1,0)</f>
        <v>1</v>
      </c>
      <c r="X698" s="13" t="n">
        <f aca="false">IF(H698="Investment",1,0)</f>
        <v>0</v>
      </c>
      <c r="Y698" s="13" t="n">
        <f aca="false">IF(K698="Website",1,0)</f>
        <v>1</v>
      </c>
      <c r="Z698" s="13" t="n">
        <f aca="false">IF(K698="Agency",1,0)</f>
        <v>0</v>
      </c>
      <c r="AA698" s="13" t="n">
        <f aca="false">IF(K698="Client",1,0)</f>
        <v>0</v>
      </c>
      <c r="AB698" s="13" t="n">
        <f aca="false">(D698-AVERAGE(D$2:D$2001))/STDEV(D$2:D$2001)</f>
        <v>0.626387253967787</v>
      </c>
      <c r="AC698" s="13" t="n">
        <f aca="false">(I698-AVERAGE(I$2:I$2001))/STDEV(I$2:I$2001)</f>
        <v>-0.727948160798201</v>
      </c>
      <c r="AD698" s="13" t="n">
        <f aca="false">(L698-AVERAGE(L$2:L$2001))/STDEV(L$2:L$2001)</f>
        <v>0.413838214490712</v>
      </c>
      <c r="AE698" s="13" t="n">
        <f aca="false">(M698-AVERAGE(M$2:M$2001))/STDEV(M$2:M$2001)</f>
        <v>1.45432013543406</v>
      </c>
      <c r="AF698" s="13" t="n">
        <f aca="false">(N698-AVERAGE(N$2:N$2001))/STDEV(N$2:N$2001)</f>
        <v>1.35493015921044</v>
      </c>
      <c r="AG698" s="13" t="n">
        <f aca="false">(O698-AVERAGE(O$2:O$2001))/STDEV(O$2:O$2001)</f>
        <v>1.37274591109026</v>
      </c>
      <c r="AH698" s="0" t="str">
        <f aca="false">IF(B698="Company","C3 - Corporate Buyers",IF(AND(H698="Investment",M698&gt;'Segmentation Summary'!$C$1),"C1 - Global Investors",IF(AND(I698&gt;=4,M698&gt;'Segmentation Summary'!$C$1),"C4 - Luxury Investors",IF(AND(D698&lt;'Segmentation Summary'!$C$2,J698=1),"C2 - First-Time Buyers","C5 - Other Individual Buyers"))))</f>
        <v>C5 - Other Individual Buyers</v>
      </c>
    </row>
    <row r="699" customFormat="false" ht="15" hidden="false" customHeight="true" outlineLevel="0" collapsed="false">
      <c r="A699" s="13" t="s">
        <v>1445</v>
      </c>
      <c r="B699" s="13" t="s">
        <v>34</v>
      </c>
      <c r="C699" s="13" t="s">
        <v>1446</v>
      </c>
      <c r="D699" s="13" t="n">
        <v>79</v>
      </c>
      <c r="E699" s="13" t="s">
        <v>90</v>
      </c>
      <c r="F699" s="13" t="s">
        <v>33</v>
      </c>
      <c r="G699" s="13" t="s">
        <v>265</v>
      </c>
      <c r="H699" s="13" t="s">
        <v>41</v>
      </c>
      <c r="I699" s="13" t="n">
        <v>4</v>
      </c>
      <c r="J699" s="13" t="n">
        <v>0</v>
      </c>
      <c r="K699" s="13" t="s">
        <v>91</v>
      </c>
      <c r="L699" s="13" t="n">
        <v>4</v>
      </c>
      <c r="M699" s="13" t="n">
        <v>1542819.53</v>
      </c>
      <c r="N699" s="13" t="n">
        <v>385704.8825</v>
      </c>
      <c r="O699" s="13" t="n">
        <v>1329.5925</v>
      </c>
      <c r="P699" s="13" t="n">
        <v>0</v>
      </c>
      <c r="Q699" s="13" t="n">
        <v>4</v>
      </c>
      <c r="R699" s="13" t="s">
        <v>117</v>
      </c>
      <c r="S699" s="13" t="s">
        <v>135</v>
      </c>
      <c r="T699" s="13" t="n">
        <v>1</v>
      </c>
      <c r="U699" s="13" t="n">
        <f aca="false">IF(B699="Individual",1,0)</f>
        <v>1</v>
      </c>
      <c r="V699" s="13" t="n">
        <f aca="false">IF(B699="Company",1,0)</f>
        <v>0</v>
      </c>
      <c r="W699" s="13" t="n">
        <f aca="false">IF(H699="Home",1,0)</f>
        <v>1</v>
      </c>
      <c r="X699" s="13" t="n">
        <f aca="false">IF(H699="Investment",1,0)</f>
        <v>0</v>
      </c>
      <c r="Y699" s="13" t="n">
        <f aca="false">IF(K699="Website",1,0)</f>
        <v>0</v>
      </c>
      <c r="Z699" s="13" t="n">
        <f aca="false">IF(K699="Agency",1,0)</f>
        <v>1</v>
      </c>
      <c r="AA699" s="13" t="n">
        <f aca="false">IF(K699="Client",1,0)</f>
        <v>0</v>
      </c>
      <c r="AB699" s="13" t="n">
        <f aca="false">(D699-AVERAGE(D$2:D$2001))/STDEV(D$2:D$2001)</f>
        <v>1.4336616308019</v>
      </c>
      <c r="AC699" s="13" t="n">
        <f aca="false">(I699-AVERAGE(I$2:I$2001))/STDEV(I$2:I$2001)</f>
        <v>0.686917069130275</v>
      </c>
      <c r="AD699" s="13" t="n">
        <f aca="false">(L699-AVERAGE(L$2:L$2001))/STDEV(L$2:L$2001)</f>
        <v>0.413838214490712</v>
      </c>
      <c r="AE699" s="13" t="n">
        <f aca="false">(M699-AVERAGE(M$2:M$2001))/STDEV(M$2:M$2001)</f>
        <v>0.812015955292785</v>
      </c>
      <c r="AF699" s="13" t="n">
        <f aca="false">(N699-AVERAGE(N$2:N$2001))/STDEV(N$2:N$2001)</f>
        <v>0.553842765811413</v>
      </c>
      <c r="AG699" s="13" t="n">
        <f aca="false">(O699-AVERAGE(O$2:O$2001))/STDEV(O$2:O$2001)</f>
        <v>0.828076981646445</v>
      </c>
      <c r="AH699" s="0" t="str">
        <f aca="false">IF(B699="Company","C3 - Corporate Buyers",IF(AND(H699="Investment",M699&gt;'Segmentation Summary'!$C$1),"C1 - Global Investors",IF(AND(I699&gt;=4,M699&gt;'Segmentation Summary'!$C$1),"C4 - Luxury Investors",IF(AND(D699&lt;'Segmentation Summary'!$C$2,J699=1),"C2 - First-Time Buyers","C5 - Other Individual Buyers"))))</f>
        <v>C4 - Luxury Investors</v>
      </c>
    </row>
    <row r="700" customFormat="false" ht="15" hidden="false" customHeight="true" outlineLevel="0" collapsed="false">
      <c r="A700" s="13" t="s">
        <v>1447</v>
      </c>
      <c r="B700" s="13" t="s">
        <v>34</v>
      </c>
      <c r="C700" s="13" t="s">
        <v>1448</v>
      </c>
      <c r="D700" s="13" t="n">
        <v>34</v>
      </c>
      <c r="E700" s="13" t="s">
        <v>90</v>
      </c>
      <c r="F700" s="13" t="s">
        <v>33</v>
      </c>
      <c r="G700" s="13" t="s">
        <v>84</v>
      </c>
      <c r="H700" s="13" t="s">
        <v>41</v>
      </c>
      <c r="I700" s="13" t="n">
        <v>5</v>
      </c>
      <c r="J700" s="13" t="n">
        <v>1</v>
      </c>
      <c r="K700" s="13" t="s">
        <v>85</v>
      </c>
      <c r="L700" s="13" t="n">
        <v>3</v>
      </c>
      <c r="M700" s="13" t="n">
        <v>1150040.79</v>
      </c>
      <c r="N700" s="13" t="n">
        <v>383346.93</v>
      </c>
      <c r="O700" s="13" t="n">
        <v>1303.77666666667</v>
      </c>
      <c r="P700" s="13" t="n">
        <v>0</v>
      </c>
      <c r="Q700" s="13" t="n">
        <v>3</v>
      </c>
      <c r="R700" s="13" t="s">
        <v>103</v>
      </c>
      <c r="S700" s="13" t="s">
        <v>87</v>
      </c>
      <c r="T700" s="13" t="n">
        <v>1</v>
      </c>
      <c r="U700" s="13" t="n">
        <f aca="false">IF(B700="Individual",1,0)</f>
        <v>1</v>
      </c>
      <c r="V700" s="13" t="n">
        <f aca="false">IF(B700="Company",1,0)</f>
        <v>0</v>
      </c>
      <c r="W700" s="13" t="n">
        <f aca="false">IF(H700="Home",1,0)</f>
        <v>1</v>
      </c>
      <c r="X700" s="13" t="n">
        <f aca="false">IF(H700="Investment",1,0)</f>
        <v>0</v>
      </c>
      <c r="Y700" s="13" t="n">
        <f aca="false">IF(K700="Website",1,0)</f>
        <v>1</v>
      </c>
      <c r="Z700" s="13" t="n">
        <f aca="false">IF(K700="Agency",1,0)</f>
        <v>0</v>
      </c>
      <c r="AA700" s="13" t="n">
        <f aca="false">IF(K700="Client",1,0)</f>
        <v>0</v>
      </c>
      <c r="AB700" s="13" t="n">
        <f aca="false">(D700-AVERAGE(D$2:D$2001))/STDEV(D$2:D$2001)</f>
        <v>-1.1611488661649</v>
      </c>
      <c r="AC700" s="13" t="n">
        <f aca="false">(I700-AVERAGE(I$2:I$2001))/STDEV(I$2:I$2001)</f>
        <v>1.39434968409451</v>
      </c>
      <c r="AD700" s="13" t="n">
        <f aca="false">(L700-AVERAGE(L$2:L$2001))/STDEV(L$2:L$2001)</f>
        <v>-0.777063122173208</v>
      </c>
      <c r="AE700" s="13" t="n">
        <f aca="false">(M700-AVERAGE(M$2:M$2001))/STDEV(M$2:M$2001)</f>
        <v>-0.317208060062011</v>
      </c>
      <c r="AF700" s="13" t="n">
        <f aca="false">(N700-AVERAGE(N$2:N$2001))/STDEV(N$2:N$2001)</f>
        <v>0.520023332545731</v>
      </c>
      <c r="AG700" s="13" t="n">
        <f aca="false">(O700-AVERAGE(O$2:O$2001))/STDEV(O$2:O$2001)</f>
        <v>0.710690979189003</v>
      </c>
      <c r="AH700" s="0" t="str">
        <f aca="false">IF(B700="Company","C3 - Corporate Buyers",IF(AND(H700="Investment",M700&gt;'Segmentation Summary'!$C$1),"C1 - Global Investors",IF(AND(I700&gt;=4,M700&gt;'Segmentation Summary'!$C$1),"C4 - Luxury Investors",IF(AND(D700&lt;'Segmentation Summary'!$C$2,J700=1),"C2 - First-Time Buyers","C5 - Other Individual Buyers"))))</f>
        <v>C2 - First-Time Buyers</v>
      </c>
    </row>
    <row r="701" customFormat="false" ht="15" hidden="false" customHeight="true" outlineLevel="0" collapsed="false">
      <c r="A701" s="13" t="s">
        <v>1449</v>
      </c>
      <c r="B701" s="13" t="s">
        <v>34</v>
      </c>
      <c r="C701" s="13" t="s">
        <v>1450</v>
      </c>
      <c r="D701" s="13" t="n">
        <v>76</v>
      </c>
      <c r="E701" s="13" t="s">
        <v>90</v>
      </c>
      <c r="F701" s="13" t="s">
        <v>33</v>
      </c>
      <c r="G701" s="13" t="s">
        <v>95</v>
      </c>
      <c r="H701" s="13" t="s">
        <v>41</v>
      </c>
      <c r="I701" s="13" t="n">
        <v>1</v>
      </c>
      <c r="J701" s="13" t="n">
        <v>1</v>
      </c>
      <c r="K701" s="13" t="s">
        <v>91</v>
      </c>
      <c r="L701" s="13" t="n">
        <v>4</v>
      </c>
      <c r="M701" s="13" t="n">
        <v>1120626.94</v>
      </c>
      <c r="N701" s="13" t="n">
        <v>280156.735</v>
      </c>
      <c r="O701" s="13" t="n">
        <v>905.7525</v>
      </c>
      <c r="P701" s="13" t="n">
        <v>1</v>
      </c>
      <c r="Q701" s="13" t="n">
        <v>3</v>
      </c>
      <c r="R701" s="13" t="s">
        <v>92</v>
      </c>
      <c r="S701" s="13" t="s">
        <v>87</v>
      </c>
      <c r="T701" s="13" t="n">
        <v>1</v>
      </c>
      <c r="U701" s="13" t="n">
        <f aca="false">IF(B701="Individual",1,0)</f>
        <v>1</v>
      </c>
      <c r="V701" s="13" t="n">
        <f aca="false">IF(B701="Company",1,0)</f>
        <v>0</v>
      </c>
      <c r="W701" s="13" t="n">
        <f aca="false">IF(H701="Home",1,0)</f>
        <v>1</v>
      </c>
      <c r="X701" s="13" t="n">
        <f aca="false">IF(H701="Investment",1,0)</f>
        <v>0</v>
      </c>
      <c r="Y701" s="13" t="n">
        <f aca="false">IF(K701="Website",1,0)</f>
        <v>0</v>
      </c>
      <c r="Z701" s="13" t="n">
        <f aca="false">IF(K701="Agency",1,0)</f>
        <v>1</v>
      </c>
      <c r="AA701" s="13" t="n">
        <f aca="false">IF(K701="Client",1,0)</f>
        <v>0</v>
      </c>
      <c r="AB701" s="13" t="n">
        <f aca="false">(D701-AVERAGE(D$2:D$2001))/STDEV(D$2:D$2001)</f>
        <v>1.26067426433745</v>
      </c>
      <c r="AC701" s="13" t="n">
        <f aca="false">(I701-AVERAGE(I$2:I$2001))/STDEV(I$2:I$2001)</f>
        <v>-1.43538077576244</v>
      </c>
      <c r="AD701" s="13" t="n">
        <f aca="false">(L701-AVERAGE(L$2:L$2001))/STDEV(L$2:L$2001)</f>
        <v>0.413838214490712</v>
      </c>
      <c r="AE701" s="13" t="n">
        <f aca="false">(M701-AVERAGE(M$2:M$2001))/STDEV(M$2:M$2001)</f>
        <v>-0.401771765837032</v>
      </c>
      <c r="AF701" s="13" t="n">
        <f aca="false">(N701-AVERAGE(N$2:N$2001))/STDEV(N$2:N$2001)</f>
        <v>-0.960003900180653</v>
      </c>
      <c r="AG701" s="13" t="n">
        <f aca="false">(O701-AVERAGE(O$2:O$2001))/STDEV(O$2:O$2001)</f>
        <v>-1.09914661943437</v>
      </c>
      <c r="AH701" s="0" t="str">
        <f aca="false">IF(B701="Company","C3 - Corporate Buyers",IF(AND(H701="Investment",M701&gt;'Segmentation Summary'!$C$1),"C1 - Global Investors",IF(AND(I701&gt;=4,M701&gt;'Segmentation Summary'!$C$1),"C4 - Luxury Investors",IF(AND(D701&lt;'Segmentation Summary'!$C$2,J701=1),"C2 - First-Time Buyers","C5 - Other Individual Buyers"))))</f>
        <v>C5 - Other Individual Buyers</v>
      </c>
    </row>
    <row r="702" customFormat="false" ht="15" hidden="false" customHeight="true" outlineLevel="0" collapsed="false">
      <c r="A702" s="13" t="s">
        <v>1451</v>
      </c>
      <c r="B702" s="13" t="s">
        <v>34</v>
      </c>
      <c r="C702" s="13" t="s">
        <v>1452</v>
      </c>
      <c r="D702" s="13" t="n">
        <v>29</v>
      </c>
      <c r="E702" s="13" t="s">
        <v>90</v>
      </c>
      <c r="F702" s="13" t="s">
        <v>33</v>
      </c>
      <c r="G702" s="13" t="s">
        <v>162</v>
      </c>
      <c r="H702" s="13" t="s">
        <v>41</v>
      </c>
      <c r="I702" s="13" t="n">
        <v>3</v>
      </c>
      <c r="J702" s="13" t="n">
        <v>1</v>
      </c>
      <c r="K702" s="13" t="s">
        <v>85</v>
      </c>
      <c r="L702" s="13" t="n">
        <v>4</v>
      </c>
      <c r="M702" s="13" t="n">
        <v>1695839.47</v>
      </c>
      <c r="N702" s="13" t="n">
        <v>423959.8675</v>
      </c>
      <c r="O702" s="13" t="n">
        <v>1329.5925</v>
      </c>
      <c r="P702" s="13" t="n">
        <v>0</v>
      </c>
      <c r="Q702" s="13" t="n">
        <v>4</v>
      </c>
      <c r="R702" s="13" t="s">
        <v>98</v>
      </c>
      <c r="S702" s="13" t="s">
        <v>135</v>
      </c>
      <c r="T702" s="13" t="n">
        <v>1</v>
      </c>
      <c r="U702" s="13" t="n">
        <f aca="false">IF(B702="Individual",1,0)</f>
        <v>1</v>
      </c>
      <c r="V702" s="13" t="n">
        <f aca="false">IF(B702="Company",1,0)</f>
        <v>0</v>
      </c>
      <c r="W702" s="13" t="n">
        <f aca="false">IF(H702="Home",1,0)</f>
        <v>1</v>
      </c>
      <c r="X702" s="13" t="n">
        <f aca="false">IF(H702="Investment",1,0)</f>
        <v>0</v>
      </c>
      <c r="Y702" s="13" t="n">
        <f aca="false">IF(K702="Website",1,0)</f>
        <v>1</v>
      </c>
      <c r="Z702" s="13" t="n">
        <f aca="false">IF(K702="Agency",1,0)</f>
        <v>0</v>
      </c>
      <c r="AA702" s="13" t="n">
        <f aca="false">IF(K702="Client",1,0)</f>
        <v>0</v>
      </c>
      <c r="AB702" s="13" t="n">
        <f aca="false">(D702-AVERAGE(D$2:D$2001))/STDEV(D$2:D$2001)</f>
        <v>-1.44946114360566</v>
      </c>
      <c r="AC702" s="13" t="n">
        <f aca="false">(I702-AVERAGE(I$2:I$2001))/STDEV(I$2:I$2001)</f>
        <v>-0.0205155458339628</v>
      </c>
      <c r="AD702" s="13" t="n">
        <f aca="false">(L702-AVERAGE(L$2:L$2001))/STDEV(L$2:L$2001)</f>
        <v>0.413838214490712</v>
      </c>
      <c r="AE702" s="13" t="n">
        <f aca="false">(M702-AVERAGE(M$2:M$2001))/STDEV(M$2:M$2001)</f>
        <v>1.25194249275291</v>
      </c>
      <c r="AF702" s="13" t="n">
        <f aca="false">(N702-AVERAGE(N$2:N$2001))/STDEV(N$2:N$2001)</f>
        <v>1.1025229925281</v>
      </c>
      <c r="AG702" s="13" t="n">
        <f aca="false">(O702-AVERAGE(O$2:O$2001))/STDEV(O$2:O$2001)</f>
        <v>0.828076981646445</v>
      </c>
      <c r="AH702" s="0" t="str">
        <f aca="false">IF(B702="Company","C3 - Corporate Buyers",IF(AND(H702="Investment",M702&gt;'Segmentation Summary'!$C$1),"C1 - Global Investors",IF(AND(I702&gt;=4,M702&gt;'Segmentation Summary'!$C$1),"C4 - Luxury Investors",IF(AND(D702&lt;'Segmentation Summary'!$C$2,J702=1),"C2 - First-Time Buyers","C5 - Other Individual Buyers"))))</f>
        <v>C2 - First-Time Buyers</v>
      </c>
    </row>
    <row r="703" customFormat="false" ht="15" hidden="false" customHeight="true" outlineLevel="0" collapsed="false">
      <c r="A703" s="13" t="s">
        <v>1453</v>
      </c>
      <c r="B703" s="13" t="s">
        <v>34</v>
      </c>
      <c r="C703" s="13" t="s">
        <v>1454</v>
      </c>
      <c r="D703" s="13" t="n">
        <v>66</v>
      </c>
      <c r="E703" s="13" t="s">
        <v>83</v>
      </c>
      <c r="F703" s="13" t="s">
        <v>33</v>
      </c>
      <c r="G703" s="13" t="s">
        <v>95</v>
      </c>
      <c r="H703" s="13" t="s">
        <v>41</v>
      </c>
      <c r="I703" s="13" t="n">
        <v>1</v>
      </c>
      <c r="J703" s="13" t="n">
        <v>0</v>
      </c>
      <c r="K703" s="13" t="s">
        <v>85</v>
      </c>
      <c r="L703" s="13" t="n">
        <v>8</v>
      </c>
      <c r="M703" s="13" t="n">
        <v>2389960.3</v>
      </c>
      <c r="N703" s="13" t="n">
        <v>298745.0375</v>
      </c>
      <c r="O703" s="13" t="n">
        <v>1008.6325</v>
      </c>
      <c r="P703" s="13" t="n">
        <v>1</v>
      </c>
      <c r="Q703" s="13" t="n">
        <v>7</v>
      </c>
      <c r="R703" s="13" t="s">
        <v>101</v>
      </c>
      <c r="S703" s="13" t="s">
        <v>114</v>
      </c>
      <c r="T703" s="13" t="n">
        <v>1</v>
      </c>
      <c r="U703" s="13" t="n">
        <f aca="false">IF(B703="Individual",1,0)</f>
        <v>1</v>
      </c>
      <c r="V703" s="13" t="n">
        <f aca="false">IF(B703="Company",1,0)</f>
        <v>0</v>
      </c>
      <c r="W703" s="13" t="n">
        <f aca="false">IF(H703="Home",1,0)</f>
        <v>1</v>
      </c>
      <c r="X703" s="13" t="n">
        <f aca="false">IF(H703="Investment",1,0)</f>
        <v>0</v>
      </c>
      <c r="Y703" s="13" t="n">
        <f aca="false">IF(K703="Website",1,0)</f>
        <v>1</v>
      </c>
      <c r="Z703" s="13" t="n">
        <f aca="false">IF(K703="Agency",1,0)</f>
        <v>0</v>
      </c>
      <c r="AA703" s="13" t="n">
        <f aca="false">IF(K703="Client",1,0)</f>
        <v>0</v>
      </c>
      <c r="AB703" s="13" t="n">
        <f aca="false">(D703-AVERAGE(D$2:D$2001))/STDEV(D$2:D$2001)</f>
        <v>0.684049709455938</v>
      </c>
      <c r="AC703" s="13" t="n">
        <f aca="false">(I703-AVERAGE(I$2:I$2001))/STDEV(I$2:I$2001)</f>
        <v>-1.43538077576244</v>
      </c>
      <c r="AD703" s="13" t="n">
        <f aca="false">(L703-AVERAGE(L$2:L$2001))/STDEV(L$2:L$2001)</f>
        <v>5.17744356114639</v>
      </c>
      <c r="AE703" s="13" t="n">
        <f aca="false">(M703-AVERAGE(M$2:M$2001))/STDEV(M$2:M$2001)</f>
        <v>3.24751361453512</v>
      </c>
      <c r="AF703" s="13" t="n">
        <f aca="false">(N703-AVERAGE(N$2:N$2001))/STDEV(N$2:N$2001)</f>
        <v>-0.693397233625212</v>
      </c>
      <c r="AG703" s="13" t="n">
        <f aca="false">(O703-AVERAGE(O$2:O$2001))/STDEV(O$2:O$2001)</f>
        <v>-0.63134564718259</v>
      </c>
      <c r="AH703" s="0" t="str">
        <f aca="false">IF(B703="Company","C3 - Corporate Buyers",IF(AND(H703="Investment",M703&gt;'Segmentation Summary'!$C$1),"C1 - Global Investors",IF(AND(I703&gt;=4,M703&gt;'Segmentation Summary'!$C$1),"C4 - Luxury Investors",IF(AND(D703&lt;'Segmentation Summary'!$C$2,J703=1),"C2 - First-Time Buyers","C5 - Other Individual Buyers"))))</f>
        <v>C5 - Other Individual Buyers</v>
      </c>
    </row>
    <row r="704" customFormat="false" ht="15" hidden="false" customHeight="true" outlineLevel="0" collapsed="false">
      <c r="A704" s="13" t="s">
        <v>1455</v>
      </c>
      <c r="B704" s="13" t="s">
        <v>34</v>
      </c>
      <c r="C704" s="13" t="s">
        <v>1456</v>
      </c>
      <c r="D704" s="13" t="n">
        <v>34</v>
      </c>
      <c r="E704" s="13" t="s">
        <v>83</v>
      </c>
      <c r="F704" s="13" t="s">
        <v>33</v>
      </c>
      <c r="G704" s="13" t="s">
        <v>106</v>
      </c>
      <c r="H704" s="13" t="s">
        <v>43</v>
      </c>
      <c r="I704" s="13" t="n">
        <v>5</v>
      </c>
      <c r="J704" s="13" t="n">
        <v>1</v>
      </c>
      <c r="K704" s="13" t="s">
        <v>85</v>
      </c>
      <c r="L704" s="13" t="n">
        <v>3</v>
      </c>
      <c r="M704" s="13" t="n">
        <v>1259181.49</v>
      </c>
      <c r="N704" s="13" t="n">
        <v>419727.163333333</v>
      </c>
      <c r="O704" s="13" t="n">
        <v>1477.03</v>
      </c>
      <c r="P704" s="13" t="n">
        <v>2</v>
      </c>
      <c r="Q704" s="13" t="n">
        <v>1</v>
      </c>
      <c r="R704" s="13" t="s">
        <v>150</v>
      </c>
      <c r="S704" s="13" t="s">
        <v>87</v>
      </c>
      <c r="T704" s="13" t="n">
        <v>1</v>
      </c>
      <c r="U704" s="13" t="n">
        <f aca="false">IF(B704="Individual",1,0)</f>
        <v>1</v>
      </c>
      <c r="V704" s="13" t="n">
        <f aca="false">IF(B704="Company",1,0)</f>
        <v>0</v>
      </c>
      <c r="W704" s="13" t="n">
        <f aca="false">IF(H704="Home",1,0)</f>
        <v>0</v>
      </c>
      <c r="X704" s="13" t="n">
        <f aca="false">IF(H704="Investment",1,0)</f>
        <v>1</v>
      </c>
      <c r="Y704" s="13" t="n">
        <f aca="false">IF(K704="Website",1,0)</f>
        <v>1</v>
      </c>
      <c r="Z704" s="13" t="n">
        <f aca="false">IF(K704="Agency",1,0)</f>
        <v>0</v>
      </c>
      <c r="AA704" s="13" t="n">
        <f aca="false">IF(K704="Client",1,0)</f>
        <v>0</v>
      </c>
      <c r="AB704" s="13" t="n">
        <f aca="false">(D704-AVERAGE(D$2:D$2001))/STDEV(D$2:D$2001)</f>
        <v>-1.1611488661649</v>
      </c>
      <c r="AC704" s="13" t="n">
        <f aca="false">(I704-AVERAGE(I$2:I$2001))/STDEV(I$2:I$2001)</f>
        <v>1.39434968409451</v>
      </c>
      <c r="AD704" s="13" t="n">
        <f aca="false">(L704-AVERAGE(L$2:L$2001))/STDEV(L$2:L$2001)</f>
        <v>-0.777063122173208</v>
      </c>
      <c r="AE704" s="13" t="n">
        <f aca="false">(M704-AVERAGE(M$2:M$2001))/STDEV(M$2:M$2001)</f>
        <v>-0.00343267727873393</v>
      </c>
      <c r="AF704" s="13" t="n">
        <f aca="false">(N704-AVERAGE(N$2:N$2001))/STDEV(N$2:N$2001)</f>
        <v>1.04181453631536</v>
      </c>
      <c r="AG704" s="13" t="n">
        <f aca="false">(O704-AVERAGE(O$2:O$2001))/STDEV(O$2:O$2001)</f>
        <v>1.49848333707385</v>
      </c>
      <c r="AH704" s="0" t="str">
        <f aca="false">IF(B704="Company","C3 - Corporate Buyers",IF(AND(H704="Investment",M704&gt;'Segmentation Summary'!$C$1),"C1 - Global Investors",IF(AND(I704&gt;=4,M704&gt;'Segmentation Summary'!$C$1),"C4 - Luxury Investors",IF(AND(D704&lt;'Segmentation Summary'!$C$2,J704=1),"C2 - First-Time Buyers","C5 - Other Individual Buyers"))))</f>
        <v>C1 - Global Investors</v>
      </c>
    </row>
    <row r="705" customFormat="false" ht="15" hidden="false" customHeight="true" outlineLevel="0" collapsed="false">
      <c r="A705" s="13" t="s">
        <v>1457</v>
      </c>
      <c r="B705" s="13" t="s">
        <v>34</v>
      </c>
      <c r="C705" s="13" t="s">
        <v>1456</v>
      </c>
      <c r="D705" s="13" t="n">
        <v>43</v>
      </c>
      <c r="E705" s="13" t="s">
        <v>83</v>
      </c>
      <c r="F705" s="13" t="s">
        <v>33</v>
      </c>
      <c r="G705" s="13" t="s">
        <v>162</v>
      </c>
      <c r="H705" s="13" t="s">
        <v>41</v>
      </c>
      <c r="I705" s="13" t="n">
        <v>3</v>
      </c>
      <c r="J705" s="13" t="n">
        <v>0</v>
      </c>
      <c r="K705" s="13" t="s">
        <v>85</v>
      </c>
      <c r="L705" s="13" t="n">
        <v>3</v>
      </c>
      <c r="M705" s="13" t="n">
        <v>1089631.7</v>
      </c>
      <c r="N705" s="13" t="n">
        <v>363210.566666667</v>
      </c>
      <c r="O705" s="13" t="n">
        <v>1186.05</v>
      </c>
      <c r="P705" s="13" t="n">
        <v>0</v>
      </c>
      <c r="Q705" s="13" t="n">
        <v>3</v>
      </c>
      <c r="R705" s="13" t="s">
        <v>98</v>
      </c>
      <c r="S705" s="13" t="s">
        <v>133</v>
      </c>
      <c r="T705" s="13" t="n">
        <v>1</v>
      </c>
      <c r="U705" s="13" t="n">
        <f aca="false">IF(B705="Individual",1,0)</f>
        <v>1</v>
      </c>
      <c r="V705" s="13" t="n">
        <f aca="false">IF(B705="Company",1,0)</f>
        <v>0</v>
      </c>
      <c r="W705" s="13" t="n">
        <f aca="false">IF(H705="Home",1,0)</f>
        <v>1</v>
      </c>
      <c r="X705" s="13" t="n">
        <f aca="false">IF(H705="Investment",1,0)</f>
        <v>0</v>
      </c>
      <c r="Y705" s="13" t="n">
        <f aca="false">IF(K705="Website",1,0)</f>
        <v>1</v>
      </c>
      <c r="Z705" s="13" t="n">
        <f aca="false">IF(K705="Agency",1,0)</f>
        <v>0</v>
      </c>
      <c r="AA705" s="13" t="n">
        <f aca="false">IF(K705="Client",1,0)</f>
        <v>0</v>
      </c>
      <c r="AB705" s="13" t="n">
        <f aca="false">(D705-AVERAGE(D$2:D$2001))/STDEV(D$2:D$2001)</f>
        <v>-0.64218676677154</v>
      </c>
      <c r="AC705" s="13" t="n">
        <f aca="false">(I705-AVERAGE(I$2:I$2001))/STDEV(I$2:I$2001)</f>
        <v>-0.0205155458339628</v>
      </c>
      <c r="AD705" s="13" t="n">
        <f aca="false">(L705-AVERAGE(L$2:L$2001))/STDEV(L$2:L$2001)</f>
        <v>-0.777063122173208</v>
      </c>
      <c r="AE705" s="13" t="n">
        <f aca="false">(M705-AVERAGE(M$2:M$2001))/STDEV(M$2:M$2001)</f>
        <v>-0.490881908024681</v>
      </c>
      <c r="AF705" s="13" t="n">
        <f aca="false">(N705-AVERAGE(N$2:N$2001))/STDEV(N$2:N$2001)</f>
        <v>0.231213275530083</v>
      </c>
      <c r="AG705" s="13" t="n">
        <f aca="false">(O705-AVERAGE(O$2:O$2001))/STDEV(O$2:O$2001)</f>
        <v>0.175381403696882</v>
      </c>
      <c r="AH705" s="0" t="str">
        <f aca="false">IF(B705="Company","C3 - Corporate Buyers",IF(AND(H705="Investment",M705&gt;'Segmentation Summary'!$C$1),"C1 - Global Investors",IF(AND(I705&gt;=4,M705&gt;'Segmentation Summary'!$C$1),"C4 - Luxury Investors",IF(AND(D705&lt;'Segmentation Summary'!$C$2,J705=1),"C2 - First-Time Buyers","C5 - Other Individual Buyers"))))</f>
        <v>C5 - Other Individual Buyers</v>
      </c>
    </row>
    <row r="706" customFormat="false" ht="15" hidden="false" customHeight="true" outlineLevel="0" collapsed="false">
      <c r="A706" s="13" t="s">
        <v>1458</v>
      </c>
      <c r="B706" s="13" t="s">
        <v>34</v>
      </c>
      <c r="C706" s="13" t="s">
        <v>1459</v>
      </c>
      <c r="D706" s="13" t="n">
        <v>59</v>
      </c>
      <c r="E706" s="13" t="s">
        <v>83</v>
      </c>
      <c r="F706" s="13" t="s">
        <v>33</v>
      </c>
      <c r="G706" s="13" t="s">
        <v>162</v>
      </c>
      <c r="H706" s="13" t="s">
        <v>43</v>
      </c>
      <c r="I706" s="13" t="n">
        <v>1</v>
      </c>
      <c r="J706" s="13" t="n">
        <v>0</v>
      </c>
      <c r="K706" s="13" t="s">
        <v>91</v>
      </c>
      <c r="L706" s="13" t="n">
        <v>4</v>
      </c>
      <c r="M706" s="13" t="n">
        <v>834659.23</v>
      </c>
      <c r="N706" s="13" t="n">
        <v>208664.8075</v>
      </c>
      <c r="O706" s="13" t="n">
        <v>700.7825</v>
      </c>
      <c r="P706" s="13" t="n">
        <v>0</v>
      </c>
      <c r="Q706" s="13" t="n">
        <v>4</v>
      </c>
      <c r="R706" s="13" t="s">
        <v>121</v>
      </c>
      <c r="S706" s="13" t="s">
        <v>133</v>
      </c>
      <c r="T706" s="13" t="n">
        <v>1</v>
      </c>
      <c r="U706" s="13" t="n">
        <f aca="false">IF(B706="Individual",1,0)</f>
        <v>1</v>
      </c>
      <c r="V706" s="13" t="n">
        <f aca="false">IF(B706="Company",1,0)</f>
        <v>0</v>
      </c>
      <c r="W706" s="13" t="n">
        <f aca="false">IF(H706="Home",1,0)</f>
        <v>0</v>
      </c>
      <c r="X706" s="13" t="n">
        <f aca="false">IF(H706="Investment",1,0)</f>
        <v>1</v>
      </c>
      <c r="Y706" s="13" t="n">
        <f aca="false">IF(K706="Website",1,0)</f>
        <v>0</v>
      </c>
      <c r="Z706" s="13" t="n">
        <f aca="false">IF(K706="Agency",1,0)</f>
        <v>1</v>
      </c>
      <c r="AA706" s="13" t="n">
        <f aca="false">IF(K706="Client",1,0)</f>
        <v>0</v>
      </c>
      <c r="AB706" s="13" t="n">
        <f aca="false">(D706-AVERAGE(D$2:D$2001))/STDEV(D$2:D$2001)</f>
        <v>0.280412521038879</v>
      </c>
      <c r="AC706" s="13" t="n">
        <f aca="false">(I706-AVERAGE(I$2:I$2001))/STDEV(I$2:I$2001)</f>
        <v>-1.43538077576244</v>
      </c>
      <c r="AD706" s="13" t="n">
        <f aca="false">(L706-AVERAGE(L$2:L$2001))/STDEV(L$2:L$2001)</f>
        <v>0.413838214490712</v>
      </c>
      <c r="AE706" s="13" t="n">
        <f aca="false">(M706-AVERAGE(M$2:M$2001))/STDEV(M$2:M$2001)</f>
        <v>-1.22391811150741</v>
      </c>
      <c r="AF706" s="13" t="n">
        <f aca="false">(N706-AVERAGE(N$2:N$2001))/STDEV(N$2:N$2001)</f>
        <v>-1.9853920159808</v>
      </c>
      <c r="AG706" s="13" t="n">
        <f aca="false">(O706-AVERAGE(O$2:O$2001))/STDEV(O$2:O$2001)</f>
        <v>-2.03115639084229</v>
      </c>
      <c r="AH706" s="0" t="str">
        <f aca="false">IF(B706="Company","C3 - Corporate Buyers",IF(AND(H706="Investment",M706&gt;'Segmentation Summary'!$C$1),"C1 - Global Investors",IF(AND(I706&gt;=4,M706&gt;'Segmentation Summary'!$C$1),"C4 - Luxury Investors",IF(AND(D706&lt;'Segmentation Summary'!$C$2,J706=1),"C2 - First-Time Buyers","C5 - Other Individual Buyers"))))</f>
        <v>C5 - Other Individual Buyers</v>
      </c>
    </row>
    <row r="707" customFormat="false" ht="15" hidden="false" customHeight="true" outlineLevel="0" collapsed="false">
      <c r="A707" s="13" t="s">
        <v>1460</v>
      </c>
      <c r="B707" s="13" t="s">
        <v>34</v>
      </c>
      <c r="C707" s="13" t="s">
        <v>1461</v>
      </c>
      <c r="D707" s="13" t="n">
        <v>74</v>
      </c>
      <c r="E707" s="13" t="s">
        <v>83</v>
      </c>
      <c r="F707" s="13" t="s">
        <v>33</v>
      </c>
      <c r="G707" s="13" t="s">
        <v>120</v>
      </c>
      <c r="H707" s="13" t="s">
        <v>41</v>
      </c>
      <c r="I707" s="13" t="n">
        <v>4</v>
      </c>
      <c r="J707" s="13" t="n">
        <v>1</v>
      </c>
      <c r="K707" s="13" t="s">
        <v>91</v>
      </c>
      <c r="L707" s="13" t="n">
        <v>4</v>
      </c>
      <c r="M707" s="13" t="n">
        <v>1629457.52</v>
      </c>
      <c r="N707" s="13" t="n">
        <v>407364.38</v>
      </c>
      <c r="O707" s="13" t="n">
        <v>1299.3275</v>
      </c>
      <c r="P707" s="13" t="n">
        <v>1</v>
      </c>
      <c r="Q707" s="13" t="n">
        <v>3</v>
      </c>
      <c r="R707" s="13" t="s">
        <v>117</v>
      </c>
      <c r="S707" s="13" t="s">
        <v>87</v>
      </c>
      <c r="T707" s="13" t="n">
        <v>1</v>
      </c>
      <c r="U707" s="13" t="n">
        <f aca="false">IF(B707="Individual",1,0)</f>
        <v>1</v>
      </c>
      <c r="V707" s="13" t="n">
        <f aca="false">IF(B707="Company",1,0)</f>
        <v>0</v>
      </c>
      <c r="W707" s="13" t="n">
        <f aca="false">IF(H707="Home",1,0)</f>
        <v>1</v>
      </c>
      <c r="X707" s="13" t="n">
        <f aca="false">IF(H707="Investment",1,0)</f>
        <v>0</v>
      </c>
      <c r="Y707" s="13" t="n">
        <f aca="false">IF(K707="Website",1,0)</f>
        <v>0</v>
      </c>
      <c r="Z707" s="13" t="n">
        <f aca="false">IF(K707="Agency",1,0)</f>
        <v>1</v>
      </c>
      <c r="AA707" s="13" t="n">
        <f aca="false">IF(K707="Client",1,0)</f>
        <v>0</v>
      </c>
      <c r="AB707" s="13" t="n">
        <f aca="false">(D707-AVERAGE(D$2:D$2001))/STDEV(D$2:D$2001)</f>
        <v>1.14534935336115</v>
      </c>
      <c r="AC707" s="13" t="n">
        <f aca="false">(I707-AVERAGE(I$2:I$2001))/STDEV(I$2:I$2001)</f>
        <v>0.686917069130275</v>
      </c>
      <c r="AD707" s="13" t="n">
        <f aca="false">(L707-AVERAGE(L$2:L$2001))/STDEV(L$2:L$2001)</f>
        <v>0.413838214490712</v>
      </c>
      <c r="AE707" s="13" t="n">
        <f aca="false">(M707-AVERAGE(M$2:M$2001))/STDEV(M$2:M$2001)</f>
        <v>1.0610968982941</v>
      </c>
      <c r="AF707" s="13" t="n">
        <f aca="false">(N707-AVERAGE(N$2:N$2001))/STDEV(N$2:N$2001)</f>
        <v>0.864498697289874</v>
      </c>
      <c r="AG707" s="13" t="n">
        <f aca="false">(O707-AVERAGE(O$2:O$2001))/STDEV(O$2:O$2001)</f>
        <v>0.690460375647222</v>
      </c>
      <c r="AH707" s="0" t="str">
        <f aca="false">IF(B707="Company","C3 - Corporate Buyers",IF(AND(H707="Investment",M707&gt;'Segmentation Summary'!$C$1),"C1 - Global Investors",IF(AND(I707&gt;=4,M707&gt;'Segmentation Summary'!$C$1),"C4 - Luxury Investors",IF(AND(D707&lt;'Segmentation Summary'!$C$2,J707=1),"C2 - First-Time Buyers","C5 - Other Individual Buyers"))))</f>
        <v>C4 - Luxury Investors</v>
      </c>
    </row>
    <row r="708" customFormat="false" ht="15" hidden="false" customHeight="true" outlineLevel="0" collapsed="false">
      <c r="A708" s="13" t="s">
        <v>1462</v>
      </c>
      <c r="B708" s="13" t="s">
        <v>34</v>
      </c>
      <c r="C708" s="13" t="s">
        <v>1461</v>
      </c>
      <c r="D708" s="13" t="n">
        <v>29</v>
      </c>
      <c r="E708" s="13" t="s">
        <v>83</v>
      </c>
      <c r="F708" s="13" t="s">
        <v>33</v>
      </c>
      <c r="G708" s="13" t="s">
        <v>100</v>
      </c>
      <c r="H708" s="13" t="s">
        <v>41</v>
      </c>
      <c r="I708" s="13" t="n">
        <v>2</v>
      </c>
      <c r="J708" s="13" t="n">
        <v>1</v>
      </c>
      <c r="K708" s="13" t="s">
        <v>85</v>
      </c>
      <c r="L708" s="13" t="n">
        <v>3</v>
      </c>
      <c r="M708" s="13" t="n">
        <v>1361555.24</v>
      </c>
      <c r="N708" s="13" t="n">
        <v>453851.746666667</v>
      </c>
      <c r="O708" s="13" t="n">
        <v>1471.9</v>
      </c>
      <c r="P708" s="13" t="n">
        <v>0</v>
      </c>
      <c r="Q708" s="13" t="n">
        <v>3</v>
      </c>
      <c r="R708" s="13" t="s">
        <v>111</v>
      </c>
      <c r="S708" s="13" t="s">
        <v>128</v>
      </c>
      <c r="T708" s="13" t="n">
        <v>1</v>
      </c>
      <c r="U708" s="13" t="n">
        <f aca="false">IF(B708="Individual",1,0)</f>
        <v>1</v>
      </c>
      <c r="V708" s="13" t="n">
        <f aca="false">IF(B708="Company",1,0)</f>
        <v>0</v>
      </c>
      <c r="W708" s="13" t="n">
        <f aca="false">IF(H708="Home",1,0)</f>
        <v>1</v>
      </c>
      <c r="X708" s="13" t="n">
        <f aca="false">IF(H708="Investment",1,0)</f>
        <v>0</v>
      </c>
      <c r="Y708" s="13" t="n">
        <f aca="false">IF(K708="Website",1,0)</f>
        <v>1</v>
      </c>
      <c r="Z708" s="13" t="n">
        <f aca="false">IF(K708="Agency",1,0)</f>
        <v>0</v>
      </c>
      <c r="AA708" s="13" t="n">
        <f aca="false">IF(K708="Client",1,0)</f>
        <v>0</v>
      </c>
      <c r="AB708" s="13" t="n">
        <f aca="false">(D708-AVERAGE(D$2:D$2001))/STDEV(D$2:D$2001)</f>
        <v>-1.44946114360566</v>
      </c>
      <c r="AC708" s="13" t="n">
        <f aca="false">(I708-AVERAGE(I$2:I$2001))/STDEV(I$2:I$2001)</f>
        <v>-0.727948160798201</v>
      </c>
      <c r="AD708" s="13" t="n">
        <f aca="false">(L708-AVERAGE(L$2:L$2001))/STDEV(L$2:L$2001)</f>
        <v>-0.777063122173208</v>
      </c>
      <c r="AE708" s="13" t="n">
        <f aca="false">(M708-AVERAGE(M$2:M$2001))/STDEV(M$2:M$2001)</f>
        <v>0.290887980305554</v>
      </c>
      <c r="AF708" s="13" t="n">
        <f aca="false">(N708-AVERAGE(N$2:N$2001))/STDEV(N$2:N$2001)</f>
        <v>1.53125360209845</v>
      </c>
      <c r="AG708" s="13" t="n">
        <f aca="false">(O708-AVERAGE(O$2:O$2001))/STDEV(O$2:O$2001)</f>
        <v>1.47515694722498</v>
      </c>
      <c r="AH708" s="0" t="str">
        <f aca="false">IF(B708="Company","C3 - Corporate Buyers",IF(AND(H708="Investment",M708&gt;'Segmentation Summary'!$C$1),"C1 - Global Investors",IF(AND(I708&gt;=4,M708&gt;'Segmentation Summary'!$C$1),"C4 - Luxury Investors",IF(AND(D708&lt;'Segmentation Summary'!$C$2,J708=1),"C2 - First-Time Buyers","C5 - Other Individual Buyers"))))</f>
        <v>C2 - First-Time Buyers</v>
      </c>
    </row>
    <row r="709" customFormat="false" ht="15" hidden="false" customHeight="true" outlineLevel="0" collapsed="false">
      <c r="A709" s="13" t="s">
        <v>1463</v>
      </c>
      <c r="B709" s="13" t="s">
        <v>34</v>
      </c>
      <c r="C709" s="13" t="s">
        <v>1464</v>
      </c>
      <c r="D709" s="13" t="n">
        <v>45</v>
      </c>
      <c r="E709" s="13" t="s">
        <v>83</v>
      </c>
      <c r="F709" s="13" t="s">
        <v>38</v>
      </c>
      <c r="G709" s="13" t="s">
        <v>183</v>
      </c>
      <c r="H709" s="13" t="s">
        <v>43</v>
      </c>
      <c r="I709" s="13" t="n">
        <v>4</v>
      </c>
      <c r="J709" s="13" t="n">
        <v>0</v>
      </c>
      <c r="K709" s="13" t="s">
        <v>85</v>
      </c>
      <c r="L709" s="13" t="n">
        <v>3</v>
      </c>
      <c r="M709" s="13" t="n">
        <v>1642954.44</v>
      </c>
      <c r="N709" s="13" t="n">
        <v>547651.48</v>
      </c>
      <c r="O709" s="13" t="n">
        <v>1649.26</v>
      </c>
      <c r="P709" s="13" t="n">
        <v>0</v>
      </c>
      <c r="Q709" s="13" t="n">
        <v>3</v>
      </c>
      <c r="R709" s="13" t="s">
        <v>117</v>
      </c>
      <c r="S709" s="13" t="s">
        <v>135</v>
      </c>
      <c r="T709" s="13" t="n">
        <v>1</v>
      </c>
      <c r="U709" s="13" t="n">
        <f aca="false">IF(B709="Individual",1,0)</f>
        <v>1</v>
      </c>
      <c r="V709" s="13" t="n">
        <f aca="false">IF(B709="Company",1,0)</f>
        <v>0</v>
      </c>
      <c r="W709" s="13" t="n">
        <f aca="false">IF(H709="Home",1,0)</f>
        <v>0</v>
      </c>
      <c r="X709" s="13" t="n">
        <f aca="false">IF(H709="Investment",1,0)</f>
        <v>1</v>
      </c>
      <c r="Y709" s="13" t="n">
        <f aca="false">IF(K709="Website",1,0)</f>
        <v>1</v>
      </c>
      <c r="Z709" s="13" t="n">
        <f aca="false">IF(K709="Agency",1,0)</f>
        <v>0</v>
      </c>
      <c r="AA709" s="13" t="n">
        <f aca="false">IF(K709="Client",1,0)</f>
        <v>0</v>
      </c>
      <c r="AB709" s="13" t="n">
        <f aca="false">(D709-AVERAGE(D$2:D$2001))/STDEV(D$2:D$2001)</f>
        <v>-0.526861855795238</v>
      </c>
      <c r="AC709" s="13" t="n">
        <f aca="false">(I709-AVERAGE(I$2:I$2001))/STDEV(I$2:I$2001)</f>
        <v>0.686917069130275</v>
      </c>
      <c r="AD709" s="13" t="n">
        <f aca="false">(L709-AVERAGE(L$2:L$2001))/STDEV(L$2:L$2001)</f>
        <v>-0.777063122173208</v>
      </c>
      <c r="AE709" s="13" t="n">
        <f aca="false">(M709-AVERAGE(M$2:M$2001))/STDEV(M$2:M$2001)</f>
        <v>1.09990003259134</v>
      </c>
      <c r="AF709" s="13" t="n">
        <f aca="false">(N709-AVERAGE(N$2:N$2001))/STDEV(N$2:N$2001)</f>
        <v>2.87659614899262</v>
      </c>
      <c r="AG709" s="13" t="n">
        <f aca="false">(O709-AVERAGE(O$2:O$2001))/STDEV(O$2:O$2001)</f>
        <v>2.28162254246775</v>
      </c>
      <c r="AH709" s="0" t="str">
        <f aca="false">IF(B709="Company","C3 - Corporate Buyers",IF(AND(H709="Investment",M709&gt;'Segmentation Summary'!$C$1),"C1 - Global Investors",IF(AND(I709&gt;=4,M709&gt;'Segmentation Summary'!$C$1),"C4 - Luxury Investors",IF(AND(D709&lt;'Segmentation Summary'!$C$2,J709=1),"C2 - First-Time Buyers","C5 - Other Individual Buyers"))))</f>
        <v>C1 - Global Investors</v>
      </c>
    </row>
    <row r="710" customFormat="false" ht="15" hidden="false" customHeight="true" outlineLevel="0" collapsed="false">
      <c r="A710" s="13" t="s">
        <v>1465</v>
      </c>
      <c r="B710" s="13" t="s">
        <v>34</v>
      </c>
      <c r="C710" s="13" t="s">
        <v>1466</v>
      </c>
      <c r="D710" s="13" t="n">
        <v>76</v>
      </c>
      <c r="E710" s="13" t="s">
        <v>83</v>
      </c>
      <c r="F710" s="13" t="s">
        <v>37</v>
      </c>
      <c r="G710" s="13" t="s">
        <v>572</v>
      </c>
      <c r="H710" s="13" t="s">
        <v>41</v>
      </c>
      <c r="I710" s="13" t="n">
        <v>1</v>
      </c>
      <c r="J710" s="13" t="n">
        <v>0</v>
      </c>
      <c r="K710" s="13" t="s">
        <v>85</v>
      </c>
      <c r="L710" s="13" t="n">
        <v>3</v>
      </c>
      <c r="M710" s="13" t="n">
        <v>1156527.59</v>
      </c>
      <c r="N710" s="13" t="n">
        <v>385509.196666667</v>
      </c>
      <c r="O710" s="13" t="n">
        <v>1268.04666666667</v>
      </c>
      <c r="P710" s="13" t="n">
        <v>0</v>
      </c>
      <c r="Q710" s="13" t="n">
        <v>3</v>
      </c>
      <c r="R710" s="13" t="s">
        <v>86</v>
      </c>
      <c r="S710" s="13" t="s">
        <v>128</v>
      </c>
      <c r="T710" s="13" t="n">
        <v>1</v>
      </c>
      <c r="U710" s="13" t="n">
        <f aca="false">IF(B710="Individual",1,0)</f>
        <v>1</v>
      </c>
      <c r="V710" s="13" t="n">
        <f aca="false">IF(B710="Company",1,0)</f>
        <v>0</v>
      </c>
      <c r="W710" s="13" t="n">
        <f aca="false">IF(H710="Home",1,0)</f>
        <v>1</v>
      </c>
      <c r="X710" s="13" t="n">
        <f aca="false">IF(H710="Investment",1,0)</f>
        <v>0</v>
      </c>
      <c r="Y710" s="13" t="n">
        <f aca="false">IF(K710="Website",1,0)</f>
        <v>1</v>
      </c>
      <c r="Z710" s="13" t="n">
        <f aca="false">IF(K710="Agency",1,0)</f>
        <v>0</v>
      </c>
      <c r="AA710" s="13" t="n">
        <f aca="false">IF(K710="Client",1,0)</f>
        <v>0</v>
      </c>
      <c r="AB710" s="13" t="n">
        <f aca="false">(D710-AVERAGE(D$2:D$2001))/STDEV(D$2:D$2001)</f>
        <v>1.26067426433745</v>
      </c>
      <c r="AC710" s="13" t="n">
        <f aca="false">(I710-AVERAGE(I$2:I$2001))/STDEV(I$2:I$2001)</f>
        <v>-1.43538077576244</v>
      </c>
      <c r="AD710" s="13" t="n">
        <f aca="false">(L710-AVERAGE(L$2:L$2001))/STDEV(L$2:L$2001)</f>
        <v>-0.777063122173208</v>
      </c>
      <c r="AE710" s="13" t="n">
        <f aca="false">(M710-AVERAGE(M$2:M$2001))/STDEV(M$2:M$2001)</f>
        <v>-0.298558755512575</v>
      </c>
      <c r="AF710" s="13" t="n">
        <f aca="false">(N710-AVERAGE(N$2:N$2001))/STDEV(N$2:N$2001)</f>
        <v>0.551036100290609</v>
      </c>
      <c r="AG710" s="13" t="n">
        <f aca="false">(O710-AVERAGE(O$2:O$2001))/STDEV(O$2:O$2001)</f>
        <v>0.548224720066179</v>
      </c>
      <c r="AH710" s="0" t="str">
        <f aca="false">IF(B710="Company","C3 - Corporate Buyers",IF(AND(H710="Investment",M710&gt;'Segmentation Summary'!$C$1),"C1 - Global Investors",IF(AND(I710&gt;=4,M710&gt;'Segmentation Summary'!$C$1),"C4 - Luxury Investors",IF(AND(D710&lt;'Segmentation Summary'!$C$2,J710=1),"C2 - First-Time Buyers","C5 - Other Individual Buyers"))))</f>
        <v>C5 - Other Individual Buyers</v>
      </c>
    </row>
    <row r="711" customFormat="false" ht="15" hidden="false" customHeight="true" outlineLevel="0" collapsed="false">
      <c r="A711" s="13" t="s">
        <v>1467</v>
      </c>
      <c r="B711" s="13" t="s">
        <v>34</v>
      </c>
      <c r="C711" s="13" t="s">
        <v>1468</v>
      </c>
      <c r="D711" s="13" t="n">
        <v>40</v>
      </c>
      <c r="E711" s="13" t="s">
        <v>83</v>
      </c>
      <c r="F711" s="13" t="s">
        <v>33</v>
      </c>
      <c r="G711" s="13" t="s">
        <v>157</v>
      </c>
      <c r="H711" s="13" t="s">
        <v>41</v>
      </c>
      <c r="I711" s="13" t="n">
        <v>4</v>
      </c>
      <c r="J711" s="13" t="n">
        <v>0</v>
      </c>
      <c r="K711" s="13" t="s">
        <v>91</v>
      </c>
      <c r="L711" s="13" t="n">
        <v>4</v>
      </c>
      <c r="M711" s="13" t="n">
        <v>1169335.49</v>
      </c>
      <c r="N711" s="13" t="n">
        <v>292333.8725</v>
      </c>
      <c r="O711" s="13" t="n">
        <v>1008.6625</v>
      </c>
      <c r="P711" s="13" t="n">
        <v>0</v>
      </c>
      <c r="Q711" s="13" t="n">
        <v>4</v>
      </c>
      <c r="R711" s="13" t="s">
        <v>121</v>
      </c>
      <c r="S711" s="13" t="s">
        <v>103</v>
      </c>
      <c r="T711" s="13" t="n">
        <v>1</v>
      </c>
      <c r="U711" s="13" t="n">
        <f aca="false">IF(B711="Individual",1,0)</f>
        <v>1</v>
      </c>
      <c r="V711" s="13" t="n">
        <f aca="false">IF(B711="Company",1,0)</f>
        <v>0</v>
      </c>
      <c r="W711" s="13" t="n">
        <f aca="false">IF(H711="Home",1,0)</f>
        <v>1</v>
      </c>
      <c r="X711" s="13" t="n">
        <f aca="false">IF(H711="Investment",1,0)</f>
        <v>0</v>
      </c>
      <c r="Y711" s="13" t="n">
        <f aca="false">IF(K711="Website",1,0)</f>
        <v>0</v>
      </c>
      <c r="Z711" s="13" t="n">
        <f aca="false">IF(K711="Agency",1,0)</f>
        <v>1</v>
      </c>
      <c r="AA711" s="13" t="n">
        <f aca="false">IF(K711="Client",1,0)</f>
        <v>0</v>
      </c>
      <c r="AB711" s="13" t="n">
        <f aca="false">(D711-AVERAGE(D$2:D$2001))/STDEV(D$2:D$2001)</f>
        <v>-0.815174133235994</v>
      </c>
      <c r="AC711" s="13" t="n">
        <f aca="false">(I711-AVERAGE(I$2:I$2001))/STDEV(I$2:I$2001)</f>
        <v>0.686917069130275</v>
      </c>
      <c r="AD711" s="13" t="n">
        <f aca="false">(L711-AVERAGE(L$2:L$2001))/STDEV(L$2:L$2001)</f>
        <v>0.413838214490712</v>
      </c>
      <c r="AE711" s="13" t="n">
        <f aca="false">(M711-AVERAGE(M$2:M$2001))/STDEV(M$2:M$2001)</f>
        <v>-0.261736527643871</v>
      </c>
      <c r="AF711" s="13" t="n">
        <f aca="false">(N711-AVERAGE(N$2:N$2001))/STDEV(N$2:N$2001)</f>
        <v>-0.785350725848986</v>
      </c>
      <c r="AG711" s="13" t="n">
        <f aca="false">(O711-AVERAGE(O$2:O$2001))/STDEV(O$2:O$2001)</f>
        <v>-0.631209235546047</v>
      </c>
      <c r="AH711" s="0" t="str">
        <f aca="false">IF(B711="Company","C3 - Corporate Buyers",IF(AND(H711="Investment",M711&gt;'Segmentation Summary'!$C$1),"C1 - Global Investors",IF(AND(I711&gt;=4,M711&gt;'Segmentation Summary'!$C$1),"C4 - Luxury Investors",IF(AND(D711&lt;'Segmentation Summary'!$C$2,J711=1),"C2 - First-Time Buyers","C5 - Other Individual Buyers"))))</f>
        <v>C5 - Other Individual Buyers</v>
      </c>
    </row>
    <row r="712" customFormat="false" ht="15" hidden="false" customHeight="true" outlineLevel="0" collapsed="false">
      <c r="A712" s="13" t="s">
        <v>1469</v>
      </c>
      <c r="B712" s="13" t="s">
        <v>34</v>
      </c>
      <c r="C712" s="13" t="s">
        <v>1470</v>
      </c>
      <c r="D712" s="13" t="n">
        <v>60</v>
      </c>
      <c r="E712" s="13" t="s">
        <v>83</v>
      </c>
      <c r="F712" s="13" t="s">
        <v>33</v>
      </c>
      <c r="G712" s="13" t="s">
        <v>95</v>
      </c>
      <c r="H712" s="13" t="s">
        <v>41</v>
      </c>
      <c r="I712" s="13" t="n">
        <v>3</v>
      </c>
      <c r="J712" s="13" t="n">
        <v>1</v>
      </c>
      <c r="K712" s="13" t="s">
        <v>91</v>
      </c>
      <c r="L712" s="13" t="n">
        <v>6</v>
      </c>
      <c r="M712" s="13" t="n">
        <v>1668973.02</v>
      </c>
      <c r="N712" s="13" t="n">
        <v>278162.17</v>
      </c>
      <c r="O712" s="13" t="n">
        <v>923.105</v>
      </c>
      <c r="P712" s="13" t="n">
        <v>2</v>
      </c>
      <c r="Q712" s="13" t="n">
        <v>4</v>
      </c>
      <c r="R712" s="13" t="s">
        <v>98</v>
      </c>
      <c r="S712" s="13" t="s">
        <v>114</v>
      </c>
      <c r="T712" s="13" t="n">
        <v>1</v>
      </c>
      <c r="U712" s="13" t="n">
        <f aca="false">IF(B712="Individual",1,0)</f>
        <v>1</v>
      </c>
      <c r="V712" s="13" t="n">
        <f aca="false">IF(B712="Company",1,0)</f>
        <v>0</v>
      </c>
      <c r="W712" s="13" t="n">
        <f aca="false">IF(H712="Home",1,0)</f>
        <v>1</v>
      </c>
      <c r="X712" s="13" t="n">
        <f aca="false">IF(H712="Investment",1,0)</f>
        <v>0</v>
      </c>
      <c r="Y712" s="13" t="n">
        <f aca="false">IF(K712="Website",1,0)</f>
        <v>0</v>
      </c>
      <c r="Z712" s="13" t="n">
        <f aca="false">IF(K712="Agency",1,0)</f>
        <v>1</v>
      </c>
      <c r="AA712" s="13" t="n">
        <f aca="false">IF(K712="Client",1,0)</f>
        <v>0</v>
      </c>
      <c r="AB712" s="13" t="n">
        <f aca="false">(D712-AVERAGE(D$2:D$2001))/STDEV(D$2:D$2001)</f>
        <v>0.338074976527031</v>
      </c>
      <c r="AC712" s="13" t="n">
        <f aca="false">(I712-AVERAGE(I$2:I$2001))/STDEV(I$2:I$2001)</f>
        <v>-0.0205155458339628</v>
      </c>
      <c r="AD712" s="13" t="n">
        <f aca="false">(L712-AVERAGE(L$2:L$2001))/STDEV(L$2:L$2001)</f>
        <v>2.79564088781855</v>
      </c>
      <c r="AE712" s="13" t="n">
        <f aca="false">(M712-AVERAGE(M$2:M$2001))/STDEV(M$2:M$2001)</f>
        <v>1.17470246558818</v>
      </c>
      <c r="AF712" s="13" t="n">
        <f aca="false">(N712-AVERAGE(N$2:N$2001))/STDEV(N$2:N$2001)</f>
        <v>-0.988611371243605</v>
      </c>
      <c r="AG712" s="13" t="n">
        <f aca="false">(O712-AVERAGE(O$2:O$2001))/STDEV(O$2:O$2001)</f>
        <v>-1.02024385533057</v>
      </c>
      <c r="AH712" s="0" t="str">
        <f aca="false">IF(B712="Company","C3 - Corporate Buyers",IF(AND(H712="Investment",M712&gt;'Segmentation Summary'!$C$1),"C1 - Global Investors",IF(AND(I712&gt;=4,M712&gt;'Segmentation Summary'!$C$1),"C4 - Luxury Investors",IF(AND(D712&lt;'Segmentation Summary'!$C$2,J712=1),"C2 - First-Time Buyers","C5 - Other Individual Buyers"))))</f>
        <v>C5 - Other Individual Buyers</v>
      </c>
    </row>
    <row r="713" customFormat="false" ht="15" hidden="false" customHeight="true" outlineLevel="0" collapsed="false">
      <c r="A713" s="13" t="s">
        <v>1471</v>
      </c>
      <c r="B713" s="13" t="s">
        <v>34</v>
      </c>
      <c r="C713" s="13" t="s">
        <v>1472</v>
      </c>
      <c r="D713" s="13" t="n">
        <v>84</v>
      </c>
      <c r="E713" s="13" t="s">
        <v>83</v>
      </c>
      <c r="F713" s="13" t="s">
        <v>46</v>
      </c>
      <c r="G713" s="13" t="s">
        <v>214</v>
      </c>
      <c r="H713" s="13" t="s">
        <v>41</v>
      </c>
      <c r="I713" s="13" t="n">
        <v>1</v>
      </c>
      <c r="J713" s="13" t="n">
        <v>0</v>
      </c>
      <c r="K713" s="13" t="s">
        <v>85</v>
      </c>
      <c r="L713" s="13" t="n">
        <v>4</v>
      </c>
      <c r="M713" s="13" t="n">
        <v>1314225.59</v>
      </c>
      <c r="N713" s="13" t="n">
        <v>328556.3975</v>
      </c>
      <c r="O713" s="13" t="n">
        <v>1042.1725</v>
      </c>
      <c r="P713" s="13" t="n">
        <v>0</v>
      </c>
      <c r="Q713" s="13" t="n">
        <v>4</v>
      </c>
      <c r="R713" s="13" t="s">
        <v>92</v>
      </c>
      <c r="S713" s="13" t="s">
        <v>164</v>
      </c>
      <c r="T713" s="13" t="n">
        <v>1</v>
      </c>
      <c r="U713" s="13" t="n">
        <f aca="false">IF(B713="Individual",1,0)</f>
        <v>1</v>
      </c>
      <c r="V713" s="13" t="n">
        <f aca="false">IF(B713="Company",1,0)</f>
        <v>0</v>
      </c>
      <c r="W713" s="13" t="n">
        <f aca="false">IF(H713="Home",1,0)</f>
        <v>1</v>
      </c>
      <c r="X713" s="13" t="n">
        <f aca="false">IF(H713="Investment",1,0)</f>
        <v>0</v>
      </c>
      <c r="Y713" s="13" t="n">
        <f aca="false">IF(K713="Website",1,0)</f>
        <v>1</v>
      </c>
      <c r="Z713" s="13" t="n">
        <f aca="false">IF(K713="Agency",1,0)</f>
        <v>0</v>
      </c>
      <c r="AA713" s="13" t="n">
        <f aca="false">IF(K713="Client",1,0)</f>
        <v>0</v>
      </c>
      <c r="AB713" s="13" t="n">
        <f aca="false">(D713-AVERAGE(D$2:D$2001))/STDEV(D$2:D$2001)</f>
        <v>1.72197390824266</v>
      </c>
      <c r="AC713" s="13" t="n">
        <f aca="false">(I713-AVERAGE(I$2:I$2001))/STDEV(I$2:I$2001)</f>
        <v>-1.43538077576244</v>
      </c>
      <c r="AD713" s="13" t="n">
        <f aca="false">(L713-AVERAGE(L$2:L$2001))/STDEV(L$2:L$2001)</f>
        <v>0.413838214490712</v>
      </c>
      <c r="AE713" s="13" t="n">
        <f aca="false">(M713-AVERAGE(M$2:M$2001))/STDEV(M$2:M$2001)</f>
        <v>0.154817027436931</v>
      </c>
      <c r="AF713" s="13" t="n">
        <f aca="false">(N713-AVERAGE(N$2:N$2001))/STDEV(N$2:N$2001)</f>
        <v>-0.26582148726084</v>
      </c>
      <c r="AG713" s="13" t="n">
        <f aca="false">(O713-AVERAGE(O$2:O$2001))/STDEV(O$2:O$2001)</f>
        <v>-0.478837437527413</v>
      </c>
      <c r="AH713" s="0" t="str">
        <f aca="false">IF(B713="Company","C3 - Corporate Buyers",IF(AND(H713="Investment",M713&gt;'Segmentation Summary'!$C$1),"C1 - Global Investors",IF(AND(I713&gt;=4,M713&gt;'Segmentation Summary'!$C$1),"C4 - Luxury Investors",IF(AND(D713&lt;'Segmentation Summary'!$C$2,J713=1),"C2 - First-Time Buyers","C5 - Other Individual Buyers"))))</f>
        <v>C5 - Other Individual Buyers</v>
      </c>
    </row>
    <row r="714" customFormat="false" ht="15" hidden="false" customHeight="true" outlineLevel="0" collapsed="false">
      <c r="A714" s="13" t="s">
        <v>1473</v>
      </c>
      <c r="B714" s="13" t="s">
        <v>34</v>
      </c>
      <c r="C714" s="13" t="s">
        <v>1474</v>
      </c>
      <c r="D714" s="13" t="n">
        <v>28</v>
      </c>
      <c r="E714" s="13" t="s">
        <v>83</v>
      </c>
      <c r="F714" s="13" t="s">
        <v>33</v>
      </c>
      <c r="G714" s="13" t="s">
        <v>157</v>
      </c>
      <c r="H714" s="13" t="s">
        <v>43</v>
      </c>
      <c r="I714" s="13" t="n">
        <v>5</v>
      </c>
      <c r="J714" s="13" t="n">
        <v>1</v>
      </c>
      <c r="K714" s="13" t="s">
        <v>85</v>
      </c>
      <c r="L714" s="13" t="n">
        <v>4</v>
      </c>
      <c r="M714" s="13" t="n">
        <v>1388147.75</v>
      </c>
      <c r="N714" s="13" t="n">
        <v>347036.9375</v>
      </c>
      <c r="O714" s="13" t="n">
        <v>1184.81</v>
      </c>
      <c r="P714" s="13" t="n">
        <v>0</v>
      </c>
      <c r="Q714" s="13" t="n">
        <v>4</v>
      </c>
      <c r="R714" s="13" t="s">
        <v>98</v>
      </c>
      <c r="S714" s="13" t="s">
        <v>215</v>
      </c>
      <c r="T714" s="13" t="n">
        <v>1</v>
      </c>
      <c r="U714" s="13" t="n">
        <f aca="false">IF(B714="Individual",1,0)</f>
        <v>1</v>
      </c>
      <c r="V714" s="13" t="n">
        <f aca="false">IF(B714="Company",1,0)</f>
        <v>0</v>
      </c>
      <c r="W714" s="13" t="n">
        <f aca="false">IF(H714="Home",1,0)</f>
        <v>0</v>
      </c>
      <c r="X714" s="13" t="n">
        <f aca="false">IF(H714="Investment",1,0)</f>
        <v>1</v>
      </c>
      <c r="Y714" s="13" t="n">
        <f aca="false">IF(K714="Website",1,0)</f>
        <v>1</v>
      </c>
      <c r="Z714" s="13" t="n">
        <f aca="false">IF(K714="Agency",1,0)</f>
        <v>0</v>
      </c>
      <c r="AA714" s="13" t="n">
        <f aca="false">IF(K714="Client",1,0)</f>
        <v>0</v>
      </c>
      <c r="AB714" s="13" t="n">
        <f aca="false">(D714-AVERAGE(D$2:D$2001))/STDEV(D$2:D$2001)</f>
        <v>-1.50712359909381</v>
      </c>
      <c r="AC714" s="13" t="n">
        <f aca="false">(I714-AVERAGE(I$2:I$2001))/STDEV(I$2:I$2001)</f>
        <v>1.39434968409451</v>
      </c>
      <c r="AD714" s="13" t="n">
        <f aca="false">(L714-AVERAGE(L$2:L$2001))/STDEV(L$2:L$2001)</f>
        <v>0.413838214490712</v>
      </c>
      <c r="AE714" s="13" t="n">
        <f aca="false">(M714-AVERAGE(M$2:M$2001))/STDEV(M$2:M$2001)</f>
        <v>0.367340440335754</v>
      </c>
      <c r="AF714" s="13" t="n">
        <f aca="false">(N714-AVERAGE(N$2:N$2001))/STDEV(N$2:N$2001)</f>
        <v>-0.000760427191235863</v>
      </c>
      <c r="AG714" s="13" t="n">
        <f aca="false">(O714-AVERAGE(O$2:O$2001))/STDEV(O$2:O$2001)</f>
        <v>0.1697430560531</v>
      </c>
      <c r="AH714" s="0" t="str">
        <f aca="false">IF(B714="Company","C3 - Corporate Buyers",IF(AND(H714="Investment",M714&gt;'Segmentation Summary'!$C$1),"C1 - Global Investors",IF(AND(I714&gt;=4,M714&gt;'Segmentation Summary'!$C$1),"C4 - Luxury Investors",IF(AND(D714&lt;'Segmentation Summary'!$C$2,J714=1),"C2 - First-Time Buyers","C5 - Other Individual Buyers"))))</f>
        <v>C1 - Global Investors</v>
      </c>
    </row>
    <row r="715" customFormat="false" ht="15" hidden="false" customHeight="true" outlineLevel="0" collapsed="false">
      <c r="A715" s="13" t="s">
        <v>1475</v>
      </c>
      <c r="B715" s="13" t="s">
        <v>34</v>
      </c>
      <c r="C715" s="13" t="s">
        <v>1476</v>
      </c>
      <c r="D715" s="13" t="n">
        <v>47</v>
      </c>
      <c r="E715" s="13" t="s">
        <v>83</v>
      </c>
      <c r="F715" s="13" t="s">
        <v>33</v>
      </c>
      <c r="G715" s="13" t="s">
        <v>97</v>
      </c>
      <c r="H715" s="13" t="s">
        <v>41</v>
      </c>
      <c r="I715" s="13" t="n">
        <v>4</v>
      </c>
      <c r="J715" s="13" t="n">
        <v>0</v>
      </c>
      <c r="K715" s="13" t="s">
        <v>116</v>
      </c>
      <c r="L715" s="13" t="n">
        <v>4</v>
      </c>
      <c r="M715" s="13" t="n">
        <v>1594452.62</v>
      </c>
      <c r="N715" s="13" t="n">
        <v>398613.155</v>
      </c>
      <c r="O715" s="13" t="n">
        <v>1276.9875</v>
      </c>
      <c r="P715" s="13" t="n">
        <v>1</v>
      </c>
      <c r="Q715" s="13" t="n">
        <v>3</v>
      </c>
      <c r="R715" s="13" t="s">
        <v>92</v>
      </c>
      <c r="S715" s="13" t="s">
        <v>135</v>
      </c>
      <c r="T715" s="13" t="n">
        <v>1</v>
      </c>
      <c r="U715" s="13" t="n">
        <f aca="false">IF(B715="Individual",1,0)</f>
        <v>1</v>
      </c>
      <c r="V715" s="13" t="n">
        <f aca="false">IF(B715="Company",1,0)</f>
        <v>0</v>
      </c>
      <c r="W715" s="13" t="n">
        <f aca="false">IF(H715="Home",1,0)</f>
        <v>1</v>
      </c>
      <c r="X715" s="13" t="n">
        <f aca="false">IF(H715="Investment",1,0)</f>
        <v>0</v>
      </c>
      <c r="Y715" s="13" t="n">
        <f aca="false">IF(K715="Website",1,0)</f>
        <v>0</v>
      </c>
      <c r="Z715" s="13" t="n">
        <f aca="false">IF(K715="Agency",1,0)</f>
        <v>0</v>
      </c>
      <c r="AA715" s="13" t="n">
        <f aca="false">IF(K715="Client",1,0)</f>
        <v>1</v>
      </c>
      <c r="AB715" s="13" t="n">
        <f aca="false">(D715-AVERAGE(D$2:D$2001))/STDEV(D$2:D$2001)</f>
        <v>-0.411536944818935</v>
      </c>
      <c r="AC715" s="13" t="n">
        <f aca="false">(I715-AVERAGE(I$2:I$2001))/STDEV(I$2:I$2001)</f>
        <v>0.686917069130275</v>
      </c>
      <c r="AD715" s="13" t="n">
        <f aca="false">(L715-AVERAGE(L$2:L$2001))/STDEV(L$2:L$2001)</f>
        <v>0.413838214490712</v>
      </c>
      <c r="AE715" s="13" t="n">
        <f aca="false">(M715-AVERAGE(M$2:M$2001))/STDEV(M$2:M$2001)</f>
        <v>0.960459135325838</v>
      </c>
      <c r="AF715" s="13" t="n">
        <f aca="false">(N715-AVERAGE(N$2:N$2001))/STDEV(N$2:N$2001)</f>
        <v>0.738982398772211</v>
      </c>
      <c r="AG715" s="13" t="n">
        <f aca="false">(O715-AVERAGE(O$2:O$2001))/STDEV(O$2:O$2001)</f>
        <v>0.588879176968131</v>
      </c>
      <c r="AH715" s="0" t="str">
        <f aca="false">IF(B715="Company","C3 - Corporate Buyers",IF(AND(H715="Investment",M715&gt;'Segmentation Summary'!$C$1),"C1 - Global Investors",IF(AND(I715&gt;=4,M715&gt;'Segmentation Summary'!$C$1),"C4 - Luxury Investors",IF(AND(D715&lt;'Segmentation Summary'!$C$2,J715=1),"C2 - First-Time Buyers","C5 - Other Individual Buyers"))))</f>
        <v>C4 - Luxury Investors</v>
      </c>
    </row>
    <row r="716" customFormat="false" ht="15" hidden="false" customHeight="true" outlineLevel="0" collapsed="false">
      <c r="A716" s="13" t="s">
        <v>1477</v>
      </c>
      <c r="B716" s="13" t="s">
        <v>34</v>
      </c>
      <c r="C716" s="13" t="s">
        <v>1478</v>
      </c>
      <c r="D716" s="13" t="n">
        <v>81</v>
      </c>
      <c r="E716" s="13" t="s">
        <v>83</v>
      </c>
      <c r="F716" s="13" t="s">
        <v>33</v>
      </c>
      <c r="G716" s="13" t="s">
        <v>100</v>
      </c>
      <c r="H716" s="13" t="s">
        <v>41</v>
      </c>
      <c r="I716" s="13" t="n">
        <v>5</v>
      </c>
      <c r="J716" s="13" t="n">
        <v>1</v>
      </c>
      <c r="K716" s="13" t="s">
        <v>85</v>
      </c>
      <c r="L716" s="13" t="n">
        <v>7</v>
      </c>
      <c r="M716" s="13" t="n">
        <v>2189906.04</v>
      </c>
      <c r="N716" s="13" t="n">
        <v>312843.72</v>
      </c>
      <c r="O716" s="13" t="n">
        <v>1061.72285714286</v>
      </c>
      <c r="P716" s="13" t="n">
        <v>2</v>
      </c>
      <c r="Q716" s="13" t="n">
        <v>5</v>
      </c>
      <c r="R716" s="13" t="s">
        <v>92</v>
      </c>
      <c r="S716" s="13" t="s">
        <v>141</v>
      </c>
      <c r="T716" s="13" t="n">
        <v>1</v>
      </c>
      <c r="U716" s="13" t="n">
        <f aca="false">IF(B716="Individual",1,0)</f>
        <v>1</v>
      </c>
      <c r="V716" s="13" t="n">
        <f aca="false">IF(B716="Company",1,0)</f>
        <v>0</v>
      </c>
      <c r="W716" s="13" t="n">
        <f aca="false">IF(H716="Home",1,0)</f>
        <v>1</v>
      </c>
      <c r="X716" s="13" t="n">
        <f aca="false">IF(H716="Investment",1,0)</f>
        <v>0</v>
      </c>
      <c r="Y716" s="13" t="n">
        <f aca="false">IF(K716="Website",1,0)</f>
        <v>1</v>
      </c>
      <c r="Z716" s="13" t="n">
        <f aca="false">IF(K716="Agency",1,0)</f>
        <v>0</v>
      </c>
      <c r="AA716" s="13" t="n">
        <f aca="false">IF(K716="Client",1,0)</f>
        <v>0</v>
      </c>
      <c r="AB716" s="13" t="n">
        <f aca="false">(D716-AVERAGE(D$2:D$2001))/STDEV(D$2:D$2001)</f>
        <v>1.54898654177821</v>
      </c>
      <c r="AC716" s="13" t="n">
        <f aca="false">(I716-AVERAGE(I$2:I$2001))/STDEV(I$2:I$2001)</f>
        <v>1.39434968409451</v>
      </c>
      <c r="AD716" s="13" t="n">
        <f aca="false">(L716-AVERAGE(L$2:L$2001))/STDEV(L$2:L$2001)</f>
        <v>3.98654222448247</v>
      </c>
      <c r="AE716" s="13" t="n">
        <f aca="false">(M716-AVERAGE(M$2:M$2001))/STDEV(M$2:M$2001)</f>
        <v>2.67236518678154</v>
      </c>
      <c r="AF716" s="13" t="n">
        <f aca="false">(N716-AVERAGE(N$2:N$2001))/STDEV(N$2:N$2001)</f>
        <v>-0.491183893049948</v>
      </c>
      <c r="AG716" s="13" t="n">
        <f aca="false">(O716-AVERAGE(O$2:O$2001))/STDEV(O$2:O$2001)</f>
        <v>-0.389940897098763</v>
      </c>
      <c r="AH716" s="0" t="str">
        <f aca="false">IF(B716="Company","C3 - Corporate Buyers",IF(AND(H716="Investment",M716&gt;'Segmentation Summary'!$C$1),"C1 - Global Investors",IF(AND(I716&gt;=4,M716&gt;'Segmentation Summary'!$C$1),"C4 - Luxury Investors",IF(AND(D716&lt;'Segmentation Summary'!$C$2,J716=1),"C2 - First-Time Buyers","C5 - Other Individual Buyers"))))</f>
        <v>C4 - Luxury Investors</v>
      </c>
    </row>
    <row r="717" customFormat="false" ht="15" hidden="false" customHeight="true" outlineLevel="0" collapsed="false">
      <c r="A717" s="13" t="s">
        <v>1479</v>
      </c>
      <c r="B717" s="13" t="s">
        <v>34</v>
      </c>
      <c r="C717" s="13" t="s">
        <v>1480</v>
      </c>
      <c r="D717" s="13" t="n">
        <v>40</v>
      </c>
      <c r="E717" s="13" t="s">
        <v>83</v>
      </c>
      <c r="F717" s="13" t="s">
        <v>33</v>
      </c>
      <c r="G717" s="13" t="s">
        <v>110</v>
      </c>
      <c r="H717" s="13" t="s">
        <v>43</v>
      </c>
      <c r="I717" s="13" t="n">
        <v>3</v>
      </c>
      <c r="J717" s="13" t="n">
        <v>0</v>
      </c>
      <c r="K717" s="13" t="s">
        <v>91</v>
      </c>
      <c r="L717" s="13" t="n">
        <v>3</v>
      </c>
      <c r="M717" s="13" t="n">
        <v>1084997.39</v>
      </c>
      <c r="N717" s="13" t="n">
        <v>361665.796666667</v>
      </c>
      <c r="O717" s="13" t="n">
        <v>1209.64</v>
      </c>
      <c r="P717" s="13" t="n">
        <v>2</v>
      </c>
      <c r="Q717" s="13" t="n">
        <v>1</v>
      </c>
      <c r="R717" s="13" t="s">
        <v>92</v>
      </c>
      <c r="S717" s="13" t="s">
        <v>150</v>
      </c>
      <c r="T717" s="13" t="n">
        <v>1</v>
      </c>
      <c r="U717" s="13" t="n">
        <f aca="false">IF(B717="Individual",1,0)</f>
        <v>1</v>
      </c>
      <c r="V717" s="13" t="n">
        <f aca="false">IF(B717="Company",1,0)</f>
        <v>0</v>
      </c>
      <c r="W717" s="13" t="n">
        <f aca="false">IF(H717="Home",1,0)</f>
        <v>0</v>
      </c>
      <c r="X717" s="13" t="n">
        <f aca="false">IF(H717="Investment",1,0)</f>
        <v>1</v>
      </c>
      <c r="Y717" s="13" t="n">
        <f aca="false">IF(K717="Website",1,0)</f>
        <v>0</v>
      </c>
      <c r="Z717" s="13" t="n">
        <f aca="false">IF(K717="Agency",1,0)</f>
        <v>1</v>
      </c>
      <c r="AA717" s="13" t="n">
        <f aca="false">IF(K717="Client",1,0)</f>
        <v>0</v>
      </c>
      <c r="AB717" s="13" t="n">
        <f aca="false">(D717-AVERAGE(D$2:D$2001))/STDEV(D$2:D$2001)</f>
        <v>-0.815174133235994</v>
      </c>
      <c r="AC717" s="13" t="n">
        <f aca="false">(I717-AVERAGE(I$2:I$2001))/STDEV(I$2:I$2001)</f>
        <v>-0.0205155458339628</v>
      </c>
      <c r="AD717" s="13" t="n">
        <f aca="false">(L717-AVERAGE(L$2:L$2001))/STDEV(L$2:L$2001)</f>
        <v>-0.777063122173208</v>
      </c>
      <c r="AE717" s="13" t="n">
        <f aca="false">(M717-AVERAGE(M$2:M$2001))/STDEV(M$2:M$2001)</f>
        <v>-0.504205373919498</v>
      </c>
      <c r="AF717" s="13" t="n">
        <f aca="false">(N717-AVERAGE(N$2:N$2001))/STDEV(N$2:N$2001)</f>
        <v>0.20905708454412</v>
      </c>
      <c r="AG717" s="13" t="n">
        <f aca="false">(O717-AVERAGE(O$2:O$2001))/STDEV(O$2:O$2001)</f>
        <v>0.282646420565268</v>
      </c>
      <c r="AH717" s="0" t="str">
        <f aca="false">IF(B717="Company","C3 - Corporate Buyers",IF(AND(H717="Investment",M717&gt;'Segmentation Summary'!$C$1),"C1 - Global Investors",IF(AND(I717&gt;=4,M717&gt;'Segmentation Summary'!$C$1),"C4 - Luxury Investors",IF(AND(D717&lt;'Segmentation Summary'!$C$2,J717=1),"C2 - First-Time Buyers","C5 - Other Individual Buyers"))))</f>
        <v>C5 - Other Individual Buyers</v>
      </c>
    </row>
    <row r="718" customFormat="false" ht="15" hidden="false" customHeight="true" outlineLevel="0" collapsed="false">
      <c r="A718" s="13" t="s">
        <v>1481</v>
      </c>
      <c r="B718" s="13" t="s">
        <v>34</v>
      </c>
      <c r="C718" s="13" t="s">
        <v>1482</v>
      </c>
      <c r="D718" s="13" t="n">
        <v>35</v>
      </c>
      <c r="E718" s="13" t="s">
        <v>83</v>
      </c>
      <c r="F718" s="13" t="s">
        <v>33</v>
      </c>
      <c r="G718" s="13" t="s">
        <v>84</v>
      </c>
      <c r="H718" s="13" t="s">
        <v>41</v>
      </c>
      <c r="I718" s="13" t="n">
        <v>1</v>
      </c>
      <c r="J718" s="13" t="n">
        <v>1</v>
      </c>
      <c r="K718" s="13" t="s">
        <v>85</v>
      </c>
      <c r="L718" s="13" t="n">
        <v>3</v>
      </c>
      <c r="M718" s="13" t="n">
        <v>1261648.92</v>
      </c>
      <c r="N718" s="13" t="n">
        <v>420549.64</v>
      </c>
      <c r="O718" s="13" t="n">
        <v>1356.74666666667</v>
      </c>
      <c r="P718" s="13" t="n">
        <v>0</v>
      </c>
      <c r="Q718" s="13" t="n">
        <v>3</v>
      </c>
      <c r="R718" s="13" t="s">
        <v>101</v>
      </c>
      <c r="S718" s="13" t="s">
        <v>103</v>
      </c>
      <c r="T718" s="13" t="n">
        <v>1</v>
      </c>
      <c r="U718" s="13" t="n">
        <f aca="false">IF(B718="Individual",1,0)</f>
        <v>1</v>
      </c>
      <c r="V718" s="13" t="n">
        <f aca="false">IF(B718="Company",1,0)</f>
        <v>0</v>
      </c>
      <c r="W718" s="13" t="n">
        <f aca="false">IF(H718="Home",1,0)</f>
        <v>1</v>
      </c>
      <c r="X718" s="13" t="n">
        <f aca="false">IF(H718="Investment",1,0)</f>
        <v>0</v>
      </c>
      <c r="Y718" s="13" t="n">
        <f aca="false">IF(K718="Website",1,0)</f>
        <v>1</v>
      </c>
      <c r="Z718" s="13" t="n">
        <f aca="false">IF(K718="Agency",1,0)</f>
        <v>0</v>
      </c>
      <c r="AA718" s="13" t="n">
        <f aca="false">IF(K718="Client",1,0)</f>
        <v>0</v>
      </c>
      <c r="AB718" s="13" t="n">
        <f aca="false">(D718-AVERAGE(D$2:D$2001))/STDEV(D$2:D$2001)</f>
        <v>-1.10348641067675</v>
      </c>
      <c r="AC718" s="13" t="n">
        <f aca="false">(I718-AVERAGE(I$2:I$2001))/STDEV(I$2:I$2001)</f>
        <v>-1.43538077576244</v>
      </c>
      <c r="AD718" s="13" t="n">
        <f aca="false">(L718-AVERAGE(L$2:L$2001))/STDEV(L$2:L$2001)</f>
        <v>-0.777063122173208</v>
      </c>
      <c r="AE718" s="13" t="n">
        <f aca="false">(M718-AVERAGE(M$2:M$2001))/STDEV(M$2:M$2001)</f>
        <v>0.00366109060749843</v>
      </c>
      <c r="AF718" s="13" t="n">
        <f aca="false">(N718-AVERAGE(N$2:N$2001))/STDEV(N$2:N$2001)</f>
        <v>1.05361108214948</v>
      </c>
      <c r="AG718" s="13" t="n">
        <f aca="false">(O718-AVERAGE(O$2:O$2001))/STDEV(O$2:O$2001)</f>
        <v>0.95154845877859</v>
      </c>
      <c r="AH718" s="0" t="str">
        <f aca="false">IF(B718="Company","C3 - Corporate Buyers",IF(AND(H718="Investment",M718&gt;'Segmentation Summary'!$C$1),"C1 - Global Investors",IF(AND(I718&gt;=4,M718&gt;'Segmentation Summary'!$C$1),"C4 - Luxury Investors",IF(AND(D718&lt;'Segmentation Summary'!$C$2,J718=1),"C2 - First-Time Buyers","C5 - Other Individual Buyers"))))</f>
        <v>C2 - First-Time Buyers</v>
      </c>
    </row>
    <row r="719" customFormat="false" ht="15" hidden="false" customHeight="true" outlineLevel="0" collapsed="false">
      <c r="A719" s="13" t="s">
        <v>1483</v>
      </c>
      <c r="B719" s="13" t="s">
        <v>34</v>
      </c>
      <c r="C719" s="13" t="s">
        <v>1484</v>
      </c>
      <c r="D719" s="13" t="n">
        <v>50</v>
      </c>
      <c r="E719" s="13" t="s">
        <v>83</v>
      </c>
      <c r="F719" s="13" t="s">
        <v>33</v>
      </c>
      <c r="G719" s="13" t="s">
        <v>162</v>
      </c>
      <c r="H719" s="13" t="s">
        <v>41</v>
      </c>
      <c r="I719" s="13" t="n">
        <v>3</v>
      </c>
      <c r="J719" s="13" t="n">
        <v>1</v>
      </c>
      <c r="K719" s="13" t="s">
        <v>91</v>
      </c>
      <c r="L719" s="13" t="n">
        <v>4</v>
      </c>
      <c r="M719" s="13" t="n">
        <v>1831769.62</v>
      </c>
      <c r="N719" s="13" t="n">
        <v>457942.405</v>
      </c>
      <c r="O719" s="13" t="n">
        <v>1486.3275</v>
      </c>
      <c r="P719" s="13" t="n">
        <v>0</v>
      </c>
      <c r="Q719" s="13" t="n">
        <v>4</v>
      </c>
      <c r="R719" s="13" t="s">
        <v>121</v>
      </c>
      <c r="S719" s="13" t="s">
        <v>125</v>
      </c>
      <c r="T719" s="13" t="n">
        <v>1</v>
      </c>
      <c r="U719" s="13" t="n">
        <f aca="false">IF(B719="Individual",1,0)</f>
        <v>1</v>
      </c>
      <c r="V719" s="13" t="n">
        <f aca="false">IF(B719="Company",1,0)</f>
        <v>0</v>
      </c>
      <c r="W719" s="13" t="n">
        <f aca="false">IF(H719="Home",1,0)</f>
        <v>1</v>
      </c>
      <c r="X719" s="13" t="n">
        <f aca="false">IF(H719="Investment",1,0)</f>
        <v>0</v>
      </c>
      <c r="Y719" s="13" t="n">
        <f aca="false">IF(K719="Website",1,0)</f>
        <v>0</v>
      </c>
      <c r="Z719" s="13" t="n">
        <f aca="false">IF(K719="Agency",1,0)</f>
        <v>1</v>
      </c>
      <c r="AA719" s="13" t="n">
        <f aca="false">IF(K719="Client",1,0)</f>
        <v>0</v>
      </c>
      <c r="AB719" s="13" t="n">
        <f aca="false">(D719-AVERAGE(D$2:D$2001))/STDEV(D$2:D$2001)</f>
        <v>-0.238549578354482</v>
      </c>
      <c r="AC719" s="13" t="n">
        <f aca="false">(I719-AVERAGE(I$2:I$2001))/STDEV(I$2:I$2001)</f>
        <v>-0.0205155458339628</v>
      </c>
      <c r="AD719" s="13" t="n">
        <f aca="false">(L719-AVERAGE(L$2:L$2001))/STDEV(L$2:L$2001)</f>
        <v>0.413838214490712</v>
      </c>
      <c r="AE719" s="13" t="n">
        <f aca="false">(M719-AVERAGE(M$2:M$2001))/STDEV(M$2:M$2001)</f>
        <v>1.64273653061448</v>
      </c>
      <c r="AF719" s="13" t="n">
        <f aca="false">(N719-AVERAGE(N$2:N$2001))/STDEV(N$2:N$2001)</f>
        <v>1.58992473585406</v>
      </c>
      <c r="AG719" s="13" t="n">
        <f aca="false">(O719-AVERAGE(O$2:O$2001))/STDEV(O$2:O$2001)</f>
        <v>1.54075957676583</v>
      </c>
      <c r="AH719" s="0" t="str">
        <f aca="false">IF(B719="Company","C3 - Corporate Buyers",IF(AND(H719="Investment",M719&gt;'Segmentation Summary'!$C$1),"C1 - Global Investors",IF(AND(I719&gt;=4,M719&gt;'Segmentation Summary'!$C$1),"C4 - Luxury Investors",IF(AND(D719&lt;'Segmentation Summary'!$C$2,J719=1),"C2 - First-Time Buyers","C5 - Other Individual Buyers"))))</f>
        <v>C2 - First-Time Buyers</v>
      </c>
    </row>
    <row r="720" customFormat="false" ht="15" hidden="false" customHeight="true" outlineLevel="0" collapsed="false">
      <c r="A720" s="13" t="s">
        <v>1485</v>
      </c>
      <c r="B720" s="13" t="s">
        <v>34</v>
      </c>
      <c r="C720" s="13" t="s">
        <v>1486</v>
      </c>
      <c r="D720" s="13" t="n">
        <v>52</v>
      </c>
      <c r="E720" s="13" t="s">
        <v>83</v>
      </c>
      <c r="F720" s="13" t="s">
        <v>33</v>
      </c>
      <c r="G720" s="13" t="s">
        <v>157</v>
      </c>
      <c r="H720" s="13" t="s">
        <v>41</v>
      </c>
      <c r="I720" s="13" t="n">
        <v>2</v>
      </c>
      <c r="J720" s="13" t="n">
        <v>0</v>
      </c>
      <c r="K720" s="13" t="s">
        <v>91</v>
      </c>
      <c r="L720" s="13" t="n">
        <v>4</v>
      </c>
      <c r="M720" s="13" t="n">
        <v>1466482.8</v>
      </c>
      <c r="N720" s="13" t="n">
        <v>366620.7</v>
      </c>
      <c r="O720" s="13" t="n">
        <v>1244.805</v>
      </c>
      <c r="P720" s="13" t="n">
        <v>1</v>
      </c>
      <c r="Q720" s="13" t="n">
        <v>3</v>
      </c>
      <c r="R720" s="13" t="s">
        <v>92</v>
      </c>
      <c r="S720" s="13" t="s">
        <v>154</v>
      </c>
      <c r="T720" s="13" t="n">
        <v>1</v>
      </c>
      <c r="U720" s="13" t="n">
        <f aca="false">IF(B720="Individual",1,0)</f>
        <v>1</v>
      </c>
      <c r="V720" s="13" t="n">
        <f aca="false">IF(B720="Company",1,0)</f>
        <v>0</v>
      </c>
      <c r="W720" s="13" t="n">
        <f aca="false">IF(H720="Home",1,0)</f>
        <v>1</v>
      </c>
      <c r="X720" s="13" t="n">
        <f aca="false">IF(H720="Investment",1,0)</f>
        <v>0</v>
      </c>
      <c r="Y720" s="13" t="n">
        <f aca="false">IF(K720="Website",1,0)</f>
        <v>0</v>
      </c>
      <c r="Z720" s="13" t="n">
        <f aca="false">IF(K720="Agency",1,0)</f>
        <v>1</v>
      </c>
      <c r="AA720" s="13" t="n">
        <f aca="false">IF(K720="Client",1,0)</f>
        <v>0</v>
      </c>
      <c r="AB720" s="13" t="n">
        <f aca="false">(D720-AVERAGE(D$2:D$2001))/STDEV(D$2:D$2001)</f>
        <v>-0.123224667378179</v>
      </c>
      <c r="AC720" s="13" t="n">
        <f aca="false">(I720-AVERAGE(I$2:I$2001))/STDEV(I$2:I$2001)</f>
        <v>-0.727948160798201</v>
      </c>
      <c r="AD720" s="13" t="n">
        <f aca="false">(L720-AVERAGE(L$2:L$2001))/STDEV(L$2:L$2001)</f>
        <v>0.413838214490712</v>
      </c>
      <c r="AE720" s="13" t="n">
        <f aca="false">(M720-AVERAGE(M$2:M$2001))/STDEV(M$2:M$2001)</f>
        <v>0.592550745007588</v>
      </c>
      <c r="AF720" s="13" t="n">
        <f aca="false">(N720-AVERAGE(N$2:N$2001))/STDEV(N$2:N$2001)</f>
        <v>0.280123835303333</v>
      </c>
      <c r="AG720" s="13" t="n">
        <f aca="false">(O720-AVERAGE(O$2:O$2001))/STDEV(O$2:O$2001)</f>
        <v>0.442543593866529</v>
      </c>
      <c r="AH720" s="0" t="str">
        <f aca="false">IF(B720="Company","C3 - Corporate Buyers",IF(AND(H720="Investment",M720&gt;'Segmentation Summary'!$C$1),"C1 - Global Investors",IF(AND(I720&gt;=4,M720&gt;'Segmentation Summary'!$C$1),"C4 - Luxury Investors",IF(AND(D720&lt;'Segmentation Summary'!$C$2,J720=1),"C2 - First-Time Buyers","C5 - Other Individual Buyers"))))</f>
        <v>C5 - Other Individual Buyers</v>
      </c>
    </row>
    <row r="721" customFormat="false" ht="15" hidden="false" customHeight="true" outlineLevel="0" collapsed="false">
      <c r="A721" s="13" t="s">
        <v>1487</v>
      </c>
      <c r="B721" s="13" t="s">
        <v>34</v>
      </c>
      <c r="C721" s="13" t="s">
        <v>1488</v>
      </c>
      <c r="D721" s="13" t="n">
        <v>44</v>
      </c>
      <c r="E721" s="13" t="s">
        <v>83</v>
      </c>
      <c r="F721" s="13" t="s">
        <v>40</v>
      </c>
      <c r="G721" s="13" t="s">
        <v>528</v>
      </c>
      <c r="H721" s="13" t="s">
        <v>41</v>
      </c>
      <c r="I721" s="13" t="n">
        <v>5</v>
      </c>
      <c r="J721" s="13" t="n">
        <v>0</v>
      </c>
      <c r="K721" s="13" t="s">
        <v>85</v>
      </c>
      <c r="L721" s="13" t="n">
        <v>4</v>
      </c>
      <c r="M721" s="13" t="n">
        <v>1210353.53</v>
      </c>
      <c r="N721" s="13" t="n">
        <v>302588.3825</v>
      </c>
      <c r="O721" s="13" t="n">
        <v>972.245</v>
      </c>
      <c r="P721" s="13" t="n">
        <v>0</v>
      </c>
      <c r="Q721" s="13" t="n">
        <v>4</v>
      </c>
      <c r="R721" s="13" t="s">
        <v>86</v>
      </c>
      <c r="S721" s="13" t="s">
        <v>133</v>
      </c>
      <c r="T721" s="13" t="n">
        <v>1</v>
      </c>
      <c r="U721" s="13" t="n">
        <f aca="false">IF(B721="Individual",1,0)</f>
        <v>1</v>
      </c>
      <c r="V721" s="13" t="n">
        <f aca="false">IF(B721="Company",1,0)</f>
        <v>0</v>
      </c>
      <c r="W721" s="13" t="n">
        <f aca="false">IF(H721="Home",1,0)</f>
        <v>1</v>
      </c>
      <c r="X721" s="13" t="n">
        <f aca="false">IF(H721="Investment",1,0)</f>
        <v>0</v>
      </c>
      <c r="Y721" s="13" t="n">
        <f aca="false">IF(K721="Website",1,0)</f>
        <v>1</v>
      </c>
      <c r="Z721" s="13" t="n">
        <f aca="false">IF(K721="Agency",1,0)</f>
        <v>0</v>
      </c>
      <c r="AA721" s="13" t="n">
        <f aca="false">IF(K721="Client",1,0)</f>
        <v>0</v>
      </c>
      <c r="AB721" s="13" t="n">
        <f aca="false">(D721-AVERAGE(D$2:D$2001))/STDEV(D$2:D$2001)</f>
        <v>-0.584524311283389</v>
      </c>
      <c r="AC721" s="13" t="n">
        <f aca="false">(I721-AVERAGE(I$2:I$2001))/STDEV(I$2:I$2001)</f>
        <v>1.39434968409451</v>
      </c>
      <c r="AD721" s="13" t="n">
        <f aca="false">(L721-AVERAGE(L$2:L$2001))/STDEV(L$2:L$2001)</f>
        <v>0.413838214490712</v>
      </c>
      <c r="AE721" s="13" t="n">
        <f aca="false">(M721-AVERAGE(M$2:M$2001))/STDEV(M$2:M$2001)</f>
        <v>-0.143811214703604</v>
      </c>
      <c r="AF721" s="13" t="n">
        <f aca="false">(N721-AVERAGE(N$2:N$2001))/STDEV(N$2:N$2001)</f>
        <v>-0.638273243746495</v>
      </c>
      <c r="AG721" s="13" t="n">
        <f aca="false">(O721-AVERAGE(O$2:O$2001))/STDEV(O$2:O$2001)</f>
        <v>-0.796801594672983</v>
      </c>
      <c r="AH721" s="0" t="str">
        <f aca="false">IF(B721="Company","C3 - Corporate Buyers",IF(AND(H721="Investment",M721&gt;'Segmentation Summary'!$C$1),"C1 - Global Investors",IF(AND(I721&gt;=4,M721&gt;'Segmentation Summary'!$C$1),"C4 - Luxury Investors",IF(AND(D721&lt;'Segmentation Summary'!$C$2,J721=1),"C2 - First-Time Buyers","C5 - Other Individual Buyers"))))</f>
        <v>C5 - Other Individual Buyers</v>
      </c>
    </row>
    <row r="722" customFormat="false" ht="15" hidden="false" customHeight="true" outlineLevel="0" collapsed="false">
      <c r="A722" s="13" t="s">
        <v>1489</v>
      </c>
      <c r="B722" s="13" t="s">
        <v>34</v>
      </c>
      <c r="C722" s="13" t="s">
        <v>1490</v>
      </c>
      <c r="D722" s="13" t="n">
        <v>57</v>
      </c>
      <c r="E722" s="13" t="s">
        <v>83</v>
      </c>
      <c r="F722" s="13" t="s">
        <v>46</v>
      </c>
      <c r="G722" s="13" t="s">
        <v>414</v>
      </c>
      <c r="H722" s="13" t="s">
        <v>41</v>
      </c>
      <c r="I722" s="13" t="n">
        <v>4</v>
      </c>
      <c r="J722" s="13" t="n">
        <v>0</v>
      </c>
      <c r="K722" s="13" t="s">
        <v>85</v>
      </c>
      <c r="L722" s="13" t="n">
        <v>4</v>
      </c>
      <c r="M722" s="13" t="n">
        <v>1505862.74</v>
      </c>
      <c r="N722" s="13" t="n">
        <v>376465.685</v>
      </c>
      <c r="O722" s="13" t="n">
        <v>1320.35</v>
      </c>
      <c r="P722" s="13" t="n">
        <v>1</v>
      </c>
      <c r="Q722" s="13" t="n">
        <v>3</v>
      </c>
      <c r="R722" s="13" t="s">
        <v>124</v>
      </c>
      <c r="S722" s="13" t="s">
        <v>164</v>
      </c>
      <c r="T722" s="13" t="n">
        <v>1</v>
      </c>
      <c r="U722" s="13" t="n">
        <f aca="false">IF(B722="Individual",1,0)</f>
        <v>1</v>
      </c>
      <c r="V722" s="13" t="n">
        <f aca="false">IF(B722="Company",1,0)</f>
        <v>0</v>
      </c>
      <c r="W722" s="13" t="n">
        <f aca="false">IF(H722="Home",1,0)</f>
        <v>1</v>
      </c>
      <c r="X722" s="13" t="n">
        <f aca="false">IF(H722="Investment",1,0)</f>
        <v>0</v>
      </c>
      <c r="Y722" s="13" t="n">
        <f aca="false">IF(K722="Website",1,0)</f>
        <v>1</v>
      </c>
      <c r="Z722" s="13" t="n">
        <f aca="false">IF(K722="Agency",1,0)</f>
        <v>0</v>
      </c>
      <c r="AA722" s="13" t="n">
        <f aca="false">IF(K722="Client",1,0)</f>
        <v>0</v>
      </c>
      <c r="AB722" s="13" t="n">
        <f aca="false">(D722-AVERAGE(D$2:D$2001))/STDEV(D$2:D$2001)</f>
        <v>0.165087610062577</v>
      </c>
      <c r="AC722" s="13" t="n">
        <f aca="false">(I722-AVERAGE(I$2:I$2001))/STDEV(I$2:I$2001)</f>
        <v>0.686917069130275</v>
      </c>
      <c r="AD722" s="13" t="n">
        <f aca="false">(L722-AVERAGE(L$2:L$2001))/STDEV(L$2:L$2001)</f>
        <v>0.413838214490712</v>
      </c>
      <c r="AE722" s="13" t="n">
        <f aca="false">(M722-AVERAGE(M$2:M$2001))/STDEV(M$2:M$2001)</f>
        <v>0.705766582431046</v>
      </c>
      <c r="AF722" s="13" t="n">
        <f aca="false">(N722-AVERAGE(N$2:N$2001))/STDEV(N$2:N$2001)</f>
        <v>0.421327618335071</v>
      </c>
      <c r="AG722" s="13" t="n">
        <f aca="false">(O722-AVERAGE(O$2:O$2001))/STDEV(O$2:O$2001)</f>
        <v>0.786050829954793</v>
      </c>
      <c r="AH722" s="0" t="str">
        <f aca="false">IF(B722="Company","C3 - Corporate Buyers",IF(AND(H722="Investment",M722&gt;'Segmentation Summary'!$C$1),"C1 - Global Investors",IF(AND(I722&gt;=4,M722&gt;'Segmentation Summary'!$C$1),"C4 - Luxury Investors",IF(AND(D722&lt;'Segmentation Summary'!$C$2,J722=1),"C2 - First-Time Buyers","C5 - Other Individual Buyers"))))</f>
        <v>C4 - Luxury Investors</v>
      </c>
    </row>
    <row r="723" customFormat="false" ht="15" hidden="false" customHeight="true" outlineLevel="0" collapsed="false">
      <c r="A723" s="13" t="s">
        <v>1491</v>
      </c>
      <c r="B723" s="13" t="s">
        <v>34</v>
      </c>
      <c r="C723" s="13" t="s">
        <v>1492</v>
      </c>
      <c r="D723" s="13" t="n">
        <v>40</v>
      </c>
      <c r="E723" s="13" t="s">
        <v>83</v>
      </c>
      <c r="F723" s="13" t="s">
        <v>33</v>
      </c>
      <c r="G723" s="13" t="s">
        <v>95</v>
      </c>
      <c r="H723" s="13" t="s">
        <v>41</v>
      </c>
      <c r="I723" s="13" t="n">
        <v>4</v>
      </c>
      <c r="J723" s="13" t="n">
        <v>0</v>
      </c>
      <c r="K723" s="13" t="s">
        <v>85</v>
      </c>
      <c r="L723" s="13" t="n">
        <v>3</v>
      </c>
      <c r="M723" s="13" t="n">
        <v>1195224.9</v>
      </c>
      <c r="N723" s="13" t="n">
        <v>398408.3</v>
      </c>
      <c r="O723" s="13" t="n">
        <v>1255.63333333333</v>
      </c>
      <c r="P723" s="13" t="n">
        <v>0</v>
      </c>
      <c r="Q723" s="13" t="n">
        <v>3</v>
      </c>
      <c r="R723" s="13" t="s">
        <v>101</v>
      </c>
      <c r="S723" s="13" t="s">
        <v>112</v>
      </c>
      <c r="T723" s="13" t="n">
        <v>1</v>
      </c>
      <c r="U723" s="13" t="n">
        <f aca="false">IF(B723="Individual",1,0)</f>
        <v>1</v>
      </c>
      <c r="V723" s="13" t="n">
        <f aca="false">IF(B723="Company",1,0)</f>
        <v>0</v>
      </c>
      <c r="W723" s="13" t="n">
        <f aca="false">IF(H723="Home",1,0)</f>
        <v>1</v>
      </c>
      <c r="X723" s="13" t="n">
        <f aca="false">IF(H723="Investment",1,0)</f>
        <v>0</v>
      </c>
      <c r="Y723" s="13" t="n">
        <f aca="false">IF(K723="Website",1,0)</f>
        <v>1</v>
      </c>
      <c r="Z723" s="13" t="n">
        <f aca="false">IF(K723="Agency",1,0)</f>
        <v>0</v>
      </c>
      <c r="AA723" s="13" t="n">
        <f aca="false">IF(K723="Client",1,0)</f>
        <v>0</v>
      </c>
      <c r="AB723" s="13" t="n">
        <f aca="false">(D723-AVERAGE(D$2:D$2001))/STDEV(D$2:D$2001)</f>
        <v>-0.815174133235994</v>
      </c>
      <c r="AC723" s="13" t="n">
        <f aca="false">(I723-AVERAGE(I$2:I$2001))/STDEV(I$2:I$2001)</f>
        <v>0.686917069130275</v>
      </c>
      <c r="AD723" s="13" t="n">
        <f aca="false">(L723-AVERAGE(L$2:L$2001))/STDEV(L$2:L$2001)</f>
        <v>-0.777063122173208</v>
      </c>
      <c r="AE723" s="13" t="n">
        <f aca="false">(M723-AVERAGE(M$2:M$2001))/STDEV(M$2:M$2001)</f>
        <v>-0.187305453509445</v>
      </c>
      <c r="AF723" s="13" t="n">
        <f aca="false">(N723-AVERAGE(N$2:N$2001))/STDEV(N$2:N$2001)</f>
        <v>0.736044222535988</v>
      </c>
      <c r="AG723" s="13" t="n">
        <f aca="false">(O723-AVERAGE(O$2:O$2001))/STDEV(O$2:O$2001)</f>
        <v>0.491780616234318</v>
      </c>
      <c r="AH723" s="0" t="str">
        <f aca="false">IF(B723="Company","C3 - Corporate Buyers",IF(AND(H723="Investment",M723&gt;'Segmentation Summary'!$C$1),"C1 - Global Investors",IF(AND(I723&gt;=4,M723&gt;'Segmentation Summary'!$C$1),"C4 - Luxury Investors",IF(AND(D723&lt;'Segmentation Summary'!$C$2,J723=1),"C2 - First-Time Buyers","C5 - Other Individual Buyers"))))</f>
        <v>C5 - Other Individual Buyers</v>
      </c>
    </row>
    <row r="724" customFormat="false" ht="15" hidden="false" customHeight="true" outlineLevel="0" collapsed="false">
      <c r="A724" s="13" t="s">
        <v>1493</v>
      </c>
      <c r="B724" s="13" t="s">
        <v>34</v>
      </c>
      <c r="C724" s="13" t="s">
        <v>1494</v>
      </c>
      <c r="D724" s="13" t="n">
        <v>49</v>
      </c>
      <c r="E724" s="13" t="s">
        <v>83</v>
      </c>
      <c r="F724" s="13" t="s">
        <v>33</v>
      </c>
      <c r="G724" s="13" t="s">
        <v>100</v>
      </c>
      <c r="H724" s="13" t="s">
        <v>41</v>
      </c>
      <c r="I724" s="13" t="n">
        <v>3</v>
      </c>
      <c r="J724" s="13" t="n">
        <v>0</v>
      </c>
      <c r="K724" s="13" t="s">
        <v>91</v>
      </c>
      <c r="L724" s="13" t="n">
        <v>4</v>
      </c>
      <c r="M724" s="13" t="n">
        <v>1381335.3</v>
      </c>
      <c r="N724" s="13" t="n">
        <v>345333.825</v>
      </c>
      <c r="O724" s="13" t="n">
        <v>1093.05</v>
      </c>
      <c r="P724" s="13" t="n">
        <v>0</v>
      </c>
      <c r="Q724" s="13" t="n">
        <v>4</v>
      </c>
      <c r="R724" s="13" t="s">
        <v>98</v>
      </c>
      <c r="S724" s="13" t="s">
        <v>124</v>
      </c>
      <c r="T724" s="13" t="n">
        <v>1</v>
      </c>
      <c r="U724" s="13" t="n">
        <f aca="false">IF(B724="Individual",1,0)</f>
        <v>1</v>
      </c>
      <c r="V724" s="13" t="n">
        <f aca="false">IF(B724="Company",1,0)</f>
        <v>0</v>
      </c>
      <c r="W724" s="13" t="n">
        <f aca="false">IF(H724="Home",1,0)</f>
        <v>1</v>
      </c>
      <c r="X724" s="13" t="n">
        <f aca="false">IF(H724="Investment",1,0)</f>
        <v>0</v>
      </c>
      <c r="Y724" s="13" t="n">
        <f aca="false">IF(K724="Website",1,0)</f>
        <v>0</v>
      </c>
      <c r="Z724" s="13" t="n">
        <f aca="false">IF(K724="Agency",1,0)</f>
        <v>1</v>
      </c>
      <c r="AA724" s="13" t="n">
        <f aca="false">IF(K724="Client",1,0)</f>
        <v>0</v>
      </c>
      <c r="AB724" s="13" t="n">
        <f aca="false">(D724-AVERAGE(D$2:D$2001))/STDEV(D$2:D$2001)</f>
        <v>-0.296212033842633</v>
      </c>
      <c r="AC724" s="13" t="n">
        <f aca="false">(I724-AVERAGE(I$2:I$2001))/STDEV(I$2:I$2001)</f>
        <v>-0.0205155458339628</v>
      </c>
      <c r="AD724" s="13" t="n">
        <f aca="false">(L724-AVERAGE(L$2:L$2001))/STDEV(L$2:L$2001)</f>
        <v>0.413838214490712</v>
      </c>
      <c r="AE724" s="13" t="n">
        <f aca="false">(M724-AVERAGE(M$2:M$2001))/STDEV(M$2:M$2001)</f>
        <v>0.347754904358416</v>
      </c>
      <c r="AF724" s="13" t="n">
        <f aca="false">(N724-AVERAGE(N$2:N$2001))/STDEV(N$2:N$2001)</f>
        <v>-0.0251876790284545</v>
      </c>
      <c r="AG724" s="13" t="n">
        <f aca="false">(O724-AVERAGE(O$2:O$2001))/STDEV(O$2:O$2001)</f>
        <v>-0.247494669586706</v>
      </c>
      <c r="AH724" s="0" t="str">
        <f aca="false">IF(B724="Company","C3 - Corporate Buyers",IF(AND(H724="Investment",M724&gt;'Segmentation Summary'!$C$1),"C1 - Global Investors",IF(AND(I724&gt;=4,M724&gt;'Segmentation Summary'!$C$1),"C4 - Luxury Investors",IF(AND(D724&lt;'Segmentation Summary'!$C$2,J724=1),"C2 - First-Time Buyers","C5 - Other Individual Buyers"))))</f>
        <v>C5 - Other Individual Buyers</v>
      </c>
    </row>
    <row r="725" customFormat="false" ht="15" hidden="false" customHeight="true" outlineLevel="0" collapsed="false">
      <c r="A725" s="13" t="s">
        <v>1495</v>
      </c>
      <c r="B725" s="13" t="s">
        <v>34</v>
      </c>
      <c r="C725" s="13" t="s">
        <v>1496</v>
      </c>
      <c r="D725" s="13" t="n">
        <v>68</v>
      </c>
      <c r="E725" s="13" t="s">
        <v>83</v>
      </c>
      <c r="F725" s="13" t="s">
        <v>35</v>
      </c>
      <c r="G725" s="13" t="s">
        <v>137</v>
      </c>
      <c r="H725" s="13" t="s">
        <v>41</v>
      </c>
      <c r="I725" s="13" t="n">
        <v>4</v>
      </c>
      <c r="J725" s="13" t="n">
        <v>0</v>
      </c>
      <c r="K725" s="13" t="s">
        <v>85</v>
      </c>
      <c r="L725" s="13" t="n">
        <v>4</v>
      </c>
      <c r="M725" s="13" t="n">
        <v>1485041.45</v>
      </c>
      <c r="N725" s="13" t="n">
        <v>371260.3625</v>
      </c>
      <c r="O725" s="13" t="n">
        <v>1120.62</v>
      </c>
      <c r="P725" s="13" t="n">
        <v>1</v>
      </c>
      <c r="Q725" s="13" t="n">
        <v>3</v>
      </c>
      <c r="R725" s="13" t="s">
        <v>101</v>
      </c>
      <c r="S725" s="13" t="s">
        <v>103</v>
      </c>
      <c r="T725" s="13" t="n">
        <v>1</v>
      </c>
      <c r="U725" s="13" t="n">
        <f aca="false">IF(B725="Individual",1,0)</f>
        <v>1</v>
      </c>
      <c r="V725" s="13" t="n">
        <f aca="false">IF(B725="Company",1,0)</f>
        <v>0</v>
      </c>
      <c r="W725" s="13" t="n">
        <f aca="false">IF(H725="Home",1,0)</f>
        <v>1</v>
      </c>
      <c r="X725" s="13" t="n">
        <f aca="false">IF(H725="Investment",1,0)</f>
        <v>0</v>
      </c>
      <c r="Y725" s="13" t="n">
        <f aca="false">IF(K725="Website",1,0)</f>
        <v>1</v>
      </c>
      <c r="Z725" s="13" t="n">
        <f aca="false">IF(K725="Agency",1,0)</f>
        <v>0</v>
      </c>
      <c r="AA725" s="13" t="n">
        <f aca="false">IF(K725="Client",1,0)</f>
        <v>0</v>
      </c>
      <c r="AB725" s="13" t="n">
        <f aca="false">(D725-AVERAGE(D$2:D$2001))/STDEV(D$2:D$2001)</f>
        <v>0.79937462043224</v>
      </c>
      <c r="AC725" s="13" t="n">
        <f aca="false">(I725-AVERAGE(I$2:I$2001))/STDEV(I$2:I$2001)</f>
        <v>0.686917069130275</v>
      </c>
      <c r="AD725" s="13" t="n">
        <f aca="false">(L725-AVERAGE(L$2:L$2001))/STDEV(L$2:L$2001)</f>
        <v>0.413838214490712</v>
      </c>
      <c r="AE725" s="13" t="n">
        <f aca="false">(M725-AVERAGE(M$2:M$2001))/STDEV(M$2:M$2001)</f>
        <v>0.645906161526731</v>
      </c>
      <c r="AF725" s="13" t="n">
        <f aca="false">(N725-AVERAGE(N$2:N$2001))/STDEV(N$2:N$2001)</f>
        <v>0.346669177626403</v>
      </c>
      <c r="AG725" s="13" t="n">
        <f aca="false">(O725-AVERAGE(O$2:O$2001))/STDEV(O$2:O$2001)</f>
        <v>-0.122132375603604</v>
      </c>
      <c r="AH725" s="0" t="str">
        <f aca="false">IF(B725="Company","C3 - Corporate Buyers",IF(AND(H725="Investment",M725&gt;'Segmentation Summary'!$C$1),"C1 - Global Investors",IF(AND(I725&gt;=4,M725&gt;'Segmentation Summary'!$C$1),"C4 - Luxury Investors",IF(AND(D725&lt;'Segmentation Summary'!$C$2,J725=1),"C2 - First-Time Buyers","C5 - Other Individual Buyers"))))</f>
        <v>C4 - Luxury Investors</v>
      </c>
    </row>
    <row r="726" customFormat="false" ht="15" hidden="false" customHeight="true" outlineLevel="0" collapsed="false">
      <c r="A726" s="13" t="s">
        <v>1497</v>
      </c>
      <c r="B726" s="13" t="s">
        <v>34</v>
      </c>
      <c r="C726" s="13" t="s">
        <v>1496</v>
      </c>
      <c r="D726" s="13" t="n">
        <v>63</v>
      </c>
      <c r="E726" s="13" t="s">
        <v>83</v>
      </c>
      <c r="F726" s="13" t="s">
        <v>44</v>
      </c>
      <c r="G726" s="13" t="s">
        <v>318</v>
      </c>
      <c r="H726" s="13" t="s">
        <v>41</v>
      </c>
      <c r="I726" s="13" t="n">
        <v>4</v>
      </c>
      <c r="J726" s="13" t="n">
        <v>0</v>
      </c>
      <c r="K726" s="13" t="s">
        <v>116</v>
      </c>
      <c r="L726" s="13" t="n">
        <v>3</v>
      </c>
      <c r="M726" s="13" t="n">
        <v>837044.35</v>
      </c>
      <c r="N726" s="13" t="n">
        <v>279014.783333333</v>
      </c>
      <c r="O726" s="13" t="n">
        <v>983.426666666667</v>
      </c>
      <c r="P726" s="13" t="n">
        <v>0</v>
      </c>
      <c r="Q726" s="13" t="n">
        <v>3</v>
      </c>
      <c r="R726" s="13" t="s">
        <v>98</v>
      </c>
      <c r="S726" s="13" t="s">
        <v>93</v>
      </c>
      <c r="T726" s="13" t="n">
        <v>1</v>
      </c>
      <c r="U726" s="13" t="n">
        <f aca="false">IF(B726="Individual",1,0)</f>
        <v>1</v>
      </c>
      <c r="V726" s="13" t="n">
        <f aca="false">IF(B726="Company",1,0)</f>
        <v>0</v>
      </c>
      <c r="W726" s="13" t="n">
        <f aca="false">IF(H726="Home",1,0)</f>
        <v>1</v>
      </c>
      <c r="X726" s="13" t="n">
        <f aca="false">IF(H726="Investment",1,0)</f>
        <v>0</v>
      </c>
      <c r="Y726" s="13" t="n">
        <f aca="false">IF(K726="Website",1,0)</f>
        <v>0</v>
      </c>
      <c r="Z726" s="13" t="n">
        <f aca="false">IF(K726="Agency",1,0)</f>
        <v>0</v>
      </c>
      <c r="AA726" s="13" t="n">
        <f aca="false">IF(K726="Client",1,0)</f>
        <v>1</v>
      </c>
      <c r="AB726" s="13" t="n">
        <f aca="false">(D726-AVERAGE(D$2:D$2001))/STDEV(D$2:D$2001)</f>
        <v>0.511062342991484</v>
      </c>
      <c r="AC726" s="13" t="n">
        <f aca="false">(I726-AVERAGE(I$2:I$2001))/STDEV(I$2:I$2001)</f>
        <v>0.686917069130275</v>
      </c>
      <c r="AD726" s="13" t="n">
        <f aca="false">(L726-AVERAGE(L$2:L$2001))/STDEV(L$2:L$2001)</f>
        <v>-0.777063122173208</v>
      </c>
      <c r="AE726" s="13" t="n">
        <f aca="false">(M726-AVERAGE(M$2:M$2001))/STDEV(M$2:M$2001)</f>
        <v>-1.21706098175669</v>
      </c>
      <c r="AF726" s="13" t="n">
        <f aca="false">(N726-AVERAGE(N$2:N$2001))/STDEV(N$2:N$2001)</f>
        <v>-0.976382583883348</v>
      </c>
      <c r="AG726" s="13" t="n">
        <f aca="false">(O726-AVERAGE(O$2:O$2001))/STDEV(O$2:O$2001)</f>
        <v>-0.74595794636367</v>
      </c>
      <c r="AH726" s="0" t="str">
        <f aca="false">IF(B726="Company","C3 - Corporate Buyers",IF(AND(H726="Investment",M726&gt;'Segmentation Summary'!$C$1),"C1 - Global Investors",IF(AND(I726&gt;=4,M726&gt;'Segmentation Summary'!$C$1),"C4 - Luxury Investors",IF(AND(D726&lt;'Segmentation Summary'!$C$2,J726=1),"C2 - First-Time Buyers","C5 - Other Individual Buyers"))))</f>
        <v>C5 - Other Individual Buyers</v>
      </c>
    </row>
    <row r="727" customFormat="false" ht="15" hidden="false" customHeight="true" outlineLevel="0" collapsed="false">
      <c r="A727" s="13" t="s">
        <v>1498</v>
      </c>
      <c r="B727" s="13" t="s">
        <v>34</v>
      </c>
      <c r="C727" s="13" t="s">
        <v>1499</v>
      </c>
      <c r="D727" s="13" t="n">
        <v>63</v>
      </c>
      <c r="E727" s="13" t="s">
        <v>83</v>
      </c>
      <c r="F727" s="13" t="s">
        <v>33</v>
      </c>
      <c r="G727" s="13" t="s">
        <v>95</v>
      </c>
      <c r="H727" s="13" t="s">
        <v>41</v>
      </c>
      <c r="I727" s="13" t="n">
        <v>1</v>
      </c>
      <c r="J727" s="13" t="n">
        <v>1</v>
      </c>
      <c r="K727" s="13" t="s">
        <v>91</v>
      </c>
      <c r="L727" s="13" t="n">
        <v>3</v>
      </c>
      <c r="M727" s="13" t="n">
        <v>1377654.29</v>
      </c>
      <c r="N727" s="13" t="n">
        <v>459218.096666667</v>
      </c>
      <c r="O727" s="13" t="n">
        <v>1650.47333333333</v>
      </c>
      <c r="P727" s="13" t="n">
        <v>1</v>
      </c>
      <c r="Q727" s="13" t="n">
        <v>2</v>
      </c>
      <c r="R727" s="13" t="s">
        <v>128</v>
      </c>
      <c r="S727" s="13" t="s">
        <v>154</v>
      </c>
      <c r="T727" s="13" t="n">
        <v>1</v>
      </c>
      <c r="U727" s="13" t="n">
        <f aca="false">IF(B727="Individual",1,0)</f>
        <v>1</v>
      </c>
      <c r="V727" s="13" t="n">
        <f aca="false">IF(B727="Company",1,0)</f>
        <v>0</v>
      </c>
      <c r="W727" s="13" t="n">
        <f aca="false">IF(H727="Home",1,0)</f>
        <v>1</v>
      </c>
      <c r="X727" s="13" t="n">
        <f aca="false">IF(H727="Investment",1,0)</f>
        <v>0</v>
      </c>
      <c r="Y727" s="13" t="n">
        <f aca="false">IF(K727="Website",1,0)</f>
        <v>0</v>
      </c>
      <c r="Z727" s="13" t="n">
        <f aca="false">IF(K727="Agency",1,0)</f>
        <v>1</v>
      </c>
      <c r="AA727" s="13" t="n">
        <f aca="false">IF(K727="Client",1,0)</f>
        <v>0</v>
      </c>
      <c r="AB727" s="13" t="n">
        <f aca="false">(D727-AVERAGE(D$2:D$2001))/STDEV(D$2:D$2001)</f>
        <v>0.511062342991484</v>
      </c>
      <c r="AC727" s="13" t="n">
        <f aca="false">(I727-AVERAGE(I$2:I$2001))/STDEV(I$2:I$2001)</f>
        <v>-1.43538077576244</v>
      </c>
      <c r="AD727" s="13" t="n">
        <f aca="false">(L727-AVERAGE(L$2:L$2001))/STDEV(L$2:L$2001)</f>
        <v>-0.777063122173208</v>
      </c>
      <c r="AE727" s="13" t="n">
        <f aca="false">(M727-AVERAGE(M$2:M$2001))/STDEV(M$2:M$2001)</f>
        <v>0.33717213989219</v>
      </c>
      <c r="AF727" s="13" t="n">
        <f aca="false">(N727-AVERAGE(N$2:N$2001))/STDEV(N$2:N$2001)</f>
        <v>1.6082216138397</v>
      </c>
      <c r="AG727" s="13" t="n">
        <f aca="false">(O727-AVERAGE(O$2:O$2001))/STDEV(O$2:O$2001)</f>
        <v>2.28713963532348</v>
      </c>
      <c r="AH727" s="0" t="str">
        <f aca="false">IF(B727="Company","C3 - Corporate Buyers",IF(AND(H727="Investment",M727&gt;'Segmentation Summary'!$C$1),"C1 - Global Investors",IF(AND(I727&gt;=4,M727&gt;'Segmentation Summary'!$C$1),"C4 - Luxury Investors",IF(AND(D727&lt;'Segmentation Summary'!$C$2,J727=1),"C2 - First-Time Buyers","C5 - Other Individual Buyers"))))</f>
        <v>C5 - Other Individual Buyers</v>
      </c>
    </row>
    <row r="728" customFormat="false" ht="15" hidden="false" customHeight="true" outlineLevel="0" collapsed="false">
      <c r="A728" s="13" t="s">
        <v>1500</v>
      </c>
      <c r="B728" s="13" t="s">
        <v>34</v>
      </c>
      <c r="C728" s="13" t="s">
        <v>1501</v>
      </c>
      <c r="D728" s="13" t="n">
        <v>81</v>
      </c>
      <c r="E728" s="13" t="s">
        <v>83</v>
      </c>
      <c r="F728" s="13" t="s">
        <v>33</v>
      </c>
      <c r="G728" s="13" t="s">
        <v>106</v>
      </c>
      <c r="H728" s="13" t="s">
        <v>41</v>
      </c>
      <c r="I728" s="13" t="n">
        <v>1</v>
      </c>
      <c r="J728" s="13" t="n">
        <v>1</v>
      </c>
      <c r="K728" s="13" t="s">
        <v>91</v>
      </c>
      <c r="L728" s="13" t="n">
        <v>3</v>
      </c>
      <c r="M728" s="13" t="n">
        <v>1070432.96</v>
      </c>
      <c r="N728" s="13" t="n">
        <v>356810.986666667</v>
      </c>
      <c r="O728" s="13" t="n">
        <v>1325.71</v>
      </c>
      <c r="P728" s="13" t="n">
        <v>0</v>
      </c>
      <c r="Q728" s="13" t="n">
        <v>3</v>
      </c>
      <c r="R728" s="13" t="s">
        <v>117</v>
      </c>
      <c r="S728" s="13" t="s">
        <v>133</v>
      </c>
      <c r="T728" s="13" t="n">
        <v>1</v>
      </c>
      <c r="U728" s="13" t="n">
        <f aca="false">IF(B728="Individual",1,0)</f>
        <v>1</v>
      </c>
      <c r="V728" s="13" t="n">
        <f aca="false">IF(B728="Company",1,0)</f>
        <v>0</v>
      </c>
      <c r="W728" s="13" t="n">
        <f aca="false">IF(H728="Home",1,0)</f>
        <v>1</v>
      </c>
      <c r="X728" s="13" t="n">
        <f aca="false">IF(H728="Investment",1,0)</f>
        <v>0</v>
      </c>
      <c r="Y728" s="13" t="n">
        <f aca="false">IF(K728="Website",1,0)</f>
        <v>0</v>
      </c>
      <c r="Z728" s="13" t="n">
        <f aca="false">IF(K728="Agency",1,0)</f>
        <v>1</v>
      </c>
      <c r="AA728" s="13" t="n">
        <f aca="false">IF(K728="Client",1,0)</f>
        <v>0</v>
      </c>
      <c r="AB728" s="13" t="n">
        <f aca="false">(D728-AVERAGE(D$2:D$2001))/STDEV(D$2:D$2001)</f>
        <v>1.54898654177821</v>
      </c>
      <c r="AC728" s="13" t="n">
        <f aca="false">(I728-AVERAGE(I$2:I$2001))/STDEV(I$2:I$2001)</f>
        <v>-1.43538077576244</v>
      </c>
      <c r="AD728" s="13" t="n">
        <f aca="false">(L728-AVERAGE(L$2:L$2001))/STDEV(L$2:L$2001)</f>
        <v>-0.777063122173208</v>
      </c>
      <c r="AE728" s="13" t="n">
        <f aca="false">(M728-AVERAGE(M$2:M$2001))/STDEV(M$2:M$2001)</f>
        <v>-0.5460775590738</v>
      </c>
      <c r="AF728" s="13" t="n">
        <f aca="false">(N728-AVERAGE(N$2:N$2001))/STDEV(N$2:N$2001)</f>
        <v>0.139425943623101</v>
      </c>
      <c r="AG728" s="13" t="n">
        <f aca="false">(O728-AVERAGE(O$2:O$2001))/STDEV(O$2:O$2001)</f>
        <v>0.810423042350493</v>
      </c>
      <c r="AH728" s="0" t="str">
        <f aca="false">IF(B728="Company","C3 - Corporate Buyers",IF(AND(H728="Investment",M728&gt;'Segmentation Summary'!$C$1),"C1 - Global Investors",IF(AND(I728&gt;=4,M728&gt;'Segmentation Summary'!$C$1),"C4 - Luxury Investors",IF(AND(D728&lt;'Segmentation Summary'!$C$2,J728=1),"C2 - First-Time Buyers","C5 - Other Individual Buyers"))))</f>
        <v>C5 - Other Individual Buyers</v>
      </c>
    </row>
    <row r="729" customFormat="false" ht="15" hidden="false" customHeight="true" outlineLevel="0" collapsed="false">
      <c r="A729" s="13" t="s">
        <v>1502</v>
      </c>
      <c r="B729" s="13" t="s">
        <v>34</v>
      </c>
      <c r="C729" s="13" t="s">
        <v>1503</v>
      </c>
      <c r="D729" s="13" t="n">
        <v>52</v>
      </c>
      <c r="E729" s="13" t="s">
        <v>83</v>
      </c>
      <c r="F729" s="13" t="s">
        <v>35</v>
      </c>
      <c r="G729" s="13" t="s">
        <v>267</v>
      </c>
      <c r="H729" s="13" t="s">
        <v>41</v>
      </c>
      <c r="I729" s="13" t="n">
        <v>3</v>
      </c>
      <c r="J729" s="13" t="n">
        <v>1</v>
      </c>
      <c r="K729" s="13" t="s">
        <v>85</v>
      </c>
      <c r="L729" s="13" t="n">
        <v>4</v>
      </c>
      <c r="M729" s="13" t="n">
        <v>1025958.38</v>
      </c>
      <c r="N729" s="13" t="n">
        <v>256489.595</v>
      </c>
      <c r="O729" s="13" t="n">
        <v>858.9825</v>
      </c>
      <c r="P729" s="13" t="n">
        <v>1</v>
      </c>
      <c r="Q729" s="13" t="n">
        <v>3</v>
      </c>
      <c r="R729" s="13" t="s">
        <v>98</v>
      </c>
      <c r="S729" s="13" t="s">
        <v>152</v>
      </c>
      <c r="T729" s="13" t="n">
        <v>1</v>
      </c>
      <c r="U729" s="13" t="n">
        <f aca="false">IF(B729="Individual",1,0)</f>
        <v>1</v>
      </c>
      <c r="V729" s="13" t="n">
        <f aca="false">IF(B729="Company",1,0)</f>
        <v>0</v>
      </c>
      <c r="W729" s="13" t="n">
        <f aca="false">IF(H729="Home",1,0)</f>
        <v>1</v>
      </c>
      <c r="X729" s="13" t="n">
        <f aca="false">IF(H729="Investment",1,0)</f>
        <v>0</v>
      </c>
      <c r="Y729" s="13" t="n">
        <f aca="false">IF(K729="Website",1,0)</f>
        <v>1</v>
      </c>
      <c r="Z729" s="13" t="n">
        <f aca="false">IF(K729="Agency",1,0)</f>
        <v>0</v>
      </c>
      <c r="AA729" s="13" t="n">
        <f aca="false">IF(K729="Client",1,0)</f>
        <v>0</v>
      </c>
      <c r="AB729" s="13" t="n">
        <f aca="false">(D729-AVERAGE(D$2:D$2001))/STDEV(D$2:D$2001)</f>
        <v>-0.123224667378179</v>
      </c>
      <c r="AC729" s="13" t="n">
        <f aca="false">(I729-AVERAGE(I$2:I$2001))/STDEV(I$2:I$2001)</f>
        <v>-0.0205155458339628</v>
      </c>
      <c r="AD729" s="13" t="n">
        <f aca="false">(L729-AVERAGE(L$2:L$2001))/STDEV(L$2:L$2001)</f>
        <v>0.413838214490712</v>
      </c>
      <c r="AE729" s="13" t="n">
        <f aca="false">(M729-AVERAGE(M$2:M$2001))/STDEV(M$2:M$2001)</f>
        <v>-0.673940293723894</v>
      </c>
      <c r="AF729" s="13" t="n">
        <f aca="false">(N729-AVERAGE(N$2:N$2001))/STDEV(N$2:N$2001)</f>
        <v>-1.2994548695363</v>
      </c>
      <c r="AG729" s="13" t="n">
        <f aca="false">(O729-AVERAGE(O$2:O$2001))/STDEV(O$2:O$2001)</f>
        <v>-1.31181236080505</v>
      </c>
      <c r="AH729" s="0" t="str">
        <f aca="false">IF(B729="Company","C3 - Corporate Buyers",IF(AND(H729="Investment",M729&gt;'Segmentation Summary'!$C$1),"C1 - Global Investors",IF(AND(I729&gt;=4,M729&gt;'Segmentation Summary'!$C$1),"C4 - Luxury Investors",IF(AND(D729&lt;'Segmentation Summary'!$C$2,J729=1),"C2 - First-Time Buyers","C5 - Other Individual Buyers"))))</f>
        <v>C2 - First-Time Buyers</v>
      </c>
    </row>
    <row r="730" customFormat="false" ht="15" hidden="false" customHeight="true" outlineLevel="0" collapsed="false">
      <c r="A730" s="13" t="s">
        <v>1504</v>
      </c>
      <c r="B730" s="13" t="s">
        <v>34</v>
      </c>
      <c r="C730" s="13" t="s">
        <v>1505</v>
      </c>
      <c r="D730" s="13" t="n">
        <v>75</v>
      </c>
      <c r="E730" s="13" t="s">
        <v>83</v>
      </c>
      <c r="F730" s="13" t="s">
        <v>33</v>
      </c>
      <c r="G730" s="13" t="s">
        <v>95</v>
      </c>
      <c r="H730" s="13" t="s">
        <v>41</v>
      </c>
      <c r="I730" s="13" t="n">
        <v>3</v>
      </c>
      <c r="J730" s="13" t="n">
        <v>0</v>
      </c>
      <c r="K730" s="13" t="s">
        <v>85</v>
      </c>
      <c r="L730" s="13" t="n">
        <v>3</v>
      </c>
      <c r="M730" s="13" t="n">
        <v>707799.92</v>
      </c>
      <c r="N730" s="13" t="n">
        <v>235933.306666667</v>
      </c>
      <c r="O730" s="13" t="n">
        <v>839.143333333333</v>
      </c>
      <c r="P730" s="13" t="n">
        <v>0</v>
      </c>
      <c r="Q730" s="13" t="n">
        <v>3</v>
      </c>
      <c r="R730" s="13" t="s">
        <v>101</v>
      </c>
      <c r="S730" s="13" t="s">
        <v>87</v>
      </c>
      <c r="T730" s="13" t="n">
        <v>1</v>
      </c>
      <c r="U730" s="13" t="n">
        <f aca="false">IF(B730="Individual",1,0)</f>
        <v>1</v>
      </c>
      <c r="V730" s="13" t="n">
        <f aca="false">IF(B730="Company",1,0)</f>
        <v>0</v>
      </c>
      <c r="W730" s="13" t="n">
        <f aca="false">IF(H730="Home",1,0)</f>
        <v>1</v>
      </c>
      <c r="X730" s="13" t="n">
        <f aca="false">IF(H730="Investment",1,0)</f>
        <v>0</v>
      </c>
      <c r="Y730" s="13" t="n">
        <f aca="false">IF(K730="Website",1,0)</f>
        <v>1</v>
      </c>
      <c r="Z730" s="13" t="n">
        <f aca="false">IF(K730="Agency",1,0)</f>
        <v>0</v>
      </c>
      <c r="AA730" s="13" t="n">
        <f aca="false">IF(K730="Client",1,0)</f>
        <v>0</v>
      </c>
      <c r="AB730" s="13" t="n">
        <f aca="false">(D730-AVERAGE(D$2:D$2001))/STDEV(D$2:D$2001)</f>
        <v>1.2030118088493</v>
      </c>
      <c r="AC730" s="13" t="n">
        <f aca="false">(I730-AVERAGE(I$2:I$2001))/STDEV(I$2:I$2001)</f>
        <v>-0.0205155458339628</v>
      </c>
      <c r="AD730" s="13" t="n">
        <f aca="false">(L730-AVERAGE(L$2:L$2001))/STDEV(L$2:L$2001)</f>
        <v>-0.777063122173208</v>
      </c>
      <c r="AE730" s="13" t="n">
        <f aca="false">(M730-AVERAGE(M$2:M$2001))/STDEV(M$2:M$2001)</f>
        <v>-1.58863382759566</v>
      </c>
      <c r="AF730" s="13" t="n">
        <f aca="false">(N730-AVERAGE(N$2:N$2001))/STDEV(N$2:N$2001)</f>
        <v>-1.59428778982595</v>
      </c>
      <c r="AG730" s="13" t="n">
        <f aca="false">(O730-AVERAGE(O$2:O$2001))/STDEV(O$2:O$2001)</f>
        <v>-1.40202213389342</v>
      </c>
      <c r="AH730" s="0" t="str">
        <f aca="false">IF(B730="Company","C3 - Corporate Buyers",IF(AND(H730="Investment",M730&gt;'Segmentation Summary'!$C$1),"C1 - Global Investors",IF(AND(I730&gt;=4,M730&gt;'Segmentation Summary'!$C$1),"C4 - Luxury Investors",IF(AND(D730&lt;'Segmentation Summary'!$C$2,J730=1),"C2 - First-Time Buyers","C5 - Other Individual Buyers"))))</f>
        <v>C5 - Other Individual Buyers</v>
      </c>
    </row>
    <row r="731" customFormat="false" ht="15" hidden="false" customHeight="true" outlineLevel="0" collapsed="false">
      <c r="A731" s="13" t="s">
        <v>1506</v>
      </c>
      <c r="B731" s="13" t="s">
        <v>34</v>
      </c>
      <c r="C731" s="13" t="s">
        <v>1507</v>
      </c>
      <c r="D731" s="13" t="n">
        <v>70</v>
      </c>
      <c r="E731" s="13" t="s">
        <v>83</v>
      </c>
      <c r="F731" s="13" t="s">
        <v>35</v>
      </c>
      <c r="G731" s="13" t="s">
        <v>185</v>
      </c>
      <c r="H731" s="13" t="s">
        <v>41</v>
      </c>
      <c r="I731" s="13" t="n">
        <v>1</v>
      </c>
      <c r="J731" s="13" t="n">
        <v>0</v>
      </c>
      <c r="K731" s="13" t="s">
        <v>85</v>
      </c>
      <c r="L731" s="13" t="n">
        <v>3</v>
      </c>
      <c r="M731" s="13" t="n">
        <v>1004700.45</v>
      </c>
      <c r="N731" s="13" t="n">
        <v>334900.15</v>
      </c>
      <c r="O731" s="13" t="n">
        <v>1092.54</v>
      </c>
      <c r="P731" s="13" t="n">
        <v>1</v>
      </c>
      <c r="Q731" s="13" t="n">
        <v>2</v>
      </c>
      <c r="R731" s="13" t="s">
        <v>86</v>
      </c>
      <c r="S731" s="13" t="s">
        <v>152</v>
      </c>
      <c r="T731" s="13" t="n">
        <v>1</v>
      </c>
      <c r="U731" s="13" t="n">
        <f aca="false">IF(B731="Individual",1,0)</f>
        <v>1</v>
      </c>
      <c r="V731" s="13" t="n">
        <f aca="false">IF(B731="Company",1,0)</f>
        <v>0</v>
      </c>
      <c r="W731" s="13" t="n">
        <f aca="false">IF(H731="Home",1,0)</f>
        <v>1</v>
      </c>
      <c r="X731" s="13" t="n">
        <f aca="false">IF(H731="Investment",1,0)</f>
        <v>0</v>
      </c>
      <c r="Y731" s="13" t="n">
        <f aca="false">IF(K731="Website",1,0)</f>
        <v>1</v>
      </c>
      <c r="Z731" s="13" t="n">
        <f aca="false">IF(K731="Agency",1,0)</f>
        <v>0</v>
      </c>
      <c r="AA731" s="13" t="n">
        <f aca="false">IF(K731="Client",1,0)</f>
        <v>0</v>
      </c>
      <c r="AB731" s="13" t="n">
        <f aca="false">(D731-AVERAGE(D$2:D$2001))/STDEV(D$2:D$2001)</f>
        <v>0.914699531408543</v>
      </c>
      <c r="AC731" s="13" t="n">
        <f aca="false">(I731-AVERAGE(I$2:I$2001))/STDEV(I$2:I$2001)</f>
        <v>-1.43538077576244</v>
      </c>
      <c r="AD731" s="13" t="n">
        <f aca="false">(L731-AVERAGE(L$2:L$2001))/STDEV(L$2:L$2001)</f>
        <v>-0.777063122173208</v>
      </c>
      <c r="AE731" s="13" t="n">
        <f aca="false">(M731-AVERAGE(M$2:M$2001))/STDEV(M$2:M$2001)</f>
        <v>-0.735056038106421</v>
      </c>
      <c r="AF731" s="13" t="n">
        <f aca="false">(N731-AVERAGE(N$2:N$2001))/STDEV(N$2:N$2001)</f>
        <v>-0.174834873099717</v>
      </c>
      <c r="AG731" s="13" t="n">
        <f aca="false">(O731-AVERAGE(O$2:O$2001))/STDEV(O$2:O$2001)</f>
        <v>-0.249813667407938</v>
      </c>
      <c r="AH731" s="0" t="str">
        <f aca="false">IF(B731="Company","C3 - Corporate Buyers",IF(AND(H731="Investment",M731&gt;'Segmentation Summary'!$C$1),"C1 - Global Investors",IF(AND(I731&gt;=4,M731&gt;'Segmentation Summary'!$C$1),"C4 - Luxury Investors",IF(AND(D731&lt;'Segmentation Summary'!$C$2,J731=1),"C2 - First-Time Buyers","C5 - Other Individual Buyers"))))</f>
        <v>C5 - Other Individual Buyers</v>
      </c>
    </row>
    <row r="732" customFormat="false" ht="15" hidden="false" customHeight="true" outlineLevel="0" collapsed="false">
      <c r="A732" s="13" t="s">
        <v>1508</v>
      </c>
      <c r="B732" s="13" t="s">
        <v>34</v>
      </c>
      <c r="C732" s="13" t="s">
        <v>1509</v>
      </c>
      <c r="D732" s="13" t="n">
        <v>80</v>
      </c>
      <c r="E732" s="13" t="s">
        <v>83</v>
      </c>
      <c r="F732" s="13" t="s">
        <v>33</v>
      </c>
      <c r="G732" s="13" t="s">
        <v>265</v>
      </c>
      <c r="H732" s="13" t="s">
        <v>41</v>
      </c>
      <c r="I732" s="13" t="n">
        <v>2</v>
      </c>
      <c r="J732" s="13" t="n">
        <v>0</v>
      </c>
      <c r="K732" s="13" t="s">
        <v>85</v>
      </c>
      <c r="L732" s="13" t="n">
        <v>4</v>
      </c>
      <c r="M732" s="13" t="n">
        <v>1492505.18</v>
      </c>
      <c r="N732" s="13" t="n">
        <v>373126.295</v>
      </c>
      <c r="O732" s="13" t="n">
        <v>1261.78</v>
      </c>
      <c r="P732" s="13" t="n">
        <v>2</v>
      </c>
      <c r="Q732" s="13" t="n">
        <v>2</v>
      </c>
      <c r="R732" s="13" t="s">
        <v>92</v>
      </c>
      <c r="S732" s="13" t="s">
        <v>124</v>
      </c>
      <c r="T732" s="13" t="n">
        <v>1</v>
      </c>
      <c r="U732" s="13" t="n">
        <f aca="false">IF(B732="Individual",1,0)</f>
        <v>1</v>
      </c>
      <c r="V732" s="13" t="n">
        <f aca="false">IF(B732="Company",1,0)</f>
        <v>0</v>
      </c>
      <c r="W732" s="13" t="n">
        <f aca="false">IF(H732="Home",1,0)</f>
        <v>1</v>
      </c>
      <c r="X732" s="13" t="n">
        <f aca="false">IF(H732="Investment",1,0)</f>
        <v>0</v>
      </c>
      <c r="Y732" s="13" t="n">
        <f aca="false">IF(K732="Website",1,0)</f>
        <v>1</v>
      </c>
      <c r="Z732" s="13" t="n">
        <f aca="false">IF(K732="Agency",1,0)</f>
        <v>0</v>
      </c>
      <c r="AA732" s="13" t="n">
        <f aca="false">IF(K732="Client",1,0)</f>
        <v>0</v>
      </c>
      <c r="AB732" s="13" t="n">
        <f aca="false">(D732-AVERAGE(D$2:D$2001))/STDEV(D$2:D$2001)</f>
        <v>1.49132408629005</v>
      </c>
      <c r="AC732" s="13" t="n">
        <f aca="false">(I732-AVERAGE(I$2:I$2001))/STDEV(I$2:I$2001)</f>
        <v>-0.727948160798201</v>
      </c>
      <c r="AD732" s="13" t="n">
        <f aca="false">(L732-AVERAGE(L$2:L$2001))/STDEV(L$2:L$2001)</f>
        <v>0.413838214490712</v>
      </c>
      <c r="AE732" s="13" t="n">
        <f aca="false">(M732-AVERAGE(M$2:M$2001))/STDEV(M$2:M$2001)</f>
        <v>0.667364102860633</v>
      </c>
      <c r="AF732" s="13" t="n">
        <f aca="false">(N732-AVERAGE(N$2:N$2001))/STDEV(N$2:N$2001)</f>
        <v>0.37343170980719</v>
      </c>
      <c r="AG732" s="13" t="n">
        <f aca="false">(O732-AVERAGE(O$2:O$2001))/STDEV(O$2:O$2001)</f>
        <v>0.519729844877162</v>
      </c>
      <c r="AH732" s="0" t="str">
        <f aca="false">IF(B732="Company","C3 - Corporate Buyers",IF(AND(H732="Investment",M732&gt;'Segmentation Summary'!$C$1),"C1 - Global Investors",IF(AND(I732&gt;=4,M732&gt;'Segmentation Summary'!$C$1),"C4 - Luxury Investors",IF(AND(D732&lt;'Segmentation Summary'!$C$2,J732=1),"C2 - First-Time Buyers","C5 - Other Individual Buyers"))))</f>
        <v>C5 - Other Individual Buyers</v>
      </c>
    </row>
    <row r="733" customFormat="false" ht="15" hidden="false" customHeight="true" outlineLevel="0" collapsed="false">
      <c r="A733" s="13" t="s">
        <v>1510</v>
      </c>
      <c r="B733" s="13" t="s">
        <v>34</v>
      </c>
      <c r="C733" s="13" t="s">
        <v>1511</v>
      </c>
      <c r="D733" s="13" t="n">
        <v>60</v>
      </c>
      <c r="E733" s="13" t="s">
        <v>83</v>
      </c>
      <c r="F733" s="13" t="s">
        <v>33</v>
      </c>
      <c r="G733" s="13" t="s">
        <v>157</v>
      </c>
      <c r="H733" s="13" t="s">
        <v>41</v>
      </c>
      <c r="I733" s="13" t="n">
        <v>1</v>
      </c>
      <c r="J733" s="13" t="n">
        <v>0</v>
      </c>
      <c r="K733" s="13" t="s">
        <v>85</v>
      </c>
      <c r="L733" s="13" t="n">
        <v>3</v>
      </c>
      <c r="M733" s="13" t="n">
        <v>840602.92</v>
      </c>
      <c r="N733" s="13" t="n">
        <v>280200.973333333</v>
      </c>
      <c r="O733" s="13" t="n">
        <v>952.073333333333</v>
      </c>
      <c r="P733" s="13" t="n">
        <v>0</v>
      </c>
      <c r="Q733" s="13" t="n">
        <v>3</v>
      </c>
      <c r="R733" s="13" t="s">
        <v>101</v>
      </c>
      <c r="S733" s="13" t="s">
        <v>98</v>
      </c>
      <c r="T733" s="13" t="n">
        <v>1</v>
      </c>
      <c r="U733" s="13" t="n">
        <f aca="false">IF(B733="Individual",1,0)</f>
        <v>1</v>
      </c>
      <c r="V733" s="13" t="n">
        <f aca="false">IF(B733="Company",1,0)</f>
        <v>0</v>
      </c>
      <c r="W733" s="13" t="n">
        <f aca="false">IF(H733="Home",1,0)</f>
        <v>1</v>
      </c>
      <c r="X733" s="13" t="n">
        <f aca="false">IF(H733="Investment",1,0)</f>
        <v>0</v>
      </c>
      <c r="Y733" s="13" t="n">
        <f aca="false">IF(K733="Website",1,0)</f>
        <v>1</v>
      </c>
      <c r="Z733" s="13" t="n">
        <f aca="false">IF(K733="Agency",1,0)</f>
        <v>0</v>
      </c>
      <c r="AA733" s="13" t="n">
        <f aca="false">IF(K733="Client",1,0)</f>
        <v>0</v>
      </c>
      <c r="AB733" s="13" t="n">
        <f aca="false">(D733-AVERAGE(D$2:D$2001))/STDEV(D$2:D$2001)</f>
        <v>0.338074976527031</v>
      </c>
      <c r="AC733" s="13" t="n">
        <f aca="false">(I733-AVERAGE(I$2:I$2001))/STDEV(I$2:I$2001)</f>
        <v>-1.43538077576244</v>
      </c>
      <c r="AD733" s="13" t="n">
        <f aca="false">(L733-AVERAGE(L$2:L$2001))/STDEV(L$2:L$2001)</f>
        <v>-0.777063122173208</v>
      </c>
      <c r="AE733" s="13" t="n">
        <f aca="false">(M733-AVERAGE(M$2:M$2001))/STDEV(M$2:M$2001)</f>
        <v>-1.20683022765753</v>
      </c>
      <c r="AF733" s="13" t="n">
        <f aca="false">(N733-AVERAGE(N$2:N$2001))/STDEV(N$2:N$2001)</f>
        <v>-0.959369402512892</v>
      </c>
      <c r="AG733" s="13" t="n">
        <f aca="false">(O733-AVERAGE(O$2:O$2001))/STDEV(O$2:O$2001)</f>
        <v>-0.888523263399709</v>
      </c>
      <c r="AH733" s="0" t="str">
        <f aca="false">IF(B733="Company","C3 - Corporate Buyers",IF(AND(H733="Investment",M733&gt;'Segmentation Summary'!$C$1),"C1 - Global Investors",IF(AND(I733&gt;=4,M733&gt;'Segmentation Summary'!$C$1),"C4 - Luxury Investors",IF(AND(D733&lt;'Segmentation Summary'!$C$2,J733=1),"C2 - First-Time Buyers","C5 - Other Individual Buyers"))))</f>
        <v>C5 - Other Individual Buyers</v>
      </c>
    </row>
    <row r="734" customFormat="false" ht="15" hidden="false" customHeight="true" outlineLevel="0" collapsed="false">
      <c r="A734" s="13" t="s">
        <v>1512</v>
      </c>
      <c r="B734" s="13" t="s">
        <v>34</v>
      </c>
      <c r="C734" s="13" t="s">
        <v>1513</v>
      </c>
      <c r="D734" s="13" t="n">
        <v>50</v>
      </c>
      <c r="E734" s="13" t="s">
        <v>83</v>
      </c>
      <c r="F734" s="13" t="s">
        <v>37</v>
      </c>
      <c r="G734" s="13" t="s">
        <v>169</v>
      </c>
      <c r="H734" s="13" t="s">
        <v>41</v>
      </c>
      <c r="I734" s="13" t="n">
        <v>5</v>
      </c>
      <c r="J734" s="13" t="n">
        <v>1</v>
      </c>
      <c r="K734" s="13" t="s">
        <v>91</v>
      </c>
      <c r="L734" s="13" t="n">
        <v>4</v>
      </c>
      <c r="M734" s="13" t="n">
        <v>1380292.56</v>
      </c>
      <c r="N734" s="13" t="n">
        <v>345073.14</v>
      </c>
      <c r="O734" s="13" t="n">
        <v>1098.1675</v>
      </c>
      <c r="P734" s="13" t="n">
        <v>0</v>
      </c>
      <c r="Q734" s="13" t="n">
        <v>4</v>
      </c>
      <c r="R734" s="13" t="s">
        <v>86</v>
      </c>
      <c r="S734" s="13" t="s">
        <v>152</v>
      </c>
      <c r="T734" s="13" t="n">
        <v>1</v>
      </c>
      <c r="U734" s="13" t="n">
        <f aca="false">IF(B734="Individual",1,0)</f>
        <v>1</v>
      </c>
      <c r="V734" s="13" t="n">
        <f aca="false">IF(B734="Company",1,0)</f>
        <v>0</v>
      </c>
      <c r="W734" s="13" t="n">
        <f aca="false">IF(H734="Home",1,0)</f>
        <v>1</v>
      </c>
      <c r="X734" s="13" t="n">
        <f aca="false">IF(H734="Investment",1,0)</f>
        <v>0</v>
      </c>
      <c r="Y734" s="13" t="n">
        <f aca="false">IF(K734="Website",1,0)</f>
        <v>0</v>
      </c>
      <c r="Z734" s="13" t="n">
        <f aca="false">IF(K734="Agency",1,0)</f>
        <v>1</v>
      </c>
      <c r="AA734" s="13" t="n">
        <f aca="false">IF(K734="Client",1,0)</f>
        <v>0</v>
      </c>
      <c r="AB734" s="13" t="n">
        <f aca="false">(D734-AVERAGE(D$2:D$2001))/STDEV(D$2:D$2001)</f>
        <v>-0.238549578354482</v>
      </c>
      <c r="AC734" s="13" t="n">
        <f aca="false">(I734-AVERAGE(I$2:I$2001))/STDEV(I$2:I$2001)</f>
        <v>1.39434968409451</v>
      </c>
      <c r="AD734" s="13" t="n">
        <f aca="false">(L734-AVERAGE(L$2:L$2001))/STDEV(L$2:L$2001)</f>
        <v>0.413838214490712</v>
      </c>
      <c r="AE734" s="13" t="n">
        <f aca="false">(M734-AVERAGE(M$2:M$2001))/STDEV(M$2:M$2001)</f>
        <v>0.344757066314098</v>
      </c>
      <c r="AF734" s="13" t="n">
        <f aca="false">(N734-AVERAGE(N$2:N$2001))/STDEV(N$2:N$2001)</f>
        <v>-0.0289266088673144</v>
      </c>
      <c r="AG734" s="13" t="n">
        <f aca="false">(O734-AVERAGE(O$2:O$2001))/STDEV(O$2:O$2001)</f>
        <v>-0.22422511791973</v>
      </c>
      <c r="AH734" s="0" t="str">
        <f aca="false">IF(B734="Company","C3 - Corporate Buyers",IF(AND(H734="Investment",M734&gt;'Segmentation Summary'!$C$1),"C1 - Global Investors",IF(AND(I734&gt;=4,M734&gt;'Segmentation Summary'!$C$1),"C4 - Luxury Investors",IF(AND(D734&lt;'Segmentation Summary'!$C$2,J734=1),"C2 - First-Time Buyers","C5 - Other Individual Buyers"))))</f>
        <v>C4 - Luxury Investors</v>
      </c>
    </row>
    <row r="735" customFormat="false" ht="15" hidden="false" customHeight="true" outlineLevel="0" collapsed="false">
      <c r="A735" s="13" t="s">
        <v>1514</v>
      </c>
      <c r="B735" s="13" t="s">
        <v>34</v>
      </c>
      <c r="C735" s="13" t="s">
        <v>1515</v>
      </c>
      <c r="D735" s="13" t="n">
        <v>32</v>
      </c>
      <c r="E735" s="13" t="s">
        <v>83</v>
      </c>
      <c r="F735" s="13" t="s">
        <v>33</v>
      </c>
      <c r="G735" s="13" t="s">
        <v>145</v>
      </c>
      <c r="H735" s="13" t="s">
        <v>41</v>
      </c>
      <c r="I735" s="13" t="n">
        <v>4</v>
      </c>
      <c r="J735" s="13" t="n">
        <v>1</v>
      </c>
      <c r="K735" s="13" t="s">
        <v>85</v>
      </c>
      <c r="L735" s="13" t="n">
        <v>3</v>
      </c>
      <c r="M735" s="13" t="n">
        <v>1321142.35</v>
      </c>
      <c r="N735" s="13" t="n">
        <v>440380.783333333</v>
      </c>
      <c r="O735" s="13" t="n">
        <v>1435.66333333333</v>
      </c>
      <c r="P735" s="13" t="n">
        <v>1</v>
      </c>
      <c r="Q735" s="13" t="n">
        <v>2</v>
      </c>
      <c r="R735" s="13" t="s">
        <v>121</v>
      </c>
      <c r="S735" s="13" t="s">
        <v>107</v>
      </c>
      <c r="T735" s="13" t="n">
        <v>1</v>
      </c>
      <c r="U735" s="13" t="n">
        <f aca="false">IF(B735="Individual",1,0)</f>
        <v>1</v>
      </c>
      <c r="V735" s="13" t="n">
        <f aca="false">IF(B735="Company",1,0)</f>
        <v>0</v>
      </c>
      <c r="W735" s="13" t="n">
        <f aca="false">IF(H735="Home",1,0)</f>
        <v>1</v>
      </c>
      <c r="X735" s="13" t="n">
        <f aca="false">IF(H735="Investment",1,0)</f>
        <v>0</v>
      </c>
      <c r="Y735" s="13" t="n">
        <f aca="false">IF(K735="Website",1,0)</f>
        <v>1</v>
      </c>
      <c r="Z735" s="13" t="n">
        <f aca="false">IF(K735="Agency",1,0)</f>
        <v>0</v>
      </c>
      <c r="AA735" s="13" t="n">
        <f aca="false">IF(K735="Client",1,0)</f>
        <v>0</v>
      </c>
      <c r="AB735" s="13" t="n">
        <f aca="false">(D735-AVERAGE(D$2:D$2001))/STDEV(D$2:D$2001)</f>
        <v>-1.2764737771412</v>
      </c>
      <c r="AC735" s="13" t="n">
        <f aca="false">(I735-AVERAGE(I$2:I$2001))/STDEV(I$2:I$2001)</f>
        <v>0.686917069130275</v>
      </c>
      <c r="AD735" s="13" t="n">
        <f aca="false">(L735-AVERAGE(L$2:L$2001))/STDEV(L$2:L$2001)</f>
        <v>-0.777063122173208</v>
      </c>
      <c r="AE735" s="13" t="n">
        <f aca="false">(M735-AVERAGE(M$2:M$2001))/STDEV(M$2:M$2001)</f>
        <v>0.17470245071734</v>
      </c>
      <c r="AF735" s="13" t="n">
        <f aca="false">(N735-AVERAGE(N$2:N$2001))/STDEV(N$2:N$2001)</f>
        <v>1.33804345665399</v>
      </c>
      <c r="AG735" s="13" t="n">
        <f aca="false">(O735-AVERAGE(O$2:O$2001))/STDEV(O$2:O$2001)</f>
        <v>1.31038684712942</v>
      </c>
      <c r="AH735" s="0" t="str">
        <f aca="false">IF(B735="Company","C3 - Corporate Buyers",IF(AND(H735="Investment",M735&gt;'Segmentation Summary'!$C$1),"C1 - Global Investors",IF(AND(I735&gt;=4,M735&gt;'Segmentation Summary'!$C$1),"C4 - Luxury Investors",IF(AND(D735&lt;'Segmentation Summary'!$C$2,J735=1),"C2 - First-Time Buyers","C5 - Other Individual Buyers"))))</f>
        <v>C4 - Luxury Investors</v>
      </c>
    </row>
    <row r="736" customFormat="false" ht="15" hidden="false" customHeight="true" outlineLevel="0" collapsed="false">
      <c r="A736" s="13" t="s">
        <v>1516</v>
      </c>
      <c r="B736" s="13" t="s">
        <v>34</v>
      </c>
      <c r="C736" s="13" t="s">
        <v>1517</v>
      </c>
      <c r="D736" s="13" t="n">
        <v>26</v>
      </c>
      <c r="E736" s="13" t="s">
        <v>83</v>
      </c>
      <c r="F736" s="13" t="s">
        <v>33</v>
      </c>
      <c r="G736" s="13" t="s">
        <v>95</v>
      </c>
      <c r="H736" s="13" t="s">
        <v>43</v>
      </c>
      <c r="I736" s="13" t="n">
        <v>4</v>
      </c>
      <c r="J736" s="13" t="n">
        <v>1</v>
      </c>
      <c r="K736" s="13" t="s">
        <v>91</v>
      </c>
      <c r="L736" s="13" t="n">
        <v>4</v>
      </c>
      <c r="M736" s="13" t="n">
        <v>1646921.92</v>
      </c>
      <c r="N736" s="13" t="n">
        <v>411730.48</v>
      </c>
      <c r="O736" s="13" t="n">
        <v>1334.8775</v>
      </c>
      <c r="P736" s="13" t="n">
        <v>1</v>
      </c>
      <c r="Q736" s="13" t="n">
        <v>3</v>
      </c>
      <c r="R736" s="13" t="s">
        <v>92</v>
      </c>
      <c r="S736" s="13" t="s">
        <v>154</v>
      </c>
      <c r="T736" s="13" t="n">
        <v>1</v>
      </c>
      <c r="U736" s="13" t="n">
        <f aca="false">IF(B736="Individual",1,0)</f>
        <v>1</v>
      </c>
      <c r="V736" s="13" t="n">
        <f aca="false">IF(B736="Company",1,0)</f>
        <v>0</v>
      </c>
      <c r="W736" s="13" t="n">
        <f aca="false">IF(H736="Home",1,0)</f>
        <v>0</v>
      </c>
      <c r="X736" s="13" t="n">
        <f aca="false">IF(H736="Investment",1,0)</f>
        <v>1</v>
      </c>
      <c r="Y736" s="13" t="n">
        <f aca="false">IF(K736="Website",1,0)</f>
        <v>0</v>
      </c>
      <c r="Z736" s="13" t="n">
        <f aca="false">IF(K736="Agency",1,0)</f>
        <v>1</v>
      </c>
      <c r="AA736" s="13" t="n">
        <f aca="false">IF(K736="Client",1,0)</f>
        <v>0</v>
      </c>
      <c r="AB736" s="13" t="n">
        <f aca="false">(D736-AVERAGE(D$2:D$2001))/STDEV(D$2:D$2001)</f>
        <v>-1.62244851007011</v>
      </c>
      <c r="AC736" s="13" t="n">
        <f aca="false">(I736-AVERAGE(I$2:I$2001))/STDEV(I$2:I$2001)</f>
        <v>0.686917069130275</v>
      </c>
      <c r="AD736" s="13" t="n">
        <f aca="false">(L736-AVERAGE(L$2:L$2001))/STDEV(L$2:L$2001)</f>
        <v>0.413838214490712</v>
      </c>
      <c r="AE736" s="13" t="n">
        <f aca="false">(M736-AVERAGE(M$2:M$2001))/STDEV(M$2:M$2001)</f>
        <v>1.11130638746799</v>
      </c>
      <c r="AF736" s="13" t="n">
        <f aca="false">(N736-AVERAGE(N$2:N$2001))/STDEV(N$2:N$2001)</f>
        <v>0.927120411502224</v>
      </c>
      <c r="AG736" s="13" t="n">
        <f aca="false">(O736-AVERAGE(O$2:O$2001))/STDEV(O$2:O$2001)</f>
        <v>0.852108164950787</v>
      </c>
      <c r="AH736" s="0" t="str">
        <f aca="false">IF(B736="Company","C3 - Corporate Buyers",IF(AND(H736="Investment",M736&gt;'Segmentation Summary'!$C$1),"C1 - Global Investors",IF(AND(I736&gt;=4,M736&gt;'Segmentation Summary'!$C$1),"C4 - Luxury Investors",IF(AND(D736&lt;'Segmentation Summary'!$C$2,J736=1),"C2 - First-Time Buyers","C5 - Other Individual Buyers"))))</f>
        <v>C1 - Global Investors</v>
      </c>
    </row>
    <row r="737" customFormat="false" ht="15" hidden="false" customHeight="true" outlineLevel="0" collapsed="false">
      <c r="A737" s="13" t="s">
        <v>1518</v>
      </c>
      <c r="B737" s="13" t="s">
        <v>34</v>
      </c>
      <c r="C737" s="13" t="s">
        <v>1519</v>
      </c>
      <c r="D737" s="13" t="n">
        <v>29</v>
      </c>
      <c r="E737" s="13" t="s">
        <v>83</v>
      </c>
      <c r="F737" s="13" t="s">
        <v>33</v>
      </c>
      <c r="G737" s="13" t="s">
        <v>95</v>
      </c>
      <c r="H737" s="13" t="s">
        <v>41</v>
      </c>
      <c r="I737" s="13" t="n">
        <v>1</v>
      </c>
      <c r="J737" s="13" t="n">
        <v>0</v>
      </c>
      <c r="K737" s="13" t="s">
        <v>85</v>
      </c>
      <c r="L737" s="13" t="n">
        <v>3</v>
      </c>
      <c r="M737" s="13" t="n">
        <v>1488525.13</v>
      </c>
      <c r="N737" s="13" t="n">
        <v>496175.043333333</v>
      </c>
      <c r="O737" s="13" t="n">
        <v>1678.61333333333</v>
      </c>
      <c r="P737" s="13" t="n">
        <v>0</v>
      </c>
      <c r="Q737" s="13" t="n">
        <v>3</v>
      </c>
      <c r="R737" s="13" t="s">
        <v>98</v>
      </c>
      <c r="S737" s="13" t="s">
        <v>93</v>
      </c>
      <c r="T737" s="13" t="n">
        <v>1</v>
      </c>
      <c r="U737" s="13" t="n">
        <f aca="false">IF(B737="Individual",1,0)</f>
        <v>1</v>
      </c>
      <c r="V737" s="13" t="n">
        <f aca="false">IF(B737="Company",1,0)</f>
        <v>0</v>
      </c>
      <c r="W737" s="13" t="n">
        <f aca="false">IF(H737="Home",1,0)</f>
        <v>1</v>
      </c>
      <c r="X737" s="13" t="n">
        <f aca="false">IF(H737="Investment",1,0)</f>
        <v>0</v>
      </c>
      <c r="Y737" s="13" t="n">
        <f aca="false">IF(K737="Website",1,0)</f>
        <v>1</v>
      </c>
      <c r="Z737" s="13" t="n">
        <f aca="false">IF(K737="Agency",1,0)</f>
        <v>0</v>
      </c>
      <c r="AA737" s="13" t="n">
        <f aca="false">IF(K737="Client",1,0)</f>
        <v>0</v>
      </c>
      <c r="AB737" s="13" t="n">
        <f aca="false">(D737-AVERAGE(D$2:D$2001))/STDEV(D$2:D$2001)</f>
        <v>-1.44946114360566</v>
      </c>
      <c r="AC737" s="13" t="n">
        <f aca="false">(I737-AVERAGE(I$2:I$2001))/STDEV(I$2:I$2001)</f>
        <v>-1.43538077576244</v>
      </c>
      <c r="AD737" s="13" t="n">
        <f aca="false">(L737-AVERAGE(L$2:L$2001))/STDEV(L$2:L$2001)</f>
        <v>-0.777063122173208</v>
      </c>
      <c r="AE737" s="13" t="n">
        <f aca="false">(M737-AVERAGE(M$2:M$2001))/STDEV(M$2:M$2001)</f>
        <v>0.655921609709621</v>
      </c>
      <c r="AF737" s="13" t="n">
        <f aca="false">(N737-AVERAGE(N$2:N$2001))/STDEV(N$2:N$2001)</f>
        <v>2.13828445076992</v>
      </c>
      <c r="AG737" s="13" t="n">
        <f aca="false">(O737-AVERAGE(O$2:O$2001))/STDEV(O$2:O$2001)</f>
        <v>2.4150937504009</v>
      </c>
      <c r="AH737" s="0" t="str">
        <f aca="false">IF(B737="Company","C3 - Corporate Buyers",IF(AND(H737="Investment",M737&gt;'Segmentation Summary'!$C$1),"C1 - Global Investors",IF(AND(I737&gt;=4,M737&gt;'Segmentation Summary'!$C$1),"C4 - Luxury Investors",IF(AND(D737&lt;'Segmentation Summary'!$C$2,J737=1),"C2 - First-Time Buyers","C5 - Other Individual Buyers"))))</f>
        <v>C5 - Other Individual Buyers</v>
      </c>
    </row>
    <row r="738" customFormat="false" ht="15" hidden="false" customHeight="true" outlineLevel="0" collapsed="false">
      <c r="A738" s="13" t="s">
        <v>1520</v>
      </c>
      <c r="B738" s="13" t="s">
        <v>34</v>
      </c>
      <c r="C738" s="13" t="s">
        <v>1521</v>
      </c>
      <c r="D738" s="13" t="n">
        <v>54</v>
      </c>
      <c r="E738" s="13" t="s">
        <v>83</v>
      </c>
      <c r="F738" s="13" t="s">
        <v>33</v>
      </c>
      <c r="G738" s="13" t="s">
        <v>123</v>
      </c>
      <c r="H738" s="13" t="s">
        <v>41</v>
      </c>
      <c r="I738" s="13" t="n">
        <v>2</v>
      </c>
      <c r="J738" s="13" t="n">
        <v>0</v>
      </c>
      <c r="K738" s="13" t="s">
        <v>116</v>
      </c>
      <c r="L738" s="13" t="n">
        <v>4</v>
      </c>
      <c r="M738" s="13" t="n">
        <v>1215543.15</v>
      </c>
      <c r="N738" s="13" t="n">
        <v>303885.7875</v>
      </c>
      <c r="O738" s="13" t="n">
        <v>1053.27</v>
      </c>
      <c r="P738" s="13" t="n">
        <v>1</v>
      </c>
      <c r="Q738" s="13" t="n">
        <v>3</v>
      </c>
      <c r="R738" s="13" t="s">
        <v>111</v>
      </c>
      <c r="S738" s="13" t="s">
        <v>154</v>
      </c>
      <c r="T738" s="13" t="n">
        <v>1</v>
      </c>
      <c r="U738" s="13" t="n">
        <f aca="false">IF(B738="Individual",1,0)</f>
        <v>1</v>
      </c>
      <c r="V738" s="13" t="n">
        <f aca="false">IF(B738="Company",1,0)</f>
        <v>0</v>
      </c>
      <c r="W738" s="13" t="n">
        <f aca="false">IF(H738="Home",1,0)</f>
        <v>1</v>
      </c>
      <c r="X738" s="13" t="n">
        <f aca="false">IF(H738="Investment",1,0)</f>
        <v>0</v>
      </c>
      <c r="Y738" s="13" t="n">
        <f aca="false">IF(K738="Website",1,0)</f>
        <v>0</v>
      </c>
      <c r="Z738" s="13" t="n">
        <f aca="false">IF(K738="Agency",1,0)</f>
        <v>0</v>
      </c>
      <c r="AA738" s="13" t="n">
        <f aca="false">IF(K738="Client",1,0)</f>
        <v>1</v>
      </c>
      <c r="AB738" s="13" t="n">
        <f aca="false">(D738-AVERAGE(D$2:D$2001))/STDEV(D$2:D$2001)</f>
        <v>-0.00789975640187674</v>
      </c>
      <c r="AC738" s="13" t="n">
        <f aca="false">(I738-AVERAGE(I$2:I$2001))/STDEV(I$2:I$2001)</f>
        <v>-0.727948160798201</v>
      </c>
      <c r="AD738" s="13" t="n">
        <f aca="false">(L738-AVERAGE(L$2:L$2001))/STDEV(L$2:L$2001)</f>
        <v>0.413838214490712</v>
      </c>
      <c r="AE738" s="13" t="n">
        <f aca="false">(M738-AVERAGE(M$2:M$2001))/STDEV(M$2:M$2001)</f>
        <v>-0.128891253570867</v>
      </c>
      <c r="AF738" s="13" t="n">
        <f aca="false">(N738-AVERAGE(N$2:N$2001))/STDEV(N$2:N$2001)</f>
        <v>-0.619664937677539</v>
      </c>
      <c r="AG738" s="13" t="n">
        <f aca="false">(O738-AVERAGE(O$2:O$2001))/STDEV(O$2:O$2001)</f>
        <v>-0.428376499642847</v>
      </c>
      <c r="AH738" s="0" t="str">
        <f aca="false">IF(B738="Company","C3 - Corporate Buyers",IF(AND(H738="Investment",M738&gt;'Segmentation Summary'!$C$1),"C1 - Global Investors",IF(AND(I738&gt;=4,M738&gt;'Segmentation Summary'!$C$1),"C4 - Luxury Investors",IF(AND(D738&lt;'Segmentation Summary'!$C$2,J738=1),"C2 - First-Time Buyers","C5 - Other Individual Buyers"))))</f>
        <v>C5 - Other Individual Buyers</v>
      </c>
    </row>
    <row r="739" customFormat="false" ht="15" hidden="false" customHeight="true" outlineLevel="0" collapsed="false">
      <c r="A739" s="13" t="s">
        <v>1522</v>
      </c>
      <c r="B739" s="13" t="s">
        <v>34</v>
      </c>
      <c r="C739" s="13" t="s">
        <v>1523</v>
      </c>
      <c r="D739" s="13" t="n">
        <v>74</v>
      </c>
      <c r="E739" s="13" t="s">
        <v>83</v>
      </c>
      <c r="F739" s="13" t="s">
        <v>33</v>
      </c>
      <c r="G739" s="13" t="s">
        <v>110</v>
      </c>
      <c r="H739" s="13" t="s">
        <v>41</v>
      </c>
      <c r="I739" s="13" t="n">
        <v>4</v>
      </c>
      <c r="J739" s="13" t="n">
        <v>0</v>
      </c>
      <c r="K739" s="13" t="s">
        <v>85</v>
      </c>
      <c r="L739" s="13" t="n">
        <v>4</v>
      </c>
      <c r="M739" s="13" t="n">
        <v>1293562.22</v>
      </c>
      <c r="N739" s="13" t="n">
        <v>323390.555</v>
      </c>
      <c r="O739" s="13" t="n">
        <v>1092.085</v>
      </c>
      <c r="P739" s="13" t="n">
        <v>2</v>
      </c>
      <c r="Q739" s="13" t="n">
        <v>2</v>
      </c>
      <c r="R739" s="13" t="s">
        <v>121</v>
      </c>
      <c r="S739" s="13" t="s">
        <v>133</v>
      </c>
      <c r="T739" s="13" t="n">
        <v>1</v>
      </c>
      <c r="U739" s="13" t="n">
        <f aca="false">IF(B739="Individual",1,0)</f>
        <v>1</v>
      </c>
      <c r="V739" s="13" t="n">
        <f aca="false">IF(B739="Company",1,0)</f>
        <v>0</v>
      </c>
      <c r="W739" s="13" t="n">
        <f aca="false">IF(H739="Home",1,0)</f>
        <v>1</v>
      </c>
      <c r="X739" s="13" t="n">
        <f aca="false">IF(H739="Investment",1,0)</f>
        <v>0</v>
      </c>
      <c r="Y739" s="13" t="n">
        <f aca="false">IF(K739="Website",1,0)</f>
        <v>1</v>
      </c>
      <c r="Z739" s="13" t="n">
        <f aca="false">IF(K739="Agency",1,0)</f>
        <v>0</v>
      </c>
      <c r="AA739" s="13" t="n">
        <f aca="false">IF(K739="Client",1,0)</f>
        <v>0</v>
      </c>
      <c r="AB739" s="13" t="n">
        <f aca="false">(D739-AVERAGE(D$2:D$2001))/STDEV(D$2:D$2001)</f>
        <v>1.14534935336115</v>
      </c>
      <c r="AC739" s="13" t="n">
        <f aca="false">(I739-AVERAGE(I$2:I$2001))/STDEV(I$2:I$2001)</f>
        <v>0.686917069130275</v>
      </c>
      <c r="AD739" s="13" t="n">
        <f aca="false">(L739-AVERAGE(L$2:L$2001))/STDEV(L$2:L$2001)</f>
        <v>0.413838214490712</v>
      </c>
      <c r="AE739" s="13" t="n">
        <f aca="false">(M739-AVERAGE(M$2:M$2001))/STDEV(M$2:M$2001)</f>
        <v>0.0954106205571649</v>
      </c>
      <c r="AF739" s="13" t="n">
        <f aca="false">(N739-AVERAGE(N$2:N$2001))/STDEV(N$2:N$2001)</f>
        <v>-0.339913677705634</v>
      </c>
      <c r="AG739" s="13" t="n">
        <f aca="false">(O739-AVERAGE(O$2:O$2001))/STDEV(O$2:O$2001)</f>
        <v>-0.251882577228842</v>
      </c>
      <c r="AH739" s="0" t="str">
        <f aca="false">IF(B739="Company","C3 - Corporate Buyers",IF(AND(H739="Investment",M739&gt;'Segmentation Summary'!$C$1),"C1 - Global Investors",IF(AND(I739&gt;=4,M739&gt;'Segmentation Summary'!$C$1),"C4 - Luxury Investors",IF(AND(D739&lt;'Segmentation Summary'!$C$2,J739=1),"C2 - First-Time Buyers","C5 - Other Individual Buyers"))))</f>
        <v>C4 - Luxury Investors</v>
      </c>
    </row>
    <row r="740" customFormat="false" ht="15" hidden="false" customHeight="true" outlineLevel="0" collapsed="false">
      <c r="A740" s="13" t="s">
        <v>1524</v>
      </c>
      <c r="B740" s="13" t="s">
        <v>34</v>
      </c>
      <c r="C740" s="13" t="s">
        <v>1525</v>
      </c>
      <c r="D740" s="13" t="n">
        <v>42</v>
      </c>
      <c r="E740" s="13" t="s">
        <v>83</v>
      </c>
      <c r="F740" s="13" t="s">
        <v>33</v>
      </c>
      <c r="G740" s="13" t="s">
        <v>120</v>
      </c>
      <c r="H740" s="13" t="s">
        <v>41</v>
      </c>
      <c r="I740" s="13" t="n">
        <v>5</v>
      </c>
      <c r="J740" s="13" t="n">
        <v>0</v>
      </c>
      <c r="K740" s="13" t="s">
        <v>116</v>
      </c>
      <c r="L740" s="13" t="n">
        <v>4</v>
      </c>
      <c r="M740" s="13" t="n">
        <v>1370340.91</v>
      </c>
      <c r="N740" s="13" t="n">
        <v>342585.2275</v>
      </c>
      <c r="O740" s="13" t="n">
        <v>1127.3175</v>
      </c>
      <c r="P740" s="13" t="n">
        <v>0</v>
      </c>
      <c r="Q740" s="13" t="n">
        <v>4</v>
      </c>
      <c r="R740" s="13" t="s">
        <v>98</v>
      </c>
      <c r="S740" s="13" t="s">
        <v>154</v>
      </c>
      <c r="T740" s="13" t="n">
        <v>1</v>
      </c>
      <c r="U740" s="13" t="n">
        <f aca="false">IF(B740="Individual",1,0)</f>
        <v>1</v>
      </c>
      <c r="V740" s="13" t="n">
        <f aca="false">IF(B740="Company",1,0)</f>
        <v>0</v>
      </c>
      <c r="W740" s="13" t="n">
        <f aca="false">IF(H740="Home",1,0)</f>
        <v>1</v>
      </c>
      <c r="X740" s="13" t="n">
        <f aca="false">IF(H740="Investment",1,0)</f>
        <v>0</v>
      </c>
      <c r="Y740" s="13" t="n">
        <f aca="false">IF(K740="Website",1,0)</f>
        <v>0</v>
      </c>
      <c r="Z740" s="13" t="n">
        <f aca="false">IF(K740="Agency",1,0)</f>
        <v>0</v>
      </c>
      <c r="AA740" s="13" t="n">
        <f aca="false">IF(K740="Client",1,0)</f>
        <v>1</v>
      </c>
      <c r="AB740" s="13" t="n">
        <f aca="false">(D740-AVERAGE(D$2:D$2001))/STDEV(D$2:D$2001)</f>
        <v>-0.699849222259691</v>
      </c>
      <c r="AC740" s="13" t="n">
        <f aca="false">(I740-AVERAGE(I$2:I$2001))/STDEV(I$2:I$2001)</f>
        <v>1.39434968409451</v>
      </c>
      <c r="AD740" s="13" t="n">
        <f aca="false">(L740-AVERAGE(L$2:L$2001))/STDEV(L$2:L$2001)</f>
        <v>0.413838214490712</v>
      </c>
      <c r="AE740" s="13" t="n">
        <f aca="false">(M740-AVERAGE(M$2:M$2001))/STDEV(M$2:M$2001)</f>
        <v>0.316146449119274</v>
      </c>
      <c r="AF740" s="13" t="n">
        <f aca="false">(N740-AVERAGE(N$2:N$2001))/STDEV(N$2:N$2001)</f>
        <v>-0.0646100209651443</v>
      </c>
      <c r="AG740" s="13" t="n">
        <f aca="false">(O740-AVERAGE(O$2:O$2001))/STDEV(O$2:O$2001)</f>
        <v>-0.0916784777453574</v>
      </c>
      <c r="AH740" s="0" t="str">
        <f aca="false">IF(B740="Company","C3 - Corporate Buyers",IF(AND(H740="Investment",M740&gt;'Segmentation Summary'!$C$1),"C1 - Global Investors",IF(AND(I740&gt;=4,M740&gt;'Segmentation Summary'!$C$1),"C4 - Luxury Investors",IF(AND(D740&lt;'Segmentation Summary'!$C$2,J740=1),"C2 - First-Time Buyers","C5 - Other Individual Buyers"))))</f>
        <v>C4 - Luxury Investors</v>
      </c>
    </row>
    <row r="741" customFormat="false" ht="15" hidden="false" customHeight="true" outlineLevel="0" collapsed="false">
      <c r="A741" s="13" t="s">
        <v>1526</v>
      </c>
      <c r="B741" s="13" t="s">
        <v>34</v>
      </c>
      <c r="C741" s="13" t="s">
        <v>1527</v>
      </c>
      <c r="D741" s="13" t="n">
        <v>63</v>
      </c>
      <c r="E741" s="13" t="s">
        <v>83</v>
      </c>
      <c r="F741" s="13" t="s">
        <v>33</v>
      </c>
      <c r="G741" s="13" t="s">
        <v>95</v>
      </c>
      <c r="H741" s="13" t="s">
        <v>41</v>
      </c>
      <c r="I741" s="13" t="n">
        <v>3</v>
      </c>
      <c r="J741" s="13" t="n">
        <v>1</v>
      </c>
      <c r="K741" s="13" t="s">
        <v>85</v>
      </c>
      <c r="L741" s="13" t="n">
        <v>3</v>
      </c>
      <c r="M741" s="13" t="n">
        <v>1055842.78</v>
      </c>
      <c r="N741" s="13" t="n">
        <v>351947.593333333</v>
      </c>
      <c r="O741" s="13" t="n">
        <v>1138.42333333333</v>
      </c>
      <c r="P741" s="13" t="n">
        <v>0</v>
      </c>
      <c r="Q741" s="13" t="n">
        <v>3</v>
      </c>
      <c r="R741" s="13" t="s">
        <v>98</v>
      </c>
      <c r="S741" s="13" t="s">
        <v>215</v>
      </c>
      <c r="T741" s="13" t="n">
        <v>1</v>
      </c>
      <c r="U741" s="13" t="n">
        <f aca="false">IF(B741="Individual",1,0)</f>
        <v>1</v>
      </c>
      <c r="V741" s="13" t="n">
        <f aca="false">IF(B741="Company",1,0)</f>
        <v>0</v>
      </c>
      <c r="W741" s="13" t="n">
        <f aca="false">IF(H741="Home",1,0)</f>
        <v>1</v>
      </c>
      <c r="X741" s="13" t="n">
        <f aca="false">IF(H741="Investment",1,0)</f>
        <v>0</v>
      </c>
      <c r="Y741" s="13" t="n">
        <f aca="false">IF(K741="Website",1,0)</f>
        <v>1</v>
      </c>
      <c r="Z741" s="13" t="n">
        <f aca="false">IF(K741="Agency",1,0)</f>
        <v>0</v>
      </c>
      <c r="AA741" s="13" t="n">
        <f aca="false">IF(K741="Client",1,0)</f>
        <v>0</v>
      </c>
      <c r="AB741" s="13" t="n">
        <f aca="false">(D741-AVERAGE(D$2:D$2001))/STDEV(D$2:D$2001)</f>
        <v>0.511062342991484</v>
      </c>
      <c r="AC741" s="13" t="n">
        <f aca="false">(I741-AVERAGE(I$2:I$2001))/STDEV(I$2:I$2001)</f>
        <v>-0.0205155458339628</v>
      </c>
      <c r="AD741" s="13" t="n">
        <f aca="false">(L741-AVERAGE(L$2:L$2001))/STDEV(L$2:L$2001)</f>
        <v>-0.777063122173208</v>
      </c>
      <c r="AE741" s="13" t="n">
        <f aca="false">(M741-AVERAGE(M$2:M$2001))/STDEV(M$2:M$2001)</f>
        <v>-0.588023774503763</v>
      </c>
      <c r="AF741" s="13" t="n">
        <f aca="false">(N741-AVERAGE(N$2:N$2001))/STDEV(N$2:N$2001)</f>
        <v>0.0696716944253526</v>
      </c>
      <c r="AG741" s="13" t="n">
        <f aca="false">(O741-AVERAGE(O$2:O$2001))/STDEV(O$2:O$2001)</f>
        <v>-0.0411796477395454</v>
      </c>
      <c r="AH741" s="0" t="str">
        <f aca="false">IF(B741="Company","C3 - Corporate Buyers",IF(AND(H741="Investment",M741&gt;'Segmentation Summary'!$C$1),"C1 - Global Investors",IF(AND(I741&gt;=4,M741&gt;'Segmentation Summary'!$C$1),"C4 - Luxury Investors",IF(AND(D741&lt;'Segmentation Summary'!$C$2,J741=1),"C2 - First-Time Buyers","C5 - Other Individual Buyers"))))</f>
        <v>C5 - Other Individual Buyers</v>
      </c>
    </row>
    <row r="742" customFormat="false" ht="15" hidden="false" customHeight="true" outlineLevel="0" collapsed="false">
      <c r="A742" s="13" t="s">
        <v>1528</v>
      </c>
      <c r="B742" s="13" t="s">
        <v>34</v>
      </c>
      <c r="C742" s="13" t="s">
        <v>1529</v>
      </c>
      <c r="D742" s="13" t="n">
        <v>50</v>
      </c>
      <c r="E742" s="13" t="s">
        <v>83</v>
      </c>
      <c r="F742" s="13" t="s">
        <v>35</v>
      </c>
      <c r="G742" s="13" t="s">
        <v>137</v>
      </c>
      <c r="H742" s="13" t="s">
        <v>43</v>
      </c>
      <c r="I742" s="13" t="n">
        <v>3</v>
      </c>
      <c r="J742" s="13" t="n">
        <v>0</v>
      </c>
      <c r="K742" s="13" t="s">
        <v>91</v>
      </c>
      <c r="L742" s="13" t="n">
        <v>4</v>
      </c>
      <c r="M742" s="13" t="n">
        <v>1314024.52</v>
      </c>
      <c r="N742" s="13" t="n">
        <v>328506.13</v>
      </c>
      <c r="O742" s="13" t="n">
        <v>1099.4925</v>
      </c>
      <c r="P742" s="13" t="n">
        <v>3</v>
      </c>
      <c r="Q742" s="13" t="n">
        <v>1</v>
      </c>
      <c r="R742" s="13" t="s">
        <v>92</v>
      </c>
      <c r="S742" s="13" t="s">
        <v>87</v>
      </c>
      <c r="T742" s="13" t="n">
        <v>1</v>
      </c>
      <c r="U742" s="13" t="n">
        <f aca="false">IF(B742="Individual",1,0)</f>
        <v>1</v>
      </c>
      <c r="V742" s="13" t="n">
        <f aca="false">IF(B742="Company",1,0)</f>
        <v>0</v>
      </c>
      <c r="W742" s="13" t="n">
        <f aca="false">IF(H742="Home",1,0)</f>
        <v>0</v>
      </c>
      <c r="X742" s="13" t="n">
        <f aca="false">IF(H742="Investment",1,0)</f>
        <v>1</v>
      </c>
      <c r="Y742" s="13" t="n">
        <f aca="false">IF(K742="Website",1,0)</f>
        <v>0</v>
      </c>
      <c r="Z742" s="13" t="n">
        <f aca="false">IF(K742="Agency",1,0)</f>
        <v>1</v>
      </c>
      <c r="AA742" s="13" t="n">
        <f aca="false">IF(K742="Client",1,0)</f>
        <v>0</v>
      </c>
      <c r="AB742" s="13" t="n">
        <f aca="false">(D742-AVERAGE(D$2:D$2001))/STDEV(D$2:D$2001)</f>
        <v>-0.238549578354482</v>
      </c>
      <c r="AC742" s="13" t="n">
        <f aca="false">(I742-AVERAGE(I$2:I$2001))/STDEV(I$2:I$2001)</f>
        <v>-0.0205155458339628</v>
      </c>
      <c r="AD742" s="13" t="n">
        <f aca="false">(L742-AVERAGE(L$2:L$2001))/STDEV(L$2:L$2001)</f>
        <v>0.413838214490712</v>
      </c>
      <c r="AE742" s="13" t="n">
        <f aca="false">(M742-AVERAGE(M$2:M$2001))/STDEV(M$2:M$2001)</f>
        <v>0.154238958795111</v>
      </c>
      <c r="AF742" s="13" t="n">
        <f aca="false">(N742-AVERAGE(N$2:N$2001))/STDEV(N$2:N$2001)</f>
        <v>-0.266542459528807</v>
      </c>
      <c r="AG742" s="13" t="n">
        <f aca="false">(O742-AVERAGE(O$2:O$2001))/STDEV(O$2:O$2001)</f>
        <v>-0.218200270639076</v>
      </c>
      <c r="AH742" s="0" t="str">
        <f aca="false">IF(B742="Company","C3 - Corporate Buyers",IF(AND(H742="Investment",M742&gt;'Segmentation Summary'!$C$1),"C1 - Global Investors",IF(AND(I742&gt;=4,M742&gt;'Segmentation Summary'!$C$1),"C4 - Luxury Investors",IF(AND(D742&lt;'Segmentation Summary'!$C$2,J742=1),"C2 - First-Time Buyers","C5 - Other Individual Buyers"))))</f>
        <v>C1 - Global Investors</v>
      </c>
    </row>
    <row r="743" customFormat="false" ht="15" hidden="false" customHeight="true" outlineLevel="0" collapsed="false">
      <c r="A743" s="13" t="s">
        <v>1530</v>
      </c>
      <c r="B743" s="13" t="s">
        <v>34</v>
      </c>
      <c r="C743" s="13" t="s">
        <v>1531</v>
      </c>
      <c r="D743" s="13" t="n">
        <v>25</v>
      </c>
      <c r="E743" s="13" t="s">
        <v>83</v>
      </c>
      <c r="F743" s="13" t="s">
        <v>33</v>
      </c>
      <c r="G743" s="13" t="s">
        <v>265</v>
      </c>
      <c r="H743" s="13" t="s">
        <v>43</v>
      </c>
      <c r="I743" s="13" t="n">
        <v>4</v>
      </c>
      <c r="J743" s="13" t="n">
        <v>0</v>
      </c>
      <c r="K743" s="13" t="s">
        <v>91</v>
      </c>
      <c r="L743" s="13" t="n">
        <v>3</v>
      </c>
      <c r="M743" s="13" t="n">
        <v>868665.77</v>
      </c>
      <c r="N743" s="13" t="n">
        <v>289555.256666667</v>
      </c>
      <c r="O743" s="13" t="n">
        <v>980.87</v>
      </c>
      <c r="P743" s="13" t="n">
        <v>0</v>
      </c>
      <c r="Q743" s="13" t="n">
        <v>3</v>
      </c>
      <c r="R743" s="13" t="s">
        <v>111</v>
      </c>
      <c r="S743" s="13" t="s">
        <v>150</v>
      </c>
      <c r="T743" s="13" t="n">
        <v>1</v>
      </c>
      <c r="U743" s="13" t="n">
        <f aca="false">IF(B743="Individual",1,0)</f>
        <v>1</v>
      </c>
      <c r="V743" s="13" t="n">
        <f aca="false">IF(B743="Company",1,0)</f>
        <v>0</v>
      </c>
      <c r="W743" s="13" t="n">
        <f aca="false">IF(H743="Home",1,0)</f>
        <v>0</v>
      </c>
      <c r="X743" s="13" t="n">
        <f aca="false">IF(H743="Investment",1,0)</f>
        <v>1</v>
      </c>
      <c r="Y743" s="13" t="n">
        <f aca="false">IF(K743="Website",1,0)</f>
        <v>0</v>
      </c>
      <c r="Z743" s="13" t="n">
        <f aca="false">IF(K743="Agency",1,0)</f>
        <v>1</v>
      </c>
      <c r="AA743" s="13" t="n">
        <f aca="false">IF(K743="Client",1,0)</f>
        <v>0</v>
      </c>
      <c r="AB743" s="13" t="n">
        <f aca="false">(D743-AVERAGE(D$2:D$2001))/STDEV(D$2:D$2001)</f>
        <v>-1.68011096555826</v>
      </c>
      <c r="AC743" s="13" t="n">
        <f aca="false">(I743-AVERAGE(I$2:I$2001))/STDEV(I$2:I$2001)</f>
        <v>0.686917069130275</v>
      </c>
      <c r="AD743" s="13" t="n">
        <f aca="false">(L743-AVERAGE(L$2:L$2001))/STDEV(L$2:L$2001)</f>
        <v>-0.777063122173208</v>
      </c>
      <c r="AE743" s="13" t="n">
        <f aca="false">(M743-AVERAGE(M$2:M$2001))/STDEV(M$2:M$2001)</f>
        <v>-1.12615059576274</v>
      </c>
      <c r="AF743" s="13" t="n">
        <f aca="false">(N743-AVERAGE(N$2:N$2001))/STDEV(N$2:N$2001)</f>
        <v>-0.825203612090916</v>
      </c>
      <c r="AG743" s="13" t="n">
        <f aca="false">(O743-AVERAGE(O$2:O$2001))/STDEV(O$2:O$2001)</f>
        <v>-0.757583249166844</v>
      </c>
      <c r="AH743" s="0" t="str">
        <f aca="false">IF(B743="Company","C3 - Corporate Buyers",IF(AND(H743="Investment",M743&gt;'Segmentation Summary'!$C$1),"C1 - Global Investors",IF(AND(I743&gt;=4,M743&gt;'Segmentation Summary'!$C$1),"C4 - Luxury Investors",IF(AND(D743&lt;'Segmentation Summary'!$C$2,J743=1),"C2 - First-Time Buyers","C5 - Other Individual Buyers"))))</f>
        <v>C5 - Other Individual Buyers</v>
      </c>
    </row>
    <row r="744" customFormat="false" ht="15" hidden="false" customHeight="true" outlineLevel="0" collapsed="false">
      <c r="A744" s="13" t="s">
        <v>1532</v>
      </c>
      <c r="B744" s="13" t="s">
        <v>34</v>
      </c>
      <c r="C744" s="13" t="s">
        <v>1531</v>
      </c>
      <c r="D744" s="13" t="n">
        <v>56</v>
      </c>
      <c r="E744" s="13" t="s">
        <v>83</v>
      </c>
      <c r="F744" s="13" t="s">
        <v>33</v>
      </c>
      <c r="G744" s="13" t="s">
        <v>95</v>
      </c>
      <c r="H744" s="13" t="s">
        <v>41</v>
      </c>
      <c r="I744" s="13" t="n">
        <v>2</v>
      </c>
      <c r="J744" s="13" t="n">
        <v>0</v>
      </c>
      <c r="K744" s="13" t="s">
        <v>91</v>
      </c>
      <c r="L744" s="13" t="n">
        <v>4</v>
      </c>
      <c r="M744" s="13" t="n">
        <v>1261906.32</v>
      </c>
      <c r="N744" s="13" t="n">
        <v>315476.58</v>
      </c>
      <c r="O744" s="13" t="n">
        <v>1052.2475</v>
      </c>
      <c r="P744" s="13" t="n">
        <v>1</v>
      </c>
      <c r="Q744" s="13" t="n">
        <v>3</v>
      </c>
      <c r="R744" s="13" t="s">
        <v>86</v>
      </c>
      <c r="S744" s="13" t="s">
        <v>152</v>
      </c>
      <c r="T744" s="13" t="n">
        <v>1</v>
      </c>
      <c r="U744" s="13" t="n">
        <f aca="false">IF(B744="Individual",1,0)</f>
        <v>1</v>
      </c>
      <c r="V744" s="13" t="n">
        <f aca="false">IF(B744="Company",1,0)</f>
        <v>0</v>
      </c>
      <c r="W744" s="13" t="n">
        <f aca="false">IF(H744="Home",1,0)</f>
        <v>1</v>
      </c>
      <c r="X744" s="13" t="n">
        <f aca="false">IF(H744="Investment",1,0)</f>
        <v>0</v>
      </c>
      <c r="Y744" s="13" t="n">
        <f aca="false">IF(K744="Website",1,0)</f>
        <v>0</v>
      </c>
      <c r="Z744" s="13" t="n">
        <f aca="false">IF(K744="Agency",1,0)</f>
        <v>1</v>
      </c>
      <c r="AA744" s="13" t="n">
        <f aca="false">IF(K744="Client",1,0)</f>
        <v>0</v>
      </c>
      <c r="AB744" s="13" t="n">
        <f aca="false">(D744-AVERAGE(D$2:D$2001))/STDEV(D$2:D$2001)</f>
        <v>0.107425154574426</v>
      </c>
      <c r="AC744" s="13" t="n">
        <f aca="false">(I744-AVERAGE(I$2:I$2001))/STDEV(I$2:I$2001)</f>
        <v>-0.727948160798201</v>
      </c>
      <c r="AD744" s="13" t="n">
        <f aca="false">(L744-AVERAGE(L$2:L$2001))/STDEV(L$2:L$2001)</f>
        <v>0.413838214490712</v>
      </c>
      <c r="AE744" s="13" t="n">
        <f aca="false">(M744-AVERAGE(M$2:M$2001))/STDEV(M$2:M$2001)</f>
        <v>0.00440110586787755</v>
      </c>
      <c r="AF744" s="13" t="n">
        <f aca="false">(N744-AVERAGE(N$2:N$2001))/STDEV(N$2:N$2001)</f>
        <v>-0.453421540726106</v>
      </c>
      <c r="AG744" s="13" t="n">
        <f aca="false">(O744-AVERAGE(O$2:O$2001))/STDEV(O$2:O$2001)</f>
        <v>-0.43302586292169</v>
      </c>
      <c r="AH744" s="0" t="str">
        <f aca="false">IF(B744="Company","C3 - Corporate Buyers",IF(AND(H744="Investment",M744&gt;'Segmentation Summary'!$C$1),"C1 - Global Investors",IF(AND(I744&gt;=4,M744&gt;'Segmentation Summary'!$C$1),"C4 - Luxury Investors",IF(AND(D744&lt;'Segmentation Summary'!$C$2,J744=1),"C2 - First-Time Buyers","C5 - Other Individual Buyers"))))</f>
        <v>C5 - Other Individual Buyers</v>
      </c>
    </row>
    <row r="745" customFormat="false" ht="15" hidden="false" customHeight="true" outlineLevel="0" collapsed="false">
      <c r="A745" s="13" t="s">
        <v>1533</v>
      </c>
      <c r="B745" s="13" t="s">
        <v>34</v>
      </c>
      <c r="C745" s="13" t="s">
        <v>1534</v>
      </c>
      <c r="D745" s="13" t="n">
        <v>65</v>
      </c>
      <c r="E745" s="13" t="s">
        <v>83</v>
      </c>
      <c r="F745" s="13" t="s">
        <v>33</v>
      </c>
      <c r="G745" s="13" t="s">
        <v>95</v>
      </c>
      <c r="H745" s="13" t="s">
        <v>43</v>
      </c>
      <c r="I745" s="13" t="n">
        <v>3</v>
      </c>
      <c r="J745" s="13" t="n">
        <v>0</v>
      </c>
      <c r="K745" s="13" t="s">
        <v>85</v>
      </c>
      <c r="L745" s="13" t="n">
        <v>3</v>
      </c>
      <c r="M745" s="13" t="n">
        <v>907128.2</v>
      </c>
      <c r="N745" s="13" t="n">
        <v>302376.066666667</v>
      </c>
      <c r="O745" s="13" t="n">
        <v>939.33</v>
      </c>
      <c r="P745" s="13" t="n">
        <v>0</v>
      </c>
      <c r="Q745" s="13" t="n">
        <v>3</v>
      </c>
      <c r="R745" s="13" t="s">
        <v>101</v>
      </c>
      <c r="S745" s="13" t="s">
        <v>128</v>
      </c>
      <c r="T745" s="13" t="n">
        <v>1</v>
      </c>
      <c r="U745" s="13" t="n">
        <f aca="false">IF(B745="Individual",1,0)</f>
        <v>1</v>
      </c>
      <c r="V745" s="13" t="n">
        <f aca="false">IF(B745="Company",1,0)</f>
        <v>0</v>
      </c>
      <c r="W745" s="13" t="n">
        <f aca="false">IF(H745="Home",1,0)</f>
        <v>0</v>
      </c>
      <c r="X745" s="13" t="n">
        <f aca="false">IF(H745="Investment",1,0)</f>
        <v>1</v>
      </c>
      <c r="Y745" s="13" t="n">
        <f aca="false">IF(K745="Website",1,0)</f>
        <v>1</v>
      </c>
      <c r="Z745" s="13" t="n">
        <f aca="false">IF(K745="Agency",1,0)</f>
        <v>0</v>
      </c>
      <c r="AA745" s="13" t="n">
        <f aca="false">IF(K745="Client",1,0)</f>
        <v>0</v>
      </c>
      <c r="AB745" s="13" t="n">
        <f aca="false">(D745-AVERAGE(D$2:D$2001))/STDEV(D$2:D$2001)</f>
        <v>0.626387253967787</v>
      </c>
      <c r="AC745" s="13" t="n">
        <f aca="false">(I745-AVERAGE(I$2:I$2001))/STDEV(I$2:I$2001)</f>
        <v>-0.0205155458339628</v>
      </c>
      <c r="AD745" s="13" t="n">
        <f aca="false">(L745-AVERAGE(L$2:L$2001))/STDEV(L$2:L$2001)</f>
        <v>-0.777063122173208</v>
      </c>
      <c r="AE745" s="13" t="n">
        <f aca="false">(M745-AVERAGE(M$2:M$2001))/STDEV(M$2:M$2001)</f>
        <v>-1.01557256487211</v>
      </c>
      <c r="AF745" s="13" t="n">
        <f aca="false">(N745-AVERAGE(N$2:N$2001))/STDEV(N$2:N$2001)</f>
        <v>-0.641318428565381</v>
      </c>
      <c r="AG745" s="13" t="n">
        <f aca="false">(O745-AVERAGE(O$2:O$2001))/STDEV(O$2:O$2001)</f>
        <v>-0.946467895233512</v>
      </c>
      <c r="AH745" s="0" t="str">
        <f aca="false">IF(B745="Company","C3 - Corporate Buyers",IF(AND(H745="Investment",M745&gt;'Segmentation Summary'!$C$1),"C1 - Global Investors",IF(AND(I745&gt;=4,M745&gt;'Segmentation Summary'!$C$1),"C4 - Luxury Investors",IF(AND(D745&lt;'Segmentation Summary'!$C$2,J745=1),"C2 - First-Time Buyers","C5 - Other Individual Buyers"))))</f>
        <v>C5 - Other Individual Buyers</v>
      </c>
    </row>
    <row r="746" customFormat="false" ht="15" hidden="false" customHeight="true" outlineLevel="0" collapsed="false">
      <c r="A746" s="13" t="s">
        <v>1535</v>
      </c>
      <c r="B746" s="13" t="s">
        <v>34</v>
      </c>
      <c r="C746" s="13" t="s">
        <v>1536</v>
      </c>
      <c r="D746" s="13" t="n">
        <v>52</v>
      </c>
      <c r="E746" s="13" t="s">
        <v>83</v>
      </c>
      <c r="F746" s="13" t="s">
        <v>37</v>
      </c>
      <c r="G746" s="13" t="s">
        <v>676</v>
      </c>
      <c r="H746" s="13" t="s">
        <v>41</v>
      </c>
      <c r="I746" s="13" t="n">
        <v>3</v>
      </c>
      <c r="J746" s="13" t="n">
        <v>0</v>
      </c>
      <c r="K746" s="13" t="s">
        <v>91</v>
      </c>
      <c r="L746" s="13" t="n">
        <v>3</v>
      </c>
      <c r="M746" s="13" t="n">
        <v>1321475.69</v>
      </c>
      <c r="N746" s="13" t="n">
        <v>440491.896666667</v>
      </c>
      <c r="O746" s="13" t="n">
        <v>1449.5</v>
      </c>
      <c r="P746" s="13" t="n">
        <v>2</v>
      </c>
      <c r="Q746" s="13" t="n">
        <v>1</v>
      </c>
      <c r="R746" s="13" t="s">
        <v>124</v>
      </c>
      <c r="S746" s="13" t="s">
        <v>215</v>
      </c>
      <c r="T746" s="13" t="n">
        <v>1</v>
      </c>
      <c r="U746" s="13" t="n">
        <f aca="false">IF(B746="Individual",1,0)</f>
        <v>1</v>
      </c>
      <c r="V746" s="13" t="n">
        <f aca="false">IF(B746="Company",1,0)</f>
        <v>0</v>
      </c>
      <c r="W746" s="13" t="n">
        <f aca="false">IF(H746="Home",1,0)</f>
        <v>1</v>
      </c>
      <c r="X746" s="13" t="n">
        <f aca="false">IF(H746="Investment",1,0)</f>
        <v>0</v>
      </c>
      <c r="Y746" s="13" t="n">
        <f aca="false">IF(K746="Website",1,0)</f>
        <v>0</v>
      </c>
      <c r="Z746" s="13" t="n">
        <f aca="false">IF(K746="Agency",1,0)</f>
        <v>1</v>
      </c>
      <c r="AA746" s="13" t="n">
        <f aca="false">IF(K746="Client",1,0)</f>
        <v>0</v>
      </c>
      <c r="AB746" s="13" t="n">
        <f aca="false">(D746-AVERAGE(D$2:D$2001))/STDEV(D$2:D$2001)</f>
        <v>-0.123224667378179</v>
      </c>
      <c r="AC746" s="13" t="n">
        <f aca="false">(I746-AVERAGE(I$2:I$2001))/STDEV(I$2:I$2001)</f>
        <v>-0.0205155458339628</v>
      </c>
      <c r="AD746" s="13" t="n">
        <f aca="false">(L746-AVERAGE(L$2:L$2001))/STDEV(L$2:L$2001)</f>
        <v>-0.777063122173208</v>
      </c>
      <c r="AE746" s="13" t="n">
        <f aca="false">(M746-AVERAGE(M$2:M$2001))/STDEV(M$2:M$2001)</f>
        <v>0.175660790604265</v>
      </c>
      <c r="AF746" s="13" t="n">
        <f aca="false">(N746-AVERAGE(N$2:N$2001))/STDEV(N$2:N$2001)</f>
        <v>1.33963712317679</v>
      </c>
      <c r="AG746" s="13" t="n">
        <f aca="false">(O746-AVERAGE(O$2:O$2001))/STDEV(O$2:O$2001)</f>
        <v>1.37330292527281</v>
      </c>
      <c r="AH746" s="0" t="str">
        <f aca="false">IF(B746="Company","C3 - Corporate Buyers",IF(AND(H746="Investment",M746&gt;'Segmentation Summary'!$C$1),"C1 - Global Investors",IF(AND(I746&gt;=4,M746&gt;'Segmentation Summary'!$C$1),"C4 - Luxury Investors",IF(AND(D746&lt;'Segmentation Summary'!$C$2,J746=1),"C2 - First-Time Buyers","C5 - Other Individual Buyers"))))</f>
        <v>C5 - Other Individual Buyers</v>
      </c>
    </row>
    <row r="747" customFormat="false" ht="15" hidden="false" customHeight="true" outlineLevel="0" collapsed="false">
      <c r="A747" s="13" t="s">
        <v>1537</v>
      </c>
      <c r="B747" s="13" t="s">
        <v>34</v>
      </c>
      <c r="C747" s="13" t="s">
        <v>1536</v>
      </c>
      <c r="D747" s="13" t="n">
        <v>84</v>
      </c>
      <c r="E747" s="13" t="s">
        <v>83</v>
      </c>
      <c r="F747" s="13" t="s">
        <v>33</v>
      </c>
      <c r="G747" s="13" t="s">
        <v>84</v>
      </c>
      <c r="H747" s="13" t="s">
        <v>43</v>
      </c>
      <c r="I747" s="13" t="n">
        <v>1</v>
      </c>
      <c r="J747" s="13" t="n">
        <v>1</v>
      </c>
      <c r="K747" s="13" t="s">
        <v>85</v>
      </c>
      <c r="L747" s="13" t="n">
        <v>3</v>
      </c>
      <c r="M747" s="13" t="n">
        <v>1170550.92</v>
      </c>
      <c r="N747" s="13" t="n">
        <v>390183.64</v>
      </c>
      <c r="O747" s="13" t="n">
        <v>1175.68333333333</v>
      </c>
      <c r="P747" s="13" t="n">
        <v>1</v>
      </c>
      <c r="Q747" s="13" t="n">
        <v>2</v>
      </c>
      <c r="R747" s="13" t="s">
        <v>121</v>
      </c>
      <c r="S747" s="13" t="s">
        <v>154</v>
      </c>
      <c r="T747" s="13" t="n">
        <v>1</v>
      </c>
      <c r="U747" s="13" t="n">
        <f aca="false">IF(B747="Individual",1,0)</f>
        <v>1</v>
      </c>
      <c r="V747" s="13" t="n">
        <f aca="false">IF(B747="Company",1,0)</f>
        <v>0</v>
      </c>
      <c r="W747" s="13" t="n">
        <f aca="false">IF(H747="Home",1,0)</f>
        <v>0</v>
      </c>
      <c r="X747" s="13" t="n">
        <f aca="false">IF(H747="Investment",1,0)</f>
        <v>1</v>
      </c>
      <c r="Y747" s="13" t="n">
        <f aca="false">IF(K747="Website",1,0)</f>
        <v>1</v>
      </c>
      <c r="Z747" s="13" t="n">
        <f aca="false">IF(K747="Agency",1,0)</f>
        <v>0</v>
      </c>
      <c r="AA747" s="13" t="n">
        <f aca="false">IF(K747="Client",1,0)</f>
        <v>0</v>
      </c>
      <c r="AB747" s="13" t="n">
        <f aca="false">(D747-AVERAGE(D$2:D$2001))/STDEV(D$2:D$2001)</f>
        <v>1.72197390824266</v>
      </c>
      <c r="AC747" s="13" t="n">
        <f aca="false">(I747-AVERAGE(I$2:I$2001))/STDEV(I$2:I$2001)</f>
        <v>-1.43538077576244</v>
      </c>
      <c r="AD747" s="13" t="n">
        <f aca="false">(L747-AVERAGE(L$2:L$2001))/STDEV(L$2:L$2001)</f>
        <v>-0.777063122173208</v>
      </c>
      <c r="AE747" s="13" t="n">
        <f aca="false">(M747-AVERAGE(M$2:M$2001))/STDEV(M$2:M$2001)</f>
        <v>-0.258242212383878</v>
      </c>
      <c r="AF747" s="13" t="n">
        <f aca="false">(N747-AVERAGE(N$2:N$2001))/STDEV(N$2:N$2001)</f>
        <v>0.61808029408411</v>
      </c>
      <c r="AG747" s="13" t="n">
        <f aca="false">(O747-AVERAGE(O$2:O$2001))/STDEV(O$2:O$2001)</f>
        <v>0.128243604846976</v>
      </c>
      <c r="AH747" s="0" t="str">
        <f aca="false">IF(B747="Company","C3 - Corporate Buyers",IF(AND(H747="Investment",M747&gt;'Segmentation Summary'!$C$1),"C1 - Global Investors",IF(AND(I747&gt;=4,M747&gt;'Segmentation Summary'!$C$1),"C4 - Luxury Investors",IF(AND(D747&lt;'Segmentation Summary'!$C$2,J747=1),"C2 - First-Time Buyers","C5 - Other Individual Buyers"))))</f>
        <v>C5 - Other Individual Buyers</v>
      </c>
    </row>
    <row r="748" customFormat="false" ht="15" hidden="false" customHeight="true" outlineLevel="0" collapsed="false">
      <c r="A748" s="13" t="s">
        <v>1538</v>
      </c>
      <c r="B748" s="13" t="s">
        <v>34</v>
      </c>
      <c r="C748" s="13" t="s">
        <v>1539</v>
      </c>
      <c r="D748" s="13" t="n">
        <v>56</v>
      </c>
      <c r="E748" s="13" t="s">
        <v>83</v>
      </c>
      <c r="F748" s="13" t="s">
        <v>37</v>
      </c>
      <c r="G748" s="13" t="s">
        <v>169</v>
      </c>
      <c r="H748" s="13" t="s">
        <v>41</v>
      </c>
      <c r="I748" s="13" t="n">
        <v>5</v>
      </c>
      <c r="J748" s="13" t="n">
        <v>0</v>
      </c>
      <c r="K748" s="13" t="s">
        <v>85</v>
      </c>
      <c r="L748" s="13" t="n">
        <v>3</v>
      </c>
      <c r="M748" s="13" t="n">
        <v>1462080.32</v>
      </c>
      <c r="N748" s="13" t="n">
        <v>487360.106666667</v>
      </c>
      <c r="O748" s="13" t="n">
        <v>1592.12333333333</v>
      </c>
      <c r="P748" s="13" t="n">
        <v>0</v>
      </c>
      <c r="Q748" s="13" t="n">
        <v>3</v>
      </c>
      <c r="R748" s="13" t="s">
        <v>101</v>
      </c>
      <c r="S748" s="13" t="s">
        <v>87</v>
      </c>
      <c r="T748" s="13" t="n">
        <v>1</v>
      </c>
      <c r="U748" s="13" t="n">
        <f aca="false">IF(B748="Individual",1,0)</f>
        <v>1</v>
      </c>
      <c r="V748" s="13" t="n">
        <f aca="false">IF(B748="Company",1,0)</f>
        <v>0</v>
      </c>
      <c r="W748" s="13" t="n">
        <f aca="false">IF(H748="Home",1,0)</f>
        <v>1</v>
      </c>
      <c r="X748" s="13" t="n">
        <f aca="false">IF(H748="Investment",1,0)</f>
        <v>0</v>
      </c>
      <c r="Y748" s="13" t="n">
        <f aca="false">IF(K748="Website",1,0)</f>
        <v>1</v>
      </c>
      <c r="Z748" s="13" t="n">
        <f aca="false">IF(K748="Agency",1,0)</f>
        <v>0</v>
      </c>
      <c r="AA748" s="13" t="n">
        <f aca="false">IF(K748="Client",1,0)</f>
        <v>0</v>
      </c>
      <c r="AB748" s="13" t="n">
        <f aca="false">(D748-AVERAGE(D$2:D$2001))/STDEV(D$2:D$2001)</f>
        <v>0.107425154574426</v>
      </c>
      <c r="AC748" s="13" t="n">
        <f aca="false">(I748-AVERAGE(I$2:I$2001))/STDEV(I$2:I$2001)</f>
        <v>1.39434968409451</v>
      </c>
      <c r="AD748" s="13" t="n">
        <f aca="false">(L748-AVERAGE(L$2:L$2001))/STDEV(L$2:L$2001)</f>
        <v>-0.777063122173208</v>
      </c>
      <c r="AE748" s="13" t="n">
        <f aca="false">(M748-AVERAGE(M$2:M$2001))/STDEV(M$2:M$2001)</f>
        <v>0.57989378159068</v>
      </c>
      <c r="AF748" s="13" t="n">
        <f aca="false">(N748-AVERAGE(N$2:N$2001))/STDEV(N$2:N$2001)</f>
        <v>2.01185435417572</v>
      </c>
      <c r="AG748" s="13" t="n">
        <f aca="false">(O748-AVERAGE(O$2:O$2001))/STDEV(O$2:O$2001)</f>
        <v>2.02181900224716</v>
      </c>
      <c r="AH748" s="0" t="str">
        <f aca="false">IF(B748="Company","C3 - Corporate Buyers",IF(AND(H748="Investment",M748&gt;'Segmentation Summary'!$C$1),"C1 - Global Investors",IF(AND(I748&gt;=4,M748&gt;'Segmentation Summary'!$C$1),"C4 - Luxury Investors",IF(AND(D748&lt;'Segmentation Summary'!$C$2,J748=1),"C2 - First-Time Buyers","C5 - Other Individual Buyers"))))</f>
        <v>C4 - Luxury Investors</v>
      </c>
    </row>
    <row r="749" customFormat="false" ht="15" hidden="false" customHeight="true" outlineLevel="0" collapsed="false">
      <c r="A749" s="13" t="s">
        <v>1540</v>
      </c>
      <c r="B749" s="13" t="s">
        <v>34</v>
      </c>
      <c r="C749" s="13" t="s">
        <v>1541</v>
      </c>
      <c r="D749" s="13" t="n">
        <v>84</v>
      </c>
      <c r="E749" s="13" t="s">
        <v>83</v>
      </c>
      <c r="F749" s="13" t="s">
        <v>33</v>
      </c>
      <c r="G749" s="13" t="s">
        <v>207</v>
      </c>
      <c r="H749" s="13" t="s">
        <v>41</v>
      </c>
      <c r="I749" s="13" t="n">
        <v>2</v>
      </c>
      <c r="J749" s="13" t="n">
        <v>0</v>
      </c>
      <c r="K749" s="13" t="s">
        <v>85</v>
      </c>
      <c r="L749" s="13" t="n">
        <v>3</v>
      </c>
      <c r="M749" s="13" t="n">
        <v>1325777.78</v>
      </c>
      <c r="N749" s="13" t="n">
        <v>441925.926666667</v>
      </c>
      <c r="O749" s="13" t="n">
        <v>1463.22</v>
      </c>
      <c r="P749" s="13" t="n">
        <v>0</v>
      </c>
      <c r="Q749" s="13" t="n">
        <v>3</v>
      </c>
      <c r="R749" s="13" t="s">
        <v>101</v>
      </c>
      <c r="S749" s="13" t="s">
        <v>125</v>
      </c>
      <c r="T749" s="13" t="n">
        <v>1</v>
      </c>
      <c r="U749" s="13" t="n">
        <f aca="false">IF(B749="Individual",1,0)</f>
        <v>1</v>
      </c>
      <c r="V749" s="13" t="n">
        <f aca="false">IF(B749="Company",1,0)</f>
        <v>0</v>
      </c>
      <c r="W749" s="13" t="n">
        <f aca="false">IF(H749="Home",1,0)</f>
        <v>1</v>
      </c>
      <c r="X749" s="13" t="n">
        <f aca="false">IF(H749="Investment",1,0)</f>
        <v>0</v>
      </c>
      <c r="Y749" s="13" t="n">
        <f aca="false">IF(K749="Website",1,0)</f>
        <v>1</v>
      </c>
      <c r="Z749" s="13" t="n">
        <f aca="false">IF(K749="Agency",1,0)</f>
        <v>0</v>
      </c>
      <c r="AA749" s="13" t="n">
        <f aca="false">IF(K749="Client",1,0)</f>
        <v>0</v>
      </c>
      <c r="AB749" s="13" t="n">
        <f aca="false">(D749-AVERAGE(D$2:D$2001))/STDEV(D$2:D$2001)</f>
        <v>1.72197390824266</v>
      </c>
      <c r="AC749" s="13" t="n">
        <f aca="false">(I749-AVERAGE(I$2:I$2001))/STDEV(I$2:I$2001)</f>
        <v>-0.727948160798201</v>
      </c>
      <c r="AD749" s="13" t="n">
        <f aca="false">(L749-AVERAGE(L$2:L$2001))/STDEV(L$2:L$2001)</f>
        <v>-0.777063122173208</v>
      </c>
      <c r="AE749" s="13" t="n">
        <f aca="false">(M749-AVERAGE(M$2:M$2001))/STDEV(M$2:M$2001)</f>
        <v>0.188029136569776</v>
      </c>
      <c r="AF749" s="13" t="n">
        <f aca="false">(N749-AVERAGE(N$2:N$2001))/STDEV(N$2:N$2001)</f>
        <v>1.36020500225238</v>
      </c>
      <c r="AG749" s="13" t="n">
        <f aca="false">(O749-AVERAGE(O$2:O$2001))/STDEV(O$2:O$2001)</f>
        <v>1.43568851371852</v>
      </c>
      <c r="AH749" s="0" t="str">
        <f aca="false">IF(B749="Company","C3 - Corporate Buyers",IF(AND(H749="Investment",M749&gt;'Segmentation Summary'!$C$1),"C1 - Global Investors",IF(AND(I749&gt;=4,M749&gt;'Segmentation Summary'!$C$1),"C4 - Luxury Investors",IF(AND(D749&lt;'Segmentation Summary'!$C$2,J749=1),"C2 - First-Time Buyers","C5 - Other Individual Buyers"))))</f>
        <v>C5 - Other Individual Buyers</v>
      </c>
    </row>
    <row r="750" customFormat="false" ht="15" hidden="false" customHeight="true" outlineLevel="0" collapsed="false">
      <c r="A750" s="13" t="s">
        <v>1542</v>
      </c>
      <c r="B750" s="13" t="s">
        <v>34</v>
      </c>
      <c r="C750" s="13" t="s">
        <v>1543</v>
      </c>
      <c r="D750" s="13" t="n">
        <v>48</v>
      </c>
      <c r="E750" s="13" t="s">
        <v>83</v>
      </c>
      <c r="F750" s="13" t="s">
        <v>33</v>
      </c>
      <c r="G750" s="13" t="s">
        <v>84</v>
      </c>
      <c r="H750" s="13" t="s">
        <v>41</v>
      </c>
      <c r="I750" s="13" t="n">
        <v>4</v>
      </c>
      <c r="J750" s="13" t="n">
        <v>0</v>
      </c>
      <c r="K750" s="13" t="s">
        <v>91</v>
      </c>
      <c r="L750" s="13" t="n">
        <v>4</v>
      </c>
      <c r="M750" s="13" t="n">
        <v>1094771.49</v>
      </c>
      <c r="N750" s="13" t="n">
        <v>273692.8725</v>
      </c>
      <c r="O750" s="13" t="n">
        <v>1023.9675</v>
      </c>
      <c r="P750" s="13" t="n">
        <v>1</v>
      </c>
      <c r="Q750" s="13" t="n">
        <v>3</v>
      </c>
      <c r="R750" s="13" t="s">
        <v>112</v>
      </c>
      <c r="S750" s="13" t="s">
        <v>87</v>
      </c>
      <c r="T750" s="13" t="n">
        <v>1</v>
      </c>
      <c r="U750" s="13" t="n">
        <f aca="false">IF(B750="Individual",1,0)</f>
        <v>1</v>
      </c>
      <c r="V750" s="13" t="n">
        <f aca="false">IF(B750="Company",1,0)</f>
        <v>0</v>
      </c>
      <c r="W750" s="13" t="n">
        <f aca="false">IF(H750="Home",1,0)</f>
        <v>1</v>
      </c>
      <c r="X750" s="13" t="n">
        <f aca="false">IF(H750="Investment",1,0)</f>
        <v>0</v>
      </c>
      <c r="Y750" s="13" t="n">
        <f aca="false">IF(K750="Website",1,0)</f>
        <v>0</v>
      </c>
      <c r="Z750" s="13" t="n">
        <f aca="false">IF(K750="Agency",1,0)</f>
        <v>1</v>
      </c>
      <c r="AA750" s="13" t="n">
        <f aca="false">IF(K750="Client",1,0)</f>
        <v>0</v>
      </c>
      <c r="AB750" s="13" t="n">
        <f aca="false">(D750-AVERAGE(D$2:D$2001))/STDEV(D$2:D$2001)</f>
        <v>-0.353874489330784</v>
      </c>
      <c r="AC750" s="13" t="n">
        <f aca="false">(I750-AVERAGE(I$2:I$2001))/STDEV(I$2:I$2001)</f>
        <v>0.686917069130275</v>
      </c>
      <c r="AD750" s="13" t="n">
        <f aca="false">(L750-AVERAGE(L$2:L$2001))/STDEV(L$2:L$2001)</f>
        <v>0.413838214490712</v>
      </c>
      <c r="AE750" s="13" t="n">
        <f aca="false">(M750-AVERAGE(M$2:M$2001))/STDEV(M$2:M$2001)</f>
        <v>-0.476105206256453</v>
      </c>
      <c r="AF750" s="13" t="n">
        <f aca="false">(N750-AVERAGE(N$2:N$2001))/STDEV(N$2:N$2001)</f>
        <v>-1.05271321746219</v>
      </c>
      <c r="AG750" s="13" t="n">
        <f aca="false">(O750-AVERAGE(O$2:O$2001))/STDEV(O$2:O$2001)</f>
        <v>-0.561616565636312</v>
      </c>
      <c r="AH750" s="0" t="str">
        <f aca="false">IF(B750="Company","C3 - Corporate Buyers",IF(AND(H750="Investment",M750&gt;'Segmentation Summary'!$C$1),"C1 - Global Investors",IF(AND(I750&gt;=4,M750&gt;'Segmentation Summary'!$C$1),"C4 - Luxury Investors",IF(AND(D750&lt;'Segmentation Summary'!$C$2,J750=1),"C2 - First-Time Buyers","C5 - Other Individual Buyers"))))</f>
        <v>C5 - Other Individual Buyers</v>
      </c>
    </row>
    <row r="751" customFormat="false" ht="15" hidden="false" customHeight="true" outlineLevel="0" collapsed="false">
      <c r="A751" s="13" t="s">
        <v>1544</v>
      </c>
      <c r="B751" s="13" t="s">
        <v>34</v>
      </c>
      <c r="C751" s="13" t="s">
        <v>1545</v>
      </c>
      <c r="D751" s="13" t="n">
        <v>84</v>
      </c>
      <c r="E751" s="13" t="s">
        <v>83</v>
      </c>
      <c r="F751" s="13" t="s">
        <v>33</v>
      </c>
      <c r="G751" s="13" t="s">
        <v>95</v>
      </c>
      <c r="H751" s="13" t="s">
        <v>43</v>
      </c>
      <c r="I751" s="13" t="n">
        <v>5</v>
      </c>
      <c r="J751" s="13" t="n">
        <v>1</v>
      </c>
      <c r="K751" s="13" t="s">
        <v>85</v>
      </c>
      <c r="L751" s="13" t="n">
        <v>4</v>
      </c>
      <c r="M751" s="13" t="n">
        <v>1181206.69</v>
      </c>
      <c r="N751" s="13" t="n">
        <v>295301.6725</v>
      </c>
      <c r="O751" s="13" t="n">
        <v>1030.635</v>
      </c>
      <c r="P751" s="13" t="n">
        <v>2</v>
      </c>
      <c r="Q751" s="13" t="n">
        <v>2</v>
      </c>
      <c r="R751" s="13" t="s">
        <v>117</v>
      </c>
      <c r="S751" s="13" t="s">
        <v>125</v>
      </c>
      <c r="T751" s="13" t="n">
        <v>1</v>
      </c>
      <c r="U751" s="13" t="n">
        <f aca="false">IF(B751="Individual",1,0)</f>
        <v>1</v>
      </c>
      <c r="V751" s="13" t="n">
        <f aca="false">IF(B751="Company",1,0)</f>
        <v>0</v>
      </c>
      <c r="W751" s="13" t="n">
        <f aca="false">IF(H751="Home",1,0)</f>
        <v>0</v>
      </c>
      <c r="X751" s="13" t="n">
        <f aca="false">IF(H751="Investment",1,0)</f>
        <v>1</v>
      </c>
      <c r="Y751" s="13" t="n">
        <f aca="false">IF(K751="Website",1,0)</f>
        <v>1</v>
      </c>
      <c r="Z751" s="13" t="n">
        <f aca="false">IF(K751="Agency",1,0)</f>
        <v>0</v>
      </c>
      <c r="AA751" s="13" t="n">
        <f aca="false">IF(K751="Client",1,0)</f>
        <v>0</v>
      </c>
      <c r="AB751" s="13" t="n">
        <f aca="false">(D751-AVERAGE(D$2:D$2001))/STDEV(D$2:D$2001)</f>
        <v>1.72197390824266</v>
      </c>
      <c r="AC751" s="13" t="n">
        <f aca="false">(I751-AVERAGE(I$2:I$2001))/STDEV(I$2:I$2001)</f>
        <v>1.39434968409451</v>
      </c>
      <c r="AD751" s="13" t="n">
        <f aca="false">(L751-AVERAGE(L$2:L$2001))/STDEV(L$2:L$2001)</f>
        <v>0.413838214490712</v>
      </c>
      <c r="AE751" s="13" t="n">
        <f aca="false">(M751-AVERAGE(M$2:M$2001))/STDEV(M$2:M$2001)</f>
        <v>-0.227607276831875</v>
      </c>
      <c r="AF751" s="13" t="n">
        <f aca="false">(N751-AVERAGE(N$2:N$2001))/STDEV(N$2:N$2001)</f>
        <v>-0.742784425617793</v>
      </c>
      <c r="AG751" s="13" t="n">
        <f aca="false">(O751-AVERAGE(O$2:O$2001))/STDEV(O$2:O$2001)</f>
        <v>-0.53129907941461</v>
      </c>
      <c r="AH751" s="0" t="str">
        <f aca="false">IF(B751="Company","C3 - Corporate Buyers",IF(AND(H751="Investment",M751&gt;'Segmentation Summary'!$C$1),"C1 - Global Investors",IF(AND(I751&gt;=4,M751&gt;'Segmentation Summary'!$C$1),"C4 - Luxury Investors",IF(AND(D751&lt;'Segmentation Summary'!$C$2,J751=1),"C2 - First-Time Buyers","C5 - Other Individual Buyers"))))</f>
        <v>C5 - Other Individual Buyers</v>
      </c>
    </row>
    <row r="752" customFormat="false" ht="15" hidden="false" customHeight="true" outlineLevel="0" collapsed="false">
      <c r="A752" s="13" t="s">
        <v>1546</v>
      </c>
      <c r="B752" s="13" t="s">
        <v>34</v>
      </c>
      <c r="C752" s="13" t="s">
        <v>1547</v>
      </c>
      <c r="D752" s="13" t="n">
        <v>58</v>
      </c>
      <c r="E752" s="13" t="s">
        <v>83</v>
      </c>
      <c r="F752" s="13" t="s">
        <v>33</v>
      </c>
      <c r="G752" s="13" t="s">
        <v>95</v>
      </c>
      <c r="H752" s="13" t="s">
        <v>41</v>
      </c>
      <c r="I752" s="13" t="n">
        <v>5</v>
      </c>
      <c r="J752" s="13" t="n">
        <v>0</v>
      </c>
      <c r="K752" s="13" t="s">
        <v>91</v>
      </c>
      <c r="L752" s="13" t="n">
        <v>3</v>
      </c>
      <c r="M752" s="13" t="n">
        <v>894512.8</v>
      </c>
      <c r="N752" s="13" t="n">
        <v>298170.933333333</v>
      </c>
      <c r="O752" s="13" t="n">
        <v>1050.08</v>
      </c>
      <c r="P752" s="13" t="n">
        <v>0</v>
      </c>
      <c r="Q752" s="13" t="n">
        <v>3</v>
      </c>
      <c r="R752" s="13" t="s">
        <v>101</v>
      </c>
      <c r="S752" s="13" t="s">
        <v>124</v>
      </c>
      <c r="T752" s="13" t="n">
        <v>1</v>
      </c>
      <c r="U752" s="13" t="n">
        <f aca="false">IF(B752="Individual",1,0)</f>
        <v>1</v>
      </c>
      <c r="V752" s="13" t="n">
        <f aca="false">IF(B752="Company",1,0)</f>
        <v>0</v>
      </c>
      <c r="W752" s="13" t="n">
        <f aca="false">IF(H752="Home",1,0)</f>
        <v>1</v>
      </c>
      <c r="X752" s="13" t="n">
        <f aca="false">IF(H752="Investment",1,0)</f>
        <v>0</v>
      </c>
      <c r="Y752" s="13" t="n">
        <f aca="false">IF(K752="Website",1,0)</f>
        <v>0</v>
      </c>
      <c r="Z752" s="13" t="n">
        <f aca="false">IF(K752="Agency",1,0)</f>
        <v>1</v>
      </c>
      <c r="AA752" s="13" t="n">
        <f aca="false">IF(K752="Client",1,0)</f>
        <v>0</v>
      </c>
      <c r="AB752" s="13" t="n">
        <f aca="false">(D752-AVERAGE(D$2:D$2001))/STDEV(D$2:D$2001)</f>
        <v>0.222750065550728</v>
      </c>
      <c r="AC752" s="13" t="n">
        <f aca="false">(I752-AVERAGE(I$2:I$2001))/STDEV(I$2:I$2001)</f>
        <v>1.39434968409451</v>
      </c>
      <c r="AD752" s="13" t="n">
        <f aca="false">(L752-AVERAGE(L$2:L$2001))/STDEV(L$2:L$2001)</f>
        <v>-0.777063122173208</v>
      </c>
      <c r="AE752" s="13" t="n">
        <f aca="false">(M752-AVERAGE(M$2:M$2001))/STDEV(M$2:M$2001)</f>
        <v>-1.05184136252472</v>
      </c>
      <c r="AF752" s="13" t="n">
        <f aca="false">(N752-AVERAGE(N$2:N$2001))/STDEV(N$2:N$2001)</f>
        <v>-0.701631444260136</v>
      </c>
      <c r="AG752" s="13" t="n">
        <f aca="false">(O752-AVERAGE(O$2:O$2001))/STDEV(O$2:O$2001)</f>
        <v>-0.442881603661929</v>
      </c>
      <c r="AH752" s="0" t="str">
        <f aca="false">IF(B752="Company","C3 - Corporate Buyers",IF(AND(H752="Investment",M752&gt;'Segmentation Summary'!$C$1),"C1 - Global Investors",IF(AND(I752&gt;=4,M752&gt;'Segmentation Summary'!$C$1),"C4 - Luxury Investors",IF(AND(D752&lt;'Segmentation Summary'!$C$2,J752=1),"C2 - First-Time Buyers","C5 - Other Individual Buyers"))))</f>
        <v>C5 - Other Individual Buyers</v>
      </c>
    </row>
    <row r="753" customFormat="false" ht="15" hidden="false" customHeight="true" outlineLevel="0" collapsed="false">
      <c r="A753" s="13" t="s">
        <v>1548</v>
      </c>
      <c r="B753" s="13" t="s">
        <v>34</v>
      </c>
      <c r="C753" s="13" t="s">
        <v>1549</v>
      </c>
      <c r="D753" s="13" t="n">
        <v>27</v>
      </c>
      <c r="E753" s="13" t="s">
        <v>83</v>
      </c>
      <c r="F753" s="13" t="s">
        <v>33</v>
      </c>
      <c r="G753" s="13" t="s">
        <v>120</v>
      </c>
      <c r="H753" s="13" t="s">
        <v>43</v>
      </c>
      <c r="I753" s="13" t="n">
        <v>5</v>
      </c>
      <c r="J753" s="13" t="n">
        <v>0</v>
      </c>
      <c r="K753" s="13" t="s">
        <v>91</v>
      </c>
      <c r="L753" s="13" t="n">
        <v>4</v>
      </c>
      <c r="M753" s="13" t="n">
        <v>1668948.58</v>
      </c>
      <c r="N753" s="13" t="n">
        <v>417237.145</v>
      </c>
      <c r="O753" s="13" t="n">
        <v>1332.2825</v>
      </c>
      <c r="P753" s="13" t="n">
        <v>1</v>
      </c>
      <c r="Q753" s="13" t="n">
        <v>3</v>
      </c>
      <c r="R753" s="13" t="s">
        <v>86</v>
      </c>
      <c r="S753" s="13" t="s">
        <v>164</v>
      </c>
      <c r="T753" s="13" t="n">
        <v>1</v>
      </c>
      <c r="U753" s="13" t="n">
        <f aca="false">IF(B753="Individual",1,0)</f>
        <v>1</v>
      </c>
      <c r="V753" s="13" t="n">
        <f aca="false">IF(B753="Company",1,0)</f>
        <v>0</v>
      </c>
      <c r="W753" s="13" t="n">
        <f aca="false">IF(H753="Home",1,0)</f>
        <v>0</v>
      </c>
      <c r="X753" s="13" t="n">
        <f aca="false">IF(H753="Investment",1,0)</f>
        <v>1</v>
      </c>
      <c r="Y753" s="13" t="n">
        <f aca="false">IF(K753="Website",1,0)</f>
        <v>0</v>
      </c>
      <c r="Z753" s="13" t="n">
        <f aca="false">IF(K753="Agency",1,0)</f>
        <v>1</v>
      </c>
      <c r="AA753" s="13" t="n">
        <f aca="false">IF(K753="Client",1,0)</f>
        <v>0</v>
      </c>
      <c r="AB753" s="13" t="n">
        <f aca="false">(D753-AVERAGE(D$2:D$2001))/STDEV(D$2:D$2001)</f>
        <v>-1.56478605458196</v>
      </c>
      <c r="AC753" s="13" t="n">
        <f aca="false">(I753-AVERAGE(I$2:I$2001))/STDEV(I$2:I$2001)</f>
        <v>1.39434968409451</v>
      </c>
      <c r="AD753" s="13" t="n">
        <f aca="false">(L753-AVERAGE(L$2:L$2001))/STDEV(L$2:L$2001)</f>
        <v>0.413838214490712</v>
      </c>
      <c r="AE753" s="13" t="n">
        <f aca="false">(M753-AVERAGE(M$2:M$2001))/STDEV(M$2:M$2001)</f>
        <v>1.17463220151295</v>
      </c>
      <c r="AF753" s="13" t="n">
        <f aca="false">(N753-AVERAGE(N$2:N$2001))/STDEV(N$2:N$2001)</f>
        <v>1.00610092085683</v>
      </c>
      <c r="AG753" s="13" t="n">
        <f aca="false">(O753-AVERAGE(O$2:O$2001))/STDEV(O$2:O$2001)</f>
        <v>0.840308558389809</v>
      </c>
      <c r="AH753" s="0" t="str">
        <f aca="false">IF(B753="Company","C3 - Corporate Buyers",IF(AND(H753="Investment",M753&gt;'Segmentation Summary'!$C$1),"C1 - Global Investors",IF(AND(I753&gt;=4,M753&gt;'Segmentation Summary'!$C$1),"C4 - Luxury Investors",IF(AND(D753&lt;'Segmentation Summary'!$C$2,J753=1),"C2 - First-Time Buyers","C5 - Other Individual Buyers"))))</f>
        <v>C1 - Global Investors</v>
      </c>
    </row>
    <row r="754" customFormat="false" ht="15" hidden="false" customHeight="true" outlineLevel="0" collapsed="false">
      <c r="A754" s="13" t="s">
        <v>1550</v>
      </c>
      <c r="B754" s="13" t="s">
        <v>34</v>
      </c>
      <c r="C754" s="13" t="s">
        <v>1551</v>
      </c>
      <c r="D754" s="13" t="n">
        <v>78</v>
      </c>
      <c r="E754" s="13" t="s">
        <v>83</v>
      </c>
      <c r="F754" s="13" t="s">
        <v>33</v>
      </c>
      <c r="G754" s="13" t="s">
        <v>265</v>
      </c>
      <c r="H754" s="13" t="s">
        <v>41</v>
      </c>
      <c r="I754" s="13" t="n">
        <v>4</v>
      </c>
      <c r="J754" s="13" t="n">
        <v>0</v>
      </c>
      <c r="K754" s="13" t="s">
        <v>116</v>
      </c>
      <c r="L754" s="13" t="n">
        <v>4</v>
      </c>
      <c r="M754" s="13" t="n">
        <v>1979258.27</v>
      </c>
      <c r="N754" s="13" t="n">
        <v>494814.5675</v>
      </c>
      <c r="O754" s="13" t="n">
        <v>1699.3675</v>
      </c>
      <c r="P754" s="13" t="n">
        <v>0</v>
      </c>
      <c r="Q754" s="13" t="n">
        <v>4</v>
      </c>
      <c r="R754" s="13" t="s">
        <v>121</v>
      </c>
      <c r="S754" s="13" t="s">
        <v>103</v>
      </c>
      <c r="T754" s="13" t="n">
        <v>1</v>
      </c>
      <c r="U754" s="13" t="n">
        <f aca="false">IF(B754="Individual",1,0)</f>
        <v>1</v>
      </c>
      <c r="V754" s="13" t="n">
        <f aca="false">IF(B754="Company",1,0)</f>
        <v>0</v>
      </c>
      <c r="W754" s="13" t="n">
        <f aca="false">IF(H754="Home",1,0)</f>
        <v>1</v>
      </c>
      <c r="X754" s="13" t="n">
        <f aca="false">IF(H754="Investment",1,0)</f>
        <v>0</v>
      </c>
      <c r="Y754" s="13" t="n">
        <f aca="false">IF(K754="Website",1,0)</f>
        <v>0</v>
      </c>
      <c r="Z754" s="13" t="n">
        <f aca="false">IF(K754="Agency",1,0)</f>
        <v>0</v>
      </c>
      <c r="AA754" s="13" t="n">
        <f aca="false">IF(K754="Client",1,0)</f>
        <v>1</v>
      </c>
      <c r="AB754" s="13" t="n">
        <f aca="false">(D754-AVERAGE(D$2:D$2001))/STDEV(D$2:D$2001)</f>
        <v>1.37599917531375</v>
      </c>
      <c r="AC754" s="13" t="n">
        <f aca="false">(I754-AVERAGE(I$2:I$2001))/STDEV(I$2:I$2001)</f>
        <v>0.686917069130275</v>
      </c>
      <c r="AD754" s="13" t="n">
        <f aca="false">(L754-AVERAGE(L$2:L$2001))/STDEV(L$2:L$2001)</f>
        <v>0.413838214490712</v>
      </c>
      <c r="AE754" s="13" t="n">
        <f aca="false">(M754-AVERAGE(M$2:M$2001))/STDEV(M$2:M$2001)</f>
        <v>2.06676081862013</v>
      </c>
      <c r="AF754" s="13" t="n">
        <f aca="false">(N754-AVERAGE(N$2:N$2001))/STDEV(N$2:N$2001)</f>
        <v>2.11877153791226</v>
      </c>
      <c r="AG754" s="13" t="n">
        <f aca="false">(O754-AVERAGE(O$2:O$2001))/STDEV(O$2:O$2001)</f>
        <v>2.50946407840385</v>
      </c>
      <c r="AH754" s="0" t="str">
        <f aca="false">IF(B754="Company","C3 - Corporate Buyers",IF(AND(H754="Investment",M754&gt;'Segmentation Summary'!$C$1),"C1 - Global Investors",IF(AND(I754&gt;=4,M754&gt;'Segmentation Summary'!$C$1),"C4 - Luxury Investors",IF(AND(D754&lt;'Segmentation Summary'!$C$2,J754=1),"C2 - First-Time Buyers","C5 - Other Individual Buyers"))))</f>
        <v>C4 - Luxury Investors</v>
      </c>
    </row>
    <row r="755" customFormat="false" ht="15" hidden="false" customHeight="true" outlineLevel="0" collapsed="false">
      <c r="A755" s="13" t="s">
        <v>1552</v>
      </c>
      <c r="B755" s="13" t="s">
        <v>34</v>
      </c>
      <c r="C755" s="13" t="s">
        <v>1553</v>
      </c>
      <c r="D755" s="13" t="n">
        <v>38</v>
      </c>
      <c r="E755" s="13" t="s">
        <v>83</v>
      </c>
      <c r="F755" s="13" t="s">
        <v>35</v>
      </c>
      <c r="G755" s="13" t="s">
        <v>374</v>
      </c>
      <c r="H755" s="13" t="s">
        <v>43</v>
      </c>
      <c r="I755" s="13" t="n">
        <v>3</v>
      </c>
      <c r="J755" s="13" t="n">
        <v>0</v>
      </c>
      <c r="K755" s="13" t="s">
        <v>85</v>
      </c>
      <c r="L755" s="13" t="n">
        <v>3</v>
      </c>
      <c r="M755" s="13" t="n">
        <v>911506.03</v>
      </c>
      <c r="N755" s="13" t="n">
        <v>303835.343333333</v>
      </c>
      <c r="O755" s="13" t="n">
        <v>1064.73333333333</v>
      </c>
      <c r="P755" s="13" t="n">
        <v>1</v>
      </c>
      <c r="Q755" s="13" t="n">
        <v>2</v>
      </c>
      <c r="R755" s="13" t="s">
        <v>117</v>
      </c>
      <c r="S755" s="13" t="s">
        <v>107</v>
      </c>
      <c r="T755" s="13" t="n">
        <v>1</v>
      </c>
      <c r="U755" s="13" t="n">
        <f aca="false">IF(B755="Individual",1,0)</f>
        <v>1</v>
      </c>
      <c r="V755" s="13" t="n">
        <f aca="false">IF(B755="Company",1,0)</f>
        <v>0</v>
      </c>
      <c r="W755" s="13" t="n">
        <f aca="false">IF(H755="Home",1,0)</f>
        <v>0</v>
      </c>
      <c r="X755" s="13" t="n">
        <f aca="false">IF(H755="Investment",1,0)</f>
        <v>1</v>
      </c>
      <c r="Y755" s="13" t="n">
        <f aca="false">IF(K755="Website",1,0)</f>
        <v>1</v>
      </c>
      <c r="Z755" s="13" t="n">
        <f aca="false">IF(K755="Agency",1,0)</f>
        <v>0</v>
      </c>
      <c r="AA755" s="13" t="n">
        <f aca="false">IF(K755="Client",1,0)</f>
        <v>0</v>
      </c>
      <c r="AB755" s="13" t="n">
        <f aca="false">(D755-AVERAGE(D$2:D$2001))/STDEV(D$2:D$2001)</f>
        <v>-0.930499044212296</v>
      </c>
      <c r="AC755" s="13" t="n">
        <f aca="false">(I755-AVERAGE(I$2:I$2001))/STDEV(I$2:I$2001)</f>
        <v>-0.0205155458339628</v>
      </c>
      <c r="AD755" s="13" t="n">
        <f aca="false">(L755-AVERAGE(L$2:L$2001))/STDEV(L$2:L$2001)</f>
        <v>-0.777063122173208</v>
      </c>
      <c r="AE755" s="13" t="n">
        <f aca="false">(M755-AVERAGE(M$2:M$2001))/STDEV(M$2:M$2001)</f>
        <v>-1.00298646927248</v>
      </c>
      <c r="AF755" s="13" t="n">
        <f aca="false">(N755-AVERAGE(N$2:N$2001))/STDEV(N$2:N$2001)</f>
        <v>-0.620388443824604</v>
      </c>
      <c r="AG755" s="13" t="n">
        <f aca="false">(O755-AVERAGE(O$2:O$2001))/STDEV(O$2:O$2001)</f>
        <v>-0.376252097634896</v>
      </c>
      <c r="AH755" s="0" t="str">
        <f aca="false">IF(B755="Company","C3 - Corporate Buyers",IF(AND(H755="Investment",M755&gt;'Segmentation Summary'!$C$1),"C1 - Global Investors",IF(AND(I755&gt;=4,M755&gt;'Segmentation Summary'!$C$1),"C4 - Luxury Investors",IF(AND(D755&lt;'Segmentation Summary'!$C$2,J755=1),"C2 - First-Time Buyers","C5 - Other Individual Buyers"))))</f>
        <v>C5 - Other Individual Buyers</v>
      </c>
    </row>
    <row r="756" customFormat="false" ht="15" hidden="false" customHeight="true" outlineLevel="0" collapsed="false">
      <c r="A756" s="13" t="s">
        <v>1554</v>
      </c>
      <c r="B756" s="13" t="s">
        <v>34</v>
      </c>
      <c r="C756" s="13" t="s">
        <v>1555</v>
      </c>
      <c r="D756" s="13" t="n">
        <v>48</v>
      </c>
      <c r="E756" s="13" t="s">
        <v>83</v>
      </c>
      <c r="F756" s="13" t="s">
        <v>33</v>
      </c>
      <c r="G756" s="13" t="s">
        <v>95</v>
      </c>
      <c r="H756" s="13" t="s">
        <v>43</v>
      </c>
      <c r="I756" s="13" t="n">
        <v>1</v>
      </c>
      <c r="J756" s="13" t="n">
        <v>1</v>
      </c>
      <c r="K756" s="13" t="s">
        <v>116</v>
      </c>
      <c r="L756" s="13" t="n">
        <v>3</v>
      </c>
      <c r="M756" s="13" t="n">
        <v>1554407.81</v>
      </c>
      <c r="N756" s="13" t="n">
        <v>518135.936666667</v>
      </c>
      <c r="O756" s="13" t="n">
        <v>1649.26</v>
      </c>
      <c r="P756" s="13" t="n">
        <v>1</v>
      </c>
      <c r="Q756" s="13" t="n">
        <v>2</v>
      </c>
      <c r="R756" s="13" t="s">
        <v>98</v>
      </c>
      <c r="S756" s="13" t="s">
        <v>125</v>
      </c>
      <c r="T756" s="13" t="n">
        <v>1</v>
      </c>
      <c r="U756" s="13" t="n">
        <f aca="false">IF(B756="Individual",1,0)</f>
        <v>1</v>
      </c>
      <c r="V756" s="13" t="n">
        <f aca="false">IF(B756="Company",1,0)</f>
        <v>0</v>
      </c>
      <c r="W756" s="13" t="n">
        <f aca="false">IF(H756="Home",1,0)</f>
        <v>0</v>
      </c>
      <c r="X756" s="13" t="n">
        <f aca="false">IF(H756="Investment",1,0)</f>
        <v>1</v>
      </c>
      <c r="Y756" s="13" t="n">
        <f aca="false">IF(K756="Website",1,0)</f>
        <v>0</v>
      </c>
      <c r="Z756" s="13" t="n">
        <f aca="false">IF(K756="Agency",1,0)</f>
        <v>0</v>
      </c>
      <c r="AA756" s="13" t="n">
        <f aca="false">IF(K756="Client",1,0)</f>
        <v>1</v>
      </c>
      <c r="AB756" s="13" t="n">
        <f aca="false">(D756-AVERAGE(D$2:D$2001))/STDEV(D$2:D$2001)</f>
        <v>-0.353874489330784</v>
      </c>
      <c r="AC756" s="13" t="n">
        <f aca="false">(I756-AVERAGE(I$2:I$2001))/STDEV(I$2:I$2001)</f>
        <v>-1.43538077576244</v>
      </c>
      <c r="AD756" s="13" t="n">
        <f aca="false">(L756-AVERAGE(L$2:L$2001))/STDEV(L$2:L$2001)</f>
        <v>-0.777063122173208</v>
      </c>
      <c r="AE756" s="13" t="n">
        <f aca="false">(M756-AVERAGE(M$2:M$2001))/STDEV(M$2:M$2001)</f>
        <v>0.84533182181004</v>
      </c>
      <c r="AF756" s="13" t="n">
        <f aca="false">(N756-AVERAGE(N$2:N$2001))/STDEV(N$2:N$2001)</f>
        <v>2.45326321583896</v>
      </c>
      <c r="AG756" s="13" t="n">
        <f aca="false">(O756-AVERAGE(O$2:O$2001))/STDEV(O$2:O$2001)</f>
        <v>2.28162254246775</v>
      </c>
      <c r="AH756" s="0" t="str">
        <f aca="false">IF(B756="Company","C3 - Corporate Buyers",IF(AND(H756="Investment",M756&gt;'Segmentation Summary'!$C$1),"C1 - Global Investors",IF(AND(I756&gt;=4,M756&gt;'Segmentation Summary'!$C$1),"C4 - Luxury Investors",IF(AND(D756&lt;'Segmentation Summary'!$C$2,J756=1),"C2 - First-Time Buyers","C5 - Other Individual Buyers"))))</f>
        <v>C1 - Global Investors</v>
      </c>
    </row>
    <row r="757" customFormat="false" ht="15" hidden="false" customHeight="true" outlineLevel="0" collapsed="false">
      <c r="A757" s="13" t="s">
        <v>1556</v>
      </c>
      <c r="B757" s="13" t="s">
        <v>34</v>
      </c>
      <c r="C757" s="13" t="s">
        <v>1557</v>
      </c>
      <c r="D757" s="13" t="n">
        <v>59</v>
      </c>
      <c r="E757" s="13" t="s">
        <v>83</v>
      </c>
      <c r="F757" s="13" t="s">
        <v>33</v>
      </c>
      <c r="G757" s="13" t="s">
        <v>84</v>
      </c>
      <c r="H757" s="13" t="s">
        <v>41</v>
      </c>
      <c r="I757" s="13" t="n">
        <v>2</v>
      </c>
      <c r="J757" s="13" t="n">
        <v>0</v>
      </c>
      <c r="K757" s="13" t="s">
        <v>91</v>
      </c>
      <c r="L757" s="13" t="n">
        <v>3</v>
      </c>
      <c r="M757" s="13" t="n">
        <v>1256932.48</v>
      </c>
      <c r="N757" s="13" t="n">
        <v>418977.493333333</v>
      </c>
      <c r="O757" s="13" t="n">
        <v>1452.26333333333</v>
      </c>
      <c r="P757" s="13" t="n">
        <v>0</v>
      </c>
      <c r="Q757" s="13" t="n">
        <v>3</v>
      </c>
      <c r="R757" s="13" t="s">
        <v>86</v>
      </c>
      <c r="S757" s="13" t="s">
        <v>107</v>
      </c>
      <c r="T757" s="13" t="n">
        <v>1</v>
      </c>
      <c r="U757" s="13" t="n">
        <f aca="false">IF(B757="Individual",1,0)</f>
        <v>1</v>
      </c>
      <c r="V757" s="13" t="n">
        <f aca="false">IF(B757="Company",1,0)</f>
        <v>0</v>
      </c>
      <c r="W757" s="13" t="n">
        <f aca="false">IF(H757="Home",1,0)</f>
        <v>1</v>
      </c>
      <c r="X757" s="13" t="n">
        <f aca="false">IF(H757="Investment",1,0)</f>
        <v>0</v>
      </c>
      <c r="Y757" s="13" t="n">
        <f aca="false">IF(K757="Website",1,0)</f>
        <v>0</v>
      </c>
      <c r="Z757" s="13" t="n">
        <f aca="false">IF(K757="Agency",1,0)</f>
        <v>1</v>
      </c>
      <c r="AA757" s="13" t="n">
        <f aca="false">IF(K757="Client",1,0)</f>
        <v>0</v>
      </c>
      <c r="AB757" s="13" t="n">
        <f aca="false">(D757-AVERAGE(D$2:D$2001))/STDEV(D$2:D$2001)</f>
        <v>0.280412521038879</v>
      </c>
      <c r="AC757" s="13" t="n">
        <f aca="false">(I757-AVERAGE(I$2:I$2001))/STDEV(I$2:I$2001)</f>
        <v>-0.727948160798201</v>
      </c>
      <c r="AD757" s="13" t="n">
        <f aca="false">(L757-AVERAGE(L$2:L$2001))/STDEV(L$2:L$2001)</f>
        <v>-0.777063122173208</v>
      </c>
      <c r="AE757" s="13" t="n">
        <f aca="false">(M757-AVERAGE(M$2:M$2001))/STDEV(M$2:M$2001)</f>
        <v>-0.00989849592964436</v>
      </c>
      <c r="AF757" s="13" t="n">
        <f aca="false">(N757-AVERAGE(N$2:N$2001))/STDEV(N$2:N$2001)</f>
        <v>1.03106223552207</v>
      </c>
      <c r="AG757" s="13" t="n">
        <f aca="false">(O757-AVERAGE(O$2:O$2001))/STDEV(O$2:O$2001)</f>
        <v>1.38586795268326</v>
      </c>
      <c r="AH757" s="0" t="str">
        <f aca="false">IF(B757="Company","C3 - Corporate Buyers",IF(AND(H757="Investment",M757&gt;'Segmentation Summary'!$C$1),"C1 - Global Investors",IF(AND(I757&gt;=4,M757&gt;'Segmentation Summary'!$C$1),"C4 - Luxury Investors",IF(AND(D757&lt;'Segmentation Summary'!$C$2,J757=1),"C2 - First-Time Buyers","C5 - Other Individual Buyers"))))</f>
        <v>C5 - Other Individual Buyers</v>
      </c>
    </row>
    <row r="758" customFormat="false" ht="15" hidden="false" customHeight="true" outlineLevel="0" collapsed="false">
      <c r="A758" s="13" t="s">
        <v>1558</v>
      </c>
      <c r="B758" s="13" t="s">
        <v>34</v>
      </c>
      <c r="C758" s="13" t="s">
        <v>1559</v>
      </c>
      <c r="D758" s="13" t="n">
        <v>51</v>
      </c>
      <c r="E758" s="13" t="s">
        <v>83</v>
      </c>
      <c r="F758" s="13" t="s">
        <v>33</v>
      </c>
      <c r="G758" s="13" t="s">
        <v>95</v>
      </c>
      <c r="H758" s="13" t="s">
        <v>41</v>
      </c>
      <c r="I758" s="13" t="n">
        <v>3</v>
      </c>
      <c r="J758" s="13" t="n">
        <v>0</v>
      </c>
      <c r="K758" s="13" t="s">
        <v>85</v>
      </c>
      <c r="L758" s="13" t="n">
        <v>5</v>
      </c>
      <c r="M758" s="13" t="n">
        <v>1892554.72</v>
      </c>
      <c r="N758" s="13" t="n">
        <v>378510.944</v>
      </c>
      <c r="O758" s="13" t="n">
        <v>1244.274</v>
      </c>
      <c r="P758" s="13" t="n">
        <v>3</v>
      </c>
      <c r="Q758" s="13" t="n">
        <v>2</v>
      </c>
      <c r="R758" s="13" t="s">
        <v>103</v>
      </c>
      <c r="S758" s="13" t="s">
        <v>135</v>
      </c>
      <c r="T758" s="13" t="n">
        <v>1</v>
      </c>
      <c r="U758" s="13" t="n">
        <f aca="false">IF(B758="Individual",1,0)</f>
        <v>1</v>
      </c>
      <c r="V758" s="13" t="n">
        <f aca="false">IF(B758="Company",1,0)</f>
        <v>0</v>
      </c>
      <c r="W758" s="13" t="n">
        <f aca="false">IF(H758="Home",1,0)</f>
        <v>1</v>
      </c>
      <c r="X758" s="13" t="n">
        <f aca="false">IF(H758="Investment",1,0)</f>
        <v>0</v>
      </c>
      <c r="Y758" s="13" t="n">
        <f aca="false">IF(K758="Website",1,0)</f>
        <v>1</v>
      </c>
      <c r="Z758" s="13" t="n">
        <f aca="false">IF(K758="Agency",1,0)</f>
        <v>0</v>
      </c>
      <c r="AA758" s="13" t="n">
        <f aca="false">IF(K758="Client",1,0)</f>
        <v>0</v>
      </c>
      <c r="AB758" s="13" t="n">
        <f aca="false">(D758-AVERAGE(D$2:D$2001))/STDEV(D$2:D$2001)</f>
        <v>-0.18088712286633</v>
      </c>
      <c r="AC758" s="13" t="n">
        <f aca="false">(I758-AVERAGE(I$2:I$2001))/STDEV(I$2:I$2001)</f>
        <v>-0.0205155458339628</v>
      </c>
      <c r="AD758" s="13" t="n">
        <f aca="false">(L758-AVERAGE(L$2:L$2001))/STDEV(L$2:L$2001)</f>
        <v>1.60473955115463</v>
      </c>
      <c r="AE758" s="13" t="n">
        <f aca="false">(M758-AVERAGE(M$2:M$2001))/STDEV(M$2:M$2001)</f>
        <v>1.81749139309951</v>
      </c>
      <c r="AF758" s="13" t="n">
        <f aca="false">(N758-AVERAGE(N$2:N$2001))/STDEV(N$2:N$2001)</f>
        <v>0.450662178832595</v>
      </c>
      <c r="AG758" s="13" t="n">
        <f aca="false">(O758-AVERAGE(O$2:O$2001))/STDEV(O$2:O$2001)</f>
        <v>0.440129107899716</v>
      </c>
      <c r="AH758" s="0" t="str">
        <f aca="false">IF(B758="Company","C3 - Corporate Buyers",IF(AND(H758="Investment",M758&gt;'Segmentation Summary'!$C$1),"C1 - Global Investors",IF(AND(I758&gt;=4,M758&gt;'Segmentation Summary'!$C$1),"C4 - Luxury Investors",IF(AND(D758&lt;'Segmentation Summary'!$C$2,J758=1),"C2 - First-Time Buyers","C5 - Other Individual Buyers"))))</f>
        <v>C5 - Other Individual Buyers</v>
      </c>
    </row>
    <row r="759" customFormat="false" ht="15" hidden="false" customHeight="true" outlineLevel="0" collapsed="false">
      <c r="A759" s="13" t="s">
        <v>1560</v>
      </c>
      <c r="B759" s="13" t="s">
        <v>34</v>
      </c>
      <c r="C759" s="13" t="s">
        <v>1561</v>
      </c>
      <c r="D759" s="13" t="n">
        <v>67</v>
      </c>
      <c r="E759" s="13" t="s">
        <v>90</v>
      </c>
      <c r="F759" s="13" t="s">
        <v>33</v>
      </c>
      <c r="G759" s="13" t="s">
        <v>100</v>
      </c>
      <c r="H759" s="13" t="s">
        <v>41</v>
      </c>
      <c r="I759" s="13" t="n">
        <v>5</v>
      </c>
      <c r="J759" s="13" t="n">
        <v>0</v>
      </c>
      <c r="K759" s="13" t="s">
        <v>91</v>
      </c>
      <c r="L759" s="13" t="n">
        <v>4</v>
      </c>
      <c r="M759" s="13" t="n">
        <v>1457395.73</v>
      </c>
      <c r="N759" s="13" t="n">
        <v>364348.9325</v>
      </c>
      <c r="O759" s="13" t="n">
        <v>1202.695</v>
      </c>
      <c r="P759" s="13" t="n">
        <v>0</v>
      </c>
      <c r="Q759" s="13" t="n">
        <v>4</v>
      </c>
      <c r="R759" s="13" t="s">
        <v>101</v>
      </c>
      <c r="S759" s="13" t="s">
        <v>107</v>
      </c>
      <c r="T759" s="13" t="n">
        <v>1</v>
      </c>
      <c r="U759" s="13" t="n">
        <f aca="false">IF(B759="Individual",1,0)</f>
        <v>1</v>
      </c>
      <c r="V759" s="13" t="n">
        <f aca="false">IF(B759="Company",1,0)</f>
        <v>0</v>
      </c>
      <c r="W759" s="13" t="n">
        <f aca="false">IF(H759="Home",1,0)</f>
        <v>1</v>
      </c>
      <c r="X759" s="13" t="n">
        <f aca="false">IF(H759="Investment",1,0)</f>
        <v>0</v>
      </c>
      <c r="Y759" s="13" t="n">
        <f aca="false">IF(K759="Website",1,0)</f>
        <v>0</v>
      </c>
      <c r="Z759" s="13" t="n">
        <f aca="false">IF(K759="Agency",1,0)</f>
        <v>1</v>
      </c>
      <c r="AA759" s="13" t="n">
        <f aca="false">IF(K759="Client",1,0)</f>
        <v>0</v>
      </c>
      <c r="AB759" s="13" t="n">
        <f aca="false">(D759-AVERAGE(D$2:D$2001))/STDEV(D$2:D$2001)</f>
        <v>0.741712164944089</v>
      </c>
      <c r="AC759" s="13" t="n">
        <f aca="false">(I759-AVERAGE(I$2:I$2001))/STDEV(I$2:I$2001)</f>
        <v>1.39434968409451</v>
      </c>
      <c r="AD759" s="13" t="n">
        <f aca="false">(L759-AVERAGE(L$2:L$2001))/STDEV(L$2:L$2001)</f>
        <v>0.413838214490712</v>
      </c>
      <c r="AE759" s="13" t="n">
        <f aca="false">(M759-AVERAGE(M$2:M$2001))/STDEV(M$2:M$2001)</f>
        <v>0.566425762598381</v>
      </c>
      <c r="AF759" s="13" t="n">
        <f aca="false">(N759-AVERAGE(N$2:N$2001))/STDEV(N$2:N$2001)</f>
        <v>0.247540528658523</v>
      </c>
      <c r="AG759" s="13" t="n">
        <f aca="false">(O759-AVERAGE(O$2:O$2001))/STDEV(O$2:O$2001)</f>
        <v>0.251067126705541</v>
      </c>
      <c r="AH759" s="0" t="str">
        <f aca="false">IF(B759="Company","C3 - Corporate Buyers",IF(AND(H759="Investment",M759&gt;'Segmentation Summary'!$C$1),"C1 - Global Investors",IF(AND(I759&gt;=4,M759&gt;'Segmentation Summary'!$C$1),"C4 - Luxury Investors",IF(AND(D759&lt;'Segmentation Summary'!$C$2,J759=1),"C2 - First-Time Buyers","C5 - Other Individual Buyers"))))</f>
        <v>C4 - Luxury Investors</v>
      </c>
    </row>
    <row r="760" customFormat="false" ht="15" hidden="false" customHeight="true" outlineLevel="0" collapsed="false">
      <c r="A760" s="13" t="s">
        <v>1562</v>
      </c>
      <c r="B760" s="13" t="s">
        <v>34</v>
      </c>
      <c r="C760" s="13" t="s">
        <v>1563</v>
      </c>
      <c r="D760" s="13" t="n">
        <v>30</v>
      </c>
      <c r="E760" s="13" t="s">
        <v>90</v>
      </c>
      <c r="F760" s="13" t="s">
        <v>35</v>
      </c>
      <c r="G760" s="13" t="s">
        <v>185</v>
      </c>
      <c r="H760" s="13" t="s">
        <v>43</v>
      </c>
      <c r="I760" s="13" t="n">
        <v>1</v>
      </c>
      <c r="J760" s="13" t="n">
        <v>1</v>
      </c>
      <c r="K760" s="13" t="s">
        <v>85</v>
      </c>
      <c r="L760" s="13" t="n">
        <v>3</v>
      </c>
      <c r="M760" s="13" t="n">
        <v>968928.25</v>
      </c>
      <c r="N760" s="13" t="n">
        <v>322976.083333333</v>
      </c>
      <c r="O760" s="13" t="n">
        <v>1003.31333333333</v>
      </c>
      <c r="P760" s="13" t="n">
        <v>0</v>
      </c>
      <c r="Q760" s="13" t="n">
        <v>3</v>
      </c>
      <c r="R760" s="13" t="s">
        <v>92</v>
      </c>
      <c r="S760" s="13" t="s">
        <v>103</v>
      </c>
      <c r="T760" s="13" t="n">
        <v>1</v>
      </c>
      <c r="U760" s="13" t="n">
        <f aca="false">IF(B760="Individual",1,0)</f>
        <v>1</v>
      </c>
      <c r="V760" s="13" t="n">
        <f aca="false">IF(B760="Company",1,0)</f>
        <v>0</v>
      </c>
      <c r="W760" s="13" t="n">
        <f aca="false">IF(H760="Home",1,0)</f>
        <v>0</v>
      </c>
      <c r="X760" s="13" t="n">
        <f aca="false">IF(H760="Investment",1,0)</f>
        <v>1</v>
      </c>
      <c r="Y760" s="13" t="n">
        <f aca="false">IF(K760="Website",1,0)</f>
        <v>1</v>
      </c>
      <c r="Z760" s="13" t="n">
        <f aca="false">IF(K760="Agency",1,0)</f>
        <v>0</v>
      </c>
      <c r="AA760" s="13" t="n">
        <f aca="false">IF(K760="Client",1,0)</f>
        <v>0</v>
      </c>
      <c r="AB760" s="13" t="n">
        <f aca="false">(D760-AVERAGE(D$2:D$2001))/STDEV(D$2:D$2001)</f>
        <v>-1.39179868811751</v>
      </c>
      <c r="AC760" s="13" t="n">
        <f aca="false">(I760-AVERAGE(I$2:I$2001))/STDEV(I$2:I$2001)</f>
        <v>-1.43538077576244</v>
      </c>
      <c r="AD760" s="13" t="n">
        <f aca="false">(L760-AVERAGE(L$2:L$2001))/STDEV(L$2:L$2001)</f>
        <v>-0.777063122173208</v>
      </c>
      <c r="AE760" s="13" t="n">
        <f aca="false">(M760-AVERAGE(M$2:M$2001))/STDEV(M$2:M$2001)</f>
        <v>-0.837899759541229</v>
      </c>
      <c r="AF760" s="13" t="n">
        <f aca="false">(N760-AVERAGE(N$2:N$2001))/STDEV(N$2:N$2001)</f>
        <v>-0.345858325391013</v>
      </c>
      <c r="AG760" s="13" t="n">
        <f aca="false">(O760-AVERAGE(O$2:O$2001))/STDEV(O$2:O$2001)</f>
        <v>-0.655532188184121</v>
      </c>
      <c r="AH760" s="0" t="str">
        <f aca="false">IF(B760="Company","C3 - Corporate Buyers",IF(AND(H760="Investment",M760&gt;'Segmentation Summary'!$C$1),"C1 - Global Investors",IF(AND(I760&gt;=4,M760&gt;'Segmentation Summary'!$C$1),"C4 - Luxury Investors",IF(AND(D760&lt;'Segmentation Summary'!$C$2,J760=1),"C2 - First-Time Buyers","C5 - Other Individual Buyers"))))</f>
        <v>C2 - First-Time Buyers</v>
      </c>
    </row>
    <row r="761" customFormat="false" ht="15" hidden="false" customHeight="true" outlineLevel="0" collapsed="false">
      <c r="A761" s="13" t="s">
        <v>1564</v>
      </c>
      <c r="B761" s="13" t="s">
        <v>34</v>
      </c>
      <c r="C761" s="13" t="s">
        <v>1565</v>
      </c>
      <c r="D761" s="13" t="n">
        <v>40</v>
      </c>
      <c r="E761" s="13" t="s">
        <v>90</v>
      </c>
      <c r="F761" s="13" t="s">
        <v>33</v>
      </c>
      <c r="G761" s="13" t="s">
        <v>95</v>
      </c>
      <c r="H761" s="13" t="s">
        <v>41</v>
      </c>
      <c r="I761" s="13" t="n">
        <v>2</v>
      </c>
      <c r="J761" s="13" t="n">
        <v>1</v>
      </c>
      <c r="K761" s="13" t="s">
        <v>85</v>
      </c>
      <c r="L761" s="13" t="n">
        <v>4</v>
      </c>
      <c r="M761" s="13" t="n">
        <v>1117305.86</v>
      </c>
      <c r="N761" s="13" t="n">
        <v>279326.465</v>
      </c>
      <c r="O761" s="13" t="n">
        <v>874.6275</v>
      </c>
      <c r="P761" s="13" t="n">
        <v>0</v>
      </c>
      <c r="Q761" s="13" t="n">
        <v>4</v>
      </c>
      <c r="R761" s="13" t="s">
        <v>121</v>
      </c>
      <c r="S761" s="13" t="s">
        <v>114</v>
      </c>
      <c r="T761" s="13" t="n">
        <v>1</v>
      </c>
      <c r="U761" s="13" t="n">
        <f aca="false">IF(B761="Individual",1,0)</f>
        <v>1</v>
      </c>
      <c r="V761" s="13" t="n">
        <f aca="false">IF(B761="Company",1,0)</f>
        <v>0</v>
      </c>
      <c r="W761" s="13" t="n">
        <f aca="false">IF(H761="Home",1,0)</f>
        <v>1</v>
      </c>
      <c r="X761" s="13" t="n">
        <f aca="false">IF(H761="Investment",1,0)</f>
        <v>0</v>
      </c>
      <c r="Y761" s="13" t="n">
        <f aca="false">IF(K761="Website",1,0)</f>
        <v>1</v>
      </c>
      <c r="Z761" s="13" t="n">
        <f aca="false">IF(K761="Agency",1,0)</f>
        <v>0</v>
      </c>
      <c r="AA761" s="13" t="n">
        <f aca="false">IF(K761="Client",1,0)</f>
        <v>0</v>
      </c>
      <c r="AB761" s="13" t="n">
        <f aca="false">(D761-AVERAGE(D$2:D$2001))/STDEV(D$2:D$2001)</f>
        <v>-0.815174133235994</v>
      </c>
      <c r="AC761" s="13" t="n">
        <f aca="false">(I761-AVERAGE(I$2:I$2001))/STDEV(I$2:I$2001)</f>
        <v>-0.727948160798201</v>
      </c>
      <c r="AD761" s="13" t="n">
        <f aca="false">(L761-AVERAGE(L$2:L$2001))/STDEV(L$2:L$2001)</f>
        <v>0.413838214490712</v>
      </c>
      <c r="AE761" s="13" t="n">
        <f aca="false">(M761-AVERAGE(M$2:M$2001))/STDEV(M$2:M$2001)</f>
        <v>-0.411319745172457</v>
      </c>
      <c r="AF761" s="13" t="n">
        <f aca="false">(N761-AVERAGE(N$2:N$2001))/STDEV(N$2:N$2001)</f>
        <v>-0.971912223549125</v>
      </c>
      <c r="AG761" s="13" t="n">
        <f aca="false">(O761-AVERAGE(O$2:O$2001))/STDEV(O$2:O$2001)</f>
        <v>-1.24067369234783</v>
      </c>
      <c r="AH761" s="0" t="str">
        <f aca="false">IF(B761="Company","C3 - Corporate Buyers",IF(AND(H761="Investment",M761&gt;'Segmentation Summary'!$C$1),"C1 - Global Investors",IF(AND(I761&gt;=4,M761&gt;'Segmentation Summary'!$C$1),"C4 - Luxury Investors",IF(AND(D761&lt;'Segmentation Summary'!$C$2,J761=1),"C2 - First-Time Buyers","C5 - Other Individual Buyers"))))</f>
        <v>C2 - First-Time Buyers</v>
      </c>
    </row>
    <row r="762" customFormat="false" ht="15" hidden="false" customHeight="true" outlineLevel="0" collapsed="false">
      <c r="A762" s="13" t="s">
        <v>1566</v>
      </c>
      <c r="B762" s="13" t="s">
        <v>34</v>
      </c>
      <c r="C762" s="13" t="s">
        <v>1567</v>
      </c>
      <c r="D762" s="13" t="n">
        <v>71</v>
      </c>
      <c r="E762" s="13" t="s">
        <v>90</v>
      </c>
      <c r="F762" s="13" t="s">
        <v>33</v>
      </c>
      <c r="G762" s="13" t="s">
        <v>106</v>
      </c>
      <c r="H762" s="13" t="s">
        <v>41</v>
      </c>
      <c r="I762" s="13" t="n">
        <v>5</v>
      </c>
      <c r="J762" s="13" t="n">
        <v>0</v>
      </c>
      <c r="K762" s="13" t="s">
        <v>85</v>
      </c>
      <c r="L762" s="13" t="n">
        <v>3</v>
      </c>
      <c r="M762" s="13" t="n">
        <v>1011195.98</v>
      </c>
      <c r="N762" s="13" t="n">
        <v>337065.326666667</v>
      </c>
      <c r="O762" s="13" t="n">
        <v>1164.97666666667</v>
      </c>
      <c r="P762" s="13" t="n">
        <v>0</v>
      </c>
      <c r="Q762" s="13" t="n">
        <v>3</v>
      </c>
      <c r="R762" s="13" t="s">
        <v>92</v>
      </c>
      <c r="S762" s="13" t="s">
        <v>107</v>
      </c>
      <c r="T762" s="13" t="n">
        <v>1</v>
      </c>
      <c r="U762" s="13" t="n">
        <f aca="false">IF(B762="Individual",1,0)</f>
        <v>1</v>
      </c>
      <c r="V762" s="13" t="n">
        <f aca="false">IF(B762="Company",1,0)</f>
        <v>0</v>
      </c>
      <c r="W762" s="13" t="n">
        <f aca="false">IF(H762="Home",1,0)</f>
        <v>1</v>
      </c>
      <c r="X762" s="13" t="n">
        <f aca="false">IF(H762="Investment",1,0)</f>
        <v>0</v>
      </c>
      <c r="Y762" s="13" t="n">
        <f aca="false">IF(K762="Website",1,0)</f>
        <v>1</v>
      </c>
      <c r="Z762" s="13" t="n">
        <f aca="false">IF(K762="Agency",1,0)</f>
        <v>0</v>
      </c>
      <c r="AA762" s="13" t="n">
        <f aca="false">IF(K762="Client",1,0)</f>
        <v>0</v>
      </c>
      <c r="AB762" s="13" t="n">
        <f aca="false">(D762-AVERAGE(D$2:D$2001))/STDEV(D$2:D$2001)</f>
        <v>0.972361986896694</v>
      </c>
      <c r="AC762" s="13" t="n">
        <f aca="false">(I762-AVERAGE(I$2:I$2001))/STDEV(I$2:I$2001)</f>
        <v>1.39434968409451</v>
      </c>
      <c r="AD762" s="13" t="n">
        <f aca="false">(L762-AVERAGE(L$2:L$2001))/STDEV(L$2:L$2001)</f>
        <v>-0.777063122173208</v>
      </c>
      <c r="AE762" s="13" t="n">
        <f aca="false">(M762-AVERAGE(M$2:M$2001))/STDEV(M$2:M$2001)</f>
        <v>-0.716381635137316</v>
      </c>
      <c r="AF762" s="13" t="n">
        <f aca="false">(N762-AVERAGE(N$2:N$2001))/STDEV(N$2:N$2001)</f>
        <v>-0.143780368063353</v>
      </c>
      <c r="AG762" s="13" t="n">
        <f aca="false">(O762-AVERAGE(O$2:O$2001))/STDEV(O$2:O$2001)</f>
        <v>0.0795598074496272</v>
      </c>
      <c r="AH762" s="0" t="str">
        <f aca="false">IF(B762="Company","C3 - Corporate Buyers",IF(AND(H762="Investment",M762&gt;'Segmentation Summary'!$C$1),"C1 - Global Investors",IF(AND(I762&gt;=4,M762&gt;'Segmentation Summary'!$C$1),"C4 - Luxury Investors",IF(AND(D762&lt;'Segmentation Summary'!$C$2,J762=1),"C2 - First-Time Buyers","C5 - Other Individual Buyers"))))</f>
        <v>C5 - Other Individual Buyers</v>
      </c>
    </row>
    <row r="763" customFormat="false" ht="15" hidden="false" customHeight="true" outlineLevel="0" collapsed="false">
      <c r="A763" s="13" t="s">
        <v>1568</v>
      </c>
      <c r="B763" s="13" t="s">
        <v>34</v>
      </c>
      <c r="C763" s="13" t="s">
        <v>1569</v>
      </c>
      <c r="D763" s="13" t="n">
        <v>73</v>
      </c>
      <c r="E763" s="13" t="s">
        <v>90</v>
      </c>
      <c r="F763" s="13" t="s">
        <v>33</v>
      </c>
      <c r="G763" s="13" t="s">
        <v>120</v>
      </c>
      <c r="H763" s="13" t="s">
        <v>41</v>
      </c>
      <c r="I763" s="13" t="n">
        <v>5</v>
      </c>
      <c r="J763" s="13" t="n">
        <v>0</v>
      </c>
      <c r="K763" s="13" t="s">
        <v>91</v>
      </c>
      <c r="L763" s="13" t="n">
        <v>3</v>
      </c>
      <c r="M763" s="13" t="n">
        <v>1056549.47</v>
      </c>
      <c r="N763" s="13" t="n">
        <v>352183.156666667</v>
      </c>
      <c r="O763" s="13" t="n">
        <v>1240.60666666667</v>
      </c>
      <c r="P763" s="13" t="n">
        <v>1</v>
      </c>
      <c r="Q763" s="13" t="n">
        <v>2</v>
      </c>
      <c r="R763" s="13" t="s">
        <v>117</v>
      </c>
      <c r="S763" s="13" t="s">
        <v>124</v>
      </c>
      <c r="T763" s="13" t="n">
        <v>1</v>
      </c>
      <c r="U763" s="13" t="n">
        <f aca="false">IF(B763="Individual",1,0)</f>
        <v>1</v>
      </c>
      <c r="V763" s="13" t="n">
        <f aca="false">IF(B763="Company",1,0)</f>
        <v>0</v>
      </c>
      <c r="W763" s="13" t="n">
        <f aca="false">IF(H763="Home",1,0)</f>
        <v>1</v>
      </c>
      <c r="X763" s="13" t="n">
        <f aca="false">IF(H763="Investment",1,0)</f>
        <v>0</v>
      </c>
      <c r="Y763" s="13" t="n">
        <f aca="false">IF(K763="Website",1,0)</f>
        <v>0</v>
      </c>
      <c r="Z763" s="13" t="n">
        <f aca="false">IF(K763="Agency",1,0)</f>
        <v>1</v>
      </c>
      <c r="AA763" s="13" t="n">
        <f aca="false">IF(K763="Client",1,0)</f>
        <v>0</v>
      </c>
      <c r="AB763" s="13" t="n">
        <f aca="false">(D763-AVERAGE(D$2:D$2001))/STDEV(D$2:D$2001)</f>
        <v>1.087686897873</v>
      </c>
      <c r="AC763" s="13" t="n">
        <f aca="false">(I763-AVERAGE(I$2:I$2001))/STDEV(I$2:I$2001)</f>
        <v>1.39434968409451</v>
      </c>
      <c r="AD763" s="13" t="n">
        <f aca="false">(L763-AVERAGE(L$2:L$2001))/STDEV(L$2:L$2001)</f>
        <v>-0.777063122173208</v>
      </c>
      <c r="AE763" s="13" t="n">
        <f aca="false">(M763-AVERAGE(M$2:M$2001))/STDEV(M$2:M$2001)</f>
        <v>-0.585992067493829</v>
      </c>
      <c r="AF763" s="13" t="n">
        <f aca="false">(N763-AVERAGE(N$2:N$2001))/STDEV(N$2:N$2001)</f>
        <v>0.0730503114380077</v>
      </c>
      <c r="AG763" s="13" t="n">
        <f aca="false">(O763-AVERAGE(O$2:O$2001))/STDEV(O$2:O$2001)</f>
        <v>0.423453543174763</v>
      </c>
      <c r="AH763" s="0" t="str">
        <f aca="false">IF(B763="Company","C3 - Corporate Buyers",IF(AND(H763="Investment",M763&gt;'Segmentation Summary'!$C$1),"C1 - Global Investors",IF(AND(I763&gt;=4,M763&gt;'Segmentation Summary'!$C$1),"C4 - Luxury Investors",IF(AND(D763&lt;'Segmentation Summary'!$C$2,J763=1),"C2 - First-Time Buyers","C5 - Other Individual Buyers"))))</f>
        <v>C5 - Other Individual Buyers</v>
      </c>
    </row>
    <row r="764" customFormat="false" ht="15" hidden="false" customHeight="true" outlineLevel="0" collapsed="false">
      <c r="A764" s="13" t="s">
        <v>1570</v>
      </c>
      <c r="B764" s="13" t="s">
        <v>34</v>
      </c>
      <c r="C764" s="13" t="s">
        <v>1571</v>
      </c>
      <c r="D764" s="13" t="n">
        <v>80</v>
      </c>
      <c r="E764" s="13" t="s">
        <v>90</v>
      </c>
      <c r="F764" s="13" t="s">
        <v>33</v>
      </c>
      <c r="G764" s="13" t="s">
        <v>95</v>
      </c>
      <c r="H764" s="13" t="s">
        <v>41</v>
      </c>
      <c r="I764" s="13" t="n">
        <v>5</v>
      </c>
      <c r="J764" s="13" t="n">
        <v>0</v>
      </c>
      <c r="K764" s="13" t="s">
        <v>85</v>
      </c>
      <c r="L764" s="13" t="n">
        <v>4</v>
      </c>
      <c r="M764" s="13" t="n">
        <v>1507966.87</v>
      </c>
      <c r="N764" s="13" t="n">
        <v>376991.7175</v>
      </c>
      <c r="O764" s="13" t="n">
        <v>1294.645</v>
      </c>
      <c r="P764" s="13" t="n">
        <v>0</v>
      </c>
      <c r="Q764" s="13" t="n">
        <v>4</v>
      </c>
      <c r="R764" s="13" t="s">
        <v>101</v>
      </c>
      <c r="S764" s="13" t="s">
        <v>135</v>
      </c>
      <c r="T764" s="13" t="n">
        <v>1</v>
      </c>
      <c r="U764" s="13" t="n">
        <f aca="false">IF(B764="Individual",1,0)</f>
        <v>1</v>
      </c>
      <c r="V764" s="13" t="n">
        <f aca="false">IF(B764="Company",1,0)</f>
        <v>0</v>
      </c>
      <c r="W764" s="13" t="n">
        <f aca="false">IF(H764="Home",1,0)</f>
        <v>1</v>
      </c>
      <c r="X764" s="13" t="n">
        <f aca="false">IF(H764="Investment",1,0)</f>
        <v>0</v>
      </c>
      <c r="Y764" s="13" t="n">
        <f aca="false">IF(K764="Website",1,0)</f>
        <v>1</v>
      </c>
      <c r="Z764" s="13" t="n">
        <f aca="false">IF(K764="Agency",1,0)</f>
        <v>0</v>
      </c>
      <c r="AA764" s="13" t="n">
        <f aca="false">IF(K764="Client",1,0)</f>
        <v>0</v>
      </c>
      <c r="AB764" s="13" t="n">
        <f aca="false">(D764-AVERAGE(D$2:D$2001))/STDEV(D$2:D$2001)</f>
        <v>1.49132408629005</v>
      </c>
      <c r="AC764" s="13" t="n">
        <f aca="false">(I764-AVERAGE(I$2:I$2001))/STDEV(I$2:I$2001)</f>
        <v>1.39434968409451</v>
      </c>
      <c r="AD764" s="13" t="n">
        <f aca="false">(L764-AVERAGE(L$2:L$2001))/STDEV(L$2:L$2001)</f>
        <v>0.413838214490712</v>
      </c>
      <c r="AE764" s="13" t="n">
        <f aca="false">(M764-AVERAGE(M$2:M$2001))/STDEV(M$2:M$2001)</f>
        <v>0.711815876563994</v>
      </c>
      <c r="AF764" s="13" t="n">
        <f aca="false">(N764-AVERAGE(N$2:N$2001))/STDEV(N$2:N$2001)</f>
        <v>0.428872350906796</v>
      </c>
      <c r="AG764" s="13" t="n">
        <f aca="false">(O764-AVERAGE(O$2:O$2001))/STDEV(O$2:O$2001)</f>
        <v>0.66916879271012</v>
      </c>
      <c r="AH764" s="0" t="str">
        <f aca="false">IF(B764="Company","C3 - Corporate Buyers",IF(AND(H764="Investment",M764&gt;'Segmentation Summary'!$C$1),"C1 - Global Investors",IF(AND(I764&gt;=4,M764&gt;'Segmentation Summary'!$C$1),"C4 - Luxury Investors",IF(AND(D764&lt;'Segmentation Summary'!$C$2,J764=1),"C2 - First-Time Buyers","C5 - Other Individual Buyers"))))</f>
        <v>C4 - Luxury Investors</v>
      </c>
    </row>
    <row r="765" customFormat="false" ht="15" hidden="false" customHeight="true" outlineLevel="0" collapsed="false">
      <c r="A765" s="13" t="s">
        <v>1572</v>
      </c>
      <c r="B765" s="13" t="s">
        <v>34</v>
      </c>
      <c r="C765" s="13" t="s">
        <v>1573</v>
      </c>
      <c r="D765" s="13" t="n">
        <v>62</v>
      </c>
      <c r="E765" s="13" t="s">
        <v>90</v>
      </c>
      <c r="F765" s="13" t="s">
        <v>33</v>
      </c>
      <c r="G765" s="13" t="s">
        <v>157</v>
      </c>
      <c r="H765" s="13" t="s">
        <v>41</v>
      </c>
      <c r="I765" s="13" t="n">
        <v>3</v>
      </c>
      <c r="J765" s="13" t="n">
        <v>0</v>
      </c>
      <c r="K765" s="13" t="s">
        <v>91</v>
      </c>
      <c r="L765" s="13" t="n">
        <v>4</v>
      </c>
      <c r="M765" s="13" t="n">
        <v>984451.32</v>
      </c>
      <c r="N765" s="13" t="n">
        <v>246112.83</v>
      </c>
      <c r="O765" s="13" t="n">
        <v>838.2925</v>
      </c>
      <c r="P765" s="13" t="n">
        <v>0</v>
      </c>
      <c r="Q765" s="13" t="n">
        <v>4</v>
      </c>
      <c r="R765" s="13" t="s">
        <v>150</v>
      </c>
      <c r="S765" s="13" t="s">
        <v>154</v>
      </c>
      <c r="T765" s="13" t="n">
        <v>1</v>
      </c>
      <c r="U765" s="13" t="n">
        <f aca="false">IF(B765="Individual",1,0)</f>
        <v>1</v>
      </c>
      <c r="V765" s="13" t="n">
        <f aca="false">IF(B765="Company",1,0)</f>
        <v>0</v>
      </c>
      <c r="W765" s="13" t="n">
        <f aca="false">IF(H765="Home",1,0)</f>
        <v>1</v>
      </c>
      <c r="X765" s="13" t="n">
        <f aca="false">IF(H765="Investment",1,0)</f>
        <v>0</v>
      </c>
      <c r="Y765" s="13" t="n">
        <f aca="false">IF(K765="Website",1,0)</f>
        <v>0</v>
      </c>
      <c r="Z765" s="13" t="n">
        <f aca="false">IF(K765="Agency",1,0)</f>
        <v>1</v>
      </c>
      <c r="AA765" s="13" t="n">
        <f aca="false">IF(K765="Client",1,0)</f>
        <v>0</v>
      </c>
      <c r="AB765" s="13" t="n">
        <f aca="false">(D765-AVERAGE(D$2:D$2001))/STDEV(D$2:D$2001)</f>
        <v>0.453399887503333</v>
      </c>
      <c r="AC765" s="13" t="n">
        <f aca="false">(I765-AVERAGE(I$2:I$2001))/STDEV(I$2:I$2001)</f>
        <v>-0.0205155458339628</v>
      </c>
      <c r="AD765" s="13" t="n">
        <f aca="false">(L765-AVERAGE(L$2:L$2001))/STDEV(L$2:L$2001)</f>
        <v>0.413838214490712</v>
      </c>
      <c r="AE765" s="13" t="n">
        <f aca="false">(M765-AVERAGE(M$2:M$2001))/STDEV(M$2:M$2001)</f>
        <v>-0.793271520660394</v>
      </c>
      <c r="AF765" s="13" t="n">
        <f aca="false">(N765-AVERAGE(N$2:N$2001))/STDEV(N$2:N$2001)</f>
        <v>-1.44828581987612</v>
      </c>
      <c r="AG765" s="13" t="n">
        <f aca="false">(O765-AVERAGE(O$2:O$2001))/STDEV(O$2:O$2001)</f>
        <v>-1.40589091947427</v>
      </c>
      <c r="AH765" s="0" t="str">
        <f aca="false">IF(B765="Company","C3 - Corporate Buyers",IF(AND(H765="Investment",M765&gt;'Segmentation Summary'!$C$1),"C1 - Global Investors",IF(AND(I765&gt;=4,M765&gt;'Segmentation Summary'!$C$1),"C4 - Luxury Investors",IF(AND(D765&lt;'Segmentation Summary'!$C$2,J765=1),"C2 - First-Time Buyers","C5 - Other Individual Buyers"))))</f>
        <v>C5 - Other Individual Buyers</v>
      </c>
    </row>
    <row r="766" customFormat="false" ht="15" hidden="false" customHeight="true" outlineLevel="0" collapsed="false">
      <c r="A766" s="13" t="s">
        <v>1574</v>
      </c>
      <c r="B766" s="13" t="s">
        <v>34</v>
      </c>
      <c r="C766" s="13" t="s">
        <v>1575</v>
      </c>
      <c r="D766" s="13" t="n">
        <v>45</v>
      </c>
      <c r="E766" s="13" t="s">
        <v>90</v>
      </c>
      <c r="F766" s="13" t="s">
        <v>33</v>
      </c>
      <c r="G766" s="13" t="s">
        <v>145</v>
      </c>
      <c r="H766" s="13" t="s">
        <v>43</v>
      </c>
      <c r="I766" s="13" t="n">
        <v>1</v>
      </c>
      <c r="J766" s="13" t="n">
        <v>1</v>
      </c>
      <c r="K766" s="13" t="s">
        <v>91</v>
      </c>
      <c r="L766" s="13" t="n">
        <v>3</v>
      </c>
      <c r="M766" s="13" t="n">
        <v>674304.95</v>
      </c>
      <c r="N766" s="13" t="n">
        <v>224768.316666667</v>
      </c>
      <c r="O766" s="13" t="n">
        <v>839.143333333333</v>
      </c>
      <c r="P766" s="13" t="n">
        <v>0</v>
      </c>
      <c r="Q766" s="13" t="n">
        <v>3</v>
      </c>
      <c r="R766" s="13" t="s">
        <v>101</v>
      </c>
      <c r="S766" s="13" t="s">
        <v>93</v>
      </c>
      <c r="T766" s="13" t="n">
        <v>1</v>
      </c>
      <c r="U766" s="13" t="n">
        <f aca="false">IF(B766="Individual",1,0)</f>
        <v>1</v>
      </c>
      <c r="V766" s="13" t="n">
        <f aca="false">IF(B766="Company",1,0)</f>
        <v>0</v>
      </c>
      <c r="W766" s="13" t="n">
        <f aca="false">IF(H766="Home",1,0)</f>
        <v>0</v>
      </c>
      <c r="X766" s="13" t="n">
        <f aca="false">IF(H766="Investment",1,0)</f>
        <v>1</v>
      </c>
      <c r="Y766" s="13" t="n">
        <f aca="false">IF(K766="Website",1,0)</f>
        <v>0</v>
      </c>
      <c r="Z766" s="13" t="n">
        <f aca="false">IF(K766="Agency",1,0)</f>
        <v>1</v>
      </c>
      <c r="AA766" s="13" t="n">
        <f aca="false">IF(K766="Client",1,0)</f>
        <v>0</v>
      </c>
      <c r="AB766" s="13" t="n">
        <f aca="false">(D766-AVERAGE(D$2:D$2001))/STDEV(D$2:D$2001)</f>
        <v>-0.526861855795238</v>
      </c>
      <c r="AC766" s="13" t="n">
        <f aca="false">(I766-AVERAGE(I$2:I$2001))/STDEV(I$2:I$2001)</f>
        <v>-1.43538077576244</v>
      </c>
      <c r="AD766" s="13" t="n">
        <f aca="false">(L766-AVERAGE(L$2:L$2001))/STDEV(L$2:L$2001)</f>
        <v>-0.777063122173208</v>
      </c>
      <c r="AE766" s="13" t="n">
        <f aca="false">(M766-AVERAGE(M$2:M$2001))/STDEV(M$2:M$2001)</f>
        <v>-1.68493059894736</v>
      </c>
      <c r="AF766" s="13" t="n">
        <f aca="false">(N766-AVERAGE(N$2:N$2001))/STDEV(N$2:N$2001)</f>
        <v>-1.75442402421447</v>
      </c>
      <c r="AG766" s="13" t="n">
        <f aca="false">(O766-AVERAGE(O$2:O$2001))/STDEV(O$2:O$2001)</f>
        <v>-1.40202213389342</v>
      </c>
      <c r="AH766" s="0" t="str">
        <f aca="false">IF(B766="Company","C3 - Corporate Buyers",IF(AND(H766="Investment",M766&gt;'Segmentation Summary'!$C$1),"C1 - Global Investors",IF(AND(I766&gt;=4,M766&gt;'Segmentation Summary'!$C$1),"C4 - Luxury Investors",IF(AND(D766&lt;'Segmentation Summary'!$C$2,J766=1),"C2 - First-Time Buyers","C5 - Other Individual Buyers"))))</f>
        <v>C2 - First-Time Buyers</v>
      </c>
    </row>
    <row r="767" customFormat="false" ht="15" hidden="false" customHeight="true" outlineLevel="0" collapsed="false">
      <c r="A767" s="13" t="s">
        <v>1576</v>
      </c>
      <c r="B767" s="13" t="s">
        <v>34</v>
      </c>
      <c r="C767" s="13" t="s">
        <v>1577</v>
      </c>
      <c r="D767" s="13" t="n">
        <v>40</v>
      </c>
      <c r="E767" s="13" t="s">
        <v>90</v>
      </c>
      <c r="F767" s="13" t="s">
        <v>33</v>
      </c>
      <c r="G767" s="13" t="s">
        <v>84</v>
      </c>
      <c r="H767" s="13" t="s">
        <v>43</v>
      </c>
      <c r="I767" s="13" t="n">
        <v>4</v>
      </c>
      <c r="J767" s="13" t="n">
        <v>1</v>
      </c>
      <c r="K767" s="13" t="s">
        <v>85</v>
      </c>
      <c r="L767" s="13" t="n">
        <v>3</v>
      </c>
      <c r="M767" s="13" t="n">
        <v>1018594.44</v>
      </c>
      <c r="N767" s="13" t="n">
        <v>339531.48</v>
      </c>
      <c r="O767" s="13" t="n">
        <v>1104.51</v>
      </c>
      <c r="P767" s="13" t="n">
        <v>1</v>
      </c>
      <c r="Q767" s="13" t="n">
        <v>2</v>
      </c>
      <c r="R767" s="13" t="s">
        <v>117</v>
      </c>
      <c r="S767" s="13" t="s">
        <v>107</v>
      </c>
      <c r="T767" s="13" t="n">
        <v>1</v>
      </c>
      <c r="U767" s="13" t="n">
        <f aca="false">IF(B767="Individual",1,0)</f>
        <v>1</v>
      </c>
      <c r="V767" s="13" t="n">
        <f aca="false">IF(B767="Company",1,0)</f>
        <v>0</v>
      </c>
      <c r="W767" s="13" t="n">
        <f aca="false">IF(H767="Home",1,0)</f>
        <v>0</v>
      </c>
      <c r="X767" s="13" t="n">
        <f aca="false">IF(H767="Investment",1,0)</f>
        <v>1</v>
      </c>
      <c r="Y767" s="13" t="n">
        <f aca="false">IF(K767="Website",1,0)</f>
        <v>1</v>
      </c>
      <c r="Z767" s="13" t="n">
        <f aca="false">IF(K767="Agency",1,0)</f>
        <v>0</v>
      </c>
      <c r="AA767" s="13" t="n">
        <f aca="false">IF(K767="Client",1,0)</f>
        <v>0</v>
      </c>
      <c r="AB767" s="13" t="n">
        <f aca="false">(D767-AVERAGE(D$2:D$2001))/STDEV(D$2:D$2001)</f>
        <v>-0.815174133235994</v>
      </c>
      <c r="AC767" s="13" t="n">
        <f aca="false">(I767-AVERAGE(I$2:I$2001))/STDEV(I$2:I$2001)</f>
        <v>0.686917069130275</v>
      </c>
      <c r="AD767" s="13" t="n">
        <f aca="false">(L767-AVERAGE(L$2:L$2001))/STDEV(L$2:L$2001)</f>
        <v>-0.777063122173208</v>
      </c>
      <c r="AE767" s="13" t="n">
        <f aca="false">(M767-AVERAGE(M$2:M$2001))/STDEV(M$2:M$2001)</f>
        <v>-0.695111342583697</v>
      </c>
      <c r="AF767" s="13" t="n">
        <f aca="false">(N767-AVERAGE(N$2:N$2001))/STDEV(N$2:N$2001)</f>
        <v>-0.108409041423145</v>
      </c>
      <c r="AG767" s="13" t="n">
        <f aca="false">(O767-AVERAGE(O$2:O$2001))/STDEV(O$2:O$2001)</f>
        <v>-0.195385424427244</v>
      </c>
      <c r="AH767" s="0" t="str">
        <f aca="false">IF(B767="Company","C3 - Corporate Buyers",IF(AND(H767="Investment",M767&gt;'Segmentation Summary'!$C$1),"C1 - Global Investors",IF(AND(I767&gt;=4,M767&gt;'Segmentation Summary'!$C$1),"C4 - Luxury Investors",IF(AND(D767&lt;'Segmentation Summary'!$C$2,J767=1),"C2 - First-Time Buyers","C5 - Other Individual Buyers"))))</f>
        <v>C2 - First-Time Buyers</v>
      </c>
    </row>
    <row r="768" customFormat="false" ht="15" hidden="false" customHeight="true" outlineLevel="0" collapsed="false">
      <c r="A768" s="13" t="s">
        <v>1578</v>
      </c>
      <c r="B768" s="13" t="s">
        <v>34</v>
      </c>
      <c r="C768" s="13" t="s">
        <v>1579</v>
      </c>
      <c r="D768" s="13" t="n">
        <v>50</v>
      </c>
      <c r="E768" s="13" t="s">
        <v>83</v>
      </c>
      <c r="F768" s="13" t="s">
        <v>35</v>
      </c>
      <c r="G768" s="13" t="s">
        <v>185</v>
      </c>
      <c r="H768" s="13" t="s">
        <v>43</v>
      </c>
      <c r="I768" s="13" t="n">
        <v>4</v>
      </c>
      <c r="J768" s="13" t="n">
        <v>0</v>
      </c>
      <c r="K768" s="13" t="s">
        <v>91</v>
      </c>
      <c r="L768" s="13" t="n">
        <v>4</v>
      </c>
      <c r="M768" s="13" t="n">
        <v>1448881.28</v>
      </c>
      <c r="N768" s="13" t="n">
        <v>362220.32</v>
      </c>
      <c r="O768" s="13" t="n">
        <v>1095.85</v>
      </c>
      <c r="P768" s="13" t="n">
        <v>0</v>
      </c>
      <c r="Q768" s="13" t="n">
        <v>4</v>
      </c>
      <c r="R768" s="13" t="s">
        <v>101</v>
      </c>
      <c r="S768" s="13" t="s">
        <v>93</v>
      </c>
      <c r="T768" s="13" t="n">
        <v>1</v>
      </c>
      <c r="U768" s="13" t="n">
        <f aca="false">IF(B768="Individual",1,0)</f>
        <v>1</v>
      </c>
      <c r="V768" s="13" t="n">
        <f aca="false">IF(B768="Company",1,0)</f>
        <v>0</v>
      </c>
      <c r="W768" s="13" t="n">
        <f aca="false">IF(H768="Home",1,0)</f>
        <v>0</v>
      </c>
      <c r="X768" s="13" t="n">
        <f aca="false">IF(H768="Investment",1,0)</f>
        <v>1</v>
      </c>
      <c r="Y768" s="13" t="n">
        <f aca="false">IF(K768="Website",1,0)</f>
        <v>0</v>
      </c>
      <c r="Z768" s="13" t="n">
        <f aca="false">IF(K768="Agency",1,0)</f>
        <v>1</v>
      </c>
      <c r="AA768" s="13" t="n">
        <f aca="false">IF(K768="Client",1,0)</f>
        <v>0</v>
      </c>
      <c r="AB768" s="13" t="n">
        <f aca="false">(D768-AVERAGE(D$2:D$2001))/STDEV(D$2:D$2001)</f>
        <v>-0.238549578354482</v>
      </c>
      <c r="AC768" s="13" t="n">
        <f aca="false">(I768-AVERAGE(I$2:I$2001))/STDEV(I$2:I$2001)</f>
        <v>0.686917069130275</v>
      </c>
      <c r="AD768" s="13" t="n">
        <f aca="false">(L768-AVERAGE(L$2:L$2001))/STDEV(L$2:L$2001)</f>
        <v>0.413838214490712</v>
      </c>
      <c r="AE768" s="13" t="n">
        <f aca="false">(M768-AVERAGE(M$2:M$2001))/STDEV(M$2:M$2001)</f>
        <v>0.541947041022113</v>
      </c>
      <c r="AF768" s="13" t="n">
        <f aca="false">(N768-AVERAGE(N$2:N$2001))/STDEV(N$2:N$2001)</f>
        <v>0.217010452928733</v>
      </c>
      <c r="AG768" s="13" t="n">
        <f aca="false">(O768-AVERAGE(O$2:O$2001))/STDEV(O$2:O$2001)</f>
        <v>-0.234762916842684</v>
      </c>
      <c r="AH768" s="0" t="str">
        <f aca="false">IF(B768="Company","C3 - Corporate Buyers",IF(AND(H768="Investment",M768&gt;'Segmentation Summary'!$C$1),"C1 - Global Investors",IF(AND(I768&gt;=4,M768&gt;'Segmentation Summary'!$C$1),"C4 - Luxury Investors",IF(AND(D768&lt;'Segmentation Summary'!$C$2,J768=1),"C2 - First-Time Buyers","C5 - Other Individual Buyers"))))</f>
        <v>C1 - Global Investors</v>
      </c>
    </row>
    <row r="769" customFormat="false" ht="15" hidden="false" customHeight="true" outlineLevel="0" collapsed="false">
      <c r="A769" s="13" t="s">
        <v>1580</v>
      </c>
      <c r="B769" s="13" t="s">
        <v>34</v>
      </c>
      <c r="C769" s="13" t="s">
        <v>1581</v>
      </c>
      <c r="D769" s="13" t="n">
        <v>34</v>
      </c>
      <c r="E769" s="13" t="s">
        <v>90</v>
      </c>
      <c r="F769" s="13" t="s">
        <v>33</v>
      </c>
      <c r="G769" s="13" t="s">
        <v>95</v>
      </c>
      <c r="H769" s="13" t="s">
        <v>41</v>
      </c>
      <c r="I769" s="13" t="n">
        <v>3</v>
      </c>
      <c r="J769" s="13" t="n">
        <v>1</v>
      </c>
      <c r="K769" s="13" t="s">
        <v>85</v>
      </c>
      <c r="L769" s="13" t="n">
        <v>4</v>
      </c>
      <c r="M769" s="13" t="n">
        <v>1052676.65</v>
      </c>
      <c r="N769" s="13" t="n">
        <v>263169.1625</v>
      </c>
      <c r="O769" s="13" t="n">
        <v>911.0425</v>
      </c>
      <c r="P769" s="13" t="n">
        <v>0</v>
      </c>
      <c r="Q769" s="13" t="n">
        <v>4</v>
      </c>
      <c r="R769" s="13" t="s">
        <v>117</v>
      </c>
      <c r="S769" s="13" t="s">
        <v>87</v>
      </c>
      <c r="T769" s="13" t="n">
        <v>1</v>
      </c>
      <c r="U769" s="13" t="n">
        <f aca="false">IF(B769="Individual",1,0)</f>
        <v>1</v>
      </c>
      <c r="V769" s="13" t="n">
        <f aca="false">IF(B769="Company",1,0)</f>
        <v>0</v>
      </c>
      <c r="W769" s="13" t="n">
        <f aca="false">IF(H769="Home",1,0)</f>
        <v>1</v>
      </c>
      <c r="X769" s="13" t="n">
        <f aca="false">IF(H769="Investment",1,0)</f>
        <v>0</v>
      </c>
      <c r="Y769" s="13" t="n">
        <f aca="false">IF(K769="Website",1,0)</f>
        <v>1</v>
      </c>
      <c r="Z769" s="13" t="n">
        <f aca="false">IF(K769="Agency",1,0)</f>
        <v>0</v>
      </c>
      <c r="AA769" s="13" t="n">
        <f aca="false">IF(K769="Client",1,0)</f>
        <v>0</v>
      </c>
      <c r="AB769" s="13" t="n">
        <f aca="false">(D769-AVERAGE(D$2:D$2001))/STDEV(D$2:D$2001)</f>
        <v>-1.1611488661649</v>
      </c>
      <c r="AC769" s="13" t="n">
        <f aca="false">(I769-AVERAGE(I$2:I$2001))/STDEV(I$2:I$2001)</f>
        <v>-0.0205155458339628</v>
      </c>
      <c r="AD769" s="13" t="n">
        <f aca="false">(L769-AVERAGE(L$2:L$2001))/STDEV(L$2:L$2001)</f>
        <v>0.413838214490712</v>
      </c>
      <c r="AE769" s="13" t="n">
        <f aca="false">(M769-AVERAGE(M$2:M$2001))/STDEV(M$2:M$2001)</f>
        <v>-0.597126278452259</v>
      </c>
      <c r="AF769" s="13" t="n">
        <f aca="false">(N769-AVERAGE(N$2:N$2001))/STDEV(N$2:N$2001)</f>
        <v>-1.20365175759495</v>
      </c>
      <c r="AG769" s="13" t="n">
        <f aca="false">(O769-AVERAGE(O$2:O$2001))/STDEV(O$2:O$2001)</f>
        <v>-1.07509270085727</v>
      </c>
      <c r="AH769" s="0" t="str">
        <f aca="false">IF(B769="Company","C3 - Corporate Buyers",IF(AND(H769="Investment",M769&gt;'Segmentation Summary'!$C$1),"C1 - Global Investors",IF(AND(I769&gt;=4,M769&gt;'Segmentation Summary'!$C$1),"C4 - Luxury Investors",IF(AND(D769&lt;'Segmentation Summary'!$C$2,J769=1),"C2 - First-Time Buyers","C5 - Other Individual Buyers"))))</f>
        <v>C2 - First-Time Buyers</v>
      </c>
    </row>
    <row r="770" customFormat="false" ht="15" hidden="false" customHeight="true" outlineLevel="0" collapsed="false">
      <c r="A770" s="13" t="s">
        <v>1582</v>
      </c>
      <c r="B770" s="13" t="s">
        <v>34</v>
      </c>
      <c r="C770" s="13" t="s">
        <v>1583</v>
      </c>
      <c r="D770" s="13" t="n">
        <v>48</v>
      </c>
      <c r="E770" s="13" t="s">
        <v>90</v>
      </c>
      <c r="F770" s="13" t="s">
        <v>33</v>
      </c>
      <c r="G770" s="13" t="s">
        <v>162</v>
      </c>
      <c r="H770" s="13" t="s">
        <v>43</v>
      </c>
      <c r="I770" s="13" t="n">
        <v>4</v>
      </c>
      <c r="J770" s="13" t="n">
        <v>0</v>
      </c>
      <c r="K770" s="13" t="s">
        <v>85</v>
      </c>
      <c r="L770" s="13" t="n">
        <v>4</v>
      </c>
      <c r="M770" s="13" t="n">
        <v>1109440.17</v>
      </c>
      <c r="N770" s="13" t="n">
        <v>277360.0425</v>
      </c>
      <c r="O770" s="13" t="n">
        <v>883.4825</v>
      </c>
      <c r="P770" s="13" t="n">
        <v>0</v>
      </c>
      <c r="Q770" s="13" t="n">
        <v>4</v>
      </c>
      <c r="R770" s="13" t="s">
        <v>86</v>
      </c>
      <c r="S770" s="13" t="s">
        <v>87</v>
      </c>
      <c r="T770" s="13" t="n">
        <v>1</v>
      </c>
      <c r="U770" s="13" t="n">
        <f aca="false">IF(B770="Individual",1,0)</f>
        <v>1</v>
      </c>
      <c r="V770" s="13" t="n">
        <f aca="false">IF(B770="Company",1,0)</f>
        <v>0</v>
      </c>
      <c r="W770" s="13" t="n">
        <f aca="false">IF(H770="Home",1,0)</f>
        <v>0</v>
      </c>
      <c r="X770" s="13" t="n">
        <f aca="false">IF(H770="Investment",1,0)</f>
        <v>1</v>
      </c>
      <c r="Y770" s="13" t="n">
        <f aca="false">IF(K770="Website",1,0)</f>
        <v>1</v>
      </c>
      <c r="Z770" s="13" t="n">
        <f aca="false">IF(K770="Agency",1,0)</f>
        <v>0</v>
      </c>
      <c r="AA770" s="13" t="n">
        <f aca="false">IF(K770="Client",1,0)</f>
        <v>0</v>
      </c>
      <c r="AB770" s="13" t="n">
        <f aca="false">(D770-AVERAGE(D$2:D$2001))/STDEV(D$2:D$2001)</f>
        <v>-0.353874489330784</v>
      </c>
      <c r="AC770" s="13" t="n">
        <f aca="false">(I770-AVERAGE(I$2:I$2001))/STDEV(I$2:I$2001)</f>
        <v>0.686917069130275</v>
      </c>
      <c r="AD770" s="13" t="n">
        <f aca="false">(L770-AVERAGE(L$2:L$2001))/STDEV(L$2:L$2001)</f>
        <v>0.413838214490712</v>
      </c>
      <c r="AE770" s="13" t="n">
        <f aca="false">(M770-AVERAGE(M$2:M$2001))/STDEV(M$2:M$2001)</f>
        <v>-0.43393330629681</v>
      </c>
      <c r="AF770" s="13" t="n">
        <f aca="false">(N770-AVERAGE(N$2:N$2001))/STDEV(N$2:N$2001)</f>
        <v>-1.00011605484381</v>
      </c>
      <c r="AG770" s="13" t="n">
        <f aca="false">(O770-AVERAGE(O$2:O$2001))/STDEV(O$2:O$2001)</f>
        <v>-1.20040952429486</v>
      </c>
      <c r="AH770" s="0" t="str">
        <f aca="false">IF(B770="Company","C3 - Corporate Buyers",IF(AND(H770="Investment",M770&gt;'Segmentation Summary'!$C$1),"C1 - Global Investors",IF(AND(I770&gt;=4,M770&gt;'Segmentation Summary'!$C$1),"C4 - Luxury Investors",IF(AND(D770&lt;'Segmentation Summary'!$C$2,J770=1),"C2 - First-Time Buyers","C5 - Other Individual Buyers"))))</f>
        <v>C5 - Other Individual Buyers</v>
      </c>
    </row>
    <row r="771" customFormat="false" ht="15" hidden="false" customHeight="true" outlineLevel="0" collapsed="false">
      <c r="A771" s="13" t="s">
        <v>1584</v>
      </c>
      <c r="B771" s="13" t="s">
        <v>34</v>
      </c>
      <c r="C771" s="13" t="s">
        <v>1585</v>
      </c>
      <c r="D771" s="13" t="n">
        <v>59</v>
      </c>
      <c r="E771" s="13" t="s">
        <v>90</v>
      </c>
      <c r="F771" s="13" t="s">
        <v>33</v>
      </c>
      <c r="G771" s="13" t="s">
        <v>207</v>
      </c>
      <c r="H771" s="13" t="s">
        <v>41</v>
      </c>
      <c r="I771" s="13" t="n">
        <v>2</v>
      </c>
      <c r="J771" s="13" t="n">
        <v>0</v>
      </c>
      <c r="K771" s="13" t="s">
        <v>116</v>
      </c>
      <c r="L771" s="13" t="n">
        <v>4</v>
      </c>
      <c r="M771" s="13" t="n">
        <v>1756661.91</v>
      </c>
      <c r="N771" s="13" t="n">
        <v>439165.4775</v>
      </c>
      <c r="O771" s="13" t="n">
        <v>1339.695</v>
      </c>
      <c r="P771" s="13" t="n">
        <v>0</v>
      </c>
      <c r="Q771" s="13" t="n">
        <v>4</v>
      </c>
      <c r="R771" s="13" t="s">
        <v>117</v>
      </c>
      <c r="S771" s="13" t="s">
        <v>154</v>
      </c>
      <c r="T771" s="13" t="n">
        <v>1</v>
      </c>
      <c r="U771" s="13" t="n">
        <f aca="false">IF(B771="Individual",1,0)</f>
        <v>1</v>
      </c>
      <c r="V771" s="13" t="n">
        <f aca="false">IF(B771="Company",1,0)</f>
        <v>0</v>
      </c>
      <c r="W771" s="13" t="n">
        <f aca="false">IF(H771="Home",1,0)</f>
        <v>1</v>
      </c>
      <c r="X771" s="13" t="n">
        <f aca="false">IF(H771="Investment",1,0)</f>
        <v>0</v>
      </c>
      <c r="Y771" s="13" t="n">
        <f aca="false">IF(K771="Website",1,0)</f>
        <v>0</v>
      </c>
      <c r="Z771" s="13" t="n">
        <f aca="false">IF(K771="Agency",1,0)</f>
        <v>0</v>
      </c>
      <c r="AA771" s="13" t="n">
        <f aca="false">IF(K771="Client",1,0)</f>
        <v>1</v>
      </c>
      <c r="AB771" s="13" t="n">
        <f aca="false">(D771-AVERAGE(D$2:D$2001))/STDEV(D$2:D$2001)</f>
        <v>0.280412521038879</v>
      </c>
      <c r="AC771" s="13" t="n">
        <f aca="false">(I771-AVERAGE(I$2:I$2001))/STDEV(I$2:I$2001)</f>
        <v>-0.727948160798201</v>
      </c>
      <c r="AD771" s="13" t="n">
        <f aca="false">(L771-AVERAGE(L$2:L$2001))/STDEV(L$2:L$2001)</f>
        <v>0.413838214490712</v>
      </c>
      <c r="AE771" s="13" t="n">
        <f aca="false">(M771-AVERAGE(M$2:M$2001))/STDEV(M$2:M$2001)</f>
        <v>1.42680470632505</v>
      </c>
      <c r="AF771" s="13" t="n">
        <f aca="false">(N771-AVERAGE(N$2:N$2001))/STDEV(N$2:N$2001)</f>
        <v>1.32061267527574</v>
      </c>
      <c r="AG771" s="13" t="n">
        <f aca="false">(O771-AVERAGE(O$2:O$2001))/STDEV(O$2:O$2001)</f>
        <v>0.874013600252331</v>
      </c>
      <c r="AH771" s="0" t="str">
        <f aca="false">IF(B771="Company","C3 - Corporate Buyers",IF(AND(H771="Investment",M771&gt;'Segmentation Summary'!$C$1),"C1 - Global Investors",IF(AND(I771&gt;=4,M771&gt;'Segmentation Summary'!$C$1),"C4 - Luxury Investors",IF(AND(D771&lt;'Segmentation Summary'!$C$2,J771=1),"C2 - First-Time Buyers","C5 - Other Individual Buyers"))))</f>
        <v>C5 - Other Individual Buyers</v>
      </c>
    </row>
    <row r="772" customFormat="false" ht="15" hidden="false" customHeight="true" outlineLevel="0" collapsed="false">
      <c r="A772" s="13" t="s">
        <v>1586</v>
      </c>
      <c r="B772" s="13" t="s">
        <v>34</v>
      </c>
      <c r="C772" s="13" t="s">
        <v>1587</v>
      </c>
      <c r="D772" s="13" t="n">
        <v>69</v>
      </c>
      <c r="E772" s="13" t="s">
        <v>90</v>
      </c>
      <c r="F772" s="13" t="s">
        <v>35</v>
      </c>
      <c r="G772" s="13" t="s">
        <v>137</v>
      </c>
      <c r="H772" s="13" t="s">
        <v>41</v>
      </c>
      <c r="I772" s="13" t="n">
        <v>3</v>
      </c>
      <c r="J772" s="13" t="n">
        <v>1</v>
      </c>
      <c r="K772" s="13" t="s">
        <v>85</v>
      </c>
      <c r="L772" s="13" t="n">
        <v>7</v>
      </c>
      <c r="M772" s="13" t="n">
        <v>2749577.33</v>
      </c>
      <c r="N772" s="13" t="n">
        <v>392796.761428571</v>
      </c>
      <c r="O772" s="13" t="n">
        <v>1320.38142857143</v>
      </c>
      <c r="P772" s="13" t="n">
        <v>1</v>
      </c>
      <c r="Q772" s="13" t="n">
        <v>6</v>
      </c>
      <c r="R772" s="13" t="s">
        <v>86</v>
      </c>
      <c r="S772" s="13" t="s">
        <v>125</v>
      </c>
      <c r="T772" s="13" t="n">
        <v>1</v>
      </c>
      <c r="U772" s="13" t="n">
        <f aca="false">IF(B772="Individual",1,0)</f>
        <v>1</v>
      </c>
      <c r="V772" s="13" t="n">
        <f aca="false">IF(B772="Company",1,0)</f>
        <v>0</v>
      </c>
      <c r="W772" s="13" t="n">
        <f aca="false">IF(H772="Home",1,0)</f>
        <v>1</v>
      </c>
      <c r="X772" s="13" t="n">
        <f aca="false">IF(H772="Investment",1,0)</f>
        <v>0</v>
      </c>
      <c r="Y772" s="13" t="n">
        <f aca="false">IF(K772="Website",1,0)</f>
        <v>1</v>
      </c>
      <c r="Z772" s="13" t="n">
        <f aca="false">IF(K772="Agency",1,0)</f>
        <v>0</v>
      </c>
      <c r="AA772" s="13" t="n">
        <f aca="false">IF(K772="Client",1,0)</f>
        <v>0</v>
      </c>
      <c r="AB772" s="13" t="n">
        <f aca="false">(D772-AVERAGE(D$2:D$2001))/STDEV(D$2:D$2001)</f>
        <v>0.857037075920391</v>
      </c>
      <c r="AC772" s="13" t="n">
        <f aca="false">(I772-AVERAGE(I$2:I$2001))/STDEV(I$2:I$2001)</f>
        <v>-0.0205155458339628</v>
      </c>
      <c r="AD772" s="13" t="n">
        <f aca="false">(L772-AVERAGE(L$2:L$2001))/STDEV(L$2:L$2001)</f>
        <v>3.98654222448247</v>
      </c>
      <c r="AE772" s="13" t="n">
        <f aca="false">(M772-AVERAGE(M$2:M$2001))/STDEV(M$2:M$2001)</f>
        <v>4.28139896842817</v>
      </c>
      <c r="AF772" s="13" t="n">
        <f aca="false">(N772-AVERAGE(N$2:N$2001))/STDEV(N$2:N$2001)</f>
        <v>0.655559541765597</v>
      </c>
      <c r="AG772" s="13" t="n">
        <f aca="false">(O772-AVERAGE(O$2:O$2001))/STDEV(O$2:O$2001)</f>
        <v>0.786193737383559</v>
      </c>
      <c r="AH772" s="0" t="str">
        <f aca="false">IF(B772="Company","C3 - Corporate Buyers",IF(AND(H772="Investment",M772&gt;'Segmentation Summary'!$C$1),"C1 - Global Investors",IF(AND(I772&gt;=4,M772&gt;'Segmentation Summary'!$C$1),"C4 - Luxury Investors",IF(AND(D772&lt;'Segmentation Summary'!$C$2,J772=1),"C2 - First-Time Buyers","C5 - Other Individual Buyers"))))</f>
        <v>C5 - Other Individual Buyers</v>
      </c>
    </row>
    <row r="773" customFormat="false" ht="15" hidden="false" customHeight="true" outlineLevel="0" collapsed="false">
      <c r="A773" s="13" t="s">
        <v>1588</v>
      </c>
      <c r="B773" s="13" t="s">
        <v>34</v>
      </c>
      <c r="C773" s="13" t="s">
        <v>1589</v>
      </c>
      <c r="D773" s="13" t="n">
        <v>46</v>
      </c>
      <c r="E773" s="13" t="s">
        <v>90</v>
      </c>
      <c r="F773" s="13" t="s">
        <v>33</v>
      </c>
      <c r="G773" s="13" t="s">
        <v>123</v>
      </c>
      <c r="H773" s="13" t="s">
        <v>41</v>
      </c>
      <c r="I773" s="13" t="n">
        <v>1</v>
      </c>
      <c r="J773" s="13" t="n">
        <v>0</v>
      </c>
      <c r="K773" s="13" t="s">
        <v>91</v>
      </c>
      <c r="L773" s="13" t="n">
        <v>4</v>
      </c>
      <c r="M773" s="13" t="n">
        <v>1033138.51</v>
      </c>
      <c r="N773" s="13" t="n">
        <v>258284.6275</v>
      </c>
      <c r="O773" s="13" t="n">
        <v>837.88</v>
      </c>
      <c r="P773" s="13" t="n">
        <v>1</v>
      </c>
      <c r="Q773" s="13" t="n">
        <v>3</v>
      </c>
      <c r="R773" s="13" t="s">
        <v>92</v>
      </c>
      <c r="S773" s="13" t="s">
        <v>125</v>
      </c>
      <c r="T773" s="13" t="n">
        <v>1</v>
      </c>
      <c r="U773" s="13" t="n">
        <f aca="false">IF(B773="Individual",1,0)</f>
        <v>1</v>
      </c>
      <c r="V773" s="13" t="n">
        <f aca="false">IF(B773="Company",1,0)</f>
        <v>0</v>
      </c>
      <c r="W773" s="13" t="n">
        <f aca="false">IF(H773="Home",1,0)</f>
        <v>1</v>
      </c>
      <c r="X773" s="13" t="n">
        <f aca="false">IF(H773="Investment",1,0)</f>
        <v>0</v>
      </c>
      <c r="Y773" s="13" t="n">
        <f aca="false">IF(K773="Website",1,0)</f>
        <v>0</v>
      </c>
      <c r="Z773" s="13" t="n">
        <f aca="false">IF(K773="Agency",1,0)</f>
        <v>1</v>
      </c>
      <c r="AA773" s="13" t="n">
        <f aca="false">IF(K773="Client",1,0)</f>
        <v>0</v>
      </c>
      <c r="AB773" s="13" t="n">
        <f aca="false">(D773-AVERAGE(D$2:D$2001))/STDEV(D$2:D$2001)</f>
        <v>-0.469199400307086</v>
      </c>
      <c r="AC773" s="13" t="n">
        <f aca="false">(I773-AVERAGE(I$2:I$2001))/STDEV(I$2:I$2001)</f>
        <v>-1.43538077576244</v>
      </c>
      <c r="AD773" s="13" t="n">
        <f aca="false">(L773-AVERAGE(L$2:L$2001))/STDEV(L$2:L$2001)</f>
        <v>0.413838214490712</v>
      </c>
      <c r="AE773" s="13" t="n">
        <f aca="false">(M773-AVERAGE(M$2:M$2001))/STDEV(M$2:M$2001)</f>
        <v>-0.653297691659002</v>
      </c>
      <c r="AF773" s="13" t="n">
        <f aca="false">(N773-AVERAGE(N$2:N$2001))/STDEV(N$2:N$2001)</f>
        <v>-1.27370923562574</v>
      </c>
      <c r="AG773" s="13" t="n">
        <f aca="false">(O773-AVERAGE(O$2:O$2001))/STDEV(O$2:O$2001)</f>
        <v>-1.40776657947674</v>
      </c>
      <c r="AH773" s="0" t="str">
        <f aca="false">IF(B773="Company","C3 - Corporate Buyers",IF(AND(H773="Investment",M773&gt;'Segmentation Summary'!$C$1),"C1 - Global Investors",IF(AND(I773&gt;=4,M773&gt;'Segmentation Summary'!$C$1),"C4 - Luxury Investors",IF(AND(D773&lt;'Segmentation Summary'!$C$2,J773=1),"C2 - First-Time Buyers","C5 - Other Individual Buyers"))))</f>
        <v>C5 - Other Individual Buyers</v>
      </c>
    </row>
    <row r="774" customFormat="false" ht="15" hidden="false" customHeight="true" outlineLevel="0" collapsed="false">
      <c r="A774" s="13" t="s">
        <v>1590</v>
      </c>
      <c r="B774" s="13" t="s">
        <v>34</v>
      </c>
      <c r="C774" s="13" t="s">
        <v>1591</v>
      </c>
      <c r="D774" s="13" t="n">
        <v>70</v>
      </c>
      <c r="E774" s="13" t="s">
        <v>90</v>
      </c>
      <c r="F774" s="13" t="s">
        <v>33</v>
      </c>
      <c r="G774" s="13" t="s">
        <v>145</v>
      </c>
      <c r="H774" s="13" t="s">
        <v>41</v>
      </c>
      <c r="I774" s="13" t="n">
        <v>3</v>
      </c>
      <c r="J774" s="13" t="n">
        <v>1</v>
      </c>
      <c r="K774" s="13" t="s">
        <v>116</v>
      </c>
      <c r="L774" s="13" t="n">
        <v>4</v>
      </c>
      <c r="M774" s="13" t="n">
        <v>1424704.13</v>
      </c>
      <c r="N774" s="13" t="n">
        <v>356176.0325</v>
      </c>
      <c r="O774" s="13" t="n">
        <v>1227.645</v>
      </c>
      <c r="P774" s="13" t="n">
        <v>0</v>
      </c>
      <c r="Q774" s="13" t="n">
        <v>4</v>
      </c>
      <c r="R774" s="13" t="s">
        <v>86</v>
      </c>
      <c r="S774" s="13" t="s">
        <v>112</v>
      </c>
      <c r="T774" s="13" t="n">
        <v>1</v>
      </c>
      <c r="U774" s="13" t="n">
        <f aca="false">IF(B774="Individual",1,0)</f>
        <v>1</v>
      </c>
      <c r="V774" s="13" t="n">
        <f aca="false">IF(B774="Company",1,0)</f>
        <v>0</v>
      </c>
      <c r="W774" s="13" t="n">
        <f aca="false">IF(H774="Home",1,0)</f>
        <v>1</v>
      </c>
      <c r="X774" s="13" t="n">
        <f aca="false">IF(H774="Investment",1,0)</f>
        <v>0</v>
      </c>
      <c r="Y774" s="13" t="n">
        <f aca="false">IF(K774="Website",1,0)</f>
        <v>0</v>
      </c>
      <c r="Z774" s="13" t="n">
        <f aca="false">IF(K774="Agency",1,0)</f>
        <v>0</v>
      </c>
      <c r="AA774" s="13" t="n">
        <f aca="false">IF(K774="Client",1,0)</f>
        <v>1</v>
      </c>
      <c r="AB774" s="13" t="n">
        <f aca="false">(D774-AVERAGE(D$2:D$2001))/STDEV(D$2:D$2001)</f>
        <v>0.914699531408543</v>
      </c>
      <c r="AC774" s="13" t="n">
        <f aca="false">(I774-AVERAGE(I$2:I$2001))/STDEV(I$2:I$2001)</f>
        <v>-0.0205155458339628</v>
      </c>
      <c r="AD774" s="13" t="n">
        <f aca="false">(L774-AVERAGE(L$2:L$2001))/STDEV(L$2:L$2001)</f>
        <v>0.413838214490712</v>
      </c>
      <c r="AE774" s="13" t="n">
        <f aca="false">(M774-AVERAGE(M$2:M$2001))/STDEV(M$2:M$2001)</f>
        <v>0.472438649598393</v>
      </c>
      <c r="AF774" s="13" t="n">
        <f aca="false">(N774-AVERAGE(N$2:N$2001))/STDEV(N$2:N$2001)</f>
        <v>0.130318978972048</v>
      </c>
      <c r="AG774" s="13" t="n">
        <f aca="false">(O774-AVERAGE(O$2:O$2001))/STDEV(O$2:O$2001)</f>
        <v>0.36451613776388</v>
      </c>
      <c r="AH774" s="0" t="str">
        <f aca="false">IF(B774="Company","C3 - Corporate Buyers",IF(AND(H774="Investment",M774&gt;'Segmentation Summary'!$C$1),"C1 - Global Investors",IF(AND(I774&gt;=4,M774&gt;'Segmentation Summary'!$C$1),"C4 - Luxury Investors",IF(AND(D774&lt;'Segmentation Summary'!$C$2,J774=1),"C2 - First-Time Buyers","C5 - Other Individual Buyers"))))</f>
        <v>C5 - Other Individual Buyers</v>
      </c>
    </row>
    <row r="775" customFormat="false" ht="15" hidden="false" customHeight="true" outlineLevel="0" collapsed="false">
      <c r="A775" s="13" t="s">
        <v>1592</v>
      </c>
      <c r="B775" s="13" t="s">
        <v>34</v>
      </c>
      <c r="C775" s="13" t="s">
        <v>1593</v>
      </c>
      <c r="D775" s="13" t="n">
        <v>69</v>
      </c>
      <c r="E775" s="13" t="s">
        <v>90</v>
      </c>
      <c r="F775" s="13" t="s">
        <v>44</v>
      </c>
      <c r="G775" s="13" t="s">
        <v>497</v>
      </c>
      <c r="H775" s="13" t="s">
        <v>41</v>
      </c>
      <c r="I775" s="13" t="n">
        <v>1</v>
      </c>
      <c r="J775" s="13" t="n">
        <v>0</v>
      </c>
      <c r="K775" s="13" t="s">
        <v>91</v>
      </c>
      <c r="L775" s="13" t="n">
        <v>3</v>
      </c>
      <c r="M775" s="13" t="n">
        <v>1028314.09</v>
      </c>
      <c r="N775" s="13" t="n">
        <v>342771.363333333</v>
      </c>
      <c r="O775" s="13" t="n">
        <v>1089.46</v>
      </c>
      <c r="P775" s="13" t="n">
        <v>1</v>
      </c>
      <c r="Q775" s="13" t="n">
        <v>2</v>
      </c>
      <c r="R775" s="13" t="s">
        <v>150</v>
      </c>
      <c r="S775" s="13" t="s">
        <v>114</v>
      </c>
      <c r="T775" s="13" t="n">
        <v>1</v>
      </c>
      <c r="U775" s="13" t="n">
        <f aca="false">IF(B775="Individual",1,0)</f>
        <v>1</v>
      </c>
      <c r="V775" s="13" t="n">
        <f aca="false">IF(B775="Company",1,0)</f>
        <v>0</v>
      </c>
      <c r="W775" s="13" t="n">
        <f aca="false">IF(H775="Home",1,0)</f>
        <v>1</v>
      </c>
      <c r="X775" s="13" t="n">
        <f aca="false">IF(H775="Investment",1,0)</f>
        <v>0</v>
      </c>
      <c r="Y775" s="13" t="n">
        <f aca="false">IF(K775="Website",1,0)</f>
        <v>0</v>
      </c>
      <c r="Z775" s="13" t="n">
        <f aca="false">IF(K775="Agency",1,0)</f>
        <v>1</v>
      </c>
      <c r="AA775" s="13" t="n">
        <f aca="false">IF(K775="Client",1,0)</f>
        <v>0</v>
      </c>
      <c r="AB775" s="13" t="n">
        <f aca="false">(D775-AVERAGE(D$2:D$2001))/STDEV(D$2:D$2001)</f>
        <v>0.857037075920391</v>
      </c>
      <c r="AC775" s="13" t="n">
        <f aca="false">(I775-AVERAGE(I$2:I$2001))/STDEV(I$2:I$2001)</f>
        <v>-1.43538077576244</v>
      </c>
      <c r="AD775" s="13" t="n">
        <f aca="false">(L775-AVERAGE(L$2:L$2001))/STDEV(L$2:L$2001)</f>
        <v>-0.777063122173208</v>
      </c>
      <c r="AE775" s="13" t="n">
        <f aca="false">(M775-AVERAGE(M$2:M$2001))/STDEV(M$2:M$2001)</f>
        <v>-0.667167716610348</v>
      </c>
      <c r="AF775" s="13" t="n">
        <f aca="false">(N775-AVERAGE(N$2:N$2001))/STDEV(N$2:N$2001)</f>
        <v>-0.061940328342516</v>
      </c>
      <c r="AG775" s="13" t="n">
        <f aca="false">(O775-AVERAGE(O$2:O$2001))/STDEV(O$2:O$2001)</f>
        <v>-0.263818595426362</v>
      </c>
      <c r="AH775" s="0" t="str">
        <f aca="false">IF(B775="Company","C3 - Corporate Buyers",IF(AND(H775="Investment",M775&gt;'Segmentation Summary'!$C$1),"C1 - Global Investors",IF(AND(I775&gt;=4,M775&gt;'Segmentation Summary'!$C$1),"C4 - Luxury Investors",IF(AND(D775&lt;'Segmentation Summary'!$C$2,J775=1),"C2 - First-Time Buyers","C5 - Other Individual Buyers"))))</f>
        <v>C5 - Other Individual Buyers</v>
      </c>
    </row>
    <row r="776" customFormat="false" ht="15" hidden="false" customHeight="true" outlineLevel="0" collapsed="false">
      <c r="A776" s="13" t="s">
        <v>1594</v>
      </c>
      <c r="B776" s="13" t="s">
        <v>34</v>
      </c>
      <c r="C776" s="13" t="s">
        <v>1595</v>
      </c>
      <c r="D776" s="13" t="n">
        <v>56</v>
      </c>
      <c r="E776" s="13" t="s">
        <v>90</v>
      </c>
      <c r="F776" s="13" t="s">
        <v>33</v>
      </c>
      <c r="G776" s="13" t="s">
        <v>95</v>
      </c>
      <c r="H776" s="13" t="s">
        <v>41</v>
      </c>
      <c r="I776" s="13" t="n">
        <v>3</v>
      </c>
      <c r="J776" s="13" t="n">
        <v>1</v>
      </c>
      <c r="K776" s="13" t="s">
        <v>85</v>
      </c>
      <c r="L776" s="13" t="n">
        <v>5</v>
      </c>
      <c r="M776" s="13" t="n">
        <v>1928188.61</v>
      </c>
      <c r="N776" s="13" t="n">
        <v>385637.722</v>
      </c>
      <c r="O776" s="13" t="n">
        <v>1354.634</v>
      </c>
      <c r="P776" s="13" t="n">
        <v>0</v>
      </c>
      <c r="Q776" s="13" t="n">
        <v>5</v>
      </c>
      <c r="R776" s="13" t="s">
        <v>86</v>
      </c>
      <c r="S776" s="13" t="s">
        <v>114</v>
      </c>
      <c r="T776" s="13" t="n">
        <v>1</v>
      </c>
      <c r="U776" s="13" t="n">
        <f aca="false">IF(B776="Individual",1,0)</f>
        <v>1</v>
      </c>
      <c r="V776" s="13" t="n">
        <f aca="false">IF(B776="Company",1,0)</f>
        <v>0</v>
      </c>
      <c r="W776" s="13" t="n">
        <f aca="false">IF(H776="Home",1,0)</f>
        <v>1</v>
      </c>
      <c r="X776" s="13" t="n">
        <f aca="false">IF(H776="Investment",1,0)</f>
        <v>0</v>
      </c>
      <c r="Y776" s="13" t="n">
        <f aca="false">IF(K776="Website",1,0)</f>
        <v>1</v>
      </c>
      <c r="Z776" s="13" t="n">
        <f aca="false">IF(K776="Agency",1,0)</f>
        <v>0</v>
      </c>
      <c r="AA776" s="13" t="n">
        <f aca="false">IF(K776="Client",1,0)</f>
        <v>0</v>
      </c>
      <c r="AB776" s="13" t="n">
        <f aca="false">(D776-AVERAGE(D$2:D$2001))/STDEV(D$2:D$2001)</f>
        <v>0.107425154574426</v>
      </c>
      <c r="AC776" s="13" t="n">
        <f aca="false">(I776-AVERAGE(I$2:I$2001))/STDEV(I$2:I$2001)</f>
        <v>-0.0205155458339628</v>
      </c>
      <c r="AD776" s="13" t="n">
        <f aca="false">(L776-AVERAGE(L$2:L$2001))/STDEV(L$2:L$2001)</f>
        <v>1.60473955115463</v>
      </c>
      <c r="AE776" s="13" t="n">
        <f aca="false">(M776-AVERAGE(M$2:M$2001))/STDEV(M$2:M$2001)</f>
        <v>1.91993747851775</v>
      </c>
      <c r="AF776" s="13" t="n">
        <f aca="false">(N776-AVERAGE(N$2:N$2001))/STDEV(N$2:N$2001)</f>
        <v>0.552879502112149</v>
      </c>
      <c r="AG776" s="13" t="n">
        <f aca="false">(O776-AVERAGE(O$2:O$2001))/STDEV(O$2:O$2001)</f>
        <v>0.94194204819624</v>
      </c>
      <c r="AH776" s="0" t="str">
        <f aca="false">IF(B776="Company","C3 - Corporate Buyers",IF(AND(H776="Investment",M776&gt;'Segmentation Summary'!$C$1),"C1 - Global Investors",IF(AND(I776&gt;=4,M776&gt;'Segmentation Summary'!$C$1),"C4 - Luxury Investors",IF(AND(D776&lt;'Segmentation Summary'!$C$2,J776=1),"C2 - First-Time Buyers","C5 - Other Individual Buyers"))))</f>
        <v>C5 - Other Individual Buyers</v>
      </c>
    </row>
    <row r="777" customFormat="false" ht="15" hidden="false" customHeight="true" outlineLevel="0" collapsed="false">
      <c r="A777" s="13" t="s">
        <v>1596</v>
      </c>
      <c r="B777" s="13" t="s">
        <v>34</v>
      </c>
      <c r="C777" s="13" t="s">
        <v>1597</v>
      </c>
      <c r="D777" s="13" t="n">
        <v>52</v>
      </c>
      <c r="E777" s="13" t="s">
        <v>90</v>
      </c>
      <c r="F777" s="13" t="s">
        <v>33</v>
      </c>
      <c r="G777" s="13" t="s">
        <v>95</v>
      </c>
      <c r="H777" s="13" t="s">
        <v>43</v>
      </c>
      <c r="I777" s="13" t="n">
        <v>1</v>
      </c>
      <c r="J777" s="13" t="n">
        <v>0</v>
      </c>
      <c r="K777" s="13" t="s">
        <v>85</v>
      </c>
      <c r="L777" s="13" t="n">
        <v>3</v>
      </c>
      <c r="M777" s="13" t="n">
        <v>1338281</v>
      </c>
      <c r="N777" s="13" t="n">
        <v>446093.666666667</v>
      </c>
      <c r="O777" s="13" t="n">
        <v>1448.82</v>
      </c>
      <c r="P777" s="13" t="n">
        <v>1</v>
      </c>
      <c r="Q777" s="13" t="n">
        <v>2</v>
      </c>
      <c r="R777" s="13" t="s">
        <v>101</v>
      </c>
      <c r="S777" s="13" t="s">
        <v>135</v>
      </c>
      <c r="T777" s="13" t="n">
        <v>1</v>
      </c>
      <c r="U777" s="13" t="n">
        <f aca="false">IF(B777="Individual",1,0)</f>
        <v>1</v>
      </c>
      <c r="V777" s="13" t="n">
        <f aca="false">IF(B777="Company",1,0)</f>
        <v>0</v>
      </c>
      <c r="W777" s="13" t="n">
        <f aca="false">IF(H777="Home",1,0)</f>
        <v>0</v>
      </c>
      <c r="X777" s="13" t="n">
        <f aca="false">IF(H777="Investment",1,0)</f>
        <v>1</v>
      </c>
      <c r="Y777" s="13" t="n">
        <f aca="false">IF(K777="Website",1,0)</f>
        <v>1</v>
      </c>
      <c r="Z777" s="13" t="n">
        <f aca="false">IF(K777="Agency",1,0)</f>
        <v>0</v>
      </c>
      <c r="AA777" s="13" t="n">
        <f aca="false">IF(K777="Client",1,0)</f>
        <v>0</v>
      </c>
      <c r="AB777" s="13" t="n">
        <f aca="false">(D777-AVERAGE(D$2:D$2001))/STDEV(D$2:D$2001)</f>
        <v>-0.123224667378179</v>
      </c>
      <c r="AC777" s="13" t="n">
        <f aca="false">(I777-AVERAGE(I$2:I$2001))/STDEV(I$2:I$2001)</f>
        <v>-1.43538077576244</v>
      </c>
      <c r="AD777" s="13" t="n">
        <f aca="false">(L777-AVERAGE(L$2:L$2001))/STDEV(L$2:L$2001)</f>
        <v>-0.777063122173208</v>
      </c>
      <c r="AE777" s="13" t="n">
        <f aca="false">(M777-AVERAGE(M$2:M$2001))/STDEV(M$2:M$2001)</f>
        <v>0.223975420967105</v>
      </c>
      <c r="AF777" s="13" t="n">
        <f aca="false">(N777-AVERAGE(N$2:N$2001))/STDEV(N$2:N$2001)</f>
        <v>1.41998169614198</v>
      </c>
      <c r="AG777" s="13" t="n">
        <f aca="false">(O777-AVERAGE(O$2:O$2001))/STDEV(O$2:O$2001)</f>
        <v>1.37021092817783</v>
      </c>
      <c r="AH777" s="0" t="str">
        <f aca="false">IF(B777="Company","C3 - Corporate Buyers",IF(AND(H777="Investment",M777&gt;'Segmentation Summary'!$C$1),"C1 - Global Investors",IF(AND(I777&gt;=4,M777&gt;'Segmentation Summary'!$C$1),"C4 - Luxury Investors",IF(AND(D777&lt;'Segmentation Summary'!$C$2,J777=1),"C2 - First-Time Buyers","C5 - Other Individual Buyers"))))</f>
        <v>C1 - Global Investors</v>
      </c>
    </row>
    <row r="778" customFormat="false" ht="15" hidden="false" customHeight="true" outlineLevel="0" collapsed="false">
      <c r="A778" s="13" t="s">
        <v>1598</v>
      </c>
      <c r="B778" s="13" t="s">
        <v>34</v>
      </c>
      <c r="C778" s="13" t="s">
        <v>1599</v>
      </c>
      <c r="D778" s="13" t="n">
        <v>44</v>
      </c>
      <c r="E778" s="13" t="s">
        <v>90</v>
      </c>
      <c r="F778" s="13" t="s">
        <v>33</v>
      </c>
      <c r="G778" s="13" t="s">
        <v>84</v>
      </c>
      <c r="H778" s="13" t="s">
        <v>41</v>
      </c>
      <c r="I778" s="13" t="n">
        <v>5</v>
      </c>
      <c r="J778" s="13" t="n">
        <v>1</v>
      </c>
      <c r="K778" s="13" t="s">
        <v>91</v>
      </c>
      <c r="L778" s="13" t="n">
        <v>4</v>
      </c>
      <c r="M778" s="13" t="n">
        <v>1305928.35</v>
      </c>
      <c r="N778" s="13" t="n">
        <v>326482.0875</v>
      </c>
      <c r="O778" s="13" t="n">
        <v>1093.05</v>
      </c>
      <c r="P778" s="13" t="n">
        <v>0</v>
      </c>
      <c r="Q778" s="13" t="n">
        <v>4</v>
      </c>
      <c r="R778" s="13" t="s">
        <v>101</v>
      </c>
      <c r="S778" s="13" t="s">
        <v>124</v>
      </c>
      <c r="T778" s="13" t="n">
        <v>1</v>
      </c>
      <c r="U778" s="13" t="n">
        <f aca="false">IF(B778="Individual",1,0)</f>
        <v>1</v>
      </c>
      <c r="V778" s="13" t="n">
        <f aca="false">IF(B778="Company",1,0)</f>
        <v>0</v>
      </c>
      <c r="W778" s="13" t="n">
        <f aca="false">IF(H778="Home",1,0)</f>
        <v>1</v>
      </c>
      <c r="X778" s="13" t="n">
        <f aca="false">IF(H778="Investment",1,0)</f>
        <v>0</v>
      </c>
      <c r="Y778" s="13" t="n">
        <f aca="false">IF(K778="Website",1,0)</f>
        <v>0</v>
      </c>
      <c r="Z778" s="13" t="n">
        <f aca="false">IF(K778="Agency",1,0)</f>
        <v>1</v>
      </c>
      <c r="AA778" s="13" t="n">
        <f aca="false">IF(K778="Client",1,0)</f>
        <v>0</v>
      </c>
      <c r="AB778" s="13" t="n">
        <f aca="false">(D778-AVERAGE(D$2:D$2001))/STDEV(D$2:D$2001)</f>
        <v>-0.584524311283389</v>
      </c>
      <c r="AC778" s="13" t="n">
        <f aca="false">(I778-AVERAGE(I$2:I$2001))/STDEV(I$2:I$2001)</f>
        <v>1.39434968409451</v>
      </c>
      <c r="AD778" s="13" t="n">
        <f aca="false">(L778-AVERAGE(L$2:L$2001))/STDEV(L$2:L$2001)</f>
        <v>0.413838214490712</v>
      </c>
      <c r="AE778" s="13" t="n">
        <f aca="false">(M778-AVERAGE(M$2:M$2001))/STDEV(M$2:M$2001)</f>
        <v>0.130962776391769</v>
      </c>
      <c r="AF778" s="13" t="n">
        <f aca="false">(N778-AVERAGE(N$2:N$2001))/STDEV(N$2:N$2001)</f>
        <v>-0.295572717880345</v>
      </c>
      <c r="AG778" s="13" t="n">
        <f aca="false">(O778-AVERAGE(O$2:O$2001))/STDEV(O$2:O$2001)</f>
        <v>-0.247494669586706</v>
      </c>
      <c r="AH778" s="0" t="str">
        <f aca="false">IF(B778="Company","C3 - Corporate Buyers",IF(AND(H778="Investment",M778&gt;'Segmentation Summary'!$C$1),"C1 - Global Investors",IF(AND(I778&gt;=4,M778&gt;'Segmentation Summary'!$C$1),"C4 - Luxury Investors",IF(AND(D778&lt;'Segmentation Summary'!$C$2,J778=1),"C2 - First-Time Buyers","C5 - Other Individual Buyers"))))</f>
        <v>C4 - Luxury Investors</v>
      </c>
    </row>
    <row r="779" customFormat="false" ht="15" hidden="false" customHeight="true" outlineLevel="0" collapsed="false">
      <c r="A779" s="13" t="s">
        <v>1600</v>
      </c>
      <c r="B779" s="13" t="s">
        <v>34</v>
      </c>
      <c r="C779" s="13" t="s">
        <v>1601</v>
      </c>
      <c r="D779" s="13" t="n">
        <v>54</v>
      </c>
      <c r="E779" s="13" t="s">
        <v>90</v>
      </c>
      <c r="F779" s="13" t="s">
        <v>33</v>
      </c>
      <c r="G779" s="13" t="s">
        <v>84</v>
      </c>
      <c r="H779" s="13" t="s">
        <v>41</v>
      </c>
      <c r="I779" s="13" t="n">
        <v>5</v>
      </c>
      <c r="J779" s="13" t="n">
        <v>0</v>
      </c>
      <c r="K779" s="13" t="s">
        <v>91</v>
      </c>
      <c r="L779" s="13" t="n">
        <v>3</v>
      </c>
      <c r="M779" s="13" t="n">
        <v>833710.06</v>
      </c>
      <c r="N779" s="13" t="n">
        <v>277903.353333333</v>
      </c>
      <c r="O779" s="13" t="n">
        <v>900.616666666667</v>
      </c>
      <c r="P779" s="13" t="n">
        <v>1</v>
      </c>
      <c r="Q779" s="13" t="n">
        <v>2</v>
      </c>
      <c r="R779" s="13" t="s">
        <v>121</v>
      </c>
      <c r="S779" s="13" t="s">
        <v>103</v>
      </c>
      <c r="T779" s="13" t="n">
        <v>1</v>
      </c>
      <c r="U779" s="13" t="n">
        <f aca="false">IF(B779="Individual",1,0)</f>
        <v>1</v>
      </c>
      <c r="V779" s="13" t="n">
        <f aca="false">IF(B779="Company",1,0)</f>
        <v>0</v>
      </c>
      <c r="W779" s="13" t="n">
        <f aca="false">IF(H779="Home",1,0)</f>
        <v>1</v>
      </c>
      <c r="X779" s="13" t="n">
        <f aca="false">IF(H779="Investment",1,0)</f>
        <v>0</v>
      </c>
      <c r="Y779" s="13" t="n">
        <f aca="false">IF(K779="Website",1,0)</f>
        <v>0</v>
      </c>
      <c r="Z779" s="13" t="n">
        <f aca="false">IF(K779="Agency",1,0)</f>
        <v>1</v>
      </c>
      <c r="AA779" s="13" t="n">
        <f aca="false">IF(K779="Client",1,0)</f>
        <v>0</v>
      </c>
      <c r="AB779" s="13" t="n">
        <f aca="false">(D779-AVERAGE(D$2:D$2001))/STDEV(D$2:D$2001)</f>
        <v>-0.00789975640187674</v>
      </c>
      <c r="AC779" s="13" t="n">
        <f aca="false">(I779-AVERAGE(I$2:I$2001))/STDEV(I$2:I$2001)</f>
        <v>1.39434968409451</v>
      </c>
      <c r="AD779" s="13" t="n">
        <f aca="false">(L779-AVERAGE(L$2:L$2001))/STDEV(L$2:L$2001)</f>
        <v>-0.777063122173208</v>
      </c>
      <c r="AE779" s="13" t="n">
        <f aca="false">(M779-AVERAGE(M$2:M$2001))/STDEV(M$2:M$2001)</f>
        <v>-1.22664693934227</v>
      </c>
      <c r="AF779" s="13" t="n">
        <f aca="false">(N779-AVERAGE(N$2:N$2001))/STDEV(N$2:N$2001)</f>
        <v>-0.992323504115828</v>
      </c>
      <c r="AG779" s="13" t="n">
        <f aca="false">(O779-AVERAGE(O$2:O$2001))/STDEV(O$2:O$2001)</f>
        <v>-1.12249953376812</v>
      </c>
      <c r="AH779" s="0" t="str">
        <f aca="false">IF(B779="Company","C3 - Corporate Buyers",IF(AND(H779="Investment",M779&gt;'Segmentation Summary'!$C$1),"C1 - Global Investors",IF(AND(I779&gt;=4,M779&gt;'Segmentation Summary'!$C$1),"C4 - Luxury Investors",IF(AND(D779&lt;'Segmentation Summary'!$C$2,J779=1),"C2 - First-Time Buyers","C5 - Other Individual Buyers"))))</f>
        <v>C5 - Other Individual Buyers</v>
      </c>
    </row>
    <row r="780" customFormat="false" ht="15" hidden="false" customHeight="true" outlineLevel="0" collapsed="false">
      <c r="A780" s="13" t="s">
        <v>1602</v>
      </c>
      <c r="B780" s="13" t="s">
        <v>34</v>
      </c>
      <c r="C780" s="13" t="s">
        <v>1603</v>
      </c>
      <c r="D780" s="13" t="n">
        <v>42</v>
      </c>
      <c r="E780" s="13" t="s">
        <v>90</v>
      </c>
      <c r="F780" s="13" t="s">
        <v>33</v>
      </c>
      <c r="G780" s="13" t="s">
        <v>162</v>
      </c>
      <c r="H780" s="13" t="s">
        <v>43</v>
      </c>
      <c r="I780" s="13" t="n">
        <v>2</v>
      </c>
      <c r="J780" s="13" t="n">
        <v>0</v>
      </c>
      <c r="K780" s="13" t="s">
        <v>91</v>
      </c>
      <c r="L780" s="13" t="n">
        <v>4</v>
      </c>
      <c r="M780" s="13" t="n">
        <v>1215734.71</v>
      </c>
      <c r="N780" s="13" t="n">
        <v>303933.6775</v>
      </c>
      <c r="O780" s="13" t="n">
        <v>1020.3875</v>
      </c>
      <c r="P780" s="13" t="n">
        <v>0</v>
      </c>
      <c r="Q780" s="13" t="n">
        <v>4</v>
      </c>
      <c r="R780" s="13" t="s">
        <v>92</v>
      </c>
      <c r="S780" s="13" t="s">
        <v>135</v>
      </c>
      <c r="T780" s="13" t="n">
        <v>1</v>
      </c>
      <c r="U780" s="13" t="n">
        <f aca="false">IF(B780="Individual",1,0)</f>
        <v>1</v>
      </c>
      <c r="V780" s="13" t="n">
        <f aca="false">IF(B780="Company",1,0)</f>
        <v>0</v>
      </c>
      <c r="W780" s="13" t="n">
        <f aca="false">IF(H780="Home",1,0)</f>
        <v>0</v>
      </c>
      <c r="X780" s="13" t="n">
        <f aca="false">IF(H780="Investment",1,0)</f>
        <v>1</v>
      </c>
      <c r="Y780" s="13" t="n">
        <f aca="false">IF(K780="Website",1,0)</f>
        <v>0</v>
      </c>
      <c r="Z780" s="13" t="n">
        <f aca="false">IF(K780="Agency",1,0)</f>
        <v>1</v>
      </c>
      <c r="AA780" s="13" t="n">
        <f aca="false">IF(K780="Client",1,0)</f>
        <v>0</v>
      </c>
      <c r="AB780" s="13" t="n">
        <f aca="false">(D780-AVERAGE(D$2:D$2001))/STDEV(D$2:D$2001)</f>
        <v>-0.699849222259691</v>
      </c>
      <c r="AC780" s="13" t="n">
        <f aca="false">(I780-AVERAGE(I$2:I$2001))/STDEV(I$2:I$2001)</f>
        <v>-0.727948160798201</v>
      </c>
      <c r="AD780" s="13" t="n">
        <f aca="false">(L780-AVERAGE(L$2:L$2001))/STDEV(L$2:L$2001)</f>
        <v>0.413838214490712</v>
      </c>
      <c r="AE780" s="13" t="n">
        <f aca="false">(M780-AVERAGE(M$2:M$2001))/STDEV(M$2:M$2001)</f>
        <v>-0.128340525819203</v>
      </c>
      <c r="AF780" s="13" t="n">
        <f aca="false">(N780-AVERAGE(N$2:N$2001))/STDEV(N$2:N$2001)</f>
        <v>-0.618978065206997</v>
      </c>
      <c r="AG780" s="13" t="n">
        <f aca="false">(O780-AVERAGE(O$2:O$2001))/STDEV(O$2:O$2001)</f>
        <v>-0.577895020930454</v>
      </c>
      <c r="AH780" s="0" t="str">
        <f aca="false">IF(B780="Company","C3 - Corporate Buyers",IF(AND(H780="Investment",M780&gt;'Segmentation Summary'!$C$1),"C1 - Global Investors",IF(AND(I780&gt;=4,M780&gt;'Segmentation Summary'!$C$1),"C4 - Luxury Investors",IF(AND(D780&lt;'Segmentation Summary'!$C$2,J780=1),"C2 - First-Time Buyers","C5 - Other Individual Buyers"))))</f>
        <v>C5 - Other Individual Buyers</v>
      </c>
    </row>
    <row r="781" customFormat="false" ht="15" hidden="false" customHeight="true" outlineLevel="0" collapsed="false">
      <c r="A781" s="13" t="s">
        <v>1604</v>
      </c>
      <c r="B781" s="13" t="s">
        <v>34</v>
      </c>
      <c r="C781" s="13" t="s">
        <v>1603</v>
      </c>
      <c r="D781" s="13" t="n">
        <v>71</v>
      </c>
      <c r="E781" s="13" t="s">
        <v>90</v>
      </c>
      <c r="F781" s="13" t="s">
        <v>33</v>
      </c>
      <c r="G781" s="13" t="s">
        <v>265</v>
      </c>
      <c r="H781" s="13" t="s">
        <v>41</v>
      </c>
      <c r="I781" s="13" t="n">
        <v>4</v>
      </c>
      <c r="J781" s="13" t="n">
        <v>0</v>
      </c>
      <c r="K781" s="13" t="s">
        <v>85</v>
      </c>
      <c r="L781" s="13" t="n">
        <v>3</v>
      </c>
      <c r="M781" s="13" t="n">
        <v>690456.91</v>
      </c>
      <c r="N781" s="13" t="n">
        <v>230152.303333333</v>
      </c>
      <c r="O781" s="13" t="n">
        <v>801.46</v>
      </c>
      <c r="P781" s="13" t="n">
        <v>1</v>
      </c>
      <c r="Q781" s="13" t="n">
        <v>2</v>
      </c>
      <c r="R781" s="13" t="s">
        <v>117</v>
      </c>
      <c r="S781" s="13" t="s">
        <v>154</v>
      </c>
      <c r="T781" s="13" t="n">
        <v>1</v>
      </c>
      <c r="U781" s="13" t="n">
        <f aca="false">IF(B781="Individual",1,0)</f>
        <v>1</v>
      </c>
      <c r="V781" s="13" t="n">
        <f aca="false">IF(B781="Company",1,0)</f>
        <v>0</v>
      </c>
      <c r="W781" s="13" t="n">
        <f aca="false">IF(H781="Home",1,0)</f>
        <v>1</v>
      </c>
      <c r="X781" s="13" t="n">
        <f aca="false">IF(H781="Investment",1,0)</f>
        <v>0</v>
      </c>
      <c r="Y781" s="13" t="n">
        <f aca="false">IF(K781="Website",1,0)</f>
        <v>1</v>
      </c>
      <c r="Z781" s="13" t="n">
        <f aca="false">IF(K781="Agency",1,0)</f>
        <v>0</v>
      </c>
      <c r="AA781" s="13" t="n">
        <f aca="false">IF(K781="Client",1,0)</f>
        <v>0</v>
      </c>
      <c r="AB781" s="13" t="n">
        <f aca="false">(D781-AVERAGE(D$2:D$2001))/STDEV(D$2:D$2001)</f>
        <v>0.972361986896694</v>
      </c>
      <c r="AC781" s="13" t="n">
        <f aca="false">(I781-AVERAGE(I$2:I$2001))/STDEV(I$2:I$2001)</f>
        <v>0.686917069130275</v>
      </c>
      <c r="AD781" s="13" t="n">
        <f aca="false">(L781-AVERAGE(L$2:L$2001))/STDEV(L$2:L$2001)</f>
        <v>-0.777063122173208</v>
      </c>
      <c r="AE781" s="13" t="n">
        <f aca="false">(M781-AVERAGE(M$2:M$2001))/STDEV(M$2:M$2001)</f>
        <v>-1.63849432511275</v>
      </c>
      <c r="AF781" s="13" t="n">
        <f aca="false">(N781-AVERAGE(N$2:N$2001))/STDEV(N$2:N$2001)</f>
        <v>-1.67720305484523</v>
      </c>
      <c r="AG781" s="13" t="n">
        <f aca="false">(O781-AVERAGE(O$2:O$2001))/STDEV(O$2:O$2001)</f>
        <v>-1.57337030624005</v>
      </c>
      <c r="AH781" s="0" t="str">
        <f aca="false">IF(B781="Company","C3 - Corporate Buyers",IF(AND(H781="Investment",M781&gt;'Segmentation Summary'!$C$1),"C1 - Global Investors",IF(AND(I781&gt;=4,M781&gt;'Segmentation Summary'!$C$1),"C4 - Luxury Investors",IF(AND(D781&lt;'Segmentation Summary'!$C$2,J781=1),"C2 - First-Time Buyers","C5 - Other Individual Buyers"))))</f>
        <v>C5 - Other Individual Buyers</v>
      </c>
    </row>
    <row r="782" customFormat="false" ht="15" hidden="false" customHeight="true" outlineLevel="0" collapsed="false">
      <c r="A782" s="13" t="s">
        <v>1605</v>
      </c>
      <c r="B782" s="13" t="s">
        <v>34</v>
      </c>
      <c r="C782" s="13" t="s">
        <v>1606</v>
      </c>
      <c r="D782" s="13" t="n">
        <v>56</v>
      </c>
      <c r="E782" s="13" t="s">
        <v>83</v>
      </c>
      <c r="F782" s="13" t="s">
        <v>33</v>
      </c>
      <c r="G782" s="13" t="s">
        <v>95</v>
      </c>
      <c r="H782" s="13" t="s">
        <v>41</v>
      </c>
      <c r="I782" s="13" t="n">
        <v>5</v>
      </c>
      <c r="J782" s="13" t="n">
        <v>1</v>
      </c>
      <c r="K782" s="13" t="s">
        <v>85</v>
      </c>
      <c r="L782" s="13" t="n">
        <v>5</v>
      </c>
      <c r="M782" s="13" t="n">
        <v>1517969.44</v>
      </c>
      <c r="N782" s="13" t="n">
        <v>303593.888</v>
      </c>
      <c r="O782" s="13" t="n">
        <v>1070.234</v>
      </c>
      <c r="P782" s="13" t="n">
        <v>2</v>
      </c>
      <c r="Q782" s="13" t="n">
        <v>3</v>
      </c>
      <c r="R782" s="13" t="s">
        <v>92</v>
      </c>
      <c r="S782" s="13" t="s">
        <v>112</v>
      </c>
      <c r="T782" s="13" t="n">
        <v>1</v>
      </c>
      <c r="U782" s="13" t="n">
        <f aca="false">IF(B782="Individual",1,0)</f>
        <v>1</v>
      </c>
      <c r="V782" s="13" t="n">
        <f aca="false">IF(B782="Company",1,0)</f>
        <v>0</v>
      </c>
      <c r="W782" s="13" t="n">
        <f aca="false">IF(H782="Home",1,0)</f>
        <v>1</v>
      </c>
      <c r="X782" s="13" t="n">
        <f aca="false">IF(H782="Investment",1,0)</f>
        <v>0</v>
      </c>
      <c r="Y782" s="13" t="n">
        <f aca="false">IF(K782="Website",1,0)</f>
        <v>1</v>
      </c>
      <c r="Z782" s="13" t="n">
        <f aca="false">IF(K782="Agency",1,0)</f>
        <v>0</v>
      </c>
      <c r="AA782" s="13" t="n">
        <f aca="false">IF(K782="Client",1,0)</f>
        <v>0</v>
      </c>
      <c r="AB782" s="13" t="n">
        <f aca="false">(D782-AVERAGE(D$2:D$2001))/STDEV(D$2:D$2001)</f>
        <v>0.107425154574426</v>
      </c>
      <c r="AC782" s="13" t="n">
        <f aca="false">(I782-AVERAGE(I$2:I$2001))/STDEV(I$2:I$2001)</f>
        <v>1.39434968409451</v>
      </c>
      <c r="AD782" s="13" t="n">
        <f aca="false">(L782-AVERAGE(L$2:L$2001))/STDEV(L$2:L$2001)</f>
        <v>1.60473955115463</v>
      </c>
      <c r="AE782" s="13" t="n">
        <f aca="false">(M782-AVERAGE(M$2:M$2001))/STDEV(M$2:M$2001)</f>
        <v>0.740572886832083</v>
      </c>
      <c r="AF782" s="13" t="n">
        <f aca="false">(N782-AVERAGE(N$2:N$2001))/STDEV(N$2:N$2001)</f>
        <v>-0.623851568095469</v>
      </c>
      <c r="AG782" s="13" t="n">
        <f aca="false">(O782-AVERAGE(O$2:O$2001))/STDEV(O$2:O$2001)</f>
        <v>-0.351240266232279</v>
      </c>
      <c r="AH782" s="0" t="str">
        <f aca="false">IF(B782="Company","C3 - Corporate Buyers",IF(AND(H782="Investment",M782&gt;'Segmentation Summary'!$C$1),"C1 - Global Investors",IF(AND(I782&gt;=4,M782&gt;'Segmentation Summary'!$C$1),"C4 - Luxury Investors",IF(AND(D782&lt;'Segmentation Summary'!$C$2,J782=1),"C2 - First-Time Buyers","C5 - Other Individual Buyers"))))</f>
        <v>C4 - Luxury Investors</v>
      </c>
    </row>
    <row r="783" customFormat="false" ht="15" hidden="false" customHeight="true" outlineLevel="0" collapsed="false">
      <c r="A783" s="13" t="s">
        <v>1607</v>
      </c>
      <c r="B783" s="13" t="s">
        <v>34</v>
      </c>
      <c r="C783" s="13" t="s">
        <v>1608</v>
      </c>
      <c r="D783" s="13" t="n">
        <v>25</v>
      </c>
      <c r="E783" s="13" t="s">
        <v>83</v>
      </c>
      <c r="F783" s="13" t="s">
        <v>40</v>
      </c>
      <c r="G783" s="13" t="s">
        <v>219</v>
      </c>
      <c r="H783" s="13" t="s">
        <v>43</v>
      </c>
      <c r="I783" s="13" t="n">
        <v>4</v>
      </c>
      <c r="J783" s="13" t="n">
        <v>0</v>
      </c>
      <c r="K783" s="13" t="s">
        <v>91</v>
      </c>
      <c r="L783" s="13" t="n">
        <v>3</v>
      </c>
      <c r="M783" s="13" t="n">
        <v>909138.84</v>
      </c>
      <c r="N783" s="13" t="n">
        <v>303046.28</v>
      </c>
      <c r="O783" s="13" t="n">
        <v>909.056666666667</v>
      </c>
      <c r="P783" s="13" t="n">
        <v>0</v>
      </c>
      <c r="Q783" s="13" t="n">
        <v>3</v>
      </c>
      <c r="R783" s="13" t="s">
        <v>117</v>
      </c>
      <c r="S783" s="13" t="s">
        <v>154</v>
      </c>
      <c r="T783" s="13" t="n">
        <v>1</v>
      </c>
      <c r="U783" s="13" t="n">
        <f aca="false">IF(B783="Individual",1,0)</f>
        <v>1</v>
      </c>
      <c r="V783" s="13" t="n">
        <f aca="false">IF(B783="Company",1,0)</f>
        <v>0</v>
      </c>
      <c r="W783" s="13" t="n">
        <f aca="false">IF(H783="Home",1,0)</f>
        <v>0</v>
      </c>
      <c r="X783" s="13" t="n">
        <f aca="false">IF(H783="Investment",1,0)</f>
        <v>1</v>
      </c>
      <c r="Y783" s="13" t="n">
        <f aca="false">IF(K783="Website",1,0)</f>
        <v>0</v>
      </c>
      <c r="Z783" s="13" t="n">
        <f aca="false">IF(K783="Agency",1,0)</f>
        <v>1</v>
      </c>
      <c r="AA783" s="13" t="n">
        <f aca="false">IF(K783="Client",1,0)</f>
        <v>0</v>
      </c>
      <c r="AB783" s="13" t="n">
        <f aca="false">(D783-AVERAGE(D$2:D$2001))/STDEV(D$2:D$2001)</f>
        <v>-1.68011096555826</v>
      </c>
      <c r="AC783" s="13" t="n">
        <f aca="false">(I783-AVERAGE(I$2:I$2001))/STDEV(I$2:I$2001)</f>
        <v>0.686917069130275</v>
      </c>
      <c r="AD783" s="13" t="n">
        <f aca="false">(L783-AVERAGE(L$2:L$2001))/STDEV(L$2:L$2001)</f>
        <v>-0.777063122173208</v>
      </c>
      <c r="AE783" s="13" t="n">
        <f aca="false">(M783-AVERAGE(M$2:M$2001))/STDEV(M$2:M$2001)</f>
        <v>-1.00979205095164</v>
      </c>
      <c r="AF783" s="13" t="n">
        <f aca="false">(N783-AVERAGE(N$2:N$2001))/STDEV(N$2:N$2001)</f>
        <v>-0.631705751846733</v>
      </c>
      <c r="AG783" s="13" t="n">
        <f aca="false">(O783-AVERAGE(O$2:O$2001))/STDEV(O$2:O$2001)</f>
        <v>-1.084122393354</v>
      </c>
      <c r="AH783" s="0" t="str">
        <f aca="false">IF(B783="Company","C3 - Corporate Buyers",IF(AND(H783="Investment",M783&gt;'Segmentation Summary'!$C$1),"C1 - Global Investors",IF(AND(I783&gt;=4,M783&gt;'Segmentation Summary'!$C$1),"C4 - Luxury Investors",IF(AND(D783&lt;'Segmentation Summary'!$C$2,J783=1),"C2 - First-Time Buyers","C5 - Other Individual Buyers"))))</f>
        <v>C5 - Other Individual Buyers</v>
      </c>
    </row>
    <row r="784" customFormat="false" ht="15" hidden="false" customHeight="true" outlineLevel="0" collapsed="false">
      <c r="A784" s="13" t="s">
        <v>1609</v>
      </c>
      <c r="B784" s="13" t="s">
        <v>34</v>
      </c>
      <c r="C784" s="13" t="s">
        <v>1610</v>
      </c>
      <c r="D784" s="13" t="n">
        <v>36</v>
      </c>
      <c r="E784" s="13" t="s">
        <v>83</v>
      </c>
      <c r="F784" s="13" t="s">
        <v>33</v>
      </c>
      <c r="G784" s="13" t="s">
        <v>95</v>
      </c>
      <c r="H784" s="13" t="s">
        <v>43</v>
      </c>
      <c r="I784" s="13" t="n">
        <v>4</v>
      </c>
      <c r="J784" s="13" t="n">
        <v>0</v>
      </c>
      <c r="K784" s="13" t="s">
        <v>85</v>
      </c>
      <c r="L784" s="13" t="n">
        <v>3</v>
      </c>
      <c r="M784" s="13" t="n">
        <v>1395460.54</v>
      </c>
      <c r="N784" s="13" t="n">
        <v>465153.513333333</v>
      </c>
      <c r="O784" s="13" t="n">
        <v>1435.66333333333</v>
      </c>
      <c r="P784" s="13" t="n">
        <v>0</v>
      </c>
      <c r="Q784" s="13" t="n">
        <v>3</v>
      </c>
      <c r="R784" s="13" t="s">
        <v>101</v>
      </c>
      <c r="S784" s="13" t="s">
        <v>86</v>
      </c>
      <c r="T784" s="13" t="n">
        <v>1</v>
      </c>
      <c r="U784" s="13" t="n">
        <f aca="false">IF(B784="Individual",1,0)</f>
        <v>1</v>
      </c>
      <c r="V784" s="13" t="n">
        <f aca="false">IF(B784="Company",1,0)</f>
        <v>0</v>
      </c>
      <c r="W784" s="13" t="n">
        <f aca="false">IF(H784="Home",1,0)</f>
        <v>0</v>
      </c>
      <c r="X784" s="13" t="n">
        <f aca="false">IF(H784="Investment",1,0)</f>
        <v>1</v>
      </c>
      <c r="Y784" s="13" t="n">
        <f aca="false">IF(K784="Website",1,0)</f>
        <v>1</v>
      </c>
      <c r="Z784" s="13" t="n">
        <f aca="false">IF(K784="Agency",1,0)</f>
        <v>0</v>
      </c>
      <c r="AA784" s="13" t="n">
        <f aca="false">IF(K784="Client",1,0)</f>
        <v>0</v>
      </c>
      <c r="AB784" s="13" t="n">
        <f aca="false">(D784-AVERAGE(D$2:D$2001))/STDEV(D$2:D$2001)</f>
        <v>-1.0458239551886</v>
      </c>
      <c r="AC784" s="13" t="n">
        <f aca="false">(I784-AVERAGE(I$2:I$2001))/STDEV(I$2:I$2001)</f>
        <v>0.686917069130275</v>
      </c>
      <c r="AD784" s="13" t="n">
        <f aca="false">(L784-AVERAGE(L$2:L$2001))/STDEV(L$2:L$2001)</f>
        <v>-0.777063122173208</v>
      </c>
      <c r="AE784" s="13" t="n">
        <f aca="false">(M784-AVERAGE(M$2:M$2001))/STDEV(M$2:M$2001)</f>
        <v>0.388364434880995</v>
      </c>
      <c r="AF784" s="13" t="n">
        <f aca="false">(N784-AVERAGE(N$2:N$2001))/STDEV(N$2:N$2001)</f>
        <v>1.6933515848049</v>
      </c>
      <c r="AG784" s="13" t="n">
        <f aca="false">(O784-AVERAGE(O$2:O$2001))/STDEV(O$2:O$2001)</f>
        <v>1.31038684712942</v>
      </c>
      <c r="AH784" s="0" t="str">
        <f aca="false">IF(B784="Company","C3 - Corporate Buyers",IF(AND(H784="Investment",M784&gt;'Segmentation Summary'!$C$1),"C1 - Global Investors",IF(AND(I784&gt;=4,M784&gt;'Segmentation Summary'!$C$1),"C4 - Luxury Investors",IF(AND(D784&lt;'Segmentation Summary'!$C$2,J784=1),"C2 - First-Time Buyers","C5 - Other Individual Buyers"))))</f>
        <v>C1 - Global Investors</v>
      </c>
    </row>
    <row r="785" customFormat="false" ht="15" hidden="false" customHeight="true" outlineLevel="0" collapsed="false">
      <c r="A785" s="13" t="s">
        <v>1611</v>
      </c>
      <c r="B785" s="13" t="s">
        <v>34</v>
      </c>
      <c r="C785" s="13" t="s">
        <v>1612</v>
      </c>
      <c r="D785" s="13" t="n">
        <v>61</v>
      </c>
      <c r="E785" s="13" t="s">
        <v>83</v>
      </c>
      <c r="F785" s="13" t="s">
        <v>35</v>
      </c>
      <c r="G785" s="13" t="s">
        <v>137</v>
      </c>
      <c r="H785" s="13" t="s">
        <v>41</v>
      </c>
      <c r="I785" s="13" t="n">
        <v>1</v>
      </c>
      <c r="J785" s="13" t="n">
        <v>1</v>
      </c>
      <c r="K785" s="13" t="s">
        <v>91</v>
      </c>
      <c r="L785" s="13" t="n">
        <v>4</v>
      </c>
      <c r="M785" s="13" t="n">
        <v>1149379.86</v>
      </c>
      <c r="N785" s="13" t="n">
        <v>287344.965</v>
      </c>
      <c r="O785" s="13" t="n">
        <v>1014.73</v>
      </c>
      <c r="P785" s="13" t="n">
        <v>2</v>
      </c>
      <c r="Q785" s="13" t="n">
        <v>2</v>
      </c>
      <c r="R785" s="13" t="s">
        <v>86</v>
      </c>
      <c r="S785" s="13" t="s">
        <v>87</v>
      </c>
      <c r="T785" s="13" t="n">
        <v>1</v>
      </c>
      <c r="U785" s="13" t="n">
        <f aca="false">IF(B785="Individual",1,0)</f>
        <v>1</v>
      </c>
      <c r="V785" s="13" t="n">
        <f aca="false">IF(B785="Company",1,0)</f>
        <v>0</v>
      </c>
      <c r="W785" s="13" t="n">
        <f aca="false">IF(H785="Home",1,0)</f>
        <v>1</v>
      </c>
      <c r="X785" s="13" t="n">
        <f aca="false">IF(H785="Investment",1,0)</f>
        <v>0</v>
      </c>
      <c r="Y785" s="13" t="n">
        <f aca="false">IF(K785="Website",1,0)</f>
        <v>0</v>
      </c>
      <c r="Z785" s="13" t="n">
        <f aca="false">IF(K785="Agency",1,0)</f>
        <v>1</v>
      </c>
      <c r="AA785" s="13" t="n">
        <f aca="false">IF(K785="Client",1,0)</f>
        <v>0</v>
      </c>
      <c r="AB785" s="13" t="n">
        <f aca="false">(D785-AVERAGE(D$2:D$2001))/STDEV(D$2:D$2001)</f>
        <v>0.395737432015182</v>
      </c>
      <c r="AC785" s="13" t="n">
        <f aca="false">(I785-AVERAGE(I$2:I$2001))/STDEV(I$2:I$2001)</f>
        <v>-1.43538077576244</v>
      </c>
      <c r="AD785" s="13" t="n">
        <f aca="false">(L785-AVERAGE(L$2:L$2001))/STDEV(L$2:L$2001)</f>
        <v>0.413838214490712</v>
      </c>
      <c r="AE785" s="13" t="n">
        <f aca="false">(M785-AVERAGE(M$2:M$2001))/STDEV(M$2:M$2001)</f>
        <v>-0.319108208803433</v>
      </c>
      <c r="AF785" s="13" t="n">
        <f aca="false">(N785-AVERAGE(N$2:N$2001))/STDEV(N$2:N$2001)</f>
        <v>-0.856905188572434</v>
      </c>
      <c r="AG785" s="13" t="n">
        <f aca="false">(O785-AVERAGE(O$2:O$2001))/STDEV(O$2:O$2001)</f>
        <v>-0.603619982055206</v>
      </c>
      <c r="AH785" s="0" t="str">
        <f aca="false">IF(B785="Company","C3 - Corporate Buyers",IF(AND(H785="Investment",M785&gt;'Segmentation Summary'!$C$1),"C1 - Global Investors",IF(AND(I785&gt;=4,M785&gt;'Segmentation Summary'!$C$1),"C4 - Luxury Investors",IF(AND(D785&lt;'Segmentation Summary'!$C$2,J785=1),"C2 - First-Time Buyers","C5 - Other Individual Buyers"))))</f>
        <v>C5 - Other Individual Buyers</v>
      </c>
    </row>
    <row r="786" customFormat="false" ht="15" hidden="false" customHeight="true" outlineLevel="0" collapsed="false">
      <c r="A786" s="13" t="s">
        <v>1613</v>
      </c>
      <c r="B786" s="13" t="s">
        <v>34</v>
      </c>
      <c r="C786" s="13" t="s">
        <v>1614</v>
      </c>
      <c r="D786" s="13" t="n">
        <v>42</v>
      </c>
      <c r="E786" s="13" t="s">
        <v>83</v>
      </c>
      <c r="F786" s="13" t="s">
        <v>33</v>
      </c>
      <c r="G786" s="13" t="s">
        <v>97</v>
      </c>
      <c r="H786" s="13" t="s">
        <v>43</v>
      </c>
      <c r="I786" s="13" t="n">
        <v>1</v>
      </c>
      <c r="J786" s="13" t="n">
        <v>1</v>
      </c>
      <c r="K786" s="13" t="s">
        <v>116</v>
      </c>
      <c r="L786" s="13" t="n">
        <v>4</v>
      </c>
      <c r="M786" s="13" t="n">
        <v>1458641.1</v>
      </c>
      <c r="N786" s="13" t="n">
        <v>364660.275</v>
      </c>
      <c r="O786" s="13" t="n">
        <v>1261.78</v>
      </c>
      <c r="P786" s="13" t="n">
        <v>0</v>
      </c>
      <c r="Q786" s="13" t="n">
        <v>4</v>
      </c>
      <c r="R786" s="13" t="s">
        <v>86</v>
      </c>
      <c r="S786" s="13" t="s">
        <v>135</v>
      </c>
      <c r="T786" s="13" t="n">
        <v>1</v>
      </c>
      <c r="U786" s="13" t="n">
        <f aca="false">IF(B786="Individual",1,0)</f>
        <v>1</v>
      </c>
      <c r="V786" s="13" t="n">
        <f aca="false">IF(B786="Company",1,0)</f>
        <v>0</v>
      </c>
      <c r="W786" s="13" t="n">
        <f aca="false">IF(H786="Home",1,0)</f>
        <v>0</v>
      </c>
      <c r="X786" s="13" t="n">
        <f aca="false">IF(H786="Investment",1,0)</f>
        <v>1</v>
      </c>
      <c r="Y786" s="13" t="n">
        <f aca="false">IF(K786="Website",1,0)</f>
        <v>0</v>
      </c>
      <c r="Z786" s="13" t="n">
        <f aca="false">IF(K786="Agency",1,0)</f>
        <v>0</v>
      </c>
      <c r="AA786" s="13" t="n">
        <f aca="false">IF(K786="Client",1,0)</f>
        <v>1</v>
      </c>
      <c r="AB786" s="13" t="n">
        <f aca="false">(D786-AVERAGE(D$2:D$2001))/STDEV(D$2:D$2001)</f>
        <v>-0.699849222259691</v>
      </c>
      <c r="AC786" s="13" t="n">
        <f aca="false">(I786-AVERAGE(I$2:I$2001))/STDEV(I$2:I$2001)</f>
        <v>-1.43538077576244</v>
      </c>
      <c r="AD786" s="13" t="n">
        <f aca="false">(L786-AVERAGE(L$2:L$2001))/STDEV(L$2:L$2001)</f>
        <v>0.413838214490712</v>
      </c>
      <c r="AE786" s="13" t="n">
        <f aca="false">(M786-AVERAGE(M$2:M$2001))/STDEV(M$2:M$2001)</f>
        <v>0.570006154225491</v>
      </c>
      <c r="AF786" s="13" t="n">
        <f aca="false">(N786-AVERAGE(N$2:N$2001))/STDEV(N$2:N$2001)</f>
        <v>0.252006024422972</v>
      </c>
      <c r="AG786" s="13" t="n">
        <f aca="false">(O786-AVERAGE(O$2:O$2001))/STDEV(O$2:O$2001)</f>
        <v>0.519729844877162</v>
      </c>
      <c r="AH786" s="0" t="str">
        <f aca="false">IF(B786="Company","C3 - Corporate Buyers",IF(AND(H786="Investment",M786&gt;'Segmentation Summary'!$C$1),"C1 - Global Investors",IF(AND(I786&gt;=4,M786&gt;'Segmentation Summary'!$C$1),"C4 - Luxury Investors",IF(AND(D786&lt;'Segmentation Summary'!$C$2,J786=1),"C2 - First-Time Buyers","C5 - Other Individual Buyers"))))</f>
        <v>C1 - Global Investors</v>
      </c>
    </row>
    <row r="787" customFormat="false" ht="15" hidden="false" customHeight="true" outlineLevel="0" collapsed="false">
      <c r="A787" s="13" t="s">
        <v>1615</v>
      </c>
      <c r="B787" s="13" t="s">
        <v>34</v>
      </c>
      <c r="C787" s="13" t="s">
        <v>1616</v>
      </c>
      <c r="D787" s="13" t="n">
        <v>26</v>
      </c>
      <c r="E787" s="13" t="s">
        <v>83</v>
      </c>
      <c r="F787" s="13" t="s">
        <v>38</v>
      </c>
      <c r="G787" s="13" t="s">
        <v>339</v>
      </c>
      <c r="H787" s="13" t="s">
        <v>41</v>
      </c>
      <c r="I787" s="13" t="n">
        <v>1</v>
      </c>
      <c r="J787" s="13" t="n">
        <v>0</v>
      </c>
      <c r="K787" s="13" t="s">
        <v>85</v>
      </c>
      <c r="L787" s="13" t="n">
        <v>3</v>
      </c>
      <c r="M787" s="13" t="n">
        <v>742034.24</v>
      </c>
      <c r="N787" s="13" t="n">
        <v>247344.746666667</v>
      </c>
      <c r="O787" s="13" t="n">
        <v>678.97</v>
      </c>
      <c r="P787" s="13" t="n">
        <v>0</v>
      </c>
      <c r="Q787" s="13" t="n">
        <v>3</v>
      </c>
      <c r="R787" s="13" t="s">
        <v>121</v>
      </c>
      <c r="S787" s="13" t="s">
        <v>133</v>
      </c>
      <c r="T787" s="13" t="n">
        <v>1</v>
      </c>
      <c r="U787" s="13" t="n">
        <f aca="false">IF(B787="Individual",1,0)</f>
        <v>1</v>
      </c>
      <c r="V787" s="13" t="n">
        <f aca="false">IF(B787="Company",1,0)</f>
        <v>0</v>
      </c>
      <c r="W787" s="13" t="n">
        <f aca="false">IF(H787="Home",1,0)</f>
        <v>1</v>
      </c>
      <c r="X787" s="13" t="n">
        <f aca="false">IF(H787="Investment",1,0)</f>
        <v>0</v>
      </c>
      <c r="Y787" s="13" t="n">
        <f aca="false">IF(K787="Website",1,0)</f>
        <v>1</v>
      </c>
      <c r="Z787" s="13" t="n">
        <f aca="false">IF(K787="Agency",1,0)</f>
        <v>0</v>
      </c>
      <c r="AA787" s="13" t="n">
        <f aca="false">IF(K787="Client",1,0)</f>
        <v>0</v>
      </c>
      <c r="AB787" s="13" t="n">
        <f aca="false">(D787-AVERAGE(D$2:D$2001))/STDEV(D$2:D$2001)</f>
        <v>-1.62244851007011</v>
      </c>
      <c r="AC787" s="13" t="n">
        <f aca="false">(I787-AVERAGE(I$2:I$2001))/STDEV(I$2:I$2001)</f>
        <v>-1.43538077576244</v>
      </c>
      <c r="AD787" s="13" t="n">
        <f aca="false">(L787-AVERAGE(L$2:L$2001))/STDEV(L$2:L$2001)</f>
        <v>-0.777063122173208</v>
      </c>
      <c r="AE787" s="13" t="n">
        <f aca="false">(M787-AVERAGE(M$2:M$2001))/STDEV(M$2:M$2001)</f>
        <v>-1.49021145296983</v>
      </c>
      <c r="AF787" s="13" t="n">
        <f aca="false">(N787-AVERAGE(N$2:N$2001))/STDEV(N$2:N$2001)</f>
        <v>-1.43061679410176</v>
      </c>
      <c r="AG787" s="13" t="n">
        <f aca="false">(O787-AVERAGE(O$2:O$2001))/STDEV(O$2:O$2001)</f>
        <v>-2.1303390182455</v>
      </c>
      <c r="AH787" s="0" t="str">
        <f aca="false">IF(B787="Company","C3 - Corporate Buyers",IF(AND(H787="Investment",M787&gt;'Segmentation Summary'!$C$1),"C1 - Global Investors",IF(AND(I787&gt;=4,M787&gt;'Segmentation Summary'!$C$1),"C4 - Luxury Investors",IF(AND(D787&lt;'Segmentation Summary'!$C$2,J787=1),"C2 - First-Time Buyers","C5 - Other Individual Buyers"))))</f>
        <v>C5 - Other Individual Buyers</v>
      </c>
    </row>
    <row r="788" customFormat="false" ht="15" hidden="false" customHeight="true" outlineLevel="0" collapsed="false">
      <c r="A788" s="13" t="s">
        <v>1617</v>
      </c>
      <c r="B788" s="13" t="s">
        <v>34</v>
      </c>
      <c r="C788" s="13" t="s">
        <v>1618</v>
      </c>
      <c r="D788" s="13" t="n">
        <v>36</v>
      </c>
      <c r="E788" s="13" t="s">
        <v>83</v>
      </c>
      <c r="F788" s="13" t="s">
        <v>33</v>
      </c>
      <c r="G788" s="13" t="s">
        <v>145</v>
      </c>
      <c r="H788" s="13" t="s">
        <v>41</v>
      </c>
      <c r="I788" s="13" t="n">
        <v>5</v>
      </c>
      <c r="J788" s="13" t="n">
        <v>0</v>
      </c>
      <c r="K788" s="13" t="s">
        <v>85</v>
      </c>
      <c r="L788" s="13" t="n">
        <v>4</v>
      </c>
      <c r="M788" s="13" t="n">
        <v>1249138.91</v>
      </c>
      <c r="N788" s="13" t="n">
        <v>312284.7275</v>
      </c>
      <c r="O788" s="13" t="n">
        <v>976.9675</v>
      </c>
      <c r="P788" s="13" t="n">
        <v>0</v>
      </c>
      <c r="Q788" s="13" t="n">
        <v>4</v>
      </c>
      <c r="R788" s="13" t="s">
        <v>98</v>
      </c>
      <c r="S788" s="13" t="s">
        <v>112</v>
      </c>
      <c r="T788" s="13" t="n">
        <v>1</v>
      </c>
      <c r="U788" s="13" t="n">
        <f aca="false">IF(B788="Individual",1,0)</f>
        <v>1</v>
      </c>
      <c r="V788" s="13" t="n">
        <f aca="false">IF(B788="Company",1,0)</f>
        <v>0</v>
      </c>
      <c r="W788" s="13" t="n">
        <f aca="false">IF(H788="Home",1,0)</f>
        <v>1</v>
      </c>
      <c r="X788" s="13" t="n">
        <f aca="false">IF(H788="Investment",1,0)</f>
        <v>0</v>
      </c>
      <c r="Y788" s="13" t="n">
        <f aca="false">IF(K788="Website",1,0)</f>
        <v>1</v>
      </c>
      <c r="Z788" s="13" t="n">
        <f aca="false">IF(K788="Agency",1,0)</f>
        <v>0</v>
      </c>
      <c r="AA788" s="13" t="n">
        <f aca="false">IF(K788="Client",1,0)</f>
        <v>0</v>
      </c>
      <c r="AB788" s="13" t="n">
        <f aca="false">(D788-AVERAGE(D$2:D$2001))/STDEV(D$2:D$2001)</f>
        <v>-1.0458239551886</v>
      </c>
      <c r="AC788" s="13" t="n">
        <f aca="false">(I788-AVERAGE(I$2:I$2001))/STDEV(I$2:I$2001)</f>
        <v>1.39434968409451</v>
      </c>
      <c r="AD788" s="13" t="n">
        <f aca="false">(L788-AVERAGE(L$2:L$2001))/STDEV(L$2:L$2001)</f>
        <v>0.413838214490712</v>
      </c>
      <c r="AE788" s="13" t="n">
        <f aca="false">(M788-AVERAGE(M$2:M$2001))/STDEV(M$2:M$2001)</f>
        <v>-0.032304714782907</v>
      </c>
      <c r="AF788" s="13" t="n">
        <f aca="false">(N788-AVERAGE(N$2:N$2001))/STDEV(N$2:N$2001)</f>
        <v>-0.49920136140428</v>
      </c>
      <c r="AG788" s="13" t="n">
        <f aca="false">(O788-AVERAGE(O$2:O$2001))/STDEV(O$2:O$2001)</f>
        <v>-0.775328129553824</v>
      </c>
      <c r="AH788" s="0" t="str">
        <f aca="false">IF(B788="Company","C3 - Corporate Buyers",IF(AND(H788="Investment",M788&gt;'Segmentation Summary'!$C$1),"C1 - Global Investors",IF(AND(I788&gt;=4,M788&gt;'Segmentation Summary'!$C$1),"C4 - Luxury Investors",IF(AND(D788&lt;'Segmentation Summary'!$C$2,J788=1),"C2 - First-Time Buyers","C5 - Other Individual Buyers"))))</f>
        <v>C4 - Luxury Investors</v>
      </c>
    </row>
    <row r="789" customFormat="false" ht="15" hidden="false" customHeight="true" outlineLevel="0" collapsed="false">
      <c r="A789" s="13" t="s">
        <v>1619</v>
      </c>
      <c r="B789" s="13" t="s">
        <v>34</v>
      </c>
      <c r="C789" s="13" t="s">
        <v>1620</v>
      </c>
      <c r="D789" s="13" t="n">
        <v>55</v>
      </c>
      <c r="E789" s="13" t="s">
        <v>83</v>
      </c>
      <c r="F789" s="13" t="s">
        <v>33</v>
      </c>
      <c r="G789" s="13" t="s">
        <v>120</v>
      </c>
      <c r="H789" s="13" t="s">
        <v>43</v>
      </c>
      <c r="I789" s="13" t="n">
        <v>2</v>
      </c>
      <c r="J789" s="13" t="n">
        <v>0</v>
      </c>
      <c r="K789" s="13" t="s">
        <v>91</v>
      </c>
      <c r="L789" s="13" t="n">
        <v>3</v>
      </c>
      <c r="M789" s="13" t="n">
        <v>1351032.92</v>
      </c>
      <c r="N789" s="13" t="n">
        <v>450344.306666667</v>
      </c>
      <c r="O789" s="13" t="n">
        <v>1510.37666666667</v>
      </c>
      <c r="P789" s="13" t="n">
        <v>0</v>
      </c>
      <c r="Q789" s="13" t="n">
        <v>3</v>
      </c>
      <c r="R789" s="13" t="s">
        <v>86</v>
      </c>
      <c r="S789" s="13" t="s">
        <v>125</v>
      </c>
      <c r="T789" s="13" t="n">
        <v>1</v>
      </c>
      <c r="U789" s="13" t="n">
        <f aca="false">IF(B789="Individual",1,0)</f>
        <v>1</v>
      </c>
      <c r="V789" s="13" t="n">
        <f aca="false">IF(B789="Company",1,0)</f>
        <v>0</v>
      </c>
      <c r="W789" s="13" t="n">
        <f aca="false">IF(H789="Home",1,0)</f>
        <v>0</v>
      </c>
      <c r="X789" s="13" t="n">
        <f aca="false">IF(H789="Investment",1,0)</f>
        <v>1</v>
      </c>
      <c r="Y789" s="13" t="n">
        <f aca="false">IF(K789="Website",1,0)</f>
        <v>0</v>
      </c>
      <c r="Z789" s="13" t="n">
        <f aca="false">IF(K789="Agency",1,0)</f>
        <v>1</v>
      </c>
      <c r="AA789" s="13" t="n">
        <f aca="false">IF(K789="Client",1,0)</f>
        <v>0</v>
      </c>
      <c r="AB789" s="13" t="n">
        <f aca="false">(D789-AVERAGE(D$2:D$2001))/STDEV(D$2:D$2001)</f>
        <v>0.0497626990862745</v>
      </c>
      <c r="AC789" s="13" t="n">
        <f aca="false">(I789-AVERAGE(I$2:I$2001))/STDEV(I$2:I$2001)</f>
        <v>-0.727948160798201</v>
      </c>
      <c r="AD789" s="13" t="n">
        <f aca="false">(L789-AVERAGE(L$2:L$2001))/STDEV(L$2:L$2001)</f>
        <v>-0.777063122173208</v>
      </c>
      <c r="AE789" s="13" t="n">
        <f aca="false">(M789-AVERAGE(M$2:M$2001))/STDEV(M$2:M$2001)</f>
        <v>0.260636708454007</v>
      </c>
      <c r="AF789" s="13" t="n">
        <f aca="false">(N789-AVERAGE(N$2:N$2001))/STDEV(N$2:N$2001)</f>
        <v>1.48094740084403</v>
      </c>
      <c r="AG789" s="13" t="n">
        <f aca="false">(O789-AVERAGE(O$2:O$2001))/STDEV(O$2:O$2001)</f>
        <v>1.65011244951577</v>
      </c>
      <c r="AH789" s="0" t="str">
        <f aca="false">IF(B789="Company","C3 - Corporate Buyers",IF(AND(H789="Investment",M789&gt;'Segmentation Summary'!$C$1),"C1 - Global Investors",IF(AND(I789&gt;=4,M789&gt;'Segmentation Summary'!$C$1),"C4 - Luxury Investors",IF(AND(D789&lt;'Segmentation Summary'!$C$2,J789=1),"C2 - First-Time Buyers","C5 - Other Individual Buyers"))))</f>
        <v>C1 - Global Investors</v>
      </c>
    </row>
    <row r="790" customFormat="false" ht="15" hidden="false" customHeight="true" outlineLevel="0" collapsed="false">
      <c r="A790" s="13" t="s">
        <v>1621</v>
      </c>
      <c r="B790" s="13" t="s">
        <v>34</v>
      </c>
      <c r="C790" s="13" t="s">
        <v>1622</v>
      </c>
      <c r="D790" s="13" t="n">
        <v>53</v>
      </c>
      <c r="E790" s="13" t="s">
        <v>83</v>
      </c>
      <c r="F790" s="13" t="s">
        <v>33</v>
      </c>
      <c r="G790" s="13" t="s">
        <v>207</v>
      </c>
      <c r="H790" s="13" t="s">
        <v>43</v>
      </c>
      <c r="I790" s="13" t="n">
        <v>5</v>
      </c>
      <c r="J790" s="13" t="n">
        <v>1</v>
      </c>
      <c r="K790" s="13" t="s">
        <v>91</v>
      </c>
      <c r="L790" s="13" t="n">
        <v>4</v>
      </c>
      <c r="M790" s="13" t="n">
        <v>1380990.75</v>
      </c>
      <c r="N790" s="13" t="n">
        <v>345247.6875</v>
      </c>
      <c r="O790" s="13" t="n">
        <v>1176.685</v>
      </c>
      <c r="P790" s="13" t="n">
        <v>0</v>
      </c>
      <c r="Q790" s="13" t="n">
        <v>4</v>
      </c>
      <c r="R790" s="13" t="s">
        <v>121</v>
      </c>
      <c r="S790" s="13" t="s">
        <v>133</v>
      </c>
      <c r="T790" s="13" t="n">
        <v>1</v>
      </c>
      <c r="U790" s="13" t="n">
        <f aca="false">IF(B790="Individual",1,0)</f>
        <v>1</v>
      </c>
      <c r="V790" s="13" t="n">
        <f aca="false">IF(B790="Company",1,0)</f>
        <v>0</v>
      </c>
      <c r="W790" s="13" t="n">
        <f aca="false">IF(H790="Home",1,0)</f>
        <v>0</v>
      </c>
      <c r="X790" s="13" t="n">
        <f aca="false">IF(H790="Investment",1,0)</f>
        <v>1</v>
      </c>
      <c r="Y790" s="13" t="n">
        <f aca="false">IF(K790="Website",1,0)</f>
        <v>0</v>
      </c>
      <c r="Z790" s="13" t="n">
        <f aca="false">IF(K790="Agency",1,0)</f>
        <v>1</v>
      </c>
      <c r="AA790" s="13" t="n">
        <f aca="false">IF(K790="Client",1,0)</f>
        <v>0</v>
      </c>
      <c r="AB790" s="13" t="n">
        <f aca="false">(D790-AVERAGE(D$2:D$2001))/STDEV(D$2:D$2001)</f>
        <v>-0.065562211890028</v>
      </c>
      <c r="AC790" s="13" t="n">
        <f aca="false">(I790-AVERAGE(I$2:I$2001))/STDEV(I$2:I$2001)</f>
        <v>1.39434968409451</v>
      </c>
      <c r="AD790" s="13" t="n">
        <f aca="false">(L790-AVERAGE(L$2:L$2001))/STDEV(L$2:L$2001)</f>
        <v>0.413838214490712</v>
      </c>
      <c r="AE790" s="13" t="n">
        <f aca="false">(M790-AVERAGE(M$2:M$2001))/STDEV(M$2:M$2001)</f>
        <v>0.346764336145659</v>
      </c>
      <c r="AF790" s="13" t="n">
        <f aca="false">(N790-AVERAGE(N$2:N$2001))/STDEV(N$2:N$2001)</f>
        <v>-0.0264231243705142</v>
      </c>
      <c r="AG790" s="13" t="n">
        <f aca="false">(O790-AVERAGE(O$2:O$2001))/STDEV(O$2:O$2001)</f>
        <v>0.13279823782268</v>
      </c>
      <c r="AH790" s="0" t="str">
        <f aca="false">IF(B790="Company","C3 - Corporate Buyers",IF(AND(H790="Investment",M790&gt;'Segmentation Summary'!$C$1),"C1 - Global Investors",IF(AND(I790&gt;=4,M790&gt;'Segmentation Summary'!$C$1),"C4 - Luxury Investors",IF(AND(D790&lt;'Segmentation Summary'!$C$2,J790=1),"C2 - First-Time Buyers","C5 - Other Individual Buyers"))))</f>
        <v>C1 - Global Investors</v>
      </c>
    </row>
    <row r="791" customFormat="false" ht="15" hidden="false" customHeight="true" outlineLevel="0" collapsed="false">
      <c r="A791" s="13" t="s">
        <v>1623</v>
      </c>
      <c r="B791" s="13" t="s">
        <v>34</v>
      </c>
      <c r="C791" s="13" t="s">
        <v>1624</v>
      </c>
      <c r="D791" s="13" t="n">
        <v>73</v>
      </c>
      <c r="E791" s="13" t="s">
        <v>83</v>
      </c>
      <c r="F791" s="13" t="s">
        <v>33</v>
      </c>
      <c r="G791" s="13" t="s">
        <v>95</v>
      </c>
      <c r="H791" s="13" t="s">
        <v>41</v>
      </c>
      <c r="I791" s="13" t="n">
        <v>4</v>
      </c>
      <c r="J791" s="13" t="n">
        <v>1</v>
      </c>
      <c r="K791" s="13" t="s">
        <v>85</v>
      </c>
      <c r="L791" s="13" t="n">
        <v>3</v>
      </c>
      <c r="M791" s="13" t="n">
        <v>1120488.77</v>
      </c>
      <c r="N791" s="13" t="n">
        <v>373496.256666667</v>
      </c>
      <c r="O791" s="13" t="n">
        <v>1308.51333333333</v>
      </c>
      <c r="P791" s="13" t="n">
        <v>0</v>
      </c>
      <c r="Q791" s="13" t="n">
        <v>3</v>
      </c>
      <c r="R791" s="13" t="s">
        <v>117</v>
      </c>
      <c r="S791" s="13" t="s">
        <v>141</v>
      </c>
      <c r="T791" s="13" t="n">
        <v>1</v>
      </c>
      <c r="U791" s="13" t="n">
        <f aca="false">IF(B791="Individual",1,0)</f>
        <v>1</v>
      </c>
      <c r="V791" s="13" t="n">
        <f aca="false">IF(B791="Company",1,0)</f>
        <v>0</v>
      </c>
      <c r="W791" s="13" t="n">
        <f aca="false">IF(H791="Home",1,0)</f>
        <v>1</v>
      </c>
      <c r="X791" s="13" t="n">
        <f aca="false">IF(H791="Investment",1,0)</f>
        <v>0</v>
      </c>
      <c r="Y791" s="13" t="n">
        <f aca="false">IF(K791="Website",1,0)</f>
        <v>1</v>
      </c>
      <c r="Z791" s="13" t="n">
        <f aca="false">IF(K791="Agency",1,0)</f>
        <v>0</v>
      </c>
      <c r="AA791" s="13" t="n">
        <f aca="false">IF(K791="Client",1,0)</f>
        <v>0</v>
      </c>
      <c r="AB791" s="13" t="n">
        <f aca="false">(D791-AVERAGE(D$2:D$2001))/STDEV(D$2:D$2001)</f>
        <v>1.087686897873</v>
      </c>
      <c r="AC791" s="13" t="n">
        <f aca="false">(I791-AVERAGE(I$2:I$2001))/STDEV(I$2:I$2001)</f>
        <v>0.686917069130275</v>
      </c>
      <c r="AD791" s="13" t="n">
        <f aca="false">(L791-AVERAGE(L$2:L$2001))/STDEV(L$2:L$2001)</f>
        <v>-0.777063122173208</v>
      </c>
      <c r="AE791" s="13" t="n">
        <f aca="false">(M791-AVERAGE(M$2:M$2001))/STDEV(M$2:M$2001)</f>
        <v>-0.402168999358891</v>
      </c>
      <c r="AF791" s="13" t="n">
        <f aca="false">(N791-AVERAGE(N$2:N$2001))/STDEV(N$2:N$2001)</f>
        <v>0.378737963388085</v>
      </c>
      <c r="AG791" s="13" t="n">
        <f aca="false">(O791-AVERAGE(O$2:O$2001))/STDEV(O$2:O$2001)</f>
        <v>0.732228860914276</v>
      </c>
      <c r="AH791" s="0" t="str">
        <f aca="false">IF(B791="Company","C3 - Corporate Buyers",IF(AND(H791="Investment",M791&gt;'Segmentation Summary'!$C$1),"C1 - Global Investors",IF(AND(I791&gt;=4,M791&gt;'Segmentation Summary'!$C$1),"C4 - Luxury Investors",IF(AND(D791&lt;'Segmentation Summary'!$C$2,J791=1),"C2 - First-Time Buyers","C5 - Other Individual Buyers"))))</f>
        <v>C5 - Other Individual Buyers</v>
      </c>
    </row>
    <row r="792" customFormat="false" ht="15" hidden="false" customHeight="true" outlineLevel="0" collapsed="false">
      <c r="A792" s="13" t="s">
        <v>1625</v>
      </c>
      <c r="B792" s="13" t="s">
        <v>34</v>
      </c>
      <c r="C792" s="13" t="s">
        <v>1626</v>
      </c>
      <c r="D792" s="13" t="n">
        <v>78</v>
      </c>
      <c r="E792" s="13" t="s">
        <v>83</v>
      </c>
      <c r="F792" s="13" t="s">
        <v>33</v>
      </c>
      <c r="G792" s="13" t="s">
        <v>110</v>
      </c>
      <c r="H792" s="13" t="s">
        <v>41</v>
      </c>
      <c r="I792" s="13" t="n">
        <v>4</v>
      </c>
      <c r="J792" s="13" t="n">
        <v>0</v>
      </c>
      <c r="K792" s="13" t="s">
        <v>85</v>
      </c>
      <c r="L792" s="13" t="n">
        <v>3</v>
      </c>
      <c r="M792" s="13" t="n">
        <v>941310.61</v>
      </c>
      <c r="N792" s="13" t="n">
        <v>313770.203333333</v>
      </c>
      <c r="O792" s="13" t="n">
        <v>1050.08</v>
      </c>
      <c r="P792" s="13" t="n">
        <v>0</v>
      </c>
      <c r="Q792" s="13" t="n">
        <v>3</v>
      </c>
      <c r="R792" s="13" t="s">
        <v>117</v>
      </c>
      <c r="S792" s="13" t="s">
        <v>87</v>
      </c>
      <c r="T792" s="13" t="n">
        <v>1</v>
      </c>
      <c r="U792" s="13" t="n">
        <f aca="false">IF(B792="Individual",1,0)</f>
        <v>1</v>
      </c>
      <c r="V792" s="13" t="n">
        <f aca="false">IF(B792="Company",1,0)</f>
        <v>0</v>
      </c>
      <c r="W792" s="13" t="n">
        <f aca="false">IF(H792="Home",1,0)</f>
        <v>1</v>
      </c>
      <c r="X792" s="13" t="n">
        <f aca="false">IF(H792="Investment",1,0)</f>
        <v>0</v>
      </c>
      <c r="Y792" s="13" t="n">
        <f aca="false">IF(K792="Website",1,0)</f>
        <v>1</v>
      </c>
      <c r="Z792" s="13" t="n">
        <f aca="false">IF(K792="Agency",1,0)</f>
        <v>0</v>
      </c>
      <c r="AA792" s="13" t="n">
        <f aca="false">IF(K792="Client",1,0)</f>
        <v>0</v>
      </c>
      <c r="AB792" s="13" t="n">
        <f aca="false">(D792-AVERAGE(D$2:D$2001))/STDEV(D$2:D$2001)</f>
        <v>1.37599917531375</v>
      </c>
      <c r="AC792" s="13" t="n">
        <f aca="false">(I792-AVERAGE(I$2:I$2001))/STDEV(I$2:I$2001)</f>
        <v>0.686917069130275</v>
      </c>
      <c r="AD792" s="13" t="n">
        <f aca="false">(L792-AVERAGE(L$2:L$2001))/STDEV(L$2:L$2001)</f>
        <v>-0.777063122173208</v>
      </c>
      <c r="AE792" s="13" t="n">
        <f aca="false">(M792-AVERAGE(M$2:M$2001))/STDEV(M$2:M$2001)</f>
        <v>-0.917299429532082</v>
      </c>
      <c r="AF792" s="13" t="n">
        <f aca="false">(N792-AVERAGE(N$2:N$2001))/STDEV(N$2:N$2001)</f>
        <v>-0.477895609565262</v>
      </c>
      <c r="AG792" s="13" t="n">
        <f aca="false">(O792-AVERAGE(O$2:O$2001))/STDEV(O$2:O$2001)</f>
        <v>-0.442881603661929</v>
      </c>
      <c r="AH792" s="0" t="str">
        <f aca="false">IF(B792="Company","C3 - Corporate Buyers",IF(AND(H792="Investment",M792&gt;'Segmentation Summary'!$C$1),"C1 - Global Investors",IF(AND(I792&gt;=4,M792&gt;'Segmentation Summary'!$C$1),"C4 - Luxury Investors",IF(AND(D792&lt;'Segmentation Summary'!$C$2,J792=1),"C2 - First-Time Buyers","C5 - Other Individual Buyers"))))</f>
        <v>C5 - Other Individual Buyers</v>
      </c>
    </row>
    <row r="793" customFormat="false" ht="15" hidden="false" customHeight="true" outlineLevel="0" collapsed="false">
      <c r="A793" s="13" t="s">
        <v>1627</v>
      </c>
      <c r="B793" s="13" t="s">
        <v>34</v>
      </c>
      <c r="C793" s="13" t="s">
        <v>1628</v>
      </c>
      <c r="D793" s="13" t="n">
        <v>81</v>
      </c>
      <c r="E793" s="13" t="s">
        <v>83</v>
      </c>
      <c r="F793" s="13" t="s">
        <v>33</v>
      </c>
      <c r="G793" s="13" t="s">
        <v>265</v>
      </c>
      <c r="H793" s="13" t="s">
        <v>41</v>
      </c>
      <c r="I793" s="13" t="n">
        <v>4</v>
      </c>
      <c r="J793" s="13" t="n">
        <v>0</v>
      </c>
      <c r="K793" s="13" t="s">
        <v>91</v>
      </c>
      <c r="L793" s="13" t="n">
        <v>3</v>
      </c>
      <c r="M793" s="13" t="n">
        <v>965180.83</v>
      </c>
      <c r="N793" s="13" t="n">
        <v>321726.943333333</v>
      </c>
      <c r="O793" s="13" t="n">
        <v>1078.78666666667</v>
      </c>
      <c r="P793" s="13" t="n">
        <v>1</v>
      </c>
      <c r="Q793" s="13" t="n">
        <v>2</v>
      </c>
      <c r="R793" s="13" t="s">
        <v>215</v>
      </c>
      <c r="S793" s="13" t="s">
        <v>87</v>
      </c>
      <c r="T793" s="13" t="n">
        <v>1</v>
      </c>
      <c r="U793" s="13" t="n">
        <f aca="false">IF(B793="Individual",1,0)</f>
        <v>1</v>
      </c>
      <c r="V793" s="13" t="n">
        <f aca="false">IF(B793="Company",1,0)</f>
        <v>0</v>
      </c>
      <c r="W793" s="13" t="n">
        <f aca="false">IF(H793="Home",1,0)</f>
        <v>1</v>
      </c>
      <c r="X793" s="13" t="n">
        <f aca="false">IF(H793="Investment",1,0)</f>
        <v>0</v>
      </c>
      <c r="Y793" s="13" t="n">
        <f aca="false">IF(K793="Website",1,0)</f>
        <v>0</v>
      </c>
      <c r="Z793" s="13" t="n">
        <f aca="false">IF(K793="Agency",1,0)</f>
        <v>1</v>
      </c>
      <c r="AA793" s="13" t="n">
        <f aca="false">IF(K793="Client",1,0)</f>
        <v>0</v>
      </c>
      <c r="AB793" s="13" t="n">
        <f aca="false">(D793-AVERAGE(D$2:D$2001))/STDEV(D$2:D$2001)</f>
        <v>1.54898654177821</v>
      </c>
      <c r="AC793" s="13" t="n">
        <f aca="false">(I793-AVERAGE(I$2:I$2001))/STDEV(I$2:I$2001)</f>
        <v>0.686917069130275</v>
      </c>
      <c r="AD793" s="13" t="n">
        <f aca="false">(L793-AVERAGE(L$2:L$2001))/STDEV(L$2:L$2001)</f>
        <v>-0.777063122173208</v>
      </c>
      <c r="AE793" s="13" t="n">
        <f aca="false">(M793-AVERAGE(M$2:M$2001))/STDEV(M$2:M$2001)</f>
        <v>-0.848673450244603</v>
      </c>
      <c r="AF793" s="13" t="n">
        <f aca="false">(N793-AVERAGE(N$2:N$2001))/STDEV(N$2:N$2001)</f>
        <v>-0.363774380472486</v>
      </c>
      <c r="AG793" s="13" t="n">
        <f aca="false">(O793-AVERAGE(O$2:O$2001))/STDEV(O$2:O$2001)</f>
        <v>-0.312350824338678</v>
      </c>
      <c r="AH793" s="0" t="str">
        <f aca="false">IF(B793="Company","C3 - Corporate Buyers",IF(AND(H793="Investment",M793&gt;'Segmentation Summary'!$C$1),"C1 - Global Investors",IF(AND(I793&gt;=4,M793&gt;'Segmentation Summary'!$C$1),"C4 - Luxury Investors",IF(AND(D793&lt;'Segmentation Summary'!$C$2,J793=1),"C2 - First-Time Buyers","C5 - Other Individual Buyers"))))</f>
        <v>C5 - Other Individual Buyers</v>
      </c>
    </row>
    <row r="794" customFormat="false" ht="15" hidden="false" customHeight="true" outlineLevel="0" collapsed="false">
      <c r="A794" s="13" t="s">
        <v>1629</v>
      </c>
      <c r="B794" s="13" t="s">
        <v>34</v>
      </c>
      <c r="C794" s="13" t="s">
        <v>1630</v>
      </c>
      <c r="D794" s="13" t="n">
        <v>50</v>
      </c>
      <c r="E794" s="13" t="s">
        <v>83</v>
      </c>
      <c r="F794" s="13" t="s">
        <v>33</v>
      </c>
      <c r="G794" s="13" t="s">
        <v>145</v>
      </c>
      <c r="H794" s="13" t="s">
        <v>41</v>
      </c>
      <c r="I794" s="13" t="n">
        <v>5</v>
      </c>
      <c r="J794" s="13" t="n">
        <v>0</v>
      </c>
      <c r="K794" s="13" t="s">
        <v>85</v>
      </c>
      <c r="L794" s="13" t="n">
        <v>4</v>
      </c>
      <c r="M794" s="13" t="n">
        <v>1455550</v>
      </c>
      <c r="N794" s="13" t="n">
        <v>363887.5</v>
      </c>
      <c r="O794" s="13" t="n">
        <v>1276.8225</v>
      </c>
      <c r="P794" s="13" t="n">
        <v>1</v>
      </c>
      <c r="Q794" s="13" t="n">
        <v>3</v>
      </c>
      <c r="R794" s="13" t="s">
        <v>215</v>
      </c>
      <c r="S794" s="13" t="s">
        <v>114</v>
      </c>
      <c r="T794" s="13" t="n">
        <v>1</v>
      </c>
      <c r="U794" s="13" t="n">
        <f aca="false">IF(B794="Individual",1,0)</f>
        <v>1</v>
      </c>
      <c r="V794" s="13" t="n">
        <f aca="false">IF(B794="Company",1,0)</f>
        <v>0</v>
      </c>
      <c r="W794" s="13" t="n">
        <f aca="false">IF(H794="Home",1,0)</f>
        <v>1</v>
      </c>
      <c r="X794" s="13" t="n">
        <f aca="false">IF(H794="Investment",1,0)</f>
        <v>0</v>
      </c>
      <c r="Y794" s="13" t="n">
        <f aca="false">IF(K794="Website",1,0)</f>
        <v>1</v>
      </c>
      <c r="Z794" s="13" t="n">
        <f aca="false">IF(K794="Agency",1,0)</f>
        <v>0</v>
      </c>
      <c r="AA794" s="13" t="n">
        <f aca="false">IF(K794="Client",1,0)</f>
        <v>0</v>
      </c>
      <c r="AB794" s="13" t="n">
        <f aca="false">(D794-AVERAGE(D$2:D$2001))/STDEV(D$2:D$2001)</f>
        <v>-0.238549578354482</v>
      </c>
      <c r="AC794" s="13" t="n">
        <f aca="false">(I794-AVERAGE(I$2:I$2001))/STDEV(I$2:I$2001)</f>
        <v>1.39434968409451</v>
      </c>
      <c r="AD794" s="13" t="n">
        <f aca="false">(L794-AVERAGE(L$2:L$2001))/STDEV(L$2:L$2001)</f>
        <v>0.413838214490712</v>
      </c>
      <c r="AE794" s="13" t="n">
        <f aca="false">(M794-AVERAGE(M$2:M$2001))/STDEV(M$2:M$2001)</f>
        <v>0.561119358687974</v>
      </c>
      <c r="AF794" s="13" t="n">
        <f aca="false">(N794-AVERAGE(N$2:N$2001))/STDEV(N$2:N$2001)</f>
        <v>0.240922335272368</v>
      </c>
      <c r="AG794" s="13" t="n">
        <f aca="false">(O794-AVERAGE(O$2:O$2001))/STDEV(O$2:O$2001)</f>
        <v>0.588128912967145</v>
      </c>
      <c r="AH794" s="0" t="str">
        <f aca="false">IF(B794="Company","C3 - Corporate Buyers",IF(AND(H794="Investment",M794&gt;'Segmentation Summary'!$C$1),"C1 - Global Investors",IF(AND(I794&gt;=4,M794&gt;'Segmentation Summary'!$C$1),"C4 - Luxury Investors",IF(AND(D794&lt;'Segmentation Summary'!$C$2,J794=1),"C2 - First-Time Buyers","C5 - Other Individual Buyers"))))</f>
        <v>C4 - Luxury Investors</v>
      </c>
    </row>
    <row r="795" customFormat="false" ht="15" hidden="false" customHeight="true" outlineLevel="0" collapsed="false">
      <c r="A795" s="13" t="s">
        <v>1631</v>
      </c>
      <c r="B795" s="13" t="s">
        <v>34</v>
      </c>
      <c r="C795" s="13" t="s">
        <v>1632</v>
      </c>
      <c r="D795" s="13" t="n">
        <v>81</v>
      </c>
      <c r="E795" s="13" t="s">
        <v>83</v>
      </c>
      <c r="F795" s="13" t="s">
        <v>38</v>
      </c>
      <c r="G795" s="13" t="s">
        <v>183</v>
      </c>
      <c r="H795" s="13" t="s">
        <v>41</v>
      </c>
      <c r="I795" s="13" t="n">
        <v>3</v>
      </c>
      <c r="J795" s="13" t="n">
        <v>1</v>
      </c>
      <c r="K795" s="13" t="s">
        <v>85</v>
      </c>
      <c r="L795" s="13" t="n">
        <v>3</v>
      </c>
      <c r="M795" s="13" t="n">
        <v>885158.15</v>
      </c>
      <c r="N795" s="13" t="n">
        <v>295052.716666667</v>
      </c>
      <c r="O795" s="13" t="n">
        <v>1003.31333333333</v>
      </c>
      <c r="P795" s="13" t="n">
        <v>0</v>
      </c>
      <c r="Q795" s="13" t="n">
        <v>3</v>
      </c>
      <c r="R795" s="13" t="s">
        <v>107</v>
      </c>
      <c r="S795" s="13" t="s">
        <v>141</v>
      </c>
      <c r="T795" s="13" t="n">
        <v>1</v>
      </c>
      <c r="U795" s="13" t="n">
        <f aca="false">IF(B795="Individual",1,0)</f>
        <v>1</v>
      </c>
      <c r="V795" s="13" t="n">
        <f aca="false">IF(B795="Company",1,0)</f>
        <v>0</v>
      </c>
      <c r="W795" s="13" t="n">
        <f aca="false">IF(H795="Home",1,0)</f>
        <v>1</v>
      </c>
      <c r="X795" s="13" t="n">
        <f aca="false">IF(H795="Investment",1,0)</f>
        <v>0</v>
      </c>
      <c r="Y795" s="13" t="n">
        <f aca="false">IF(K795="Website",1,0)</f>
        <v>1</v>
      </c>
      <c r="Z795" s="13" t="n">
        <f aca="false">IF(K795="Agency",1,0)</f>
        <v>0</v>
      </c>
      <c r="AA795" s="13" t="n">
        <f aca="false">IF(K795="Client",1,0)</f>
        <v>0</v>
      </c>
      <c r="AB795" s="13" t="n">
        <f aca="false">(D795-AVERAGE(D$2:D$2001))/STDEV(D$2:D$2001)</f>
        <v>1.54898654177821</v>
      </c>
      <c r="AC795" s="13" t="n">
        <f aca="false">(I795-AVERAGE(I$2:I$2001))/STDEV(I$2:I$2001)</f>
        <v>-0.0205155458339628</v>
      </c>
      <c r="AD795" s="13" t="n">
        <f aca="false">(L795-AVERAGE(L$2:L$2001))/STDEV(L$2:L$2001)</f>
        <v>-0.777063122173208</v>
      </c>
      <c r="AE795" s="13" t="n">
        <f aca="false">(M795-AVERAGE(M$2:M$2001))/STDEV(M$2:M$2001)</f>
        <v>-1.0787356273091</v>
      </c>
      <c r="AF795" s="13" t="n">
        <f aca="false">(N795-AVERAGE(N$2:N$2001))/STDEV(N$2:N$2001)</f>
        <v>-0.746355127398896</v>
      </c>
      <c r="AG795" s="13" t="n">
        <f aca="false">(O795-AVERAGE(O$2:O$2001))/STDEV(O$2:O$2001)</f>
        <v>-0.655532188184121</v>
      </c>
      <c r="AH795" s="0" t="str">
        <f aca="false">IF(B795="Company","C3 - Corporate Buyers",IF(AND(H795="Investment",M795&gt;'Segmentation Summary'!$C$1),"C1 - Global Investors",IF(AND(I795&gt;=4,M795&gt;'Segmentation Summary'!$C$1),"C4 - Luxury Investors",IF(AND(D795&lt;'Segmentation Summary'!$C$2,J795=1),"C2 - First-Time Buyers","C5 - Other Individual Buyers"))))</f>
        <v>C5 - Other Individual Buyers</v>
      </c>
    </row>
    <row r="796" customFormat="false" ht="15" hidden="false" customHeight="true" outlineLevel="0" collapsed="false">
      <c r="A796" s="13" t="s">
        <v>1633</v>
      </c>
      <c r="B796" s="13" t="s">
        <v>34</v>
      </c>
      <c r="C796" s="13" t="s">
        <v>1634</v>
      </c>
      <c r="D796" s="13" t="n">
        <v>29</v>
      </c>
      <c r="E796" s="13" t="s">
        <v>83</v>
      </c>
      <c r="F796" s="13" t="s">
        <v>33</v>
      </c>
      <c r="G796" s="13" t="s">
        <v>84</v>
      </c>
      <c r="H796" s="13" t="s">
        <v>41</v>
      </c>
      <c r="I796" s="13" t="n">
        <v>1</v>
      </c>
      <c r="J796" s="13" t="n">
        <v>0</v>
      </c>
      <c r="K796" s="13" t="s">
        <v>85</v>
      </c>
      <c r="L796" s="13" t="n">
        <v>4</v>
      </c>
      <c r="M796" s="13" t="n">
        <v>962015.29</v>
      </c>
      <c r="N796" s="13" t="n">
        <v>240503.8225</v>
      </c>
      <c r="O796" s="13" t="n">
        <v>824.2025</v>
      </c>
      <c r="P796" s="13" t="n">
        <v>1</v>
      </c>
      <c r="Q796" s="13" t="n">
        <v>3</v>
      </c>
      <c r="R796" s="13" t="s">
        <v>86</v>
      </c>
      <c r="S796" s="13" t="s">
        <v>87</v>
      </c>
      <c r="T796" s="13" t="n">
        <v>1</v>
      </c>
      <c r="U796" s="13" t="n">
        <f aca="false">IF(B796="Individual",1,0)</f>
        <v>1</v>
      </c>
      <c r="V796" s="13" t="n">
        <f aca="false">IF(B796="Company",1,0)</f>
        <v>0</v>
      </c>
      <c r="W796" s="13" t="n">
        <f aca="false">IF(H796="Home",1,0)</f>
        <v>1</v>
      </c>
      <c r="X796" s="13" t="n">
        <f aca="false">IF(H796="Investment",1,0)</f>
        <v>0</v>
      </c>
      <c r="Y796" s="13" t="n">
        <f aca="false">IF(K796="Website",1,0)</f>
        <v>1</v>
      </c>
      <c r="Z796" s="13" t="n">
        <f aca="false">IF(K796="Agency",1,0)</f>
        <v>0</v>
      </c>
      <c r="AA796" s="13" t="n">
        <f aca="false">IF(K796="Client",1,0)</f>
        <v>0</v>
      </c>
      <c r="AB796" s="13" t="n">
        <f aca="false">(D796-AVERAGE(D$2:D$2001))/STDEV(D$2:D$2001)</f>
        <v>-1.44946114360566</v>
      </c>
      <c r="AC796" s="13" t="n">
        <f aca="false">(I796-AVERAGE(I$2:I$2001))/STDEV(I$2:I$2001)</f>
        <v>-1.43538077576244</v>
      </c>
      <c r="AD796" s="13" t="n">
        <f aca="false">(L796-AVERAGE(L$2:L$2001))/STDEV(L$2:L$2001)</f>
        <v>0.413838214490712</v>
      </c>
      <c r="AE796" s="13" t="n">
        <f aca="false">(M796-AVERAGE(M$2:M$2001))/STDEV(M$2:M$2001)</f>
        <v>-0.857774257965423</v>
      </c>
      <c r="AF796" s="13" t="n">
        <f aca="false">(N796-AVERAGE(N$2:N$2001))/STDEV(N$2:N$2001)</f>
        <v>-1.52873419821833</v>
      </c>
      <c r="AG796" s="13" t="n">
        <f aca="false">(O796-AVERAGE(O$2:O$2001))/STDEV(O$2:O$2001)</f>
        <v>-1.46995891810401</v>
      </c>
      <c r="AH796" s="0" t="str">
        <f aca="false">IF(B796="Company","C3 - Corporate Buyers",IF(AND(H796="Investment",M796&gt;'Segmentation Summary'!$C$1),"C1 - Global Investors",IF(AND(I796&gt;=4,M796&gt;'Segmentation Summary'!$C$1),"C4 - Luxury Investors",IF(AND(D796&lt;'Segmentation Summary'!$C$2,J796=1),"C2 - First-Time Buyers","C5 - Other Individual Buyers"))))</f>
        <v>C5 - Other Individual Buyers</v>
      </c>
    </row>
    <row r="797" customFormat="false" ht="15" hidden="false" customHeight="true" outlineLevel="0" collapsed="false">
      <c r="A797" s="13" t="s">
        <v>1635</v>
      </c>
      <c r="B797" s="13" t="s">
        <v>34</v>
      </c>
      <c r="C797" s="13" t="s">
        <v>1636</v>
      </c>
      <c r="D797" s="13" t="n">
        <v>57</v>
      </c>
      <c r="E797" s="13" t="s">
        <v>90</v>
      </c>
      <c r="F797" s="13" t="s">
        <v>40</v>
      </c>
      <c r="G797" s="13" t="s">
        <v>235</v>
      </c>
      <c r="H797" s="13" t="s">
        <v>41</v>
      </c>
      <c r="I797" s="13" t="n">
        <v>5</v>
      </c>
      <c r="J797" s="13" t="n">
        <v>1</v>
      </c>
      <c r="K797" s="13" t="s">
        <v>91</v>
      </c>
      <c r="L797" s="13" t="n">
        <v>3</v>
      </c>
      <c r="M797" s="13" t="n">
        <v>1386118.19</v>
      </c>
      <c r="N797" s="13" t="n">
        <v>462039.396666667</v>
      </c>
      <c r="O797" s="13" t="n">
        <v>1464.84666666667</v>
      </c>
      <c r="P797" s="13" t="n">
        <v>0</v>
      </c>
      <c r="Q797" s="13" t="n">
        <v>3</v>
      </c>
      <c r="R797" s="13" t="s">
        <v>117</v>
      </c>
      <c r="S797" s="13" t="s">
        <v>107</v>
      </c>
      <c r="T797" s="13" t="n">
        <v>1</v>
      </c>
      <c r="U797" s="13" t="n">
        <f aca="false">IF(B797="Individual",1,0)</f>
        <v>1</v>
      </c>
      <c r="V797" s="13" t="n">
        <f aca="false">IF(B797="Company",1,0)</f>
        <v>0</v>
      </c>
      <c r="W797" s="13" t="n">
        <f aca="false">IF(H797="Home",1,0)</f>
        <v>1</v>
      </c>
      <c r="X797" s="13" t="n">
        <f aca="false">IF(H797="Investment",1,0)</f>
        <v>0</v>
      </c>
      <c r="Y797" s="13" t="n">
        <f aca="false">IF(K797="Website",1,0)</f>
        <v>0</v>
      </c>
      <c r="Z797" s="13" t="n">
        <f aca="false">IF(K797="Agency",1,0)</f>
        <v>1</v>
      </c>
      <c r="AA797" s="13" t="n">
        <f aca="false">IF(K797="Client",1,0)</f>
        <v>0</v>
      </c>
      <c r="AB797" s="13" t="n">
        <f aca="false">(D797-AVERAGE(D$2:D$2001))/STDEV(D$2:D$2001)</f>
        <v>0.165087610062577</v>
      </c>
      <c r="AC797" s="13" t="n">
        <f aca="false">(I797-AVERAGE(I$2:I$2001))/STDEV(I$2:I$2001)</f>
        <v>1.39434968409451</v>
      </c>
      <c r="AD797" s="13" t="n">
        <f aca="false">(L797-AVERAGE(L$2:L$2001))/STDEV(L$2:L$2001)</f>
        <v>-0.777063122173208</v>
      </c>
      <c r="AE797" s="13" t="n">
        <f aca="false">(M797-AVERAGE(M$2:M$2001))/STDEV(M$2:M$2001)</f>
        <v>0.361505532131192</v>
      </c>
      <c r="AF797" s="13" t="n">
        <f aca="false">(N797-AVERAGE(N$2:N$2001))/STDEV(N$2:N$2001)</f>
        <v>1.64868670678473</v>
      </c>
      <c r="AG797" s="13" t="n">
        <f aca="false">(O797-AVERAGE(O$2:O$2001))/STDEV(O$2:O$2001)</f>
        <v>1.44308505578887</v>
      </c>
      <c r="AH797" s="0" t="str">
        <f aca="false">IF(B797="Company","C3 - Corporate Buyers",IF(AND(H797="Investment",M797&gt;'Segmentation Summary'!$C$1),"C1 - Global Investors",IF(AND(I797&gt;=4,M797&gt;'Segmentation Summary'!$C$1),"C4 - Luxury Investors",IF(AND(D797&lt;'Segmentation Summary'!$C$2,J797=1),"C2 - First-Time Buyers","C5 - Other Individual Buyers"))))</f>
        <v>C4 - Luxury Investors</v>
      </c>
    </row>
    <row r="798" customFormat="false" ht="15" hidden="false" customHeight="true" outlineLevel="0" collapsed="false">
      <c r="A798" s="13" t="s">
        <v>1637</v>
      </c>
      <c r="B798" s="13" t="s">
        <v>34</v>
      </c>
      <c r="C798" s="13" t="s">
        <v>1638</v>
      </c>
      <c r="D798" s="13" t="n">
        <v>79</v>
      </c>
      <c r="E798" s="13" t="s">
        <v>90</v>
      </c>
      <c r="F798" s="13" t="s">
        <v>33</v>
      </c>
      <c r="G798" s="13" t="s">
        <v>120</v>
      </c>
      <c r="H798" s="13" t="s">
        <v>41</v>
      </c>
      <c r="I798" s="13" t="n">
        <v>1</v>
      </c>
      <c r="J798" s="13" t="n">
        <v>0</v>
      </c>
      <c r="K798" s="13" t="s">
        <v>116</v>
      </c>
      <c r="L798" s="13" t="n">
        <v>3</v>
      </c>
      <c r="M798" s="13" t="n">
        <v>1448158.14</v>
      </c>
      <c r="N798" s="13" t="n">
        <v>482719.38</v>
      </c>
      <c r="O798" s="13" t="n">
        <v>1654.47333333333</v>
      </c>
      <c r="P798" s="13" t="n">
        <v>0</v>
      </c>
      <c r="Q798" s="13" t="n">
        <v>3</v>
      </c>
      <c r="R798" s="13" t="s">
        <v>117</v>
      </c>
      <c r="S798" s="13" t="s">
        <v>125</v>
      </c>
      <c r="T798" s="13" t="n">
        <v>1</v>
      </c>
      <c r="U798" s="13" t="n">
        <f aca="false">IF(B798="Individual",1,0)</f>
        <v>1</v>
      </c>
      <c r="V798" s="13" t="n">
        <f aca="false">IF(B798="Company",1,0)</f>
        <v>0</v>
      </c>
      <c r="W798" s="13" t="n">
        <f aca="false">IF(H798="Home",1,0)</f>
        <v>1</v>
      </c>
      <c r="X798" s="13" t="n">
        <f aca="false">IF(H798="Investment",1,0)</f>
        <v>0</v>
      </c>
      <c r="Y798" s="13" t="n">
        <f aca="false">IF(K798="Website",1,0)</f>
        <v>0</v>
      </c>
      <c r="Z798" s="13" t="n">
        <f aca="false">IF(K798="Agency",1,0)</f>
        <v>0</v>
      </c>
      <c r="AA798" s="13" t="n">
        <f aca="false">IF(K798="Client",1,0)</f>
        <v>1</v>
      </c>
      <c r="AB798" s="13" t="n">
        <f aca="false">(D798-AVERAGE(D$2:D$2001))/STDEV(D$2:D$2001)</f>
        <v>1.4336616308019</v>
      </c>
      <c r="AC798" s="13" t="n">
        <f aca="false">(I798-AVERAGE(I$2:I$2001))/STDEV(I$2:I$2001)</f>
        <v>-1.43538077576244</v>
      </c>
      <c r="AD798" s="13" t="n">
        <f aca="false">(L798-AVERAGE(L$2:L$2001))/STDEV(L$2:L$2001)</f>
        <v>-0.777063122173208</v>
      </c>
      <c r="AE798" s="13" t="n">
        <f aca="false">(M798-AVERAGE(M$2:M$2001))/STDEV(M$2:M$2001)</f>
        <v>0.539868040884621</v>
      </c>
      <c r="AF798" s="13" t="n">
        <f aca="false">(N798-AVERAGE(N$2:N$2001))/STDEV(N$2:N$2001)</f>
        <v>1.94529374881678</v>
      </c>
      <c r="AG798" s="13" t="n">
        <f aca="false">(O798-AVERAGE(O$2:O$2001))/STDEV(O$2:O$2001)</f>
        <v>2.30532785352922</v>
      </c>
      <c r="AH798" s="0" t="str">
        <f aca="false">IF(B798="Company","C3 - Corporate Buyers",IF(AND(H798="Investment",M798&gt;'Segmentation Summary'!$C$1),"C1 - Global Investors",IF(AND(I798&gt;=4,M798&gt;'Segmentation Summary'!$C$1),"C4 - Luxury Investors",IF(AND(D798&lt;'Segmentation Summary'!$C$2,J798=1),"C2 - First-Time Buyers","C5 - Other Individual Buyers"))))</f>
        <v>C5 - Other Individual Buyers</v>
      </c>
    </row>
    <row r="799" customFormat="false" ht="15" hidden="false" customHeight="true" outlineLevel="0" collapsed="false">
      <c r="A799" s="13" t="s">
        <v>1639</v>
      </c>
      <c r="B799" s="13" t="s">
        <v>34</v>
      </c>
      <c r="C799" s="13" t="s">
        <v>1640</v>
      </c>
      <c r="D799" s="13" t="n">
        <v>72</v>
      </c>
      <c r="E799" s="13" t="s">
        <v>90</v>
      </c>
      <c r="F799" s="13" t="s">
        <v>33</v>
      </c>
      <c r="G799" s="13" t="s">
        <v>157</v>
      </c>
      <c r="H799" s="13" t="s">
        <v>43</v>
      </c>
      <c r="I799" s="13" t="n">
        <v>4</v>
      </c>
      <c r="J799" s="13" t="n">
        <v>0</v>
      </c>
      <c r="K799" s="13" t="s">
        <v>85</v>
      </c>
      <c r="L799" s="13" t="n">
        <v>3</v>
      </c>
      <c r="M799" s="13" t="n">
        <v>606605.72</v>
      </c>
      <c r="N799" s="13" t="n">
        <v>202201.906666667</v>
      </c>
      <c r="O799" s="13" t="n">
        <v>610.62</v>
      </c>
      <c r="P799" s="13" t="n">
        <v>1</v>
      </c>
      <c r="Q799" s="13" t="n">
        <v>2</v>
      </c>
      <c r="R799" s="13" t="s">
        <v>101</v>
      </c>
      <c r="S799" s="13" t="s">
        <v>135</v>
      </c>
      <c r="T799" s="13" t="n">
        <v>1</v>
      </c>
      <c r="U799" s="13" t="n">
        <f aca="false">IF(B799="Individual",1,0)</f>
        <v>1</v>
      </c>
      <c r="V799" s="13" t="n">
        <f aca="false">IF(B799="Company",1,0)</f>
        <v>0</v>
      </c>
      <c r="W799" s="13" t="n">
        <f aca="false">IF(H799="Home",1,0)</f>
        <v>0</v>
      </c>
      <c r="X799" s="13" t="n">
        <f aca="false">IF(H799="Investment",1,0)</f>
        <v>1</v>
      </c>
      <c r="Y799" s="13" t="n">
        <f aca="false">IF(K799="Website",1,0)</f>
        <v>1</v>
      </c>
      <c r="Z799" s="13" t="n">
        <f aca="false">IF(K799="Agency",1,0)</f>
        <v>0</v>
      </c>
      <c r="AA799" s="13" t="n">
        <f aca="false">IF(K799="Client",1,0)</f>
        <v>0</v>
      </c>
      <c r="AB799" s="13" t="n">
        <f aca="false">(D799-AVERAGE(D$2:D$2001))/STDEV(D$2:D$2001)</f>
        <v>1.03002444238485</v>
      </c>
      <c r="AC799" s="13" t="n">
        <f aca="false">(I799-AVERAGE(I$2:I$2001))/STDEV(I$2:I$2001)</f>
        <v>0.686917069130275</v>
      </c>
      <c r="AD799" s="13" t="n">
        <f aca="false">(L799-AVERAGE(L$2:L$2001))/STDEV(L$2:L$2001)</f>
        <v>-0.777063122173208</v>
      </c>
      <c r="AE799" s="13" t="n">
        <f aca="false">(M799-AVERAGE(M$2:M$2001))/STDEV(M$2:M$2001)</f>
        <v>-1.87956332356231</v>
      </c>
      <c r="AF799" s="13" t="n">
        <f aca="false">(N799-AVERAGE(N$2:N$2001))/STDEV(N$2:N$2001)</f>
        <v>-2.07808754035444</v>
      </c>
      <c r="AG799" s="13" t="n">
        <f aca="false">(O799-AVERAGE(O$2:O$2001))/STDEV(O$2:O$2001)</f>
        <v>-2.44113019683618</v>
      </c>
      <c r="AH799" s="0" t="str">
        <f aca="false">IF(B799="Company","C3 - Corporate Buyers",IF(AND(H799="Investment",M799&gt;'Segmentation Summary'!$C$1),"C1 - Global Investors",IF(AND(I799&gt;=4,M799&gt;'Segmentation Summary'!$C$1),"C4 - Luxury Investors",IF(AND(D799&lt;'Segmentation Summary'!$C$2,J799=1),"C2 - First-Time Buyers","C5 - Other Individual Buyers"))))</f>
        <v>C5 - Other Individual Buyers</v>
      </c>
    </row>
    <row r="800" customFormat="false" ht="15" hidden="false" customHeight="true" outlineLevel="0" collapsed="false">
      <c r="A800" s="13" t="s">
        <v>1641</v>
      </c>
      <c r="B800" s="13" t="s">
        <v>34</v>
      </c>
      <c r="C800" s="13" t="s">
        <v>1642</v>
      </c>
      <c r="D800" s="13" t="n">
        <v>59</v>
      </c>
      <c r="E800" s="13" t="s">
        <v>90</v>
      </c>
      <c r="F800" s="13" t="s">
        <v>40</v>
      </c>
      <c r="G800" s="13" t="s">
        <v>235</v>
      </c>
      <c r="H800" s="13" t="s">
        <v>41</v>
      </c>
      <c r="I800" s="13" t="n">
        <v>5</v>
      </c>
      <c r="J800" s="13" t="n">
        <v>1</v>
      </c>
      <c r="K800" s="13" t="s">
        <v>85</v>
      </c>
      <c r="L800" s="13" t="n">
        <v>4</v>
      </c>
      <c r="M800" s="13" t="n">
        <v>1527210.47</v>
      </c>
      <c r="N800" s="13" t="n">
        <v>381802.6175</v>
      </c>
      <c r="O800" s="13" t="n">
        <v>1310.8225</v>
      </c>
      <c r="P800" s="13" t="n">
        <v>0</v>
      </c>
      <c r="Q800" s="13" t="n">
        <v>4</v>
      </c>
      <c r="R800" s="13" t="s">
        <v>92</v>
      </c>
      <c r="S800" s="13" t="s">
        <v>121</v>
      </c>
      <c r="T800" s="13" t="n">
        <v>1</v>
      </c>
      <c r="U800" s="13" t="n">
        <f aca="false">IF(B800="Individual",1,0)</f>
        <v>1</v>
      </c>
      <c r="V800" s="13" t="n">
        <f aca="false">IF(B800="Company",1,0)</f>
        <v>0</v>
      </c>
      <c r="W800" s="13" t="n">
        <f aca="false">IF(H800="Home",1,0)</f>
        <v>1</v>
      </c>
      <c r="X800" s="13" t="n">
        <f aca="false">IF(H800="Investment",1,0)</f>
        <v>0</v>
      </c>
      <c r="Y800" s="13" t="n">
        <f aca="false">IF(K800="Website",1,0)</f>
        <v>1</v>
      </c>
      <c r="Z800" s="13" t="n">
        <f aca="false">IF(K800="Agency",1,0)</f>
        <v>0</v>
      </c>
      <c r="AA800" s="13" t="n">
        <f aca="false">IF(K800="Client",1,0)</f>
        <v>0</v>
      </c>
      <c r="AB800" s="13" t="n">
        <f aca="false">(D800-AVERAGE(D$2:D$2001))/STDEV(D$2:D$2001)</f>
        <v>0.280412521038879</v>
      </c>
      <c r="AC800" s="13" t="n">
        <f aca="false">(I800-AVERAGE(I$2:I$2001))/STDEV(I$2:I$2001)</f>
        <v>1.39434968409451</v>
      </c>
      <c r="AD800" s="13" t="n">
        <f aca="false">(L800-AVERAGE(L$2:L$2001))/STDEV(L$2:L$2001)</f>
        <v>0.413838214490712</v>
      </c>
      <c r="AE800" s="13" t="n">
        <f aca="false">(M800-AVERAGE(M$2:M$2001))/STDEV(M$2:M$2001)</f>
        <v>0.767140498415679</v>
      </c>
      <c r="AF800" s="13" t="n">
        <f aca="false">(N800-AVERAGE(N$2:N$2001))/STDEV(N$2:N$2001)</f>
        <v>0.49787370335044</v>
      </c>
      <c r="AG800" s="13" t="n">
        <f aca="false">(O800-AVERAGE(O$2:O$2001))/STDEV(O$2:O$2001)</f>
        <v>0.742728767715983</v>
      </c>
      <c r="AH800" s="0" t="str">
        <f aca="false">IF(B800="Company","C3 - Corporate Buyers",IF(AND(H800="Investment",M800&gt;'Segmentation Summary'!$C$1),"C1 - Global Investors",IF(AND(I800&gt;=4,M800&gt;'Segmentation Summary'!$C$1),"C4 - Luxury Investors",IF(AND(D800&lt;'Segmentation Summary'!$C$2,J800=1),"C2 - First-Time Buyers","C5 - Other Individual Buyers"))))</f>
        <v>C4 - Luxury Investors</v>
      </c>
    </row>
    <row r="801" customFormat="false" ht="15" hidden="false" customHeight="true" outlineLevel="0" collapsed="false">
      <c r="A801" s="13" t="s">
        <v>1643</v>
      </c>
      <c r="B801" s="13" t="s">
        <v>34</v>
      </c>
      <c r="C801" s="13" t="s">
        <v>1644</v>
      </c>
      <c r="D801" s="13" t="n">
        <v>62</v>
      </c>
      <c r="E801" s="13" t="s">
        <v>90</v>
      </c>
      <c r="F801" s="13" t="s">
        <v>35</v>
      </c>
      <c r="G801" s="13" t="s">
        <v>374</v>
      </c>
      <c r="H801" s="13" t="s">
        <v>41</v>
      </c>
      <c r="I801" s="13" t="n">
        <v>5</v>
      </c>
      <c r="J801" s="13" t="n">
        <v>0</v>
      </c>
      <c r="K801" s="13" t="s">
        <v>85</v>
      </c>
      <c r="L801" s="13" t="n">
        <v>4</v>
      </c>
      <c r="M801" s="13" t="n">
        <v>1077719.71</v>
      </c>
      <c r="N801" s="13" t="n">
        <v>269429.9275</v>
      </c>
      <c r="O801" s="13" t="n">
        <v>976.205</v>
      </c>
      <c r="P801" s="13" t="n">
        <v>2</v>
      </c>
      <c r="Q801" s="13" t="n">
        <v>2</v>
      </c>
      <c r="R801" s="13" t="s">
        <v>121</v>
      </c>
      <c r="S801" s="13" t="s">
        <v>133</v>
      </c>
      <c r="T801" s="13" t="n">
        <v>1</v>
      </c>
      <c r="U801" s="13" t="n">
        <f aca="false">IF(B801="Individual",1,0)</f>
        <v>1</v>
      </c>
      <c r="V801" s="13" t="n">
        <f aca="false">IF(B801="Company",1,0)</f>
        <v>0</v>
      </c>
      <c r="W801" s="13" t="n">
        <f aca="false">IF(H801="Home",1,0)</f>
        <v>1</v>
      </c>
      <c r="X801" s="13" t="n">
        <f aca="false">IF(H801="Investment",1,0)</f>
        <v>0</v>
      </c>
      <c r="Y801" s="13" t="n">
        <f aca="false">IF(K801="Website",1,0)</f>
        <v>1</v>
      </c>
      <c r="Z801" s="13" t="n">
        <f aca="false">IF(K801="Agency",1,0)</f>
        <v>0</v>
      </c>
      <c r="AA801" s="13" t="n">
        <f aca="false">IF(K801="Client",1,0)</f>
        <v>0</v>
      </c>
      <c r="AB801" s="13" t="n">
        <f aca="false">(D801-AVERAGE(D$2:D$2001))/STDEV(D$2:D$2001)</f>
        <v>0.453399887503333</v>
      </c>
      <c r="AC801" s="13" t="n">
        <f aca="false">(I801-AVERAGE(I$2:I$2001))/STDEV(I$2:I$2001)</f>
        <v>1.39434968409451</v>
      </c>
      <c r="AD801" s="13" t="n">
        <f aca="false">(L801-AVERAGE(L$2:L$2001))/STDEV(L$2:L$2001)</f>
        <v>0.413838214490712</v>
      </c>
      <c r="AE801" s="13" t="n">
        <f aca="false">(M801-AVERAGE(M$2:M$2001))/STDEV(M$2:M$2001)</f>
        <v>-0.525128428543246</v>
      </c>
      <c r="AF801" s="13" t="n">
        <f aca="false">(N801-AVERAGE(N$2:N$2001))/STDEV(N$2:N$2001)</f>
        <v>-1.11385540923356</v>
      </c>
      <c r="AG801" s="13" t="n">
        <f aca="false">(O801-AVERAGE(O$2:O$2001))/STDEV(O$2:O$2001)</f>
        <v>-0.778795258649294</v>
      </c>
      <c r="AH801" s="0" t="str">
        <f aca="false">IF(B801="Company","C3 - Corporate Buyers",IF(AND(H801="Investment",M801&gt;'Segmentation Summary'!$C$1),"C1 - Global Investors",IF(AND(I801&gt;=4,M801&gt;'Segmentation Summary'!$C$1),"C4 - Luxury Investors",IF(AND(D801&lt;'Segmentation Summary'!$C$2,J801=1),"C2 - First-Time Buyers","C5 - Other Individual Buyers"))))</f>
        <v>C5 - Other Individual Buyers</v>
      </c>
    </row>
    <row r="802" customFormat="false" ht="15" hidden="false" customHeight="true" outlineLevel="0" collapsed="false">
      <c r="A802" s="13" t="s">
        <v>1645</v>
      </c>
      <c r="B802" s="13" t="s">
        <v>34</v>
      </c>
      <c r="C802" s="13" t="s">
        <v>1646</v>
      </c>
      <c r="D802" s="13" t="n">
        <v>68</v>
      </c>
      <c r="E802" s="13" t="s">
        <v>90</v>
      </c>
      <c r="F802" s="13" t="s">
        <v>35</v>
      </c>
      <c r="G802" s="13" t="s">
        <v>374</v>
      </c>
      <c r="H802" s="13" t="s">
        <v>43</v>
      </c>
      <c r="I802" s="13" t="n">
        <v>4</v>
      </c>
      <c r="J802" s="13" t="n">
        <v>0</v>
      </c>
      <c r="K802" s="13" t="s">
        <v>91</v>
      </c>
      <c r="L802" s="13" t="n">
        <v>4</v>
      </c>
      <c r="M802" s="13" t="n">
        <v>1594795.52</v>
      </c>
      <c r="N802" s="13" t="n">
        <v>398698.88</v>
      </c>
      <c r="O802" s="13" t="n">
        <v>1425.28</v>
      </c>
      <c r="P802" s="13" t="n">
        <v>0</v>
      </c>
      <c r="Q802" s="13" t="n">
        <v>4</v>
      </c>
      <c r="R802" s="13" t="s">
        <v>98</v>
      </c>
      <c r="S802" s="13" t="s">
        <v>141</v>
      </c>
      <c r="T802" s="13" t="n">
        <v>1</v>
      </c>
      <c r="U802" s="13" t="n">
        <f aca="false">IF(B802="Individual",1,0)</f>
        <v>1</v>
      </c>
      <c r="V802" s="13" t="n">
        <f aca="false">IF(B802="Company",1,0)</f>
        <v>0</v>
      </c>
      <c r="W802" s="13" t="n">
        <f aca="false">IF(H802="Home",1,0)</f>
        <v>0</v>
      </c>
      <c r="X802" s="13" t="n">
        <f aca="false">IF(H802="Investment",1,0)</f>
        <v>1</v>
      </c>
      <c r="Y802" s="13" t="n">
        <f aca="false">IF(K802="Website",1,0)</f>
        <v>0</v>
      </c>
      <c r="Z802" s="13" t="n">
        <f aca="false">IF(K802="Agency",1,0)</f>
        <v>1</v>
      </c>
      <c r="AA802" s="13" t="n">
        <f aca="false">IF(K802="Client",1,0)</f>
        <v>0</v>
      </c>
      <c r="AB802" s="13" t="n">
        <f aca="false">(D802-AVERAGE(D$2:D$2001))/STDEV(D$2:D$2001)</f>
        <v>0.79937462043224</v>
      </c>
      <c r="AC802" s="13" t="n">
        <f aca="false">(I802-AVERAGE(I$2:I$2001))/STDEV(I$2:I$2001)</f>
        <v>0.686917069130275</v>
      </c>
      <c r="AD802" s="13" t="n">
        <f aca="false">(L802-AVERAGE(L$2:L$2001))/STDEV(L$2:L$2001)</f>
        <v>0.413838214490712</v>
      </c>
      <c r="AE802" s="13" t="n">
        <f aca="false">(M802-AVERAGE(M$2:M$2001))/STDEV(M$2:M$2001)</f>
        <v>0.961444959851027</v>
      </c>
      <c r="AF802" s="13" t="n">
        <f aca="false">(N802-AVERAGE(N$2:N$2001))/STDEV(N$2:N$2001)</f>
        <v>0.740211927745631</v>
      </c>
      <c r="AG802" s="13" t="n">
        <f aca="false">(O802-AVERAGE(O$2:O$2001))/STDEV(O$2:O$2001)</f>
        <v>1.26317326403702</v>
      </c>
      <c r="AH802" s="0" t="str">
        <f aca="false">IF(B802="Company","C3 - Corporate Buyers",IF(AND(H802="Investment",M802&gt;'Segmentation Summary'!$C$1),"C1 - Global Investors",IF(AND(I802&gt;=4,M802&gt;'Segmentation Summary'!$C$1),"C4 - Luxury Investors",IF(AND(D802&lt;'Segmentation Summary'!$C$2,J802=1),"C2 - First-Time Buyers","C5 - Other Individual Buyers"))))</f>
        <v>C1 - Global Investors</v>
      </c>
    </row>
    <row r="803" customFormat="false" ht="15" hidden="false" customHeight="true" outlineLevel="0" collapsed="false">
      <c r="A803" s="13" t="s">
        <v>1647</v>
      </c>
      <c r="B803" s="13" t="s">
        <v>34</v>
      </c>
      <c r="C803" s="13" t="s">
        <v>1648</v>
      </c>
      <c r="D803" s="13" t="n">
        <v>25</v>
      </c>
      <c r="E803" s="13" t="s">
        <v>90</v>
      </c>
      <c r="F803" s="13" t="s">
        <v>33</v>
      </c>
      <c r="G803" s="13" t="s">
        <v>106</v>
      </c>
      <c r="H803" s="13" t="s">
        <v>41</v>
      </c>
      <c r="I803" s="13" t="n">
        <v>3</v>
      </c>
      <c r="J803" s="13" t="n">
        <v>0</v>
      </c>
      <c r="K803" s="13" t="s">
        <v>85</v>
      </c>
      <c r="L803" s="13" t="n">
        <v>3</v>
      </c>
      <c r="M803" s="13" t="n">
        <v>1183031.06</v>
      </c>
      <c r="N803" s="13" t="n">
        <v>394343.686666667</v>
      </c>
      <c r="O803" s="13" t="n">
        <v>1283.46</v>
      </c>
      <c r="P803" s="13" t="n">
        <v>0</v>
      </c>
      <c r="Q803" s="13" t="n">
        <v>3</v>
      </c>
      <c r="R803" s="13" t="s">
        <v>124</v>
      </c>
      <c r="S803" s="13" t="s">
        <v>87</v>
      </c>
      <c r="T803" s="13" t="n">
        <v>1</v>
      </c>
      <c r="U803" s="13" t="n">
        <f aca="false">IF(B803="Individual",1,0)</f>
        <v>1</v>
      </c>
      <c r="V803" s="13" t="n">
        <f aca="false">IF(B803="Company",1,0)</f>
        <v>0</v>
      </c>
      <c r="W803" s="13" t="n">
        <f aca="false">IF(H803="Home",1,0)</f>
        <v>1</v>
      </c>
      <c r="X803" s="13" t="n">
        <f aca="false">IF(H803="Investment",1,0)</f>
        <v>0</v>
      </c>
      <c r="Y803" s="13" t="n">
        <f aca="false">IF(K803="Website",1,0)</f>
        <v>1</v>
      </c>
      <c r="Z803" s="13" t="n">
        <f aca="false">IF(K803="Agency",1,0)</f>
        <v>0</v>
      </c>
      <c r="AA803" s="13" t="n">
        <f aca="false">IF(K803="Client",1,0)</f>
        <v>0</v>
      </c>
      <c r="AB803" s="13" t="n">
        <f aca="false">(D803-AVERAGE(D$2:D$2001))/STDEV(D$2:D$2001)</f>
        <v>-1.68011096555826</v>
      </c>
      <c r="AC803" s="13" t="n">
        <f aca="false">(I803-AVERAGE(I$2:I$2001))/STDEV(I$2:I$2001)</f>
        <v>-0.0205155458339628</v>
      </c>
      <c r="AD803" s="13" t="n">
        <f aca="false">(L803-AVERAGE(L$2:L$2001))/STDEV(L$2:L$2001)</f>
        <v>-0.777063122173208</v>
      </c>
      <c r="AE803" s="13" t="n">
        <f aca="false">(M803-AVERAGE(M$2:M$2001))/STDEV(M$2:M$2001)</f>
        <v>-0.222362282113237</v>
      </c>
      <c r="AF803" s="13" t="n">
        <f aca="false">(N803-AVERAGE(N$2:N$2001))/STDEV(N$2:N$2001)</f>
        <v>0.67774664471054</v>
      </c>
      <c r="AG803" s="13" t="n">
        <f aca="false">(O803-AVERAGE(O$2:O$2001))/STDEV(O$2:O$2001)</f>
        <v>0.618309987552304</v>
      </c>
      <c r="AH803" s="0" t="str">
        <f aca="false">IF(B803="Company","C3 - Corporate Buyers",IF(AND(H803="Investment",M803&gt;'Segmentation Summary'!$C$1),"C1 - Global Investors",IF(AND(I803&gt;=4,M803&gt;'Segmentation Summary'!$C$1),"C4 - Luxury Investors",IF(AND(D803&lt;'Segmentation Summary'!$C$2,J803=1),"C2 - First-Time Buyers","C5 - Other Individual Buyers"))))</f>
        <v>C5 - Other Individual Buyers</v>
      </c>
    </row>
    <row r="804" customFormat="false" ht="15" hidden="false" customHeight="true" outlineLevel="0" collapsed="false">
      <c r="A804" s="13" t="s">
        <v>1649</v>
      </c>
      <c r="B804" s="13" t="s">
        <v>34</v>
      </c>
      <c r="C804" s="13" t="s">
        <v>1650</v>
      </c>
      <c r="D804" s="13" t="n">
        <v>41</v>
      </c>
      <c r="E804" s="13" t="s">
        <v>90</v>
      </c>
      <c r="F804" s="13" t="s">
        <v>33</v>
      </c>
      <c r="G804" s="13" t="s">
        <v>95</v>
      </c>
      <c r="H804" s="13" t="s">
        <v>41</v>
      </c>
      <c r="I804" s="13" t="n">
        <v>1</v>
      </c>
      <c r="J804" s="13" t="n">
        <v>0</v>
      </c>
      <c r="K804" s="13" t="s">
        <v>85</v>
      </c>
      <c r="L804" s="13" t="n">
        <v>4</v>
      </c>
      <c r="M804" s="13" t="n">
        <v>1529673.32</v>
      </c>
      <c r="N804" s="13" t="n">
        <v>382418.33</v>
      </c>
      <c r="O804" s="13" t="n">
        <v>1259.875</v>
      </c>
      <c r="P804" s="13" t="n">
        <v>0</v>
      </c>
      <c r="Q804" s="13" t="n">
        <v>4</v>
      </c>
      <c r="R804" s="13" t="s">
        <v>117</v>
      </c>
      <c r="S804" s="13" t="s">
        <v>87</v>
      </c>
      <c r="T804" s="13" t="n">
        <v>1</v>
      </c>
      <c r="U804" s="13" t="n">
        <f aca="false">IF(B804="Individual",1,0)</f>
        <v>1</v>
      </c>
      <c r="V804" s="13" t="n">
        <f aca="false">IF(B804="Company",1,0)</f>
        <v>0</v>
      </c>
      <c r="W804" s="13" t="n">
        <f aca="false">IF(H804="Home",1,0)</f>
        <v>1</v>
      </c>
      <c r="X804" s="13" t="n">
        <f aca="false">IF(H804="Investment",1,0)</f>
        <v>0</v>
      </c>
      <c r="Y804" s="13" t="n">
        <f aca="false">IF(K804="Website",1,0)</f>
        <v>1</v>
      </c>
      <c r="Z804" s="13" t="n">
        <f aca="false">IF(K804="Agency",1,0)</f>
        <v>0</v>
      </c>
      <c r="AA804" s="13" t="n">
        <f aca="false">IF(K804="Client",1,0)</f>
        <v>0</v>
      </c>
      <c r="AB804" s="13" t="n">
        <f aca="false">(D804-AVERAGE(D$2:D$2001))/STDEV(D$2:D$2001)</f>
        <v>-0.757511677747842</v>
      </c>
      <c r="AC804" s="13" t="n">
        <f aca="false">(I804-AVERAGE(I$2:I$2001))/STDEV(I$2:I$2001)</f>
        <v>-1.43538077576244</v>
      </c>
      <c r="AD804" s="13" t="n">
        <f aca="false">(L804-AVERAGE(L$2:L$2001))/STDEV(L$2:L$2001)</f>
        <v>0.413838214490712</v>
      </c>
      <c r="AE804" s="13" t="n">
        <f aca="false">(M804-AVERAGE(M$2:M$2001))/STDEV(M$2:M$2001)</f>
        <v>0.774221098975212</v>
      </c>
      <c r="AF804" s="13" t="n">
        <f aca="false">(N804-AVERAGE(N$2:N$2001))/STDEV(N$2:N$2001)</f>
        <v>0.506704690320956</v>
      </c>
      <c r="AG804" s="13" t="n">
        <f aca="false">(O804-AVERAGE(O$2:O$2001))/STDEV(O$2:O$2001)</f>
        <v>0.511067705956676</v>
      </c>
      <c r="AH804" s="0" t="str">
        <f aca="false">IF(B804="Company","C3 - Corporate Buyers",IF(AND(H804="Investment",M804&gt;'Segmentation Summary'!$C$1),"C1 - Global Investors",IF(AND(I804&gt;=4,M804&gt;'Segmentation Summary'!$C$1),"C4 - Luxury Investors",IF(AND(D804&lt;'Segmentation Summary'!$C$2,J804=1),"C2 - First-Time Buyers","C5 - Other Individual Buyers"))))</f>
        <v>C5 - Other Individual Buyers</v>
      </c>
    </row>
    <row r="805" customFormat="false" ht="15" hidden="false" customHeight="true" outlineLevel="0" collapsed="false">
      <c r="A805" s="13" t="s">
        <v>1651</v>
      </c>
      <c r="B805" s="13" t="s">
        <v>34</v>
      </c>
      <c r="C805" s="13" t="s">
        <v>1652</v>
      </c>
      <c r="D805" s="13" t="n">
        <v>61</v>
      </c>
      <c r="E805" s="13" t="s">
        <v>90</v>
      </c>
      <c r="F805" s="13" t="s">
        <v>33</v>
      </c>
      <c r="G805" s="13" t="s">
        <v>145</v>
      </c>
      <c r="H805" s="13" t="s">
        <v>41</v>
      </c>
      <c r="I805" s="13" t="n">
        <v>3</v>
      </c>
      <c r="J805" s="13" t="n">
        <v>1</v>
      </c>
      <c r="K805" s="13" t="s">
        <v>91</v>
      </c>
      <c r="L805" s="13" t="n">
        <v>4</v>
      </c>
      <c r="M805" s="13" t="n">
        <v>987214.18</v>
      </c>
      <c r="N805" s="13" t="n">
        <v>246803.545</v>
      </c>
      <c r="O805" s="13" t="n">
        <v>900.39</v>
      </c>
      <c r="P805" s="13" t="n">
        <v>1</v>
      </c>
      <c r="Q805" s="13" t="n">
        <v>3</v>
      </c>
      <c r="R805" s="13" t="s">
        <v>92</v>
      </c>
      <c r="S805" s="13" t="s">
        <v>154</v>
      </c>
      <c r="T805" s="13" t="n">
        <v>1</v>
      </c>
      <c r="U805" s="13" t="n">
        <f aca="false">IF(B805="Individual",1,0)</f>
        <v>1</v>
      </c>
      <c r="V805" s="13" t="n">
        <f aca="false">IF(B805="Company",1,0)</f>
        <v>0</v>
      </c>
      <c r="W805" s="13" t="n">
        <f aca="false">IF(H805="Home",1,0)</f>
        <v>1</v>
      </c>
      <c r="X805" s="13" t="n">
        <f aca="false">IF(H805="Investment",1,0)</f>
        <v>0</v>
      </c>
      <c r="Y805" s="13" t="n">
        <f aca="false">IF(K805="Website",1,0)</f>
        <v>0</v>
      </c>
      <c r="Z805" s="13" t="n">
        <f aca="false">IF(K805="Agency",1,0)</f>
        <v>1</v>
      </c>
      <c r="AA805" s="13" t="n">
        <f aca="false">IF(K805="Client",1,0)</f>
        <v>0</v>
      </c>
      <c r="AB805" s="13" t="n">
        <f aca="false">(D805-AVERAGE(D$2:D$2001))/STDEV(D$2:D$2001)</f>
        <v>0.395737432015182</v>
      </c>
      <c r="AC805" s="13" t="n">
        <f aca="false">(I805-AVERAGE(I$2:I$2001))/STDEV(I$2:I$2001)</f>
        <v>-0.0205155458339628</v>
      </c>
      <c r="AD805" s="13" t="n">
        <f aca="false">(L805-AVERAGE(L$2:L$2001))/STDEV(L$2:L$2001)</f>
        <v>0.413838214490712</v>
      </c>
      <c r="AE805" s="13" t="n">
        <f aca="false">(M805-AVERAGE(M$2:M$2001))/STDEV(M$2:M$2001)</f>
        <v>-0.785328402702779</v>
      </c>
      <c r="AF805" s="13" t="n">
        <f aca="false">(N805-AVERAGE(N$2:N$2001))/STDEV(N$2:N$2001)</f>
        <v>-1.43837909366001</v>
      </c>
      <c r="AG805" s="13" t="n">
        <f aca="false">(O805-AVERAGE(O$2:O$2001))/STDEV(O$2:O$2001)</f>
        <v>-1.12353019946645</v>
      </c>
      <c r="AH805" s="0" t="str">
        <f aca="false">IF(B805="Company","C3 - Corporate Buyers",IF(AND(H805="Investment",M805&gt;'Segmentation Summary'!$C$1),"C1 - Global Investors",IF(AND(I805&gt;=4,M805&gt;'Segmentation Summary'!$C$1),"C4 - Luxury Investors",IF(AND(D805&lt;'Segmentation Summary'!$C$2,J805=1),"C2 - First-Time Buyers","C5 - Other Individual Buyers"))))</f>
        <v>C5 - Other Individual Buyers</v>
      </c>
    </row>
    <row r="806" customFormat="false" ht="15" hidden="false" customHeight="true" outlineLevel="0" collapsed="false">
      <c r="A806" s="13" t="s">
        <v>1653</v>
      </c>
      <c r="B806" s="13" t="s">
        <v>34</v>
      </c>
      <c r="C806" s="13" t="s">
        <v>1654</v>
      </c>
      <c r="D806" s="13" t="n">
        <v>52</v>
      </c>
      <c r="E806" s="13" t="s">
        <v>90</v>
      </c>
      <c r="F806" s="13" t="s">
        <v>33</v>
      </c>
      <c r="G806" s="13" t="s">
        <v>207</v>
      </c>
      <c r="H806" s="13" t="s">
        <v>41</v>
      </c>
      <c r="I806" s="13" t="n">
        <v>5</v>
      </c>
      <c r="J806" s="13" t="n">
        <v>1</v>
      </c>
      <c r="K806" s="13" t="s">
        <v>85</v>
      </c>
      <c r="L806" s="13" t="n">
        <v>4</v>
      </c>
      <c r="M806" s="13" t="n">
        <v>1131730.6</v>
      </c>
      <c r="N806" s="13" t="n">
        <v>282932.65</v>
      </c>
      <c r="O806" s="13" t="n">
        <v>1027.325</v>
      </c>
      <c r="P806" s="13" t="n">
        <v>1</v>
      </c>
      <c r="Q806" s="13" t="n">
        <v>3</v>
      </c>
      <c r="R806" s="13" t="s">
        <v>101</v>
      </c>
      <c r="S806" s="13" t="s">
        <v>152</v>
      </c>
      <c r="T806" s="13" t="n">
        <v>1</v>
      </c>
      <c r="U806" s="13" t="n">
        <f aca="false">IF(B806="Individual",1,0)</f>
        <v>1</v>
      </c>
      <c r="V806" s="13" t="n">
        <f aca="false">IF(B806="Company",1,0)</f>
        <v>0</v>
      </c>
      <c r="W806" s="13" t="n">
        <f aca="false">IF(H806="Home",1,0)</f>
        <v>1</v>
      </c>
      <c r="X806" s="13" t="n">
        <f aca="false">IF(H806="Investment",1,0)</f>
        <v>0</v>
      </c>
      <c r="Y806" s="13" t="n">
        <f aca="false">IF(K806="Website",1,0)</f>
        <v>1</v>
      </c>
      <c r="Z806" s="13" t="n">
        <f aca="false">IF(K806="Agency",1,0)</f>
        <v>0</v>
      </c>
      <c r="AA806" s="13" t="n">
        <f aca="false">IF(K806="Client",1,0)</f>
        <v>0</v>
      </c>
      <c r="AB806" s="13" t="n">
        <f aca="false">(D806-AVERAGE(D$2:D$2001))/STDEV(D$2:D$2001)</f>
        <v>-0.123224667378179</v>
      </c>
      <c r="AC806" s="13" t="n">
        <f aca="false">(I806-AVERAGE(I$2:I$2001))/STDEV(I$2:I$2001)</f>
        <v>1.39434968409451</v>
      </c>
      <c r="AD806" s="13" t="n">
        <f aca="false">(L806-AVERAGE(L$2:L$2001))/STDEV(L$2:L$2001)</f>
        <v>0.413838214490712</v>
      </c>
      <c r="AE806" s="13" t="n">
        <f aca="false">(M806-AVERAGE(M$2:M$2001))/STDEV(M$2:M$2001)</f>
        <v>-0.369849163482499</v>
      </c>
      <c r="AF806" s="13" t="n">
        <f aca="false">(N806-AVERAGE(N$2:N$2001))/STDEV(N$2:N$2001)</f>
        <v>-0.920189751212975</v>
      </c>
      <c r="AG806" s="13" t="n">
        <f aca="false">(O806-AVERAGE(O$2:O$2001))/STDEV(O$2:O$2001)</f>
        <v>-0.546349829979864</v>
      </c>
      <c r="AH806" s="0" t="str">
        <f aca="false">IF(B806="Company","C3 - Corporate Buyers",IF(AND(H806="Investment",M806&gt;'Segmentation Summary'!$C$1),"C1 - Global Investors",IF(AND(I806&gt;=4,M806&gt;'Segmentation Summary'!$C$1),"C4 - Luxury Investors",IF(AND(D806&lt;'Segmentation Summary'!$C$2,J806=1),"C2 - First-Time Buyers","C5 - Other Individual Buyers"))))</f>
        <v>C2 - First-Time Buyers</v>
      </c>
    </row>
    <row r="807" customFormat="false" ht="15" hidden="false" customHeight="true" outlineLevel="0" collapsed="false">
      <c r="A807" s="13" t="s">
        <v>1655</v>
      </c>
      <c r="B807" s="13" t="s">
        <v>34</v>
      </c>
      <c r="C807" s="13" t="s">
        <v>1656</v>
      </c>
      <c r="D807" s="13" t="n">
        <v>31</v>
      </c>
      <c r="E807" s="13" t="s">
        <v>90</v>
      </c>
      <c r="F807" s="13" t="s">
        <v>33</v>
      </c>
      <c r="G807" s="13" t="s">
        <v>95</v>
      </c>
      <c r="H807" s="13" t="s">
        <v>41</v>
      </c>
      <c r="I807" s="13" t="n">
        <v>2</v>
      </c>
      <c r="J807" s="13" t="n">
        <v>0</v>
      </c>
      <c r="K807" s="13" t="s">
        <v>85</v>
      </c>
      <c r="L807" s="13" t="n">
        <v>6</v>
      </c>
      <c r="M807" s="13" t="n">
        <v>2681927.91</v>
      </c>
      <c r="N807" s="13" t="n">
        <v>446987.985</v>
      </c>
      <c r="O807" s="13" t="n">
        <v>1514.8</v>
      </c>
      <c r="P807" s="13" t="n">
        <v>0</v>
      </c>
      <c r="Q807" s="13" t="n">
        <v>6</v>
      </c>
      <c r="R807" s="13" t="s">
        <v>117</v>
      </c>
      <c r="S807" s="13" t="s">
        <v>114</v>
      </c>
      <c r="T807" s="13" t="n">
        <v>1</v>
      </c>
      <c r="U807" s="13" t="n">
        <f aca="false">IF(B807="Individual",1,0)</f>
        <v>1</v>
      </c>
      <c r="V807" s="13" t="n">
        <f aca="false">IF(B807="Company",1,0)</f>
        <v>0</v>
      </c>
      <c r="W807" s="13" t="n">
        <f aca="false">IF(H807="Home",1,0)</f>
        <v>1</v>
      </c>
      <c r="X807" s="13" t="n">
        <f aca="false">IF(H807="Investment",1,0)</f>
        <v>0</v>
      </c>
      <c r="Y807" s="13" t="n">
        <f aca="false">IF(K807="Website",1,0)</f>
        <v>1</v>
      </c>
      <c r="Z807" s="13" t="n">
        <f aca="false">IF(K807="Agency",1,0)</f>
        <v>0</v>
      </c>
      <c r="AA807" s="13" t="n">
        <f aca="false">IF(K807="Client",1,0)</f>
        <v>0</v>
      </c>
      <c r="AB807" s="13" t="n">
        <f aca="false">(D807-AVERAGE(D$2:D$2001))/STDEV(D$2:D$2001)</f>
        <v>-1.33413623262935</v>
      </c>
      <c r="AC807" s="13" t="n">
        <f aca="false">(I807-AVERAGE(I$2:I$2001))/STDEV(I$2:I$2001)</f>
        <v>-0.727948160798201</v>
      </c>
      <c r="AD807" s="13" t="n">
        <f aca="false">(L807-AVERAGE(L$2:L$2001))/STDEV(L$2:L$2001)</f>
        <v>2.79564088781855</v>
      </c>
      <c r="AE807" s="13" t="n">
        <f aca="false">(M807-AVERAGE(M$2:M$2001))/STDEV(M$2:M$2001)</f>
        <v>4.08690944567848</v>
      </c>
      <c r="AF807" s="13" t="n">
        <f aca="false">(N807-AVERAGE(N$2:N$2001))/STDEV(N$2:N$2001)</f>
        <v>1.43280864629998</v>
      </c>
      <c r="AG807" s="13" t="n">
        <f aca="false">(O807-AVERAGE(O$2:O$2001))/STDEV(O$2:O$2001)</f>
        <v>1.67022558748161</v>
      </c>
      <c r="AH807" s="0" t="str">
        <f aca="false">IF(B807="Company","C3 - Corporate Buyers",IF(AND(H807="Investment",M807&gt;'Segmentation Summary'!$C$1),"C1 - Global Investors",IF(AND(I807&gt;=4,M807&gt;'Segmentation Summary'!$C$1),"C4 - Luxury Investors",IF(AND(D807&lt;'Segmentation Summary'!$C$2,J807=1),"C2 - First-Time Buyers","C5 - Other Individual Buyers"))))</f>
        <v>C5 - Other Individual Buyers</v>
      </c>
    </row>
    <row r="808" customFormat="false" ht="15" hidden="false" customHeight="true" outlineLevel="0" collapsed="false">
      <c r="A808" s="13" t="s">
        <v>1657</v>
      </c>
      <c r="B808" s="13" t="s">
        <v>34</v>
      </c>
      <c r="C808" s="13" t="s">
        <v>1656</v>
      </c>
      <c r="D808" s="13" t="n">
        <v>24</v>
      </c>
      <c r="E808" s="13" t="s">
        <v>90</v>
      </c>
      <c r="F808" s="13" t="s">
        <v>33</v>
      </c>
      <c r="G808" s="13" t="s">
        <v>95</v>
      </c>
      <c r="H808" s="13" t="s">
        <v>41</v>
      </c>
      <c r="I808" s="13" t="n">
        <v>5</v>
      </c>
      <c r="J808" s="13" t="n">
        <v>0</v>
      </c>
      <c r="K808" s="13" t="s">
        <v>85</v>
      </c>
      <c r="L808" s="13" t="n">
        <v>3</v>
      </c>
      <c r="M808" s="13" t="n">
        <v>793543.27</v>
      </c>
      <c r="N808" s="13" t="n">
        <v>264514.423333333</v>
      </c>
      <c r="O808" s="13" t="n">
        <v>862.11</v>
      </c>
      <c r="P808" s="13" t="n">
        <v>0</v>
      </c>
      <c r="Q808" s="13" t="n">
        <v>3</v>
      </c>
      <c r="R808" s="13" t="s">
        <v>98</v>
      </c>
      <c r="S808" s="13" t="s">
        <v>164</v>
      </c>
      <c r="T808" s="13" t="n">
        <v>1</v>
      </c>
      <c r="U808" s="13" t="n">
        <f aca="false">IF(B808="Individual",1,0)</f>
        <v>1</v>
      </c>
      <c r="V808" s="13" t="n">
        <f aca="false">IF(B808="Company",1,0)</f>
        <v>0</v>
      </c>
      <c r="W808" s="13" t="n">
        <f aca="false">IF(H808="Home",1,0)</f>
        <v>1</v>
      </c>
      <c r="X808" s="13" t="n">
        <f aca="false">IF(H808="Investment",1,0)</f>
        <v>0</v>
      </c>
      <c r="Y808" s="13" t="n">
        <f aca="false">IF(K808="Website",1,0)</f>
        <v>1</v>
      </c>
      <c r="Z808" s="13" t="n">
        <f aca="false">IF(K808="Agency",1,0)</f>
        <v>0</v>
      </c>
      <c r="AA808" s="13" t="n">
        <f aca="false">IF(K808="Client",1,0)</f>
        <v>0</v>
      </c>
      <c r="AB808" s="13" t="n">
        <f aca="false">(D808-AVERAGE(D$2:D$2001))/STDEV(D$2:D$2001)</f>
        <v>-1.73777342104641</v>
      </c>
      <c r="AC808" s="13" t="n">
        <f aca="false">(I808-AVERAGE(I$2:I$2001))/STDEV(I$2:I$2001)</f>
        <v>1.39434968409451</v>
      </c>
      <c r="AD808" s="13" t="n">
        <f aca="false">(L808-AVERAGE(L$2:L$2001))/STDEV(L$2:L$2001)</f>
        <v>-0.777063122173208</v>
      </c>
      <c r="AE808" s="13" t="n">
        <f aca="false">(M808-AVERAGE(M$2:M$2001))/STDEV(M$2:M$2001)</f>
        <v>-1.34212494074253</v>
      </c>
      <c r="AF808" s="13" t="n">
        <f aca="false">(N808-AVERAGE(N$2:N$2001))/STDEV(N$2:N$2001)</f>
        <v>-1.18435706909811</v>
      </c>
      <c r="AG808" s="13" t="n">
        <f aca="false">(O808-AVERAGE(O$2:O$2001))/STDEV(O$2:O$2001)</f>
        <v>-1.29759144769543</v>
      </c>
      <c r="AH808" s="0" t="str">
        <f aca="false">IF(B808="Company","C3 - Corporate Buyers",IF(AND(H808="Investment",M808&gt;'Segmentation Summary'!$C$1),"C1 - Global Investors",IF(AND(I808&gt;=4,M808&gt;'Segmentation Summary'!$C$1),"C4 - Luxury Investors",IF(AND(D808&lt;'Segmentation Summary'!$C$2,J808=1),"C2 - First-Time Buyers","C5 - Other Individual Buyers"))))</f>
        <v>C5 - Other Individual Buyers</v>
      </c>
    </row>
    <row r="809" customFormat="false" ht="15" hidden="false" customHeight="true" outlineLevel="0" collapsed="false">
      <c r="A809" s="13" t="s">
        <v>1658</v>
      </c>
      <c r="B809" s="13" t="s">
        <v>34</v>
      </c>
      <c r="C809" s="13" t="s">
        <v>1659</v>
      </c>
      <c r="D809" s="13" t="n">
        <v>62</v>
      </c>
      <c r="E809" s="13" t="s">
        <v>83</v>
      </c>
      <c r="F809" s="13" t="s">
        <v>33</v>
      </c>
      <c r="G809" s="13" t="s">
        <v>95</v>
      </c>
      <c r="H809" s="13" t="s">
        <v>41</v>
      </c>
      <c r="I809" s="13" t="n">
        <v>1</v>
      </c>
      <c r="J809" s="13" t="n">
        <v>1</v>
      </c>
      <c r="K809" s="13" t="s">
        <v>85</v>
      </c>
      <c r="L809" s="13" t="n">
        <v>5</v>
      </c>
      <c r="M809" s="13" t="n">
        <v>2142750.89</v>
      </c>
      <c r="N809" s="13" t="n">
        <v>428550.178</v>
      </c>
      <c r="O809" s="13" t="n">
        <v>1407.376</v>
      </c>
      <c r="P809" s="13" t="n">
        <v>0</v>
      </c>
      <c r="Q809" s="13" t="n">
        <v>5</v>
      </c>
      <c r="R809" s="13" t="s">
        <v>128</v>
      </c>
      <c r="S809" s="13" t="s">
        <v>114</v>
      </c>
      <c r="T809" s="13" t="n">
        <v>1</v>
      </c>
      <c r="U809" s="13" t="n">
        <f aca="false">IF(B809="Individual",1,0)</f>
        <v>1</v>
      </c>
      <c r="V809" s="13" t="n">
        <f aca="false">IF(B809="Company",1,0)</f>
        <v>0</v>
      </c>
      <c r="W809" s="13" t="n">
        <f aca="false">IF(H809="Home",1,0)</f>
        <v>1</v>
      </c>
      <c r="X809" s="13" t="n">
        <f aca="false">IF(H809="Investment",1,0)</f>
        <v>0</v>
      </c>
      <c r="Y809" s="13" t="n">
        <f aca="false">IF(K809="Website",1,0)</f>
        <v>1</v>
      </c>
      <c r="Z809" s="13" t="n">
        <f aca="false">IF(K809="Agency",1,0)</f>
        <v>0</v>
      </c>
      <c r="AA809" s="13" t="n">
        <f aca="false">IF(K809="Client",1,0)</f>
        <v>0</v>
      </c>
      <c r="AB809" s="13" t="n">
        <f aca="false">(D809-AVERAGE(D$2:D$2001))/STDEV(D$2:D$2001)</f>
        <v>0.453399887503333</v>
      </c>
      <c r="AC809" s="13" t="n">
        <f aca="false">(I809-AVERAGE(I$2:I$2001))/STDEV(I$2:I$2001)</f>
        <v>-1.43538077576244</v>
      </c>
      <c r="AD809" s="13" t="n">
        <f aca="false">(L809-AVERAGE(L$2:L$2001))/STDEV(L$2:L$2001)</f>
        <v>1.60473955115463</v>
      </c>
      <c r="AE809" s="13" t="n">
        <f aca="false">(M809-AVERAGE(M$2:M$2001))/STDEV(M$2:M$2001)</f>
        <v>2.5367959148101</v>
      </c>
      <c r="AF809" s="13" t="n">
        <f aca="false">(N809-AVERAGE(N$2:N$2001))/STDEV(N$2:N$2001)</f>
        <v>1.16836049333591</v>
      </c>
      <c r="AG809" s="13" t="n">
        <f aca="false">(O809-AVERAGE(O$2:O$2001))/STDEV(O$2:O$2001)</f>
        <v>1.1817627993481</v>
      </c>
      <c r="AH809" s="0" t="str">
        <f aca="false">IF(B809="Company","C3 - Corporate Buyers",IF(AND(H809="Investment",M809&gt;'Segmentation Summary'!$C$1),"C1 - Global Investors",IF(AND(I809&gt;=4,M809&gt;'Segmentation Summary'!$C$1),"C4 - Luxury Investors",IF(AND(D809&lt;'Segmentation Summary'!$C$2,J809=1),"C2 - First-Time Buyers","C5 - Other Individual Buyers"))))</f>
        <v>C5 - Other Individual Buyers</v>
      </c>
    </row>
    <row r="810" customFormat="false" ht="15" hidden="false" customHeight="true" outlineLevel="0" collapsed="false">
      <c r="A810" s="13" t="s">
        <v>1660</v>
      </c>
      <c r="B810" s="13" t="s">
        <v>34</v>
      </c>
      <c r="C810" s="13" t="s">
        <v>1661</v>
      </c>
      <c r="D810" s="13" t="n">
        <v>69</v>
      </c>
      <c r="E810" s="13" t="s">
        <v>83</v>
      </c>
      <c r="F810" s="13" t="s">
        <v>40</v>
      </c>
      <c r="G810" s="13" t="s">
        <v>239</v>
      </c>
      <c r="H810" s="13" t="s">
        <v>41</v>
      </c>
      <c r="I810" s="13" t="n">
        <v>4</v>
      </c>
      <c r="J810" s="13" t="n">
        <v>1</v>
      </c>
      <c r="K810" s="13" t="s">
        <v>116</v>
      </c>
      <c r="L810" s="13" t="n">
        <v>3</v>
      </c>
      <c r="M810" s="13" t="n">
        <v>1030269.01</v>
      </c>
      <c r="N810" s="13" t="n">
        <v>343423.003333333</v>
      </c>
      <c r="O810" s="13" t="n">
        <v>1050.08</v>
      </c>
      <c r="P810" s="13" t="n">
        <v>1</v>
      </c>
      <c r="Q810" s="13" t="n">
        <v>2</v>
      </c>
      <c r="R810" s="13" t="s">
        <v>117</v>
      </c>
      <c r="S810" s="13" t="s">
        <v>150</v>
      </c>
      <c r="T810" s="13" t="n">
        <v>1</v>
      </c>
      <c r="U810" s="13" t="n">
        <f aca="false">IF(B810="Individual",1,0)</f>
        <v>1</v>
      </c>
      <c r="V810" s="13" t="n">
        <f aca="false">IF(B810="Company",1,0)</f>
        <v>0</v>
      </c>
      <c r="W810" s="13" t="n">
        <f aca="false">IF(H810="Home",1,0)</f>
        <v>1</v>
      </c>
      <c r="X810" s="13" t="n">
        <f aca="false">IF(H810="Investment",1,0)</f>
        <v>0</v>
      </c>
      <c r="Y810" s="13" t="n">
        <f aca="false">IF(K810="Website",1,0)</f>
        <v>0</v>
      </c>
      <c r="Z810" s="13" t="n">
        <f aca="false">IF(K810="Agency",1,0)</f>
        <v>0</v>
      </c>
      <c r="AA810" s="13" t="n">
        <f aca="false">IF(K810="Client",1,0)</f>
        <v>1</v>
      </c>
      <c r="AB810" s="13" t="n">
        <f aca="false">(D810-AVERAGE(D$2:D$2001))/STDEV(D$2:D$2001)</f>
        <v>0.857037075920391</v>
      </c>
      <c r="AC810" s="13" t="n">
        <f aca="false">(I810-AVERAGE(I$2:I$2001))/STDEV(I$2:I$2001)</f>
        <v>0.686917069130275</v>
      </c>
      <c r="AD810" s="13" t="n">
        <f aca="false">(L810-AVERAGE(L$2:L$2001))/STDEV(L$2:L$2001)</f>
        <v>-0.777063122173208</v>
      </c>
      <c r="AE810" s="13" t="n">
        <f aca="false">(M810-AVERAGE(M$2:M$2001))/STDEV(M$2:M$2001)</f>
        <v>-0.661547395581523</v>
      </c>
      <c r="AF810" s="13" t="n">
        <f aca="false">(N810-AVERAGE(N$2:N$2001))/STDEV(N$2:N$2001)</f>
        <v>-0.0525940435919751</v>
      </c>
      <c r="AG810" s="13" t="n">
        <f aca="false">(O810-AVERAGE(O$2:O$2001))/STDEV(O$2:O$2001)</f>
        <v>-0.442881603661929</v>
      </c>
      <c r="AH810" s="0" t="str">
        <f aca="false">IF(B810="Company","C3 - Corporate Buyers",IF(AND(H810="Investment",M810&gt;'Segmentation Summary'!$C$1),"C1 - Global Investors",IF(AND(I810&gt;=4,M810&gt;'Segmentation Summary'!$C$1),"C4 - Luxury Investors",IF(AND(D810&lt;'Segmentation Summary'!$C$2,J810=1),"C2 - First-Time Buyers","C5 - Other Individual Buyers"))))</f>
        <v>C5 - Other Individual Buyers</v>
      </c>
    </row>
    <row r="811" customFormat="false" ht="15" hidden="false" customHeight="true" outlineLevel="0" collapsed="false">
      <c r="A811" s="13" t="s">
        <v>1662</v>
      </c>
      <c r="B811" s="13" t="s">
        <v>34</v>
      </c>
      <c r="C811" s="13" t="s">
        <v>1663</v>
      </c>
      <c r="D811" s="13" t="n">
        <v>29</v>
      </c>
      <c r="E811" s="13" t="s">
        <v>83</v>
      </c>
      <c r="F811" s="13" t="s">
        <v>33</v>
      </c>
      <c r="G811" s="13" t="s">
        <v>120</v>
      </c>
      <c r="H811" s="13" t="s">
        <v>41</v>
      </c>
      <c r="I811" s="13" t="n">
        <v>5</v>
      </c>
      <c r="J811" s="13" t="n">
        <v>0</v>
      </c>
      <c r="K811" s="13" t="s">
        <v>85</v>
      </c>
      <c r="L811" s="13" t="n">
        <v>4</v>
      </c>
      <c r="M811" s="13" t="n">
        <v>966971.19</v>
      </c>
      <c r="N811" s="13" t="n">
        <v>241742.7975</v>
      </c>
      <c r="O811" s="13" t="n">
        <v>827.2</v>
      </c>
      <c r="P811" s="13" t="n">
        <v>0</v>
      </c>
      <c r="Q811" s="13" t="n">
        <v>4</v>
      </c>
      <c r="R811" s="13" t="s">
        <v>121</v>
      </c>
      <c r="S811" s="13" t="s">
        <v>114</v>
      </c>
      <c r="T811" s="13" t="n">
        <v>1</v>
      </c>
      <c r="U811" s="13" t="n">
        <f aca="false">IF(B811="Individual",1,0)</f>
        <v>1</v>
      </c>
      <c r="V811" s="13" t="n">
        <f aca="false">IF(B811="Company",1,0)</f>
        <v>0</v>
      </c>
      <c r="W811" s="13" t="n">
        <f aca="false">IF(H811="Home",1,0)</f>
        <v>1</v>
      </c>
      <c r="X811" s="13" t="n">
        <f aca="false">IF(H811="Investment",1,0)</f>
        <v>0</v>
      </c>
      <c r="Y811" s="13" t="n">
        <f aca="false">IF(K811="Website",1,0)</f>
        <v>1</v>
      </c>
      <c r="Z811" s="13" t="n">
        <f aca="false">IF(K811="Agency",1,0)</f>
        <v>0</v>
      </c>
      <c r="AA811" s="13" t="n">
        <f aca="false">IF(K811="Client",1,0)</f>
        <v>0</v>
      </c>
      <c r="AB811" s="13" t="n">
        <f aca="false">(D811-AVERAGE(D$2:D$2001))/STDEV(D$2:D$2001)</f>
        <v>-1.44946114360566</v>
      </c>
      <c r="AC811" s="13" t="n">
        <f aca="false">(I811-AVERAGE(I$2:I$2001))/STDEV(I$2:I$2001)</f>
        <v>1.39434968409451</v>
      </c>
      <c r="AD811" s="13" t="n">
        <f aca="false">(L811-AVERAGE(L$2:L$2001))/STDEV(L$2:L$2001)</f>
        <v>0.413838214490712</v>
      </c>
      <c r="AE811" s="13" t="n">
        <f aca="false">(M811-AVERAGE(M$2:M$2001))/STDEV(M$2:M$2001)</f>
        <v>-0.84352623298908</v>
      </c>
      <c r="AF811" s="13" t="n">
        <f aca="false">(N811-AVERAGE(N$2:N$2001))/STDEV(N$2:N$2001)</f>
        <v>-1.51096393680283</v>
      </c>
      <c r="AG811" s="13" t="n">
        <f aca="false">(O811-AVERAGE(O$2:O$2001))/STDEV(O$2:O$2001)</f>
        <v>-1.45632912208608</v>
      </c>
      <c r="AH811" s="0" t="str">
        <f aca="false">IF(B811="Company","C3 - Corporate Buyers",IF(AND(H811="Investment",M811&gt;'Segmentation Summary'!$C$1),"C1 - Global Investors",IF(AND(I811&gt;=4,M811&gt;'Segmentation Summary'!$C$1),"C4 - Luxury Investors",IF(AND(D811&lt;'Segmentation Summary'!$C$2,J811=1),"C2 - First-Time Buyers","C5 - Other Individual Buyers"))))</f>
        <v>C5 - Other Individual Buyers</v>
      </c>
    </row>
    <row r="812" customFormat="false" ht="15" hidden="false" customHeight="true" outlineLevel="0" collapsed="false">
      <c r="A812" s="13" t="s">
        <v>1664</v>
      </c>
      <c r="B812" s="13" t="s">
        <v>34</v>
      </c>
      <c r="C812" s="13" t="s">
        <v>1665</v>
      </c>
      <c r="D812" s="13" t="n">
        <v>50</v>
      </c>
      <c r="E812" s="13" t="s">
        <v>83</v>
      </c>
      <c r="F812" s="13" t="s">
        <v>35</v>
      </c>
      <c r="G812" s="13" t="s">
        <v>185</v>
      </c>
      <c r="H812" s="13" t="s">
        <v>41</v>
      </c>
      <c r="I812" s="13" t="n">
        <v>3</v>
      </c>
      <c r="J812" s="13" t="n">
        <v>1</v>
      </c>
      <c r="K812" s="13" t="s">
        <v>85</v>
      </c>
      <c r="L812" s="13" t="n">
        <v>4</v>
      </c>
      <c r="M812" s="13" t="n">
        <v>1443224.01</v>
      </c>
      <c r="N812" s="13" t="n">
        <v>360806.0025</v>
      </c>
      <c r="O812" s="13" t="n">
        <v>1248.58</v>
      </c>
      <c r="P812" s="13" t="n">
        <v>0</v>
      </c>
      <c r="Q812" s="13" t="n">
        <v>4</v>
      </c>
      <c r="R812" s="13" t="s">
        <v>98</v>
      </c>
      <c r="S812" s="13" t="s">
        <v>154</v>
      </c>
      <c r="T812" s="13" t="n">
        <v>1</v>
      </c>
      <c r="U812" s="13" t="n">
        <f aca="false">IF(B812="Individual",1,0)</f>
        <v>1</v>
      </c>
      <c r="V812" s="13" t="n">
        <f aca="false">IF(B812="Company",1,0)</f>
        <v>0</v>
      </c>
      <c r="W812" s="13" t="n">
        <f aca="false">IF(H812="Home",1,0)</f>
        <v>1</v>
      </c>
      <c r="X812" s="13" t="n">
        <f aca="false">IF(H812="Investment",1,0)</f>
        <v>0</v>
      </c>
      <c r="Y812" s="13" t="n">
        <f aca="false">IF(K812="Website",1,0)</f>
        <v>1</v>
      </c>
      <c r="Z812" s="13" t="n">
        <f aca="false">IF(K812="Agency",1,0)</f>
        <v>0</v>
      </c>
      <c r="AA812" s="13" t="n">
        <f aca="false">IF(K812="Client",1,0)</f>
        <v>0</v>
      </c>
      <c r="AB812" s="13" t="n">
        <f aca="false">(D812-AVERAGE(D$2:D$2001))/STDEV(D$2:D$2001)</f>
        <v>-0.238549578354482</v>
      </c>
      <c r="AC812" s="13" t="n">
        <f aca="false">(I812-AVERAGE(I$2:I$2001))/STDEV(I$2:I$2001)</f>
        <v>-0.0205155458339628</v>
      </c>
      <c r="AD812" s="13" t="n">
        <f aca="false">(L812-AVERAGE(L$2:L$2001))/STDEV(L$2:L$2001)</f>
        <v>0.413838214490712</v>
      </c>
      <c r="AE812" s="13" t="n">
        <f aca="false">(M812-AVERAGE(M$2:M$2001))/STDEV(M$2:M$2001)</f>
        <v>0.525682603834534</v>
      </c>
      <c r="AF812" s="13" t="n">
        <f aca="false">(N812-AVERAGE(N$2:N$2001))/STDEV(N$2:N$2001)</f>
        <v>0.196725304560504</v>
      </c>
      <c r="AG812" s="13" t="n">
        <f aca="false">(O812-AVERAGE(O$2:O$2001))/STDEV(O$2:O$2001)</f>
        <v>0.459708724798201</v>
      </c>
      <c r="AH812" s="0" t="str">
        <f aca="false">IF(B812="Company","C3 - Corporate Buyers",IF(AND(H812="Investment",M812&gt;'Segmentation Summary'!$C$1),"C1 - Global Investors",IF(AND(I812&gt;=4,M812&gt;'Segmentation Summary'!$C$1),"C4 - Luxury Investors",IF(AND(D812&lt;'Segmentation Summary'!$C$2,J812=1),"C2 - First-Time Buyers","C5 - Other Individual Buyers"))))</f>
        <v>C2 - First-Time Buyers</v>
      </c>
    </row>
    <row r="813" customFormat="false" ht="15" hidden="false" customHeight="true" outlineLevel="0" collapsed="false">
      <c r="A813" s="13" t="s">
        <v>1666</v>
      </c>
      <c r="B813" s="13" t="s">
        <v>34</v>
      </c>
      <c r="C813" s="13" t="s">
        <v>1667</v>
      </c>
      <c r="D813" s="13" t="n">
        <v>56</v>
      </c>
      <c r="E813" s="13" t="s">
        <v>83</v>
      </c>
      <c r="F813" s="13" t="s">
        <v>38</v>
      </c>
      <c r="G813" s="13" t="s">
        <v>339</v>
      </c>
      <c r="H813" s="13" t="s">
        <v>41</v>
      </c>
      <c r="I813" s="13" t="n">
        <v>5</v>
      </c>
      <c r="J813" s="13" t="n">
        <v>0</v>
      </c>
      <c r="K813" s="13" t="s">
        <v>85</v>
      </c>
      <c r="L813" s="13" t="n">
        <v>3</v>
      </c>
      <c r="M813" s="13" t="n">
        <v>1301139.77</v>
      </c>
      <c r="N813" s="13" t="n">
        <v>433713.256666667</v>
      </c>
      <c r="O813" s="13" t="n">
        <v>1592.12333333333</v>
      </c>
      <c r="P813" s="13" t="n">
        <v>1</v>
      </c>
      <c r="Q813" s="13" t="n">
        <v>2</v>
      </c>
      <c r="R813" s="13" t="s">
        <v>117</v>
      </c>
      <c r="S813" s="13" t="s">
        <v>154</v>
      </c>
      <c r="T813" s="13" t="n">
        <v>1</v>
      </c>
      <c r="U813" s="13" t="n">
        <f aca="false">IF(B813="Individual",1,0)</f>
        <v>1</v>
      </c>
      <c r="V813" s="13" t="n">
        <f aca="false">IF(B813="Company",1,0)</f>
        <v>0</v>
      </c>
      <c r="W813" s="13" t="n">
        <f aca="false">IF(H813="Home",1,0)</f>
        <v>1</v>
      </c>
      <c r="X813" s="13" t="n">
        <f aca="false">IF(H813="Investment",1,0)</f>
        <v>0</v>
      </c>
      <c r="Y813" s="13" t="n">
        <f aca="false">IF(K813="Website",1,0)</f>
        <v>1</v>
      </c>
      <c r="Z813" s="13" t="n">
        <f aca="false">IF(K813="Agency",1,0)</f>
        <v>0</v>
      </c>
      <c r="AA813" s="13" t="n">
        <f aca="false">IF(K813="Client",1,0)</f>
        <v>0</v>
      </c>
      <c r="AB813" s="13" t="n">
        <f aca="false">(D813-AVERAGE(D$2:D$2001))/STDEV(D$2:D$2001)</f>
        <v>0.107425154574426</v>
      </c>
      <c r="AC813" s="13" t="n">
        <f aca="false">(I813-AVERAGE(I$2:I$2001))/STDEV(I$2:I$2001)</f>
        <v>1.39434968409451</v>
      </c>
      <c r="AD813" s="13" t="n">
        <f aca="false">(L813-AVERAGE(L$2:L$2001))/STDEV(L$2:L$2001)</f>
        <v>-0.777063122173208</v>
      </c>
      <c r="AE813" s="13" t="n">
        <f aca="false">(M813-AVERAGE(M$2:M$2001))/STDEV(M$2:M$2001)</f>
        <v>0.117195790084293</v>
      </c>
      <c r="AF813" s="13" t="n">
        <f aca="false">(N813-AVERAGE(N$2:N$2001))/STDEV(N$2:N$2001)</f>
        <v>1.2424130429156</v>
      </c>
      <c r="AG813" s="13" t="n">
        <f aca="false">(O813-AVERAGE(O$2:O$2001))/STDEV(O$2:O$2001)</f>
        <v>2.02181900224716</v>
      </c>
      <c r="AH813" s="0" t="str">
        <f aca="false">IF(B813="Company","C3 - Corporate Buyers",IF(AND(H813="Investment",M813&gt;'Segmentation Summary'!$C$1),"C1 - Global Investors",IF(AND(I813&gt;=4,M813&gt;'Segmentation Summary'!$C$1),"C4 - Luxury Investors",IF(AND(D813&lt;'Segmentation Summary'!$C$2,J813=1),"C2 - First-Time Buyers","C5 - Other Individual Buyers"))))</f>
        <v>C4 - Luxury Investors</v>
      </c>
    </row>
    <row r="814" customFormat="false" ht="15" hidden="false" customHeight="true" outlineLevel="0" collapsed="false">
      <c r="A814" s="13" t="s">
        <v>1668</v>
      </c>
      <c r="B814" s="13" t="s">
        <v>34</v>
      </c>
      <c r="C814" s="13" t="s">
        <v>1669</v>
      </c>
      <c r="D814" s="13" t="n">
        <v>46</v>
      </c>
      <c r="E814" s="13" t="s">
        <v>83</v>
      </c>
      <c r="F814" s="13" t="s">
        <v>33</v>
      </c>
      <c r="G814" s="13" t="s">
        <v>95</v>
      </c>
      <c r="H814" s="13" t="s">
        <v>43</v>
      </c>
      <c r="I814" s="13" t="n">
        <v>3</v>
      </c>
      <c r="J814" s="13" t="n">
        <v>0</v>
      </c>
      <c r="K814" s="13" t="s">
        <v>91</v>
      </c>
      <c r="L814" s="13" t="n">
        <v>3</v>
      </c>
      <c r="M814" s="13" t="n">
        <v>1271295.42</v>
      </c>
      <c r="N814" s="13" t="n">
        <v>423765.14</v>
      </c>
      <c r="O814" s="13" t="n">
        <v>1435.66333333333</v>
      </c>
      <c r="P814" s="13" t="n">
        <v>0</v>
      </c>
      <c r="Q814" s="13" t="n">
        <v>3</v>
      </c>
      <c r="R814" s="13" t="s">
        <v>101</v>
      </c>
      <c r="S814" s="13" t="s">
        <v>133</v>
      </c>
      <c r="T814" s="13" t="n">
        <v>1</v>
      </c>
      <c r="U814" s="13" t="n">
        <f aca="false">IF(B814="Individual",1,0)</f>
        <v>1</v>
      </c>
      <c r="V814" s="13" t="n">
        <f aca="false">IF(B814="Company",1,0)</f>
        <v>0</v>
      </c>
      <c r="W814" s="13" t="n">
        <f aca="false">IF(H814="Home",1,0)</f>
        <v>0</v>
      </c>
      <c r="X814" s="13" t="n">
        <f aca="false">IF(H814="Investment",1,0)</f>
        <v>1</v>
      </c>
      <c r="Y814" s="13" t="n">
        <f aca="false">IF(K814="Website",1,0)</f>
        <v>0</v>
      </c>
      <c r="Z814" s="13" t="n">
        <f aca="false">IF(K814="Agency",1,0)</f>
        <v>1</v>
      </c>
      <c r="AA814" s="13" t="n">
        <f aca="false">IF(K814="Client",1,0)</f>
        <v>0</v>
      </c>
      <c r="AB814" s="13" t="n">
        <f aca="false">(D814-AVERAGE(D$2:D$2001))/STDEV(D$2:D$2001)</f>
        <v>-0.469199400307086</v>
      </c>
      <c r="AC814" s="13" t="n">
        <f aca="false">(I814-AVERAGE(I$2:I$2001))/STDEV(I$2:I$2001)</f>
        <v>-0.0205155458339628</v>
      </c>
      <c r="AD814" s="13" t="n">
        <f aca="false">(L814-AVERAGE(L$2:L$2001))/STDEV(L$2:L$2001)</f>
        <v>-0.777063122173208</v>
      </c>
      <c r="AE814" s="13" t="n">
        <f aca="false">(M814-AVERAGE(M$2:M$2001))/STDEV(M$2:M$2001)</f>
        <v>0.0313944130987311</v>
      </c>
      <c r="AF814" s="13" t="n">
        <f aca="false">(N814-AVERAGE(N$2:N$2001))/STDEV(N$2:N$2001)</f>
        <v>1.09973007210615</v>
      </c>
      <c r="AG814" s="13" t="n">
        <f aca="false">(O814-AVERAGE(O$2:O$2001))/STDEV(O$2:O$2001)</f>
        <v>1.31038684712942</v>
      </c>
      <c r="AH814" s="0" t="str">
        <f aca="false">IF(B814="Company","C3 - Corporate Buyers",IF(AND(H814="Investment",M814&gt;'Segmentation Summary'!$C$1),"C1 - Global Investors",IF(AND(I814&gt;=4,M814&gt;'Segmentation Summary'!$C$1),"C4 - Luxury Investors",IF(AND(D814&lt;'Segmentation Summary'!$C$2,J814=1),"C2 - First-Time Buyers","C5 - Other Individual Buyers"))))</f>
        <v>C1 - Global Investors</v>
      </c>
    </row>
    <row r="815" customFormat="false" ht="15" hidden="false" customHeight="true" outlineLevel="0" collapsed="false">
      <c r="A815" s="13" t="s">
        <v>1670</v>
      </c>
      <c r="B815" s="13" t="s">
        <v>34</v>
      </c>
      <c r="C815" s="13" t="s">
        <v>1671</v>
      </c>
      <c r="D815" s="13" t="n">
        <v>77</v>
      </c>
      <c r="E815" s="13" t="s">
        <v>83</v>
      </c>
      <c r="F815" s="13" t="s">
        <v>33</v>
      </c>
      <c r="G815" s="13" t="s">
        <v>106</v>
      </c>
      <c r="H815" s="13" t="s">
        <v>41</v>
      </c>
      <c r="I815" s="13" t="n">
        <v>4</v>
      </c>
      <c r="J815" s="13" t="n">
        <v>1</v>
      </c>
      <c r="K815" s="13" t="s">
        <v>85</v>
      </c>
      <c r="L815" s="13" t="n">
        <v>3</v>
      </c>
      <c r="M815" s="13" t="n">
        <v>1284366.78</v>
      </c>
      <c r="N815" s="13" t="n">
        <v>428122.26</v>
      </c>
      <c r="O815" s="13" t="n">
        <v>1431.79</v>
      </c>
      <c r="P815" s="13" t="n">
        <v>1</v>
      </c>
      <c r="Q815" s="13" t="n">
        <v>2</v>
      </c>
      <c r="R815" s="13" t="s">
        <v>101</v>
      </c>
      <c r="S815" s="13" t="s">
        <v>154</v>
      </c>
      <c r="T815" s="13" t="n">
        <v>1</v>
      </c>
      <c r="U815" s="13" t="n">
        <f aca="false">IF(B815="Individual",1,0)</f>
        <v>1</v>
      </c>
      <c r="V815" s="13" t="n">
        <f aca="false">IF(B815="Company",1,0)</f>
        <v>0</v>
      </c>
      <c r="W815" s="13" t="n">
        <f aca="false">IF(H815="Home",1,0)</f>
        <v>1</v>
      </c>
      <c r="X815" s="13" t="n">
        <f aca="false">IF(H815="Investment",1,0)</f>
        <v>0</v>
      </c>
      <c r="Y815" s="13" t="n">
        <f aca="false">IF(K815="Website",1,0)</f>
        <v>1</v>
      </c>
      <c r="Z815" s="13" t="n">
        <f aca="false">IF(K815="Agency",1,0)</f>
        <v>0</v>
      </c>
      <c r="AA815" s="13" t="n">
        <f aca="false">IF(K815="Client",1,0)</f>
        <v>0</v>
      </c>
      <c r="AB815" s="13" t="n">
        <f aca="false">(D815-AVERAGE(D$2:D$2001))/STDEV(D$2:D$2001)</f>
        <v>1.3183367198256</v>
      </c>
      <c r="AC815" s="13" t="n">
        <f aca="false">(I815-AVERAGE(I$2:I$2001))/STDEV(I$2:I$2001)</f>
        <v>0.686917069130275</v>
      </c>
      <c r="AD815" s="13" t="n">
        <f aca="false">(L815-AVERAGE(L$2:L$2001))/STDEV(L$2:L$2001)</f>
        <v>-0.777063122173208</v>
      </c>
      <c r="AE815" s="13" t="n">
        <f aca="false">(M815-AVERAGE(M$2:M$2001))/STDEV(M$2:M$2001)</f>
        <v>0.0689740784985136</v>
      </c>
      <c r="AF815" s="13" t="n">
        <f aca="false">(N815-AVERAGE(N$2:N$2001))/STDEV(N$2:N$2001)</f>
        <v>1.16222298876608</v>
      </c>
      <c r="AG815" s="13" t="n">
        <f aca="false">(O815-AVERAGE(O$2:O$2001))/STDEV(O$2:O$2001)</f>
        <v>1.29277458916687</v>
      </c>
      <c r="AH815" s="0" t="str">
        <f aca="false">IF(B815="Company","C3 - Corporate Buyers",IF(AND(H815="Investment",M815&gt;'Segmentation Summary'!$C$1),"C1 - Global Investors",IF(AND(I815&gt;=4,M815&gt;'Segmentation Summary'!$C$1),"C4 - Luxury Investors",IF(AND(D815&lt;'Segmentation Summary'!$C$2,J815=1),"C2 - First-Time Buyers","C5 - Other Individual Buyers"))))</f>
        <v>C4 - Luxury Investors</v>
      </c>
    </row>
    <row r="816" customFormat="false" ht="15" hidden="false" customHeight="true" outlineLevel="0" collapsed="false">
      <c r="A816" s="13" t="s">
        <v>1672</v>
      </c>
      <c r="B816" s="13" t="s">
        <v>34</v>
      </c>
      <c r="C816" s="13" t="s">
        <v>1673</v>
      </c>
      <c r="D816" s="13" t="n">
        <v>55</v>
      </c>
      <c r="E816" s="13" t="s">
        <v>83</v>
      </c>
      <c r="F816" s="13" t="s">
        <v>33</v>
      </c>
      <c r="G816" s="13" t="s">
        <v>95</v>
      </c>
      <c r="H816" s="13" t="s">
        <v>43</v>
      </c>
      <c r="I816" s="13" t="n">
        <v>4</v>
      </c>
      <c r="J816" s="13" t="n">
        <v>1</v>
      </c>
      <c r="K816" s="13" t="s">
        <v>85</v>
      </c>
      <c r="L816" s="13" t="n">
        <v>3</v>
      </c>
      <c r="M816" s="13" t="n">
        <v>1170869.09</v>
      </c>
      <c r="N816" s="13" t="n">
        <v>390289.696666667</v>
      </c>
      <c r="O816" s="13" t="n">
        <v>1169.04666666667</v>
      </c>
      <c r="P816" s="13" t="n">
        <v>0</v>
      </c>
      <c r="Q816" s="13" t="n">
        <v>3</v>
      </c>
      <c r="R816" s="13" t="s">
        <v>93</v>
      </c>
      <c r="S816" s="13" t="s">
        <v>114</v>
      </c>
      <c r="T816" s="13" t="n">
        <v>1</v>
      </c>
      <c r="U816" s="13" t="n">
        <f aca="false">IF(B816="Individual",1,0)</f>
        <v>1</v>
      </c>
      <c r="V816" s="13" t="n">
        <f aca="false">IF(B816="Company",1,0)</f>
        <v>0</v>
      </c>
      <c r="W816" s="13" t="n">
        <f aca="false">IF(H816="Home",1,0)</f>
        <v>0</v>
      </c>
      <c r="X816" s="13" t="n">
        <f aca="false">IF(H816="Investment",1,0)</f>
        <v>1</v>
      </c>
      <c r="Y816" s="13" t="n">
        <f aca="false">IF(K816="Website",1,0)</f>
        <v>1</v>
      </c>
      <c r="Z816" s="13" t="n">
        <f aca="false">IF(K816="Agency",1,0)</f>
        <v>0</v>
      </c>
      <c r="AA816" s="13" t="n">
        <f aca="false">IF(K816="Client",1,0)</f>
        <v>0</v>
      </c>
      <c r="AB816" s="13" t="n">
        <f aca="false">(D816-AVERAGE(D$2:D$2001))/STDEV(D$2:D$2001)</f>
        <v>0.0497626990862745</v>
      </c>
      <c r="AC816" s="13" t="n">
        <f aca="false">(I816-AVERAGE(I$2:I$2001))/STDEV(I$2:I$2001)</f>
        <v>0.686917069130275</v>
      </c>
      <c r="AD816" s="13" t="n">
        <f aca="false">(L816-AVERAGE(L$2:L$2001))/STDEV(L$2:L$2001)</f>
        <v>-0.777063122173208</v>
      </c>
      <c r="AE816" s="13" t="n">
        <f aca="false">(M816-AVERAGE(M$2:M$2001))/STDEV(M$2:M$2001)</f>
        <v>-0.257327485672943</v>
      </c>
      <c r="AF816" s="13" t="n">
        <f aca="false">(N816-AVERAGE(N$2:N$2001))/STDEV(N$2:N$2001)</f>
        <v>0.619601434293985</v>
      </c>
      <c r="AG816" s="13" t="n">
        <f aca="false">(O816-AVERAGE(O$2:O$2001))/STDEV(O$2:O$2001)</f>
        <v>0.0980663194739732</v>
      </c>
      <c r="AH816" s="0" t="str">
        <f aca="false">IF(B816="Company","C3 - Corporate Buyers",IF(AND(H816="Investment",M816&gt;'Segmentation Summary'!$C$1),"C1 - Global Investors",IF(AND(I816&gt;=4,M816&gt;'Segmentation Summary'!$C$1),"C4 - Luxury Investors",IF(AND(D816&lt;'Segmentation Summary'!$C$2,J816=1),"C2 - First-Time Buyers","C5 - Other Individual Buyers"))))</f>
        <v>C5 - Other Individual Buyers</v>
      </c>
    </row>
    <row r="817" customFormat="false" ht="15" hidden="false" customHeight="true" outlineLevel="0" collapsed="false">
      <c r="A817" s="13" t="s">
        <v>1674</v>
      </c>
      <c r="B817" s="13" t="s">
        <v>34</v>
      </c>
      <c r="C817" s="13" t="s">
        <v>1675</v>
      </c>
      <c r="D817" s="13" t="n">
        <v>65</v>
      </c>
      <c r="E817" s="13" t="s">
        <v>83</v>
      </c>
      <c r="F817" s="13" t="s">
        <v>33</v>
      </c>
      <c r="G817" s="13" t="s">
        <v>95</v>
      </c>
      <c r="H817" s="13" t="s">
        <v>41</v>
      </c>
      <c r="I817" s="13" t="n">
        <v>5</v>
      </c>
      <c r="J817" s="13" t="n">
        <v>0</v>
      </c>
      <c r="K817" s="13" t="s">
        <v>116</v>
      </c>
      <c r="L817" s="13" t="n">
        <v>4</v>
      </c>
      <c r="M817" s="13" t="n">
        <v>1115807</v>
      </c>
      <c r="N817" s="13" t="n">
        <v>278951.75</v>
      </c>
      <c r="O817" s="13" t="n">
        <v>939.4875</v>
      </c>
      <c r="P817" s="13" t="n">
        <v>0</v>
      </c>
      <c r="Q817" s="13" t="n">
        <v>4</v>
      </c>
      <c r="R817" s="13" t="s">
        <v>98</v>
      </c>
      <c r="S817" s="13" t="s">
        <v>133</v>
      </c>
      <c r="T817" s="13" t="n">
        <v>1</v>
      </c>
      <c r="U817" s="13" t="n">
        <f aca="false">IF(B817="Individual",1,0)</f>
        <v>1</v>
      </c>
      <c r="V817" s="13" t="n">
        <f aca="false">IF(B817="Company",1,0)</f>
        <v>0</v>
      </c>
      <c r="W817" s="13" t="n">
        <f aca="false">IF(H817="Home",1,0)</f>
        <v>1</v>
      </c>
      <c r="X817" s="13" t="n">
        <f aca="false">IF(H817="Investment",1,0)</f>
        <v>0</v>
      </c>
      <c r="Y817" s="13" t="n">
        <f aca="false">IF(K817="Website",1,0)</f>
        <v>0</v>
      </c>
      <c r="Z817" s="13" t="n">
        <f aca="false">IF(K817="Agency",1,0)</f>
        <v>0</v>
      </c>
      <c r="AA817" s="13" t="n">
        <f aca="false">IF(K817="Client",1,0)</f>
        <v>1</v>
      </c>
      <c r="AB817" s="13" t="n">
        <f aca="false">(D817-AVERAGE(D$2:D$2001))/STDEV(D$2:D$2001)</f>
        <v>0.626387253967787</v>
      </c>
      <c r="AC817" s="13" t="n">
        <f aca="false">(I817-AVERAGE(I$2:I$2001))/STDEV(I$2:I$2001)</f>
        <v>1.39434968409451</v>
      </c>
      <c r="AD817" s="13" t="n">
        <f aca="false">(L817-AVERAGE(L$2:L$2001))/STDEV(L$2:L$2001)</f>
        <v>0.413838214490712</v>
      </c>
      <c r="AE817" s="13" t="n">
        <f aca="false">(M817-AVERAGE(M$2:M$2001))/STDEV(M$2:M$2001)</f>
        <v>-0.415628910957894</v>
      </c>
      <c r="AF817" s="13" t="n">
        <f aca="false">(N817-AVERAGE(N$2:N$2001))/STDEV(N$2:N$2001)</f>
        <v>-0.977286652820347</v>
      </c>
      <c r="AG817" s="13" t="n">
        <f aca="false">(O817-AVERAGE(O$2:O$2001))/STDEV(O$2:O$2001)</f>
        <v>-0.945751734141662</v>
      </c>
      <c r="AH817" s="0" t="str">
        <f aca="false">IF(B817="Company","C3 - Corporate Buyers",IF(AND(H817="Investment",M817&gt;'Segmentation Summary'!$C$1),"C1 - Global Investors",IF(AND(I817&gt;=4,M817&gt;'Segmentation Summary'!$C$1),"C4 - Luxury Investors",IF(AND(D817&lt;'Segmentation Summary'!$C$2,J817=1),"C2 - First-Time Buyers","C5 - Other Individual Buyers"))))</f>
        <v>C5 - Other Individual Buyers</v>
      </c>
    </row>
    <row r="818" customFormat="false" ht="15" hidden="false" customHeight="true" outlineLevel="0" collapsed="false">
      <c r="A818" s="13" t="s">
        <v>1676</v>
      </c>
      <c r="B818" s="13" t="s">
        <v>34</v>
      </c>
      <c r="C818" s="13" t="s">
        <v>1675</v>
      </c>
      <c r="D818" s="13" t="n">
        <v>71</v>
      </c>
      <c r="E818" s="13" t="s">
        <v>83</v>
      </c>
      <c r="F818" s="13" t="s">
        <v>33</v>
      </c>
      <c r="G818" s="13" t="s">
        <v>106</v>
      </c>
      <c r="H818" s="13" t="s">
        <v>41</v>
      </c>
      <c r="I818" s="13" t="n">
        <v>3</v>
      </c>
      <c r="J818" s="13" t="n">
        <v>0</v>
      </c>
      <c r="K818" s="13" t="s">
        <v>85</v>
      </c>
      <c r="L818" s="13" t="n">
        <v>3</v>
      </c>
      <c r="M818" s="13" t="n">
        <v>801104.69</v>
      </c>
      <c r="N818" s="13" t="n">
        <v>267034.896666667</v>
      </c>
      <c r="O818" s="13" t="n">
        <v>897.31</v>
      </c>
      <c r="P818" s="13" t="n">
        <v>0</v>
      </c>
      <c r="Q818" s="13" t="n">
        <v>3</v>
      </c>
      <c r="R818" s="13" t="s">
        <v>101</v>
      </c>
      <c r="S818" s="13" t="s">
        <v>215</v>
      </c>
      <c r="T818" s="13" t="n">
        <v>1</v>
      </c>
      <c r="U818" s="13" t="n">
        <f aca="false">IF(B818="Individual",1,0)</f>
        <v>1</v>
      </c>
      <c r="V818" s="13" t="n">
        <f aca="false">IF(B818="Company",1,0)</f>
        <v>0</v>
      </c>
      <c r="W818" s="13" t="n">
        <f aca="false">IF(H818="Home",1,0)</f>
        <v>1</v>
      </c>
      <c r="X818" s="13" t="n">
        <f aca="false">IF(H818="Investment",1,0)</f>
        <v>0</v>
      </c>
      <c r="Y818" s="13" t="n">
        <f aca="false">IF(K818="Website",1,0)</f>
        <v>1</v>
      </c>
      <c r="Z818" s="13" t="n">
        <f aca="false">IF(K818="Agency",1,0)</f>
        <v>0</v>
      </c>
      <c r="AA818" s="13" t="n">
        <f aca="false">IF(K818="Client",1,0)</f>
        <v>0</v>
      </c>
      <c r="AB818" s="13" t="n">
        <f aca="false">(D818-AVERAGE(D$2:D$2001))/STDEV(D$2:D$2001)</f>
        <v>0.972361986896694</v>
      </c>
      <c r="AC818" s="13" t="n">
        <f aca="false">(I818-AVERAGE(I$2:I$2001))/STDEV(I$2:I$2001)</f>
        <v>-0.0205155458339628</v>
      </c>
      <c r="AD818" s="13" t="n">
        <f aca="false">(L818-AVERAGE(L$2:L$2001))/STDEV(L$2:L$2001)</f>
        <v>-0.777063122173208</v>
      </c>
      <c r="AE818" s="13" t="n">
        <f aca="false">(M818-AVERAGE(M$2:M$2001))/STDEV(M$2:M$2001)</f>
        <v>-1.32038614435507</v>
      </c>
      <c r="AF818" s="13" t="n">
        <f aca="false">(N818-AVERAGE(N$2:N$2001))/STDEV(N$2:N$2001)</f>
        <v>-1.14820664635015</v>
      </c>
      <c r="AG818" s="13" t="n">
        <f aca="false">(O818-AVERAGE(O$2:O$2001))/STDEV(O$2:O$2001)</f>
        <v>-1.13753512748487</v>
      </c>
      <c r="AH818" s="0" t="str">
        <f aca="false">IF(B818="Company","C3 - Corporate Buyers",IF(AND(H818="Investment",M818&gt;'Segmentation Summary'!$C$1),"C1 - Global Investors",IF(AND(I818&gt;=4,M818&gt;'Segmentation Summary'!$C$1),"C4 - Luxury Investors",IF(AND(D818&lt;'Segmentation Summary'!$C$2,J818=1),"C2 - First-Time Buyers","C5 - Other Individual Buyers"))))</f>
        <v>C5 - Other Individual Buyers</v>
      </c>
    </row>
    <row r="819" customFormat="false" ht="15" hidden="false" customHeight="true" outlineLevel="0" collapsed="false">
      <c r="A819" s="13" t="s">
        <v>1677</v>
      </c>
      <c r="B819" s="13" t="s">
        <v>34</v>
      </c>
      <c r="C819" s="13" t="s">
        <v>1678</v>
      </c>
      <c r="D819" s="13" t="n">
        <v>39</v>
      </c>
      <c r="E819" s="13" t="s">
        <v>83</v>
      </c>
      <c r="F819" s="13" t="s">
        <v>33</v>
      </c>
      <c r="G819" s="13" t="s">
        <v>84</v>
      </c>
      <c r="H819" s="13" t="s">
        <v>43</v>
      </c>
      <c r="I819" s="13" t="n">
        <v>4</v>
      </c>
      <c r="J819" s="13" t="n">
        <v>0</v>
      </c>
      <c r="K819" s="13" t="s">
        <v>85</v>
      </c>
      <c r="L819" s="13" t="n">
        <v>4</v>
      </c>
      <c r="M819" s="13" t="n">
        <v>1676863.99</v>
      </c>
      <c r="N819" s="13" t="n">
        <v>419215.9975</v>
      </c>
      <c r="O819" s="13" t="n">
        <v>1425.28</v>
      </c>
      <c r="P819" s="13" t="n">
        <v>0</v>
      </c>
      <c r="Q819" s="13" t="n">
        <v>4</v>
      </c>
      <c r="R819" s="13" t="s">
        <v>150</v>
      </c>
      <c r="S819" s="13" t="s">
        <v>87</v>
      </c>
      <c r="T819" s="13" t="n">
        <v>1</v>
      </c>
      <c r="U819" s="13" t="n">
        <f aca="false">IF(B819="Individual",1,0)</f>
        <v>1</v>
      </c>
      <c r="V819" s="13" t="n">
        <f aca="false">IF(B819="Company",1,0)</f>
        <v>0</v>
      </c>
      <c r="W819" s="13" t="n">
        <f aca="false">IF(H819="Home",1,0)</f>
        <v>0</v>
      </c>
      <c r="X819" s="13" t="n">
        <f aca="false">IF(H819="Investment",1,0)</f>
        <v>1</v>
      </c>
      <c r="Y819" s="13" t="n">
        <f aca="false">IF(K819="Website",1,0)</f>
        <v>1</v>
      </c>
      <c r="Z819" s="13" t="n">
        <f aca="false">IF(K819="Agency",1,0)</f>
        <v>0</v>
      </c>
      <c r="AA819" s="13" t="n">
        <f aca="false">IF(K819="Client",1,0)</f>
        <v>0</v>
      </c>
      <c r="AB819" s="13" t="n">
        <f aca="false">(D819-AVERAGE(D$2:D$2001))/STDEV(D$2:D$2001)</f>
        <v>-0.872836588724145</v>
      </c>
      <c r="AC819" s="13" t="n">
        <f aca="false">(I819-AVERAGE(I$2:I$2001))/STDEV(I$2:I$2001)</f>
        <v>0.686917069130275</v>
      </c>
      <c r="AD819" s="13" t="n">
        <f aca="false">(L819-AVERAGE(L$2:L$2001))/STDEV(L$2:L$2001)</f>
        <v>0.413838214490712</v>
      </c>
      <c r="AE819" s="13" t="n">
        <f aca="false">(M819-AVERAGE(M$2:M$2001))/STDEV(M$2:M$2001)</f>
        <v>1.19738870575597</v>
      </c>
      <c r="AF819" s="13" t="n">
        <f aca="false">(N819-AVERAGE(N$2:N$2001))/STDEV(N$2:N$2001)</f>
        <v>1.03448303205983</v>
      </c>
      <c r="AG819" s="13" t="n">
        <f aca="false">(O819-AVERAGE(O$2:O$2001))/STDEV(O$2:O$2001)</f>
        <v>1.26317326403702</v>
      </c>
      <c r="AH819" s="0" t="str">
        <f aca="false">IF(B819="Company","C3 - Corporate Buyers",IF(AND(H819="Investment",M819&gt;'Segmentation Summary'!$C$1),"C1 - Global Investors",IF(AND(I819&gt;=4,M819&gt;'Segmentation Summary'!$C$1),"C4 - Luxury Investors",IF(AND(D819&lt;'Segmentation Summary'!$C$2,J819=1),"C2 - First-Time Buyers","C5 - Other Individual Buyers"))))</f>
        <v>C1 - Global Investors</v>
      </c>
    </row>
    <row r="820" customFormat="false" ht="15" hidden="false" customHeight="true" outlineLevel="0" collapsed="false">
      <c r="A820" s="13" t="s">
        <v>1679</v>
      </c>
      <c r="B820" s="13" t="s">
        <v>34</v>
      </c>
      <c r="C820" s="13" t="s">
        <v>1680</v>
      </c>
      <c r="D820" s="13" t="n">
        <v>47</v>
      </c>
      <c r="E820" s="13" t="s">
        <v>83</v>
      </c>
      <c r="F820" s="13" t="s">
        <v>33</v>
      </c>
      <c r="G820" s="13" t="s">
        <v>207</v>
      </c>
      <c r="H820" s="13" t="s">
        <v>41</v>
      </c>
      <c r="I820" s="13" t="n">
        <v>5</v>
      </c>
      <c r="J820" s="13" t="n">
        <v>1</v>
      </c>
      <c r="K820" s="13" t="s">
        <v>85</v>
      </c>
      <c r="L820" s="13" t="n">
        <v>4</v>
      </c>
      <c r="M820" s="13" t="n">
        <v>1445458.33</v>
      </c>
      <c r="N820" s="13" t="n">
        <v>361364.5825</v>
      </c>
      <c r="O820" s="13" t="n">
        <v>1152.91</v>
      </c>
      <c r="P820" s="13" t="n">
        <v>2</v>
      </c>
      <c r="Q820" s="13" t="n">
        <v>2</v>
      </c>
      <c r="R820" s="13" t="s">
        <v>117</v>
      </c>
      <c r="S820" s="13" t="s">
        <v>125</v>
      </c>
      <c r="T820" s="13" t="n">
        <v>1</v>
      </c>
      <c r="U820" s="13" t="n">
        <f aca="false">IF(B820="Individual",1,0)</f>
        <v>1</v>
      </c>
      <c r="V820" s="13" t="n">
        <f aca="false">IF(B820="Company",1,0)</f>
        <v>0</v>
      </c>
      <c r="W820" s="13" t="n">
        <f aca="false">IF(H820="Home",1,0)</f>
        <v>1</v>
      </c>
      <c r="X820" s="13" t="n">
        <f aca="false">IF(H820="Investment",1,0)</f>
        <v>0</v>
      </c>
      <c r="Y820" s="13" t="n">
        <f aca="false">IF(K820="Website",1,0)</f>
        <v>1</v>
      </c>
      <c r="Z820" s="13" t="n">
        <f aca="false">IF(K820="Agency",1,0)</f>
        <v>0</v>
      </c>
      <c r="AA820" s="13" t="n">
        <f aca="false">IF(K820="Client",1,0)</f>
        <v>0</v>
      </c>
      <c r="AB820" s="13" t="n">
        <f aca="false">(D820-AVERAGE(D$2:D$2001))/STDEV(D$2:D$2001)</f>
        <v>-0.411536944818935</v>
      </c>
      <c r="AC820" s="13" t="n">
        <f aca="false">(I820-AVERAGE(I$2:I$2001))/STDEV(I$2:I$2001)</f>
        <v>1.39434968409451</v>
      </c>
      <c r="AD820" s="13" t="n">
        <f aca="false">(L820-AVERAGE(L$2:L$2001))/STDEV(L$2:L$2001)</f>
        <v>0.413838214490712</v>
      </c>
      <c r="AE820" s="13" t="n">
        <f aca="false">(M820-AVERAGE(M$2:M$2001))/STDEV(M$2:M$2001)</f>
        <v>0.532106189291292</v>
      </c>
      <c r="AF820" s="13" t="n">
        <f aca="false">(N820-AVERAGE(N$2:N$2001))/STDEV(N$2:N$2001)</f>
        <v>0.204736856546197</v>
      </c>
      <c r="AG820" s="13" t="n">
        <f aca="false">(O820-AVERAGE(O$2:O$2001))/STDEV(O$2:O$2001)</f>
        <v>0.0246920158622792</v>
      </c>
      <c r="AH820" s="0" t="str">
        <f aca="false">IF(B820="Company","C3 - Corporate Buyers",IF(AND(H820="Investment",M820&gt;'Segmentation Summary'!$C$1),"C1 - Global Investors",IF(AND(I820&gt;=4,M820&gt;'Segmentation Summary'!$C$1),"C4 - Luxury Investors",IF(AND(D820&lt;'Segmentation Summary'!$C$2,J820=1),"C2 - First-Time Buyers","C5 - Other Individual Buyers"))))</f>
        <v>C4 - Luxury Investors</v>
      </c>
    </row>
    <row r="821" customFormat="false" ht="15" hidden="false" customHeight="true" outlineLevel="0" collapsed="false">
      <c r="A821" s="13" t="s">
        <v>1681</v>
      </c>
      <c r="B821" s="13" t="s">
        <v>34</v>
      </c>
      <c r="C821" s="13" t="s">
        <v>1682</v>
      </c>
      <c r="D821" s="13" t="n">
        <v>24</v>
      </c>
      <c r="E821" s="13" t="s">
        <v>83</v>
      </c>
      <c r="F821" s="13" t="s">
        <v>45</v>
      </c>
      <c r="G821" s="13" t="s">
        <v>347</v>
      </c>
      <c r="H821" s="13" t="s">
        <v>41</v>
      </c>
      <c r="I821" s="13" t="n">
        <v>4</v>
      </c>
      <c r="J821" s="13" t="n">
        <v>0</v>
      </c>
      <c r="K821" s="13" t="s">
        <v>91</v>
      </c>
      <c r="L821" s="13" t="n">
        <v>3</v>
      </c>
      <c r="M821" s="13" t="n">
        <v>910587.85</v>
      </c>
      <c r="N821" s="13" t="n">
        <v>303529.283333333</v>
      </c>
      <c r="O821" s="13" t="n">
        <v>1094.84</v>
      </c>
      <c r="P821" s="13" t="n">
        <v>0</v>
      </c>
      <c r="Q821" s="13" t="n">
        <v>3</v>
      </c>
      <c r="R821" s="13" t="s">
        <v>128</v>
      </c>
      <c r="S821" s="13" t="s">
        <v>133</v>
      </c>
      <c r="T821" s="13" t="n">
        <v>1</v>
      </c>
      <c r="U821" s="13" t="n">
        <f aca="false">IF(B821="Individual",1,0)</f>
        <v>1</v>
      </c>
      <c r="V821" s="13" t="n">
        <f aca="false">IF(B821="Company",1,0)</f>
        <v>0</v>
      </c>
      <c r="W821" s="13" t="n">
        <f aca="false">IF(H821="Home",1,0)</f>
        <v>1</v>
      </c>
      <c r="X821" s="13" t="n">
        <f aca="false">IF(H821="Investment",1,0)</f>
        <v>0</v>
      </c>
      <c r="Y821" s="13" t="n">
        <f aca="false">IF(K821="Website",1,0)</f>
        <v>0</v>
      </c>
      <c r="Z821" s="13" t="n">
        <f aca="false">IF(K821="Agency",1,0)</f>
        <v>1</v>
      </c>
      <c r="AA821" s="13" t="n">
        <f aca="false">IF(K821="Client",1,0)</f>
        <v>0</v>
      </c>
      <c r="AB821" s="13" t="n">
        <f aca="false">(D821-AVERAGE(D$2:D$2001))/STDEV(D$2:D$2001)</f>
        <v>-1.73777342104641</v>
      </c>
      <c r="AC821" s="13" t="n">
        <f aca="false">(I821-AVERAGE(I$2:I$2001))/STDEV(I$2:I$2001)</f>
        <v>0.686917069130275</v>
      </c>
      <c r="AD821" s="13" t="n">
        <f aca="false">(L821-AVERAGE(L$2:L$2001))/STDEV(L$2:L$2001)</f>
        <v>-0.777063122173208</v>
      </c>
      <c r="AE821" s="13" t="n">
        <f aca="false">(M821-AVERAGE(M$2:M$2001))/STDEV(M$2:M$2001)</f>
        <v>-1.00562620202996</v>
      </c>
      <c r="AF821" s="13" t="n">
        <f aca="false">(N821-AVERAGE(N$2:N$2001))/STDEV(N$2:N$2001)</f>
        <v>-0.6247781742137</v>
      </c>
      <c r="AG821" s="13" t="n">
        <f aca="false">(O821-AVERAGE(O$2:O$2001))/STDEV(O$2:O$2001)</f>
        <v>-0.239355441939635</v>
      </c>
      <c r="AH821" s="0" t="str">
        <f aca="false">IF(B821="Company","C3 - Corporate Buyers",IF(AND(H821="Investment",M821&gt;'Segmentation Summary'!$C$1),"C1 - Global Investors",IF(AND(I821&gt;=4,M821&gt;'Segmentation Summary'!$C$1),"C4 - Luxury Investors",IF(AND(D821&lt;'Segmentation Summary'!$C$2,J821=1),"C2 - First-Time Buyers","C5 - Other Individual Buyers"))))</f>
        <v>C5 - Other Individual Buyers</v>
      </c>
    </row>
    <row r="822" customFormat="false" ht="15" hidden="false" customHeight="true" outlineLevel="0" collapsed="false">
      <c r="A822" s="13" t="s">
        <v>1683</v>
      </c>
      <c r="B822" s="13" t="s">
        <v>34</v>
      </c>
      <c r="C822" s="13" t="s">
        <v>1684</v>
      </c>
      <c r="D822" s="13" t="n">
        <v>62</v>
      </c>
      <c r="E822" s="13" t="s">
        <v>83</v>
      </c>
      <c r="F822" s="13" t="s">
        <v>33</v>
      </c>
      <c r="G822" s="13" t="s">
        <v>162</v>
      </c>
      <c r="H822" s="13" t="s">
        <v>41</v>
      </c>
      <c r="I822" s="13" t="n">
        <v>2</v>
      </c>
      <c r="J822" s="13" t="n">
        <v>0</v>
      </c>
      <c r="K822" s="13" t="s">
        <v>85</v>
      </c>
      <c r="L822" s="13" t="n">
        <v>4</v>
      </c>
      <c r="M822" s="13" t="n">
        <v>1481536.39</v>
      </c>
      <c r="N822" s="13" t="n">
        <v>370384.0975</v>
      </c>
      <c r="O822" s="13" t="n">
        <v>1242.6425</v>
      </c>
      <c r="P822" s="13" t="n">
        <v>0</v>
      </c>
      <c r="Q822" s="13" t="n">
        <v>4</v>
      </c>
      <c r="R822" s="13" t="s">
        <v>92</v>
      </c>
      <c r="S822" s="13" t="s">
        <v>86</v>
      </c>
      <c r="T822" s="13" t="n">
        <v>1</v>
      </c>
      <c r="U822" s="13" t="n">
        <f aca="false">IF(B822="Individual",1,0)</f>
        <v>1</v>
      </c>
      <c r="V822" s="13" t="n">
        <f aca="false">IF(B822="Company",1,0)</f>
        <v>0</v>
      </c>
      <c r="W822" s="13" t="n">
        <f aca="false">IF(H822="Home",1,0)</f>
        <v>1</v>
      </c>
      <c r="X822" s="13" t="n">
        <f aca="false">IF(H822="Investment",1,0)</f>
        <v>0</v>
      </c>
      <c r="Y822" s="13" t="n">
        <f aca="false">IF(K822="Website",1,0)</f>
        <v>1</v>
      </c>
      <c r="Z822" s="13" t="n">
        <f aca="false">IF(K822="Agency",1,0)</f>
        <v>0</v>
      </c>
      <c r="AA822" s="13" t="n">
        <f aca="false">IF(K822="Client",1,0)</f>
        <v>0</v>
      </c>
      <c r="AB822" s="13" t="n">
        <f aca="false">(D822-AVERAGE(D$2:D$2001))/STDEV(D$2:D$2001)</f>
        <v>0.453399887503333</v>
      </c>
      <c r="AC822" s="13" t="n">
        <f aca="false">(I822-AVERAGE(I$2:I$2001))/STDEV(I$2:I$2001)</f>
        <v>-0.727948160798201</v>
      </c>
      <c r="AD822" s="13" t="n">
        <f aca="false">(L822-AVERAGE(L$2:L$2001))/STDEV(L$2:L$2001)</f>
        <v>0.413838214490712</v>
      </c>
      <c r="AE822" s="13" t="n">
        <f aca="false">(M822-AVERAGE(M$2:M$2001))/STDEV(M$2:M$2001)</f>
        <v>0.635829246652826</v>
      </c>
      <c r="AF822" s="13" t="n">
        <f aca="false">(N822-AVERAGE(N$2:N$2001))/STDEV(N$2:N$2001)</f>
        <v>0.334101161226347</v>
      </c>
      <c r="AG822" s="13" t="n">
        <f aca="false">(O822-AVERAGE(O$2:O$2001))/STDEV(O$2:O$2001)</f>
        <v>0.432710588399047</v>
      </c>
      <c r="AH822" s="0" t="str">
        <f aca="false">IF(B822="Company","C3 - Corporate Buyers",IF(AND(H822="Investment",M822&gt;'Segmentation Summary'!$C$1),"C1 - Global Investors",IF(AND(I822&gt;=4,M822&gt;'Segmentation Summary'!$C$1),"C4 - Luxury Investors",IF(AND(D822&lt;'Segmentation Summary'!$C$2,J822=1),"C2 - First-Time Buyers","C5 - Other Individual Buyers"))))</f>
        <v>C5 - Other Individual Buyers</v>
      </c>
    </row>
    <row r="823" customFormat="false" ht="15" hidden="false" customHeight="true" outlineLevel="0" collapsed="false">
      <c r="A823" s="13" t="s">
        <v>1685</v>
      </c>
      <c r="B823" s="13" t="s">
        <v>34</v>
      </c>
      <c r="C823" s="13" t="s">
        <v>1686</v>
      </c>
      <c r="D823" s="13" t="n">
        <v>49</v>
      </c>
      <c r="E823" s="13" t="s">
        <v>90</v>
      </c>
      <c r="F823" s="13" t="s">
        <v>33</v>
      </c>
      <c r="G823" s="13" t="s">
        <v>84</v>
      </c>
      <c r="H823" s="13" t="s">
        <v>41</v>
      </c>
      <c r="I823" s="13" t="n">
        <v>1</v>
      </c>
      <c r="J823" s="13" t="n">
        <v>0</v>
      </c>
      <c r="K823" s="13" t="s">
        <v>85</v>
      </c>
      <c r="L823" s="13" t="n">
        <v>3</v>
      </c>
      <c r="M823" s="13" t="n">
        <v>1223116.15</v>
      </c>
      <c r="N823" s="13" t="n">
        <v>407705.383333333</v>
      </c>
      <c r="O823" s="13" t="n">
        <v>1464.84666666667</v>
      </c>
      <c r="P823" s="13" t="n">
        <v>0</v>
      </c>
      <c r="Q823" s="13" t="n">
        <v>3</v>
      </c>
      <c r="R823" s="13" t="s">
        <v>215</v>
      </c>
      <c r="S823" s="13" t="s">
        <v>164</v>
      </c>
      <c r="T823" s="13" t="n">
        <v>1</v>
      </c>
      <c r="U823" s="13" t="n">
        <f aca="false">IF(B823="Individual",1,0)</f>
        <v>1</v>
      </c>
      <c r="V823" s="13" t="n">
        <f aca="false">IF(B823="Company",1,0)</f>
        <v>0</v>
      </c>
      <c r="W823" s="13" t="n">
        <f aca="false">IF(H823="Home",1,0)</f>
        <v>1</v>
      </c>
      <c r="X823" s="13" t="n">
        <f aca="false">IF(H823="Investment",1,0)</f>
        <v>0</v>
      </c>
      <c r="Y823" s="13" t="n">
        <f aca="false">IF(K823="Website",1,0)</f>
        <v>1</v>
      </c>
      <c r="Z823" s="13" t="n">
        <f aca="false">IF(K823="Agency",1,0)</f>
        <v>0</v>
      </c>
      <c r="AA823" s="13" t="n">
        <f aca="false">IF(K823="Client",1,0)</f>
        <v>0</v>
      </c>
      <c r="AB823" s="13" t="n">
        <f aca="false">(D823-AVERAGE(D$2:D$2001))/STDEV(D$2:D$2001)</f>
        <v>-0.296212033842633</v>
      </c>
      <c r="AC823" s="13" t="n">
        <f aca="false">(I823-AVERAGE(I$2:I$2001))/STDEV(I$2:I$2001)</f>
        <v>-1.43538077576244</v>
      </c>
      <c r="AD823" s="13" t="n">
        <f aca="false">(L823-AVERAGE(L$2:L$2001))/STDEV(L$2:L$2001)</f>
        <v>-0.777063122173208</v>
      </c>
      <c r="AE823" s="13" t="n">
        <f aca="false">(M823-AVERAGE(M$2:M$2001))/STDEV(M$2:M$2001)</f>
        <v>-0.107119165121574</v>
      </c>
      <c r="AF823" s="13" t="n">
        <f aca="false">(N823-AVERAGE(N$2:N$2001))/STDEV(N$2:N$2001)</f>
        <v>0.869389609840077</v>
      </c>
      <c r="AG823" s="13" t="n">
        <f aca="false">(O823-AVERAGE(O$2:O$2001))/STDEV(O$2:O$2001)</f>
        <v>1.44308505578887</v>
      </c>
      <c r="AH823" s="0" t="str">
        <f aca="false">IF(B823="Company","C3 - Corporate Buyers",IF(AND(H823="Investment",M823&gt;'Segmentation Summary'!$C$1),"C1 - Global Investors",IF(AND(I823&gt;=4,M823&gt;'Segmentation Summary'!$C$1),"C4 - Luxury Investors",IF(AND(D823&lt;'Segmentation Summary'!$C$2,J823=1),"C2 - First-Time Buyers","C5 - Other Individual Buyers"))))</f>
        <v>C5 - Other Individual Buyers</v>
      </c>
    </row>
    <row r="824" customFormat="false" ht="15" hidden="false" customHeight="true" outlineLevel="0" collapsed="false">
      <c r="A824" s="13" t="s">
        <v>1687</v>
      </c>
      <c r="B824" s="13" t="s">
        <v>34</v>
      </c>
      <c r="C824" s="13" t="s">
        <v>1688</v>
      </c>
      <c r="D824" s="13" t="n">
        <v>50</v>
      </c>
      <c r="E824" s="13" t="s">
        <v>90</v>
      </c>
      <c r="F824" s="13" t="s">
        <v>33</v>
      </c>
      <c r="G824" s="13" t="s">
        <v>265</v>
      </c>
      <c r="H824" s="13" t="s">
        <v>43</v>
      </c>
      <c r="I824" s="13" t="n">
        <v>2</v>
      </c>
      <c r="J824" s="13" t="n">
        <v>1</v>
      </c>
      <c r="K824" s="13" t="s">
        <v>91</v>
      </c>
      <c r="L824" s="13" t="n">
        <v>4</v>
      </c>
      <c r="M824" s="13" t="n">
        <v>878452.19</v>
      </c>
      <c r="N824" s="13" t="n">
        <v>219613.0475</v>
      </c>
      <c r="O824" s="13" t="n">
        <v>735.11</v>
      </c>
      <c r="P824" s="13" t="n">
        <v>1</v>
      </c>
      <c r="Q824" s="13" t="n">
        <v>3</v>
      </c>
      <c r="R824" s="13" t="s">
        <v>117</v>
      </c>
      <c r="S824" s="13" t="s">
        <v>133</v>
      </c>
      <c r="T824" s="13" t="n">
        <v>1</v>
      </c>
      <c r="U824" s="13" t="n">
        <f aca="false">IF(B824="Individual",1,0)</f>
        <v>1</v>
      </c>
      <c r="V824" s="13" t="n">
        <f aca="false">IF(B824="Company",1,0)</f>
        <v>0</v>
      </c>
      <c r="W824" s="13" t="n">
        <f aca="false">IF(H824="Home",1,0)</f>
        <v>0</v>
      </c>
      <c r="X824" s="13" t="n">
        <f aca="false">IF(H824="Investment",1,0)</f>
        <v>1</v>
      </c>
      <c r="Y824" s="13" t="n">
        <f aca="false">IF(K824="Website",1,0)</f>
        <v>0</v>
      </c>
      <c r="Z824" s="13" t="n">
        <f aca="false">IF(K824="Agency",1,0)</f>
        <v>1</v>
      </c>
      <c r="AA824" s="13" t="n">
        <f aca="false">IF(K824="Client",1,0)</f>
        <v>0</v>
      </c>
      <c r="AB824" s="13" t="n">
        <f aca="false">(D824-AVERAGE(D$2:D$2001))/STDEV(D$2:D$2001)</f>
        <v>-0.238549578354482</v>
      </c>
      <c r="AC824" s="13" t="n">
        <f aca="false">(I824-AVERAGE(I$2:I$2001))/STDEV(I$2:I$2001)</f>
        <v>-0.727948160798201</v>
      </c>
      <c r="AD824" s="13" t="n">
        <f aca="false">(L824-AVERAGE(L$2:L$2001))/STDEV(L$2:L$2001)</f>
        <v>0.413838214490712</v>
      </c>
      <c r="AE824" s="13" t="n">
        <f aca="false">(M824-AVERAGE(M$2:M$2001))/STDEV(M$2:M$2001)</f>
        <v>-1.09801500856586</v>
      </c>
      <c r="AF824" s="13" t="n">
        <f aca="false">(N824-AVERAGE(N$2:N$2001))/STDEV(N$2:N$2001)</f>
        <v>-1.82836456438597</v>
      </c>
      <c r="AG824" s="13" t="n">
        <f aca="false">(O824-AVERAGE(O$2:O$2001))/STDEV(O$2:O$2001)</f>
        <v>-1.87506737572786</v>
      </c>
      <c r="AH824" s="0" t="str">
        <f aca="false">IF(B824="Company","C3 - Corporate Buyers",IF(AND(H824="Investment",M824&gt;'Segmentation Summary'!$C$1),"C1 - Global Investors",IF(AND(I824&gt;=4,M824&gt;'Segmentation Summary'!$C$1),"C4 - Luxury Investors",IF(AND(D824&lt;'Segmentation Summary'!$C$2,J824=1),"C2 - First-Time Buyers","C5 - Other Individual Buyers"))))</f>
        <v>C2 - First-Time Buyers</v>
      </c>
    </row>
    <row r="825" customFormat="false" ht="15" hidden="false" customHeight="true" outlineLevel="0" collapsed="false">
      <c r="A825" s="13" t="s">
        <v>1689</v>
      </c>
      <c r="B825" s="13" t="s">
        <v>34</v>
      </c>
      <c r="C825" s="13" t="s">
        <v>1690</v>
      </c>
      <c r="D825" s="13" t="n">
        <v>67</v>
      </c>
      <c r="E825" s="13" t="s">
        <v>90</v>
      </c>
      <c r="F825" s="13" t="s">
        <v>33</v>
      </c>
      <c r="G825" s="13" t="s">
        <v>95</v>
      </c>
      <c r="H825" s="13" t="s">
        <v>43</v>
      </c>
      <c r="I825" s="13" t="n">
        <v>3</v>
      </c>
      <c r="J825" s="13" t="n">
        <v>1</v>
      </c>
      <c r="K825" s="13" t="s">
        <v>85</v>
      </c>
      <c r="L825" s="13" t="n">
        <v>3</v>
      </c>
      <c r="M825" s="13" t="n">
        <v>812387.51</v>
      </c>
      <c r="N825" s="13" t="n">
        <v>270795.836666667</v>
      </c>
      <c r="O825" s="13" t="n">
        <v>983.426666666667</v>
      </c>
      <c r="P825" s="13" t="n">
        <v>0</v>
      </c>
      <c r="Q825" s="13" t="n">
        <v>3</v>
      </c>
      <c r="R825" s="13" t="s">
        <v>111</v>
      </c>
      <c r="S825" s="13" t="s">
        <v>164</v>
      </c>
      <c r="T825" s="13" t="n">
        <v>1</v>
      </c>
      <c r="U825" s="13" t="n">
        <f aca="false">IF(B825="Individual",1,0)</f>
        <v>1</v>
      </c>
      <c r="V825" s="13" t="n">
        <f aca="false">IF(B825="Company",1,0)</f>
        <v>0</v>
      </c>
      <c r="W825" s="13" t="n">
        <f aca="false">IF(H825="Home",1,0)</f>
        <v>0</v>
      </c>
      <c r="X825" s="13" t="n">
        <f aca="false">IF(H825="Investment",1,0)</f>
        <v>1</v>
      </c>
      <c r="Y825" s="13" t="n">
        <f aca="false">IF(K825="Website",1,0)</f>
        <v>1</v>
      </c>
      <c r="Z825" s="13" t="n">
        <f aca="false">IF(K825="Agency",1,0)</f>
        <v>0</v>
      </c>
      <c r="AA825" s="13" t="n">
        <f aca="false">IF(K825="Client",1,0)</f>
        <v>0</v>
      </c>
      <c r="AB825" s="13" t="n">
        <f aca="false">(D825-AVERAGE(D$2:D$2001))/STDEV(D$2:D$2001)</f>
        <v>0.741712164944089</v>
      </c>
      <c r="AC825" s="13" t="n">
        <f aca="false">(I825-AVERAGE(I$2:I$2001))/STDEV(I$2:I$2001)</f>
        <v>-0.0205155458339628</v>
      </c>
      <c r="AD825" s="13" t="n">
        <f aca="false">(L825-AVERAGE(L$2:L$2001))/STDEV(L$2:L$2001)</f>
        <v>-0.777063122173208</v>
      </c>
      <c r="AE825" s="13" t="n">
        <f aca="false">(M825-AVERAGE(M$2:M$2001))/STDEV(M$2:M$2001)</f>
        <v>-1.28794846377968</v>
      </c>
      <c r="AF825" s="13" t="n">
        <f aca="false">(N825-AVERAGE(N$2:N$2001))/STDEV(N$2:N$2001)</f>
        <v>-1.09426456764151</v>
      </c>
      <c r="AG825" s="13" t="n">
        <f aca="false">(O825-AVERAGE(O$2:O$2001))/STDEV(O$2:O$2001)</f>
        <v>-0.74595794636367</v>
      </c>
      <c r="AH825" s="0" t="str">
        <f aca="false">IF(B825="Company","C3 - Corporate Buyers",IF(AND(H825="Investment",M825&gt;'Segmentation Summary'!$C$1),"C1 - Global Investors",IF(AND(I825&gt;=4,M825&gt;'Segmentation Summary'!$C$1),"C4 - Luxury Investors",IF(AND(D825&lt;'Segmentation Summary'!$C$2,J825=1),"C2 - First-Time Buyers","C5 - Other Individual Buyers"))))</f>
        <v>C5 - Other Individual Buyers</v>
      </c>
    </row>
    <row r="826" customFormat="false" ht="15" hidden="false" customHeight="true" outlineLevel="0" collapsed="false">
      <c r="A826" s="13" t="s">
        <v>1691</v>
      </c>
      <c r="B826" s="13" t="s">
        <v>34</v>
      </c>
      <c r="C826" s="13" t="s">
        <v>1692</v>
      </c>
      <c r="D826" s="13" t="n">
        <v>71</v>
      </c>
      <c r="E826" s="13" t="s">
        <v>90</v>
      </c>
      <c r="F826" s="13" t="s">
        <v>33</v>
      </c>
      <c r="G826" s="13" t="s">
        <v>84</v>
      </c>
      <c r="H826" s="13" t="s">
        <v>41</v>
      </c>
      <c r="I826" s="13" t="n">
        <v>1</v>
      </c>
      <c r="J826" s="13" t="n">
        <v>1</v>
      </c>
      <c r="K826" s="13" t="s">
        <v>85</v>
      </c>
      <c r="L826" s="13" t="n">
        <v>3</v>
      </c>
      <c r="M826" s="13" t="n">
        <v>1336237.87</v>
      </c>
      <c r="N826" s="13" t="n">
        <v>445412.623333333</v>
      </c>
      <c r="O826" s="13" t="n">
        <v>1599.34333333333</v>
      </c>
      <c r="P826" s="13" t="n">
        <v>0</v>
      </c>
      <c r="Q826" s="13" t="n">
        <v>3</v>
      </c>
      <c r="R826" s="13" t="s">
        <v>86</v>
      </c>
      <c r="S826" s="13" t="s">
        <v>164</v>
      </c>
      <c r="T826" s="13" t="n">
        <v>1</v>
      </c>
      <c r="U826" s="13" t="n">
        <f aca="false">IF(B826="Individual",1,0)</f>
        <v>1</v>
      </c>
      <c r="V826" s="13" t="n">
        <f aca="false">IF(B826="Company",1,0)</f>
        <v>0</v>
      </c>
      <c r="W826" s="13" t="n">
        <f aca="false">IF(H826="Home",1,0)</f>
        <v>1</v>
      </c>
      <c r="X826" s="13" t="n">
        <f aca="false">IF(H826="Investment",1,0)</f>
        <v>0</v>
      </c>
      <c r="Y826" s="13" t="n">
        <f aca="false">IF(K826="Website",1,0)</f>
        <v>1</v>
      </c>
      <c r="Z826" s="13" t="n">
        <f aca="false">IF(K826="Agency",1,0)</f>
        <v>0</v>
      </c>
      <c r="AA826" s="13" t="n">
        <f aca="false">IF(K826="Client",1,0)</f>
        <v>0</v>
      </c>
      <c r="AB826" s="13" t="n">
        <f aca="false">(D826-AVERAGE(D$2:D$2001))/STDEV(D$2:D$2001)</f>
        <v>0.972361986896694</v>
      </c>
      <c r="AC826" s="13" t="n">
        <f aca="false">(I826-AVERAGE(I$2:I$2001))/STDEV(I$2:I$2001)</f>
        <v>-1.43538077576244</v>
      </c>
      <c r="AD826" s="13" t="n">
        <f aca="false">(L826-AVERAGE(L$2:L$2001))/STDEV(L$2:L$2001)</f>
        <v>-0.777063122173208</v>
      </c>
      <c r="AE826" s="13" t="n">
        <f aca="false">(M826-AVERAGE(M$2:M$2001))/STDEV(M$2:M$2001)</f>
        <v>0.218101499526011</v>
      </c>
      <c r="AF826" s="13" t="n">
        <f aca="false">(N826-AVERAGE(N$2:N$2001))/STDEV(N$2:N$2001)</f>
        <v>1.41021368785398</v>
      </c>
      <c r="AG826" s="13" t="n">
        <f aca="false">(O826-AVERAGE(O$2:O$2001))/STDEV(O$2:O$2001)</f>
        <v>2.05464873610853</v>
      </c>
      <c r="AH826" s="0" t="str">
        <f aca="false">IF(B826="Company","C3 - Corporate Buyers",IF(AND(H826="Investment",M826&gt;'Segmentation Summary'!$C$1),"C1 - Global Investors",IF(AND(I826&gt;=4,M826&gt;'Segmentation Summary'!$C$1),"C4 - Luxury Investors",IF(AND(D826&lt;'Segmentation Summary'!$C$2,J826=1),"C2 - First-Time Buyers","C5 - Other Individual Buyers"))))</f>
        <v>C5 - Other Individual Buyers</v>
      </c>
    </row>
    <row r="827" customFormat="false" ht="15" hidden="false" customHeight="true" outlineLevel="0" collapsed="false">
      <c r="A827" s="13" t="s">
        <v>1693</v>
      </c>
      <c r="B827" s="13" t="s">
        <v>34</v>
      </c>
      <c r="C827" s="13" t="s">
        <v>1694</v>
      </c>
      <c r="D827" s="13" t="n">
        <v>47</v>
      </c>
      <c r="E827" s="13" t="s">
        <v>90</v>
      </c>
      <c r="F827" s="13" t="s">
        <v>33</v>
      </c>
      <c r="G827" s="13" t="s">
        <v>84</v>
      </c>
      <c r="H827" s="13" t="s">
        <v>43</v>
      </c>
      <c r="I827" s="13" t="n">
        <v>3</v>
      </c>
      <c r="J827" s="13" t="n">
        <v>1</v>
      </c>
      <c r="K827" s="13" t="s">
        <v>85</v>
      </c>
      <c r="L827" s="13" t="n">
        <v>4</v>
      </c>
      <c r="M827" s="13" t="n">
        <v>1359536.24</v>
      </c>
      <c r="N827" s="13" t="n">
        <v>339884.06</v>
      </c>
      <c r="O827" s="13" t="n">
        <v>1098.1675</v>
      </c>
      <c r="P827" s="13" t="n">
        <v>1</v>
      </c>
      <c r="Q827" s="13" t="n">
        <v>3</v>
      </c>
      <c r="R827" s="13" t="s">
        <v>101</v>
      </c>
      <c r="S827" s="13" t="s">
        <v>164</v>
      </c>
      <c r="T827" s="13" t="n">
        <v>1</v>
      </c>
      <c r="U827" s="13" t="n">
        <f aca="false">IF(B827="Individual",1,0)</f>
        <v>1</v>
      </c>
      <c r="V827" s="13" t="n">
        <f aca="false">IF(B827="Company",1,0)</f>
        <v>0</v>
      </c>
      <c r="W827" s="13" t="n">
        <f aca="false">IF(H827="Home",1,0)</f>
        <v>0</v>
      </c>
      <c r="X827" s="13" t="n">
        <f aca="false">IF(H827="Investment",1,0)</f>
        <v>1</v>
      </c>
      <c r="Y827" s="13" t="n">
        <f aca="false">IF(K827="Website",1,0)</f>
        <v>1</v>
      </c>
      <c r="Z827" s="13" t="n">
        <f aca="false">IF(K827="Agency",1,0)</f>
        <v>0</v>
      </c>
      <c r="AA827" s="13" t="n">
        <f aca="false">IF(K827="Client",1,0)</f>
        <v>0</v>
      </c>
      <c r="AB827" s="13" t="n">
        <f aca="false">(D827-AVERAGE(D$2:D$2001))/STDEV(D$2:D$2001)</f>
        <v>-0.411536944818935</v>
      </c>
      <c r="AC827" s="13" t="n">
        <f aca="false">(I827-AVERAGE(I$2:I$2001))/STDEV(I$2:I$2001)</f>
        <v>-0.0205155458339628</v>
      </c>
      <c r="AD827" s="13" t="n">
        <f aca="false">(L827-AVERAGE(L$2:L$2001))/STDEV(L$2:L$2001)</f>
        <v>0.413838214490712</v>
      </c>
      <c r="AE827" s="13" t="n">
        <f aca="false">(M827-AVERAGE(M$2:M$2001))/STDEV(M$2:M$2001)</f>
        <v>0.285083431701418</v>
      </c>
      <c r="AF827" s="13" t="n">
        <f aca="false">(N827-AVERAGE(N$2:N$2001))/STDEV(N$2:N$2001)</f>
        <v>-0.103352088078744</v>
      </c>
      <c r="AG827" s="13" t="n">
        <f aca="false">(O827-AVERAGE(O$2:O$2001))/STDEV(O$2:O$2001)</f>
        <v>-0.22422511791973</v>
      </c>
      <c r="AH827" s="0" t="str">
        <f aca="false">IF(B827="Company","C3 - Corporate Buyers",IF(AND(H827="Investment",M827&gt;'Segmentation Summary'!$C$1),"C1 - Global Investors",IF(AND(I827&gt;=4,M827&gt;'Segmentation Summary'!$C$1),"C4 - Luxury Investors",IF(AND(D827&lt;'Segmentation Summary'!$C$2,J827=1),"C2 - First-Time Buyers","C5 - Other Individual Buyers"))))</f>
        <v>C1 - Global Investors</v>
      </c>
    </row>
    <row r="828" customFormat="false" ht="15" hidden="false" customHeight="true" outlineLevel="0" collapsed="false">
      <c r="A828" s="13" t="s">
        <v>1695</v>
      </c>
      <c r="B828" s="13" t="s">
        <v>34</v>
      </c>
      <c r="C828" s="13" t="s">
        <v>1696</v>
      </c>
      <c r="D828" s="13" t="n">
        <v>77</v>
      </c>
      <c r="E828" s="13" t="s">
        <v>90</v>
      </c>
      <c r="F828" s="13" t="s">
        <v>46</v>
      </c>
      <c r="G828" s="13" t="s">
        <v>414</v>
      </c>
      <c r="H828" s="13" t="s">
        <v>41</v>
      </c>
      <c r="I828" s="13" t="n">
        <v>3</v>
      </c>
      <c r="J828" s="13" t="n">
        <v>0</v>
      </c>
      <c r="K828" s="13" t="s">
        <v>85</v>
      </c>
      <c r="L828" s="13" t="n">
        <v>3</v>
      </c>
      <c r="M828" s="13" t="n">
        <v>1551623.3</v>
      </c>
      <c r="N828" s="13" t="n">
        <v>517207.766666667</v>
      </c>
      <c r="O828" s="13" t="n">
        <v>1679.10666666667</v>
      </c>
      <c r="P828" s="13" t="n">
        <v>0</v>
      </c>
      <c r="Q828" s="13" t="n">
        <v>3</v>
      </c>
      <c r="R828" s="13" t="s">
        <v>101</v>
      </c>
      <c r="S828" s="13" t="s">
        <v>107</v>
      </c>
      <c r="T828" s="13" t="n">
        <v>1</v>
      </c>
      <c r="U828" s="13" t="n">
        <f aca="false">IF(B828="Individual",1,0)</f>
        <v>1</v>
      </c>
      <c r="V828" s="13" t="n">
        <f aca="false">IF(B828="Company",1,0)</f>
        <v>0</v>
      </c>
      <c r="W828" s="13" t="n">
        <f aca="false">IF(H828="Home",1,0)</f>
        <v>1</v>
      </c>
      <c r="X828" s="13" t="n">
        <f aca="false">IF(H828="Investment",1,0)</f>
        <v>0</v>
      </c>
      <c r="Y828" s="13" t="n">
        <f aca="false">IF(K828="Website",1,0)</f>
        <v>1</v>
      </c>
      <c r="Z828" s="13" t="n">
        <f aca="false">IF(K828="Agency",1,0)</f>
        <v>0</v>
      </c>
      <c r="AA828" s="13" t="n">
        <f aca="false">IF(K828="Client",1,0)</f>
        <v>0</v>
      </c>
      <c r="AB828" s="13" t="n">
        <f aca="false">(D828-AVERAGE(D$2:D$2001))/STDEV(D$2:D$2001)</f>
        <v>1.3183367198256</v>
      </c>
      <c r="AC828" s="13" t="n">
        <f aca="false">(I828-AVERAGE(I$2:I$2001))/STDEV(I$2:I$2001)</f>
        <v>-0.0205155458339628</v>
      </c>
      <c r="AD828" s="13" t="n">
        <f aca="false">(L828-AVERAGE(L$2:L$2001))/STDEV(L$2:L$2001)</f>
        <v>-0.777063122173208</v>
      </c>
      <c r="AE828" s="13" t="n">
        <f aca="false">(M828-AVERAGE(M$2:M$2001))/STDEV(M$2:M$2001)</f>
        <v>0.837326460921629</v>
      </c>
      <c r="AF828" s="13" t="n">
        <f aca="false">(N828-AVERAGE(N$2:N$2001))/STDEV(N$2:N$2001)</f>
        <v>2.43995074098028</v>
      </c>
      <c r="AG828" s="13" t="n">
        <f aca="false">(O828-AVERAGE(O$2:O$2001))/STDEV(O$2:O$2001)</f>
        <v>2.41733696397964</v>
      </c>
      <c r="AH828" s="0" t="str">
        <f aca="false">IF(B828="Company","C3 - Corporate Buyers",IF(AND(H828="Investment",M828&gt;'Segmentation Summary'!$C$1),"C1 - Global Investors",IF(AND(I828&gt;=4,M828&gt;'Segmentation Summary'!$C$1),"C4 - Luxury Investors",IF(AND(D828&lt;'Segmentation Summary'!$C$2,J828=1),"C2 - First-Time Buyers","C5 - Other Individual Buyers"))))</f>
        <v>C5 - Other Individual Buyers</v>
      </c>
    </row>
    <row r="829" customFormat="false" ht="15" hidden="false" customHeight="true" outlineLevel="0" collapsed="false">
      <c r="A829" s="13" t="s">
        <v>1697</v>
      </c>
      <c r="B829" s="13" t="s">
        <v>34</v>
      </c>
      <c r="C829" s="13" t="s">
        <v>1698</v>
      </c>
      <c r="D829" s="13" t="n">
        <v>31</v>
      </c>
      <c r="E829" s="13" t="s">
        <v>90</v>
      </c>
      <c r="F829" s="13" t="s">
        <v>33</v>
      </c>
      <c r="G829" s="13" t="s">
        <v>106</v>
      </c>
      <c r="H829" s="13" t="s">
        <v>41</v>
      </c>
      <c r="I829" s="13" t="n">
        <v>2</v>
      </c>
      <c r="J829" s="13" t="n">
        <v>0</v>
      </c>
      <c r="K829" s="13" t="s">
        <v>85</v>
      </c>
      <c r="L829" s="13" t="n">
        <v>3</v>
      </c>
      <c r="M829" s="13" t="n">
        <v>904157.22</v>
      </c>
      <c r="N829" s="13" t="n">
        <v>301385.74</v>
      </c>
      <c r="O829" s="13" t="n">
        <v>985.543333333333</v>
      </c>
      <c r="P829" s="13" t="n">
        <v>0</v>
      </c>
      <c r="Q829" s="13" t="n">
        <v>3</v>
      </c>
      <c r="R829" s="13" t="s">
        <v>111</v>
      </c>
      <c r="S829" s="13" t="s">
        <v>154</v>
      </c>
      <c r="T829" s="13" t="n">
        <v>1</v>
      </c>
      <c r="U829" s="13" t="n">
        <f aca="false">IF(B829="Individual",1,0)</f>
        <v>1</v>
      </c>
      <c r="V829" s="13" t="n">
        <f aca="false">IF(B829="Company",1,0)</f>
        <v>0</v>
      </c>
      <c r="W829" s="13" t="n">
        <f aca="false">IF(H829="Home",1,0)</f>
        <v>1</v>
      </c>
      <c r="X829" s="13" t="n">
        <f aca="false">IF(H829="Investment",1,0)</f>
        <v>0</v>
      </c>
      <c r="Y829" s="13" t="n">
        <f aca="false">IF(K829="Website",1,0)</f>
        <v>1</v>
      </c>
      <c r="Z829" s="13" t="n">
        <f aca="false">IF(K829="Agency",1,0)</f>
        <v>0</v>
      </c>
      <c r="AA829" s="13" t="n">
        <f aca="false">IF(K829="Client",1,0)</f>
        <v>0</v>
      </c>
      <c r="AB829" s="13" t="n">
        <f aca="false">(D829-AVERAGE(D$2:D$2001))/STDEV(D$2:D$2001)</f>
        <v>-1.33413623262935</v>
      </c>
      <c r="AC829" s="13" t="n">
        <f aca="false">(I829-AVERAGE(I$2:I$2001))/STDEV(I$2:I$2001)</f>
        <v>-0.727948160798201</v>
      </c>
      <c r="AD829" s="13" t="n">
        <f aca="false">(L829-AVERAGE(L$2:L$2001))/STDEV(L$2:L$2001)</f>
        <v>-0.777063122173208</v>
      </c>
      <c r="AE829" s="13" t="n">
        <f aca="false">(M829-AVERAGE(M$2:M$2001))/STDEV(M$2:M$2001)</f>
        <v>-1.02411401995478</v>
      </c>
      <c r="AF829" s="13" t="n">
        <f aca="false">(N829-AVERAGE(N$2:N$2001))/STDEV(N$2:N$2001)</f>
        <v>-0.655522398583679</v>
      </c>
      <c r="AG829" s="13" t="n">
        <f aca="false">(O829-AVERAGE(O$2:O$2001))/STDEV(O$2:O$2001)</f>
        <v>-0.736333347563132</v>
      </c>
      <c r="AH829" s="0" t="str">
        <f aca="false">IF(B829="Company","C3 - Corporate Buyers",IF(AND(H829="Investment",M829&gt;'Segmentation Summary'!$C$1),"C1 - Global Investors",IF(AND(I829&gt;=4,M829&gt;'Segmentation Summary'!$C$1),"C4 - Luxury Investors",IF(AND(D829&lt;'Segmentation Summary'!$C$2,J829=1),"C2 - First-Time Buyers","C5 - Other Individual Buyers"))))</f>
        <v>C5 - Other Individual Buyers</v>
      </c>
    </row>
    <row r="830" customFormat="false" ht="15" hidden="false" customHeight="true" outlineLevel="0" collapsed="false">
      <c r="A830" s="13" t="s">
        <v>1699</v>
      </c>
      <c r="B830" s="13" t="s">
        <v>34</v>
      </c>
      <c r="C830" s="13" t="s">
        <v>1700</v>
      </c>
      <c r="D830" s="13" t="n">
        <v>58</v>
      </c>
      <c r="E830" s="13" t="s">
        <v>90</v>
      </c>
      <c r="F830" s="13" t="s">
        <v>33</v>
      </c>
      <c r="G830" s="13" t="s">
        <v>95</v>
      </c>
      <c r="H830" s="13" t="s">
        <v>41</v>
      </c>
      <c r="I830" s="13" t="n">
        <v>5</v>
      </c>
      <c r="J830" s="13" t="n">
        <v>0</v>
      </c>
      <c r="K830" s="13" t="s">
        <v>91</v>
      </c>
      <c r="L830" s="13" t="n">
        <v>3</v>
      </c>
      <c r="M830" s="13" t="n">
        <v>1035012.91</v>
      </c>
      <c r="N830" s="13" t="n">
        <v>345004.303333333</v>
      </c>
      <c r="O830" s="13" t="n">
        <v>1064.41666666667</v>
      </c>
      <c r="P830" s="13" t="n">
        <v>0</v>
      </c>
      <c r="Q830" s="13" t="n">
        <v>3</v>
      </c>
      <c r="R830" s="13" t="s">
        <v>92</v>
      </c>
      <c r="S830" s="13" t="s">
        <v>111</v>
      </c>
      <c r="T830" s="13" t="n">
        <v>1</v>
      </c>
      <c r="U830" s="13" t="n">
        <f aca="false">IF(B830="Individual",1,0)</f>
        <v>1</v>
      </c>
      <c r="V830" s="13" t="n">
        <f aca="false">IF(B830="Company",1,0)</f>
        <v>0</v>
      </c>
      <c r="W830" s="13" t="n">
        <f aca="false">IF(H830="Home",1,0)</f>
        <v>1</v>
      </c>
      <c r="X830" s="13" t="n">
        <f aca="false">IF(H830="Investment",1,0)</f>
        <v>0</v>
      </c>
      <c r="Y830" s="13" t="n">
        <f aca="false">IF(K830="Website",1,0)</f>
        <v>0</v>
      </c>
      <c r="Z830" s="13" t="n">
        <f aca="false">IF(K830="Agency",1,0)</f>
        <v>1</v>
      </c>
      <c r="AA830" s="13" t="n">
        <f aca="false">IF(K830="Client",1,0)</f>
        <v>0</v>
      </c>
      <c r="AB830" s="13" t="n">
        <f aca="false">(D830-AVERAGE(D$2:D$2001))/STDEV(D$2:D$2001)</f>
        <v>0.222750065550728</v>
      </c>
      <c r="AC830" s="13" t="n">
        <f aca="false">(I830-AVERAGE(I$2:I$2001))/STDEV(I$2:I$2001)</f>
        <v>1.39434968409451</v>
      </c>
      <c r="AD830" s="13" t="n">
        <f aca="false">(L830-AVERAGE(L$2:L$2001))/STDEV(L$2:L$2001)</f>
        <v>-0.777063122173208</v>
      </c>
      <c r="AE830" s="13" t="n">
        <f aca="false">(M830-AVERAGE(M$2:M$2001))/STDEV(M$2:M$2001)</f>
        <v>-0.647908862583424</v>
      </c>
      <c r="AF830" s="13" t="n">
        <f aca="false">(N830-AVERAGE(N$2:N$2001))/STDEV(N$2:N$2001)</f>
        <v>-0.029913913342098</v>
      </c>
      <c r="AG830" s="13" t="n">
        <f aca="false">(O830-AVERAGE(O$2:O$2001))/STDEV(O$2:O$2001)</f>
        <v>-0.37769199824282</v>
      </c>
      <c r="AH830" s="0" t="str">
        <f aca="false">IF(B830="Company","C3 - Corporate Buyers",IF(AND(H830="Investment",M830&gt;'Segmentation Summary'!$C$1),"C1 - Global Investors",IF(AND(I830&gt;=4,M830&gt;'Segmentation Summary'!$C$1),"C4 - Luxury Investors",IF(AND(D830&lt;'Segmentation Summary'!$C$2,J830=1),"C2 - First-Time Buyers","C5 - Other Individual Buyers"))))</f>
        <v>C5 - Other Individual Buyers</v>
      </c>
    </row>
    <row r="831" customFormat="false" ht="15" hidden="false" customHeight="true" outlineLevel="0" collapsed="false">
      <c r="A831" s="13" t="s">
        <v>1701</v>
      </c>
      <c r="B831" s="13" t="s">
        <v>34</v>
      </c>
      <c r="C831" s="13" t="s">
        <v>1702</v>
      </c>
      <c r="D831" s="13" t="n">
        <v>57</v>
      </c>
      <c r="E831" s="13" t="s">
        <v>90</v>
      </c>
      <c r="F831" s="13" t="s">
        <v>33</v>
      </c>
      <c r="G831" s="13" t="s">
        <v>157</v>
      </c>
      <c r="H831" s="13" t="s">
        <v>41</v>
      </c>
      <c r="I831" s="13" t="n">
        <v>1</v>
      </c>
      <c r="J831" s="13" t="n">
        <v>0</v>
      </c>
      <c r="K831" s="13" t="s">
        <v>85</v>
      </c>
      <c r="L831" s="13" t="n">
        <v>3</v>
      </c>
      <c r="M831" s="13" t="n">
        <v>1012986.25</v>
      </c>
      <c r="N831" s="13" t="n">
        <v>337662.083333333</v>
      </c>
      <c r="O831" s="13" t="n">
        <v>1170.35333333333</v>
      </c>
      <c r="P831" s="13" t="n">
        <v>0</v>
      </c>
      <c r="Q831" s="13" t="n">
        <v>3</v>
      </c>
      <c r="R831" s="13" t="s">
        <v>101</v>
      </c>
      <c r="S831" s="13" t="s">
        <v>117</v>
      </c>
      <c r="T831" s="13" t="n">
        <v>1</v>
      </c>
      <c r="U831" s="13" t="n">
        <f aca="false">IF(B831="Individual",1,0)</f>
        <v>1</v>
      </c>
      <c r="V831" s="13" t="n">
        <f aca="false">IF(B831="Company",1,0)</f>
        <v>0</v>
      </c>
      <c r="W831" s="13" t="n">
        <f aca="false">IF(H831="Home",1,0)</f>
        <v>1</v>
      </c>
      <c r="X831" s="13" t="n">
        <f aca="false">IF(H831="Investment",1,0)</f>
        <v>0</v>
      </c>
      <c r="Y831" s="13" t="n">
        <f aca="false">IF(K831="Website",1,0)</f>
        <v>1</v>
      </c>
      <c r="Z831" s="13" t="n">
        <f aca="false">IF(K831="Agency",1,0)</f>
        <v>0</v>
      </c>
      <c r="AA831" s="13" t="n">
        <f aca="false">IF(K831="Client",1,0)</f>
        <v>0</v>
      </c>
      <c r="AB831" s="13" t="n">
        <f aca="false">(D831-AVERAGE(D$2:D$2001))/STDEV(D$2:D$2001)</f>
        <v>0.165087610062577</v>
      </c>
      <c r="AC831" s="13" t="n">
        <f aca="false">(I831-AVERAGE(I$2:I$2001))/STDEV(I$2:I$2001)</f>
        <v>-1.43538077576244</v>
      </c>
      <c r="AD831" s="13" t="n">
        <f aca="false">(L831-AVERAGE(L$2:L$2001))/STDEV(L$2:L$2001)</f>
        <v>-0.777063122173208</v>
      </c>
      <c r="AE831" s="13" t="n">
        <f aca="false">(M831-AVERAGE(M$2:M$2001))/STDEV(M$2:M$2001)</f>
        <v>-0.711234676628387</v>
      </c>
      <c r="AF831" s="13" t="n">
        <f aca="false">(N831-AVERAGE(N$2:N$2001))/STDEV(N$2:N$2001)</f>
        <v>-0.13522125914824</v>
      </c>
      <c r="AG831" s="13" t="n">
        <f aca="false">(O831-AVERAGE(O$2:O$2001))/STDEV(O$2:O$2001)</f>
        <v>0.10400780408782</v>
      </c>
      <c r="AH831" s="0" t="str">
        <f aca="false">IF(B831="Company","C3 - Corporate Buyers",IF(AND(H831="Investment",M831&gt;'Segmentation Summary'!$C$1),"C1 - Global Investors",IF(AND(I831&gt;=4,M831&gt;'Segmentation Summary'!$C$1),"C4 - Luxury Investors",IF(AND(D831&lt;'Segmentation Summary'!$C$2,J831=1),"C2 - First-Time Buyers","C5 - Other Individual Buyers"))))</f>
        <v>C5 - Other Individual Buyers</v>
      </c>
    </row>
    <row r="832" customFormat="false" ht="15" hidden="false" customHeight="true" outlineLevel="0" collapsed="false">
      <c r="A832" s="13" t="s">
        <v>1703</v>
      </c>
      <c r="B832" s="13" t="s">
        <v>34</v>
      </c>
      <c r="C832" s="13" t="s">
        <v>1704</v>
      </c>
      <c r="D832" s="13" t="n">
        <v>54</v>
      </c>
      <c r="E832" s="13" t="s">
        <v>90</v>
      </c>
      <c r="F832" s="13" t="s">
        <v>33</v>
      </c>
      <c r="G832" s="13" t="s">
        <v>106</v>
      </c>
      <c r="H832" s="13" t="s">
        <v>41</v>
      </c>
      <c r="I832" s="13" t="n">
        <v>4</v>
      </c>
      <c r="J832" s="13" t="n">
        <v>0</v>
      </c>
      <c r="K832" s="13" t="s">
        <v>85</v>
      </c>
      <c r="L832" s="13" t="n">
        <v>3</v>
      </c>
      <c r="M832" s="13" t="n">
        <v>1411977.41</v>
      </c>
      <c r="N832" s="13" t="n">
        <v>470659.136666667</v>
      </c>
      <c r="O832" s="13" t="n">
        <v>1471.9</v>
      </c>
      <c r="P832" s="13" t="n">
        <v>2</v>
      </c>
      <c r="Q832" s="13" t="n">
        <v>1</v>
      </c>
      <c r="R832" s="13" t="s">
        <v>117</v>
      </c>
      <c r="S832" s="13" t="s">
        <v>124</v>
      </c>
      <c r="T832" s="13" t="n">
        <v>1</v>
      </c>
      <c r="U832" s="13" t="n">
        <f aca="false">IF(B832="Individual",1,0)</f>
        <v>1</v>
      </c>
      <c r="V832" s="13" t="n">
        <f aca="false">IF(B832="Company",1,0)</f>
        <v>0</v>
      </c>
      <c r="W832" s="13" t="n">
        <f aca="false">IF(H832="Home",1,0)</f>
        <v>1</v>
      </c>
      <c r="X832" s="13" t="n">
        <f aca="false">IF(H832="Investment",1,0)</f>
        <v>0</v>
      </c>
      <c r="Y832" s="13" t="n">
        <f aca="false">IF(K832="Website",1,0)</f>
        <v>1</v>
      </c>
      <c r="Z832" s="13" t="n">
        <f aca="false">IF(K832="Agency",1,0)</f>
        <v>0</v>
      </c>
      <c r="AA832" s="13" t="n">
        <f aca="false">IF(K832="Client",1,0)</f>
        <v>0</v>
      </c>
      <c r="AB832" s="13" t="n">
        <f aca="false">(D832-AVERAGE(D$2:D$2001))/STDEV(D$2:D$2001)</f>
        <v>-0.00789975640187674</v>
      </c>
      <c r="AC832" s="13" t="n">
        <f aca="false">(I832-AVERAGE(I$2:I$2001))/STDEV(I$2:I$2001)</f>
        <v>0.686917069130275</v>
      </c>
      <c r="AD832" s="13" t="n">
        <f aca="false">(L832-AVERAGE(L$2:L$2001))/STDEV(L$2:L$2001)</f>
        <v>-0.777063122173208</v>
      </c>
      <c r="AE832" s="13" t="n">
        <f aca="false">(M832-AVERAGE(M$2:M$2001))/STDEV(M$2:M$2001)</f>
        <v>0.435849811157962</v>
      </c>
      <c r="AF832" s="13" t="n">
        <f aca="false">(N832-AVERAGE(N$2:N$2001))/STDEV(N$2:N$2001)</f>
        <v>1.77231715383467</v>
      </c>
      <c r="AG832" s="13" t="n">
        <f aca="false">(O832-AVERAGE(O$2:O$2001))/STDEV(O$2:O$2001)</f>
        <v>1.47515694722498</v>
      </c>
      <c r="AH832" s="0" t="str">
        <f aca="false">IF(B832="Company","C3 - Corporate Buyers",IF(AND(H832="Investment",M832&gt;'Segmentation Summary'!$C$1),"C1 - Global Investors",IF(AND(I832&gt;=4,M832&gt;'Segmentation Summary'!$C$1),"C4 - Luxury Investors",IF(AND(D832&lt;'Segmentation Summary'!$C$2,J832=1),"C2 - First-Time Buyers","C5 - Other Individual Buyers"))))</f>
        <v>C4 - Luxury Investors</v>
      </c>
    </row>
    <row r="833" customFormat="false" ht="15" hidden="false" customHeight="true" outlineLevel="0" collapsed="false">
      <c r="A833" s="13" t="s">
        <v>1705</v>
      </c>
      <c r="B833" s="13" t="s">
        <v>34</v>
      </c>
      <c r="C833" s="13" t="s">
        <v>1706</v>
      </c>
      <c r="D833" s="13" t="n">
        <v>25</v>
      </c>
      <c r="E833" s="13" t="s">
        <v>90</v>
      </c>
      <c r="F833" s="13" t="s">
        <v>35</v>
      </c>
      <c r="G833" s="13" t="s">
        <v>374</v>
      </c>
      <c r="H833" s="13" t="s">
        <v>41</v>
      </c>
      <c r="I833" s="13" t="n">
        <v>4</v>
      </c>
      <c r="J833" s="13" t="n">
        <v>1</v>
      </c>
      <c r="K833" s="13" t="s">
        <v>85</v>
      </c>
      <c r="L833" s="13" t="n">
        <v>3</v>
      </c>
      <c r="M833" s="13" t="n">
        <v>1431381.65</v>
      </c>
      <c r="N833" s="13" t="n">
        <v>477127.216666667</v>
      </c>
      <c r="O833" s="13" t="n">
        <v>1447.82</v>
      </c>
      <c r="P833" s="13" t="n">
        <v>1</v>
      </c>
      <c r="Q833" s="13" t="n">
        <v>2</v>
      </c>
      <c r="R833" s="13" t="s">
        <v>154</v>
      </c>
      <c r="S833" s="13" t="s">
        <v>125</v>
      </c>
      <c r="T833" s="13" t="n">
        <v>1</v>
      </c>
      <c r="U833" s="13" t="n">
        <f aca="false">IF(B833="Individual",1,0)</f>
        <v>1</v>
      </c>
      <c r="V833" s="13" t="n">
        <f aca="false">IF(B833="Company",1,0)</f>
        <v>0</v>
      </c>
      <c r="W833" s="13" t="n">
        <f aca="false">IF(H833="Home",1,0)</f>
        <v>1</v>
      </c>
      <c r="X833" s="13" t="n">
        <f aca="false">IF(H833="Investment",1,0)</f>
        <v>0</v>
      </c>
      <c r="Y833" s="13" t="n">
        <f aca="false">IF(K833="Website",1,0)</f>
        <v>1</v>
      </c>
      <c r="Z833" s="13" t="n">
        <f aca="false">IF(K833="Agency",1,0)</f>
        <v>0</v>
      </c>
      <c r="AA833" s="13" t="n">
        <f aca="false">IF(K833="Client",1,0)</f>
        <v>0</v>
      </c>
      <c r="AB833" s="13" t="n">
        <f aca="false">(D833-AVERAGE(D$2:D$2001))/STDEV(D$2:D$2001)</f>
        <v>-1.68011096555826</v>
      </c>
      <c r="AC833" s="13" t="n">
        <f aca="false">(I833-AVERAGE(I$2:I$2001))/STDEV(I$2:I$2001)</f>
        <v>0.686917069130275</v>
      </c>
      <c r="AD833" s="13" t="n">
        <f aca="false">(L833-AVERAGE(L$2:L$2001))/STDEV(L$2:L$2001)</f>
        <v>-0.777063122173208</v>
      </c>
      <c r="AE833" s="13" t="n">
        <f aca="false">(M833-AVERAGE(M$2:M$2001))/STDEV(M$2:M$2001)</f>
        <v>0.491636266931276</v>
      </c>
      <c r="AF833" s="13" t="n">
        <f aca="false">(N833-AVERAGE(N$2:N$2001))/STDEV(N$2:N$2001)</f>
        <v>1.86508696150344</v>
      </c>
      <c r="AG833" s="13" t="n">
        <f aca="false">(O833-AVERAGE(O$2:O$2001))/STDEV(O$2:O$2001)</f>
        <v>1.36566387362639</v>
      </c>
      <c r="AH833" s="0" t="str">
        <f aca="false">IF(B833="Company","C3 - Corporate Buyers",IF(AND(H833="Investment",M833&gt;'Segmentation Summary'!$C$1),"C1 - Global Investors",IF(AND(I833&gt;=4,M833&gt;'Segmentation Summary'!$C$1),"C4 - Luxury Investors",IF(AND(D833&lt;'Segmentation Summary'!$C$2,J833=1),"C2 - First-Time Buyers","C5 - Other Individual Buyers"))))</f>
        <v>C4 - Luxury Investors</v>
      </c>
    </row>
    <row r="834" customFormat="false" ht="15" hidden="false" customHeight="true" outlineLevel="0" collapsed="false">
      <c r="A834" s="13" t="s">
        <v>1707</v>
      </c>
      <c r="B834" s="13" t="s">
        <v>34</v>
      </c>
      <c r="C834" s="13" t="s">
        <v>1706</v>
      </c>
      <c r="D834" s="13" t="n">
        <v>39</v>
      </c>
      <c r="E834" s="13" t="s">
        <v>90</v>
      </c>
      <c r="F834" s="13" t="s">
        <v>33</v>
      </c>
      <c r="G834" s="13" t="s">
        <v>95</v>
      </c>
      <c r="H834" s="13" t="s">
        <v>43</v>
      </c>
      <c r="I834" s="13" t="n">
        <v>2</v>
      </c>
      <c r="J834" s="13" t="n">
        <v>0</v>
      </c>
      <c r="K834" s="13" t="s">
        <v>91</v>
      </c>
      <c r="L834" s="13" t="n">
        <v>3</v>
      </c>
      <c r="M834" s="13" t="n">
        <v>1238663.76</v>
      </c>
      <c r="N834" s="13" t="n">
        <v>412887.92</v>
      </c>
      <c r="O834" s="13" t="n">
        <v>1313.16</v>
      </c>
      <c r="P834" s="13" t="n">
        <v>1</v>
      </c>
      <c r="Q834" s="13" t="n">
        <v>2</v>
      </c>
      <c r="R834" s="13" t="s">
        <v>117</v>
      </c>
      <c r="S834" s="13" t="s">
        <v>107</v>
      </c>
      <c r="T834" s="13" t="n">
        <v>1</v>
      </c>
      <c r="U834" s="13" t="n">
        <f aca="false">IF(B834="Individual",1,0)</f>
        <v>1</v>
      </c>
      <c r="V834" s="13" t="n">
        <f aca="false">IF(B834="Company",1,0)</f>
        <v>0</v>
      </c>
      <c r="W834" s="13" t="n">
        <f aca="false">IF(H834="Home",1,0)</f>
        <v>0</v>
      </c>
      <c r="X834" s="13" t="n">
        <f aca="false">IF(H834="Investment",1,0)</f>
        <v>1</v>
      </c>
      <c r="Y834" s="13" t="n">
        <f aca="false">IF(K834="Website",1,0)</f>
        <v>0</v>
      </c>
      <c r="Z834" s="13" t="n">
        <f aca="false">IF(K834="Agency",1,0)</f>
        <v>1</v>
      </c>
      <c r="AA834" s="13" t="n">
        <f aca="false">IF(K834="Client",1,0)</f>
        <v>0</v>
      </c>
      <c r="AB834" s="13" t="n">
        <f aca="false">(D834-AVERAGE(D$2:D$2001))/STDEV(D$2:D$2001)</f>
        <v>-0.872836588724145</v>
      </c>
      <c r="AC834" s="13" t="n">
        <f aca="false">(I834-AVERAGE(I$2:I$2001))/STDEV(I$2:I$2001)</f>
        <v>-0.727948160798201</v>
      </c>
      <c r="AD834" s="13" t="n">
        <f aca="false">(L834-AVERAGE(L$2:L$2001))/STDEV(L$2:L$2001)</f>
        <v>-0.777063122173208</v>
      </c>
      <c r="AE834" s="13" t="n">
        <f aca="false">(M834-AVERAGE(M$2:M$2001))/STDEV(M$2:M$2001)</f>
        <v>-0.0624203746692941</v>
      </c>
      <c r="AF834" s="13" t="n">
        <f aca="false">(N834-AVERAGE(N$2:N$2001))/STDEV(N$2:N$2001)</f>
        <v>0.943721239906965</v>
      </c>
      <c r="AG834" s="13" t="n">
        <f aca="false">(O834-AVERAGE(O$2:O$2001))/STDEV(O$2:O$2001)</f>
        <v>0.753357507729966</v>
      </c>
      <c r="AH834" s="0" t="str">
        <f aca="false">IF(B834="Company","C3 - Corporate Buyers",IF(AND(H834="Investment",M834&gt;'Segmentation Summary'!$C$1),"C1 - Global Investors",IF(AND(I834&gt;=4,M834&gt;'Segmentation Summary'!$C$1),"C4 - Luxury Investors",IF(AND(D834&lt;'Segmentation Summary'!$C$2,J834=1),"C2 - First-Time Buyers","C5 - Other Individual Buyers"))))</f>
        <v>C1 - Global Investors</v>
      </c>
    </row>
    <row r="835" customFormat="false" ht="15" hidden="false" customHeight="true" outlineLevel="0" collapsed="false">
      <c r="A835" s="13" t="s">
        <v>1708</v>
      </c>
      <c r="B835" s="13" t="s">
        <v>34</v>
      </c>
      <c r="C835" s="13" t="s">
        <v>1709</v>
      </c>
      <c r="D835" s="13" t="n">
        <v>52</v>
      </c>
      <c r="E835" s="13" t="s">
        <v>90</v>
      </c>
      <c r="F835" s="13" t="s">
        <v>45</v>
      </c>
      <c r="G835" s="13" t="s">
        <v>347</v>
      </c>
      <c r="H835" s="13" t="s">
        <v>43</v>
      </c>
      <c r="I835" s="13" t="n">
        <v>3</v>
      </c>
      <c r="J835" s="13" t="n">
        <v>0</v>
      </c>
      <c r="K835" s="13" t="s">
        <v>85</v>
      </c>
      <c r="L835" s="13" t="n">
        <v>3</v>
      </c>
      <c r="M835" s="13" t="n">
        <v>997579.61</v>
      </c>
      <c r="N835" s="13" t="n">
        <v>332526.536666667</v>
      </c>
      <c r="O835" s="13" t="n">
        <v>1138.42333333333</v>
      </c>
      <c r="P835" s="13" t="n">
        <v>0</v>
      </c>
      <c r="Q835" s="13" t="n">
        <v>3</v>
      </c>
      <c r="R835" s="13" t="s">
        <v>124</v>
      </c>
      <c r="S835" s="13" t="s">
        <v>154</v>
      </c>
      <c r="T835" s="13" t="n">
        <v>1</v>
      </c>
      <c r="U835" s="13" t="n">
        <f aca="false">IF(B835="Individual",1,0)</f>
        <v>1</v>
      </c>
      <c r="V835" s="13" t="n">
        <f aca="false">IF(B835="Company",1,0)</f>
        <v>0</v>
      </c>
      <c r="W835" s="13" t="n">
        <f aca="false">IF(H835="Home",1,0)</f>
        <v>0</v>
      </c>
      <c r="X835" s="13" t="n">
        <f aca="false">IF(H835="Investment",1,0)</f>
        <v>1</v>
      </c>
      <c r="Y835" s="13" t="n">
        <f aca="false">IF(K835="Website",1,0)</f>
        <v>1</v>
      </c>
      <c r="Z835" s="13" t="n">
        <f aca="false">IF(K835="Agency",1,0)</f>
        <v>0</v>
      </c>
      <c r="AA835" s="13" t="n">
        <f aca="false">IF(K835="Client",1,0)</f>
        <v>0</v>
      </c>
      <c r="AB835" s="13" t="n">
        <f aca="false">(D835-AVERAGE(D$2:D$2001))/STDEV(D$2:D$2001)</f>
        <v>-0.123224667378179</v>
      </c>
      <c r="AC835" s="13" t="n">
        <f aca="false">(I835-AVERAGE(I$2:I$2001))/STDEV(I$2:I$2001)</f>
        <v>-0.0205155458339628</v>
      </c>
      <c r="AD835" s="13" t="n">
        <f aca="false">(L835-AVERAGE(L$2:L$2001))/STDEV(L$2:L$2001)</f>
        <v>-0.777063122173208</v>
      </c>
      <c r="AE835" s="13" t="n">
        <f aca="false">(M835-AVERAGE(M$2:M$2001))/STDEV(M$2:M$2001)</f>
        <v>-0.755528183664755</v>
      </c>
      <c r="AF835" s="13" t="n">
        <f aca="false">(N835-AVERAGE(N$2:N$2001))/STDEV(N$2:N$2001)</f>
        <v>-0.208878925185241</v>
      </c>
      <c r="AG835" s="13" t="n">
        <f aca="false">(O835-AVERAGE(O$2:O$2001))/STDEV(O$2:O$2001)</f>
        <v>-0.0411796477395454</v>
      </c>
      <c r="AH835" s="0" t="str">
        <f aca="false">IF(B835="Company","C3 - Corporate Buyers",IF(AND(H835="Investment",M835&gt;'Segmentation Summary'!$C$1),"C1 - Global Investors",IF(AND(I835&gt;=4,M835&gt;'Segmentation Summary'!$C$1),"C4 - Luxury Investors",IF(AND(D835&lt;'Segmentation Summary'!$C$2,J835=1),"C2 - First-Time Buyers","C5 - Other Individual Buyers"))))</f>
        <v>C5 - Other Individual Buyers</v>
      </c>
    </row>
    <row r="836" customFormat="false" ht="15" hidden="false" customHeight="true" outlineLevel="0" collapsed="false">
      <c r="A836" s="13" t="s">
        <v>1710</v>
      </c>
      <c r="B836" s="13" t="s">
        <v>34</v>
      </c>
      <c r="C836" s="13" t="s">
        <v>1711</v>
      </c>
      <c r="D836" s="13" t="n">
        <v>77</v>
      </c>
      <c r="E836" s="13" t="s">
        <v>90</v>
      </c>
      <c r="F836" s="13" t="s">
        <v>33</v>
      </c>
      <c r="G836" s="13" t="s">
        <v>95</v>
      </c>
      <c r="H836" s="13" t="s">
        <v>41</v>
      </c>
      <c r="I836" s="13" t="n">
        <v>2</v>
      </c>
      <c r="J836" s="13" t="n">
        <v>1</v>
      </c>
      <c r="K836" s="13" t="s">
        <v>116</v>
      </c>
      <c r="L836" s="13" t="n">
        <v>4</v>
      </c>
      <c r="M836" s="13" t="n">
        <v>2158954.78</v>
      </c>
      <c r="N836" s="13" t="n">
        <v>539738.695</v>
      </c>
      <c r="O836" s="13" t="n">
        <v>1726.0575</v>
      </c>
      <c r="P836" s="13" t="n">
        <v>0</v>
      </c>
      <c r="Q836" s="13" t="n">
        <v>4</v>
      </c>
      <c r="R836" s="13" t="s">
        <v>92</v>
      </c>
      <c r="S836" s="13" t="s">
        <v>114</v>
      </c>
      <c r="T836" s="13" t="n">
        <v>1</v>
      </c>
      <c r="U836" s="13" t="n">
        <f aca="false">IF(B836="Individual",1,0)</f>
        <v>1</v>
      </c>
      <c r="V836" s="13" t="n">
        <f aca="false">IF(B836="Company",1,0)</f>
        <v>0</v>
      </c>
      <c r="W836" s="13" t="n">
        <f aca="false">IF(H836="Home",1,0)</f>
        <v>1</v>
      </c>
      <c r="X836" s="13" t="n">
        <f aca="false">IF(H836="Investment",1,0)</f>
        <v>0</v>
      </c>
      <c r="Y836" s="13" t="n">
        <f aca="false">IF(K836="Website",1,0)</f>
        <v>0</v>
      </c>
      <c r="Z836" s="13" t="n">
        <f aca="false">IF(K836="Agency",1,0)</f>
        <v>0</v>
      </c>
      <c r="AA836" s="13" t="n">
        <f aca="false">IF(K836="Client",1,0)</f>
        <v>1</v>
      </c>
      <c r="AB836" s="13" t="n">
        <f aca="false">(D836-AVERAGE(D$2:D$2001))/STDEV(D$2:D$2001)</f>
        <v>1.3183367198256</v>
      </c>
      <c r="AC836" s="13" t="n">
        <f aca="false">(I836-AVERAGE(I$2:I$2001))/STDEV(I$2:I$2001)</f>
        <v>-0.727948160798201</v>
      </c>
      <c r="AD836" s="13" t="n">
        <f aca="false">(L836-AVERAGE(L$2:L$2001))/STDEV(L$2:L$2001)</f>
        <v>0.413838214490712</v>
      </c>
      <c r="AE836" s="13" t="n">
        <f aca="false">(M836-AVERAGE(M$2:M$2001))/STDEV(M$2:M$2001)</f>
        <v>2.58338148542975</v>
      </c>
      <c r="AF836" s="13" t="n">
        <f aca="false">(N836-AVERAGE(N$2:N$2001))/STDEV(N$2:N$2001)</f>
        <v>2.76310535379925</v>
      </c>
      <c r="AG836" s="13" t="n">
        <f aca="false">(O836-AVERAGE(O$2:O$2001))/STDEV(O$2:O$2001)</f>
        <v>2.63082496438169</v>
      </c>
      <c r="AH836" s="0" t="str">
        <f aca="false">IF(B836="Company","C3 - Corporate Buyers",IF(AND(H836="Investment",M836&gt;'Segmentation Summary'!$C$1),"C1 - Global Investors",IF(AND(I836&gt;=4,M836&gt;'Segmentation Summary'!$C$1),"C4 - Luxury Investors",IF(AND(D836&lt;'Segmentation Summary'!$C$2,J836=1),"C2 - First-Time Buyers","C5 - Other Individual Buyers"))))</f>
        <v>C5 - Other Individual Buyers</v>
      </c>
    </row>
    <row r="837" customFormat="false" ht="15" hidden="false" customHeight="true" outlineLevel="0" collapsed="false">
      <c r="A837" s="13" t="s">
        <v>1712</v>
      </c>
      <c r="B837" s="13" t="s">
        <v>34</v>
      </c>
      <c r="C837" s="13" t="s">
        <v>1713</v>
      </c>
      <c r="D837" s="13" t="n">
        <v>58</v>
      </c>
      <c r="E837" s="13" t="s">
        <v>90</v>
      </c>
      <c r="F837" s="13" t="s">
        <v>33</v>
      </c>
      <c r="G837" s="13" t="s">
        <v>95</v>
      </c>
      <c r="H837" s="13" t="s">
        <v>41</v>
      </c>
      <c r="I837" s="13" t="n">
        <v>1</v>
      </c>
      <c r="J837" s="13" t="n">
        <v>1</v>
      </c>
      <c r="K837" s="13" t="s">
        <v>85</v>
      </c>
      <c r="L837" s="13" t="n">
        <v>4</v>
      </c>
      <c r="M837" s="13" t="n">
        <v>1172146.65</v>
      </c>
      <c r="N837" s="13" t="n">
        <v>293036.6625</v>
      </c>
      <c r="O837" s="13" t="n">
        <v>1047.99</v>
      </c>
      <c r="P837" s="13" t="n">
        <v>0</v>
      </c>
      <c r="Q837" s="13" t="n">
        <v>4</v>
      </c>
      <c r="R837" s="13" t="s">
        <v>101</v>
      </c>
      <c r="S837" s="13" t="s">
        <v>111</v>
      </c>
      <c r="T837" s="13" t="n">
        <v>1</v>
      </c>
      <c r="U837" s="13" t="n">
        <f aca="false">IF(B837="Individual",1,0)</f>
        <v>1</v>
      </c>
      <c r="V837" s="13" t="n">
        <f aca="false">IF(B837="Company",1,0)</f>
        <v>0</v>
      </c>
      <c r="W837" s="13" t="n">
        <f aca="false">IF(H837="Home",1,0)</f>
        <v>1</v>
      </c>
      <c r="X837" s="13" t="n">
        <f aca="false">IF(H837="Investment",1,0)</f>
        <v>0</v>
      </c>
      <c r="Y837" s="13" t="n">
        <f aca="false">IF(K837="Website",1,0)</f>
        <v>1</v>
      </c>
      <c r="Z837" s="13" t="n">
        <f aca="false">IF(K837="Agency",1,0)</f>
        <v>0</v>
      </c>
      <c r="AA837" s="13" t="n">
        <f aca="false">IF(K837="Client",1,0)</f>
        <v>0</v>
      </c>
      <c r="AB837" s="13" t="n">
        <f aca="false">(D837-AVERAGE(D$2:D$2001))/STDEV(D$2:D$2001)</f>
        <v>0.222750065550728</v>
      </c>
      <c r="AC837" s="13" t="n">
        <f aca="false">(I837-AVERAGE(I$2:I$2001))/STDEV(I$2:I$2001)</f>
        <v>-1.43538077576244</v>
      </c>
      <c r="AD837" s="13" t="n">
        <f aca="false">(L837-AVERAGE(L$2:L$2001))/STDEV(L$2:L$2001)</f>
        <v>0.413838214490712</v>
      </c>
      <c r="AE837" s="13" t="n">
        <f aca="false">(M837-AVERAGE(M$2:M$2001))/STDEV(M$2:M$2001)</f>
        <v>-0.253654549013855</v>
      </c>
      <c r="AF837" s="13" t="n">
        <f aca="false">(N837-AVERAGE(N$2:N$2001))/STDEV(N$2:N$2001)</f>
        <v>-0.775270811387271</v>
      </c>
      <c r="AG837" s="13" t="n">
        <f aca="false">(O837-AVERAGE(O$2:O$2001))/STDEV(O$2:O$2001)</f>
        <v>-0.452384947674431</v>
      </c>
      <c r="AH837" s="0" t="str">
        <f aca="false">IF(B837="Company","C3 - Corporate Buyers",IF(AND(H837="Investment",M837&gt;'Segmentation Summary'!$C$1),"C1 - Global Investors",IF(AND(I837&gt;=4,M837&gt;'Segmentation Summary'!$C$1),"C4 - Luxury Investors",IF(AND(D837&lt;'Segmentation Summary'!$C$2,J837=1),"C2 - First-Time Buyers","C5 - Other Individual Buyers"))))</f>
        <v>C5 - Other Individual Buyers</v>
      </c>
    </row>
    <row r="838" customFormat="false" ht="15" hidden="false" customHeight="true" outlineLevel="0" collapsed="false">
      <c r="A838" s="13" t="s">
        <v>1714</v>
      </c>
      <c r="B838" s="13" t="s">
        <v>34</v>
      </c>
      <c r="C838" s="13" t="s">
        <v>1715</v>
      </c>
      <c r="D838" s="13" t="n">
        <v>79</v>
      </c>
      <c r="E838" s="13" t="s">
        <v>90</v>
      </c>
      <c r="F838" s="13" t="s">
        <v>33</v>
      </c>
      <c r="G838" s="13" t="s">
        <v>95</v>
      </c>
      <c r="H838" s="13" t="s">
        <v>43</v>
      </c>
      <c r="I838" s="13" t="n">
        <v>5</v>
      </c>
      <c r="J838" s="13" t="n">
        <v>0</v>
      </c>
      <c r="K838" s="13" t="s">
        <v>85</v>
      </c>
      <c r="L838" s="13" t="n">
        <v>3</v>
      </c>
      <c r="M838" s="13" t="n">
        <v>1201777.78</v>
      </c>
      <c r="N838" s="13" t="n">
        <v>400592.593333333</v>
      </c>
      <c r="O838" s="13" t="n">
        <v>1334.84</v>
      </c>
      <c r="P838" s="13" t="n">
        <v>0</v>
      </c>
      <c r="Q838" s="13" t="n">
        <v>3</v>
      </c>
      <c r="R838" s="13" t="s">
        <v>117</v>
      </c>
      <c r="S838" s="13" t="s">
        <v>114</v>
      </c>
      <c r="T838" s="13" t="n">
        <v>1</v>
      </c>
      <c r="U838" s="13" t="n">
        <f aca="false">IF(B838="Individual",1,0)</f>
        <v>1</v>
      </c>
      <c r="V838" s="13" t="n">
        <f aca="false">IF(B838="Company",1,0)</f>
        <v>0</v>
      </c>
      <c r="W838" s="13" t="n">
        <f aca="false">IF(H838="Home",1,0)</f>
        <v>0</v>
      </c>
      <c r="X838" s="13" t="n">
        <f aca="false">IF(H838="Investment",1,0)</f>
        <v>1</v>
      </c>
      <c r="Y838" s="13" t="n">
        <f aca="false">IF(K838="Website",1,0)</f>
        <v>1</v>
      </c>
      <c r="Z838" s="13" t="n">
        <f aca="false">IF(K838="Agency",1,0)</f>
        <v>0</v>
      </c>
      <c r="AA838" s="13" t="n">
        <f aca="false">IF(K838="Client",1,0)</f>
        <v>0</v>
      </c>
      <c r="AB838" s="13" t="n">
        <f aca="false">(D838-AVERAGE(D$2:D$2001))/STDEV(D$2:D$2001)</f>
        <v>1.4336616308019</v>
      </c>
      <c r="AC838" s="13" t="n">
        <f aca="false">(I838-AVERAGE(I$2:I$2001))/STDEV(I$2:I$2001)</f>
        <v>1.39434968409451</v>
      </c>
      <c r="AD838" s="13" t="n">
        <f aca="false">(L838-AVERAGE(L$2:L$2001))/STDEV(L$2:L$2001)</f>
        <v>-0.777063122173208</v>
      </c>
      <c r="AE838" s="13" t="n">
        <f aca="false">(M838-AVERAGE(M$2:M$2001))/STDEV(M$2:M$2001)</f>
        <v>-0.168466171460375</v>
      </c>
      <c r="AF838" s="13" t="n">
        <f aca="false">(N838-AVERAGE(N$2:N$2001))/STDEV(N$2:N$2001)</f>
        <v>0.767372912413892</v>
      </c>
      <c r="AG838" s="13" t="n">
        <f aca="false">(O838-AVERAGE(O$2:O$2001))/STDEV(O$2:O$2001)</f>
        <v>0.851937650405107</v>
      </c>
      <c r="AH838" s="0" t="str">
        <f aca="false">IF(B838="Company","C3 - Corporate Buyers",IF(AND(H838="Investment",M838&gt;'Segmentation Summary'!$C$1),"C1 - Global Investors",IF(AND(I838&gt;=4,M838&gt;'Segmentation Summary'!$C$1),"C4 - Luxury Investors",IF(AND(D838&lt;'Segmentation Summary'!$C$2,J838=1),"C2 - First-Time Buyers","C5 - Other Individual Buyers"))))</f>
        <v>C5 - Other Individual Buyers</v>
      </c>
    </row>
    <row r="839" customFormat="false" ht="15" hidden="false" customHeight="true" outlineLevel="0" collapsed="false">
      <c r="A839" s="13" t="s">
        <v>1716</v>
      </c>
      <c r="B839" s="13" t="s">
        <v>34</v>
      </c>
      <c r="C839" s="13" t="s">
        <v>1717</v>
      </c>
      <c r="D839" s="13" t="n">
        <v>81</v>
      </c>
      <c r="E839" s="13" t="s">
        <v>90</v>
      </c>
      <c r="F839" s="13" t="s">
        <v>35</v>
      </c>
      <c r="G839" s="13" t="s">
        <v>267</v>
      </c>
      <c r="H839" s="13" t="s">
        <v>43</v>
      </c>
      <c r="I839" s="13" t="n">
        <v>4</v>
      </c>
      <c r="J839" s="13" t="n">
        <v>1</v>
      </c>
      <c r="K839" s="13" t="s">
        <v>85</v>
      </c>
      <c r="L839" s="13" t="n">
        <v>3</v>
      </c>
      <c r="M839" s="13" t="n">
        <v>688233.74</v>
      </c>
      <c r="N839" s="13" t="n">
        <v>229411.246666667</v>
      </c>
      <c r="O839" s="13" t="n">
        <v>775.566666666667</v>
      </c>
      <c r="P839" s="13" t="n">
        <v>1</v>
      </c>
      <c r="Q839" s="13" t="n">
        <v>2</v>
      </c>
      <c r="R839" s="13" t="s">
        <v>128</v>
      </c>
      <c r="S839" s="13" t="s">
        <v>135</v>
      </c>
      <c r="T839" s="13" t="n">
        <v>1</v>
      </c>
      <c r="U839" s="13" t="n">
        <f aca="false">IF(B839="Individual",1,0)</f>
        <v>1</v>
      </c>
      <c r="V839" s="13" t="n">
        <f aca="false">IF(B839="Company",1,0)</f>
        <v>0</v>
      </c>
      <c r="W839" s="13" t="n">
        <f aca="false">IF(H839="Home",1,0)</f>
        <v>0</v>
      </c>
      <c r="X839" s="13" t="n">
        <f aca="false">IF(H839="Investment",1,0)</f>
        <v>1</v>
      </c>
      <c r="Y839" s="13" t="n">
        <f aca="false">IF(K839="Website",1,0)</f>
        <v>1</v>
      </c>
      <c r="Z839" s="13" t="n">
        <f aca="false">IF(K839="Agency",1,0)</f>
        <v>0</v>
      </c>
      <c r="AA839" s="13" t="n">
        <f aca="false">IF(K839="Client",1,0)</f>
        <v>0</v>
      </c>
      <c r="AB839" s="13" t="n">
        <f aca="false">(D839-AVERAGE(D$2:D$2001))/STDEV(D$2:D$2001)</f>
        <v>1.54898654177821</v>
      </c>
      <c r="AC839" s="13" t="n">
        <f aca="false">(I839-AVERAGE(I$2:I$2001))/STDEV(I$2:I$2001)</f>
        <v>0.686917069130275</v>
      </c>
      <c r="AD839" s="13" t="n">
        <f aca="false">(L839-AVERAGE(L$2:L$2001))/STDEV(L$2:L$2001)</f>
        <v>-0.777063122173208</v>
      </c>
      <c r="AE839" s="13" t="n">
        <f aca="false">(M839-AVERAGE(M$2:M$2001))/STDEV(M$2:M$2001)</f>
        <v>-1.64488585474141</v>
      </c>
      <c r="AF839" s="13" t="n">
        <f aca="false">(N839-AVERAGE(N$2:N$2001))/STDEV(N$2:N$2001)</f>
        <v>-1.68783181708043</v>
      </c>
      <c r="AG839" s="13" t="n">
        <f aca="false">(O839-AVERAGE(O$2:O$2001))/STDEV(O$2:O$2001)</f>
        <v>-1.69110870542524</v>
      </c>
      <c r="AH839" s="0" t="str">
        <f aca="false">IF(B839="Company","C3 - Corporate Buyers",IF(AND(H839="Investment",M839&gt;'Segmentation Summary'!$C$1),"C1 - Global Investors",IF(AND(I839&gt;=4,M839&gt;'Segmentation Summary'!$C$1),"C4 - Luxury Investors",IF(AND(D839&lt;'Segmentation Summary'!$C$2,J839=1),"C2 - First-Time Buyers","C5 - Other Individual Buyers"))))</f>
        <v>C5 - Other Individual Buyers</v>
      </c>
    </row>
    <row r="840" customFormat="false" ht="15" hidden="false" customHeight="true" outlineLevel="0" collapsed="false">
      <c r="A840" s="13" t="s">
        <v>1718</v>
      </c>
      <c r="B840" s="13" t="s">
        <v>34</v>
      </c>
      <c r="C840" s="13" t="s">
        <v>1719</v>
      </c>
      <c r="D840" s="13" t="n">
        <v>76</v>
      </c>
      <c r="E840" s="13" t="s">
        <v>90</v>
      </c>
      <c r="F840" s="13" t="s">
        <v>40</v>
      </c>
      <c r="G840" s="13" t="s">
        <v>528</v>
      </c>
      <c r="H840" s="13" t="s">
        <v>43</v>
      </c>
      <c r="I840" s="13" t="n">
        <v>4</v>
      </c>
      <c r="J840" s="13" t="n">
        <v>0</v>
      </c>
      <c r="K840" s="13" t="s">
        <v>85</v>
      </c>
      <c r="L840" s="13" t="n">
        <v>4</v>
      </c>
      <c r="M840" s="13" t="n">
        <v>1124290.78</v>
      </c>
      <c r="N840" s="13" t="n">
        <v>281072.695</v>
      </c>
      <c r="O840" s="13" t="n">
        <v>984.6475</v>
      </c>
      <c r="P840" s="13" t="n">
        <v>1</v>
      </c>
      <c r="Q840" s="13" t="n">
        <v>3</v>
      </c>
      <c r="R840" s="13" t="s">
        <v>101</v>
      </c>
      <c r="S840" s="13" t="s">
        <v>215</v>
      </c>
      <c r="T840" s="13" t="n">
        <v>1</v>
      </c>
      <c r="U840" s="13" t="n">
        <f aca="false">IF(B840="Individual",1,0)</f>
        <v>1</v>
      </c>
      <c r="V840" s="13" t="n">
        <f aca="false">IF(B840="Company",1,0)</f>
        <v>0</v>
      </c>
      <c r="W840" s="13" t="n">
        <f aca="false">IF(H840="Home",1,0)</f>
        <v>0</v>
      </c>
      <c r="X840" s="13" t="n">
        <f aca="false">IF(H840="Investment",1,0)</f>
        <v>1</v>
      </c>
      <c r="Y840" s="13" t="n">
        <f aca="false">IF(K840="Website",1,0)</f>
        <v>1</v>
      </c>
      <c r="Z840" s="13" t="n">
        <f aca="false">IF(K840="Agency",1,0)</f>
        <v>0</v>
      </c>
      <c r="AA840" s="13" t="n">
        <f aca="false">IF(K840="Client",1,0)</f>
        <v>0</v>
      </c>
      <c r="AB840" s="13" t="n">
        <f aca="false">(D840-AVERAGE(D$2:D$2001))/STDEV(D$2:D$2001)</f>
        <v>1.26067426433745</v>
      </c>
      <c r="AC840" s="13" t="n">
        <f aca="false">(I840-AVERAGE(I$2:I$2001))/STDEV(I$2:I$2001)</f>
        <v>0.686917069130275</v>
      </c>
      <c r="AD840" s="13" t="n">
        <f aca="false">(L840-AVERAGE(L$2:L$2001))/STDEV(L$2:L$2001)</f>
        <v>0.413838214490712</v>
      </c>
      <c r="AE840" s="13" t="n">
        <f aca="false">(M840-AVERAGE(M$2:M$2001))/STDEV(M$2:M$2001)</f>
        <v>-0.391238364471119</v>
      </c>
      <c r="AF840" s="13" t="n">
        <f aca="false">(N840-AVERAGE(N$2:N$2001))/STDEV(N$2:N$2001)</f>
        <v>-0.946866549833674</v>
      </c>
      <c r="AG840" s="13" t="n">
        <f aca="false">(O840-AVERAGE(O$2:O$2001))/STDEV(O$2:O$2001)</f>
        <v>-0.740406750598792</v>
      </c>
      <c r="AH840" s="0" t="str">
        <f aca="false">IF(B840="Company","C3 - Corporate Buyers",IF(AND(H840="Investment",M840&gt;'Segmentation Summary'!$C$1),"C1 - Global Investors",IF(AND(I840&gt;=4,M840&gt;'Segmentation Summary'!$C$1),"C4 - Luxury Investors",IF(AND(D840&lt;'Segmentation Summary'!$C$2,J840=1),"C2 - First-Time Buyers","C5 - Other Individual Buyers"))))</f>
        <v>C5 - Other Individual Buyers</v>
      </c>
    </row>
    <row r="841" customFormat="false" ht="15" hidden="false" customHeight="true" outlineLevel="0" collapsed="false">
      <c r="A841" s="13" t="s">
        <v>1720</v>
      </c>
      <c r="B841" s="13" t="s">
        <v>34</v>
      </c>
      <c r="C841" s="13" t="s">
        <v>1721</v>
      </c>
      <c r="D841" s="13" t="n">
        <v>69</v>
      </c>
      <c r="E841" s="13" t="s">
        <v>90</v>
      </c>
      <c r="F841" s="13" t="s">
        <v>35</v>
      </c>
      <c r="G841" s="13" t="s">
        <v>267</v>
      </c>
      <c r="H841" s="13" t="s">
        <v>41</v>
      </c>
      <c r="I841" s="13" t="n">
        <v>3</v>
      </c>
      <c r="J841" s="13" t="n">
        <v>0</v>
      </c>
      <c r="K841" s="13" t="s">
        <v>85</v>
      </c>
      <c r="L841" s="13" t="n">
        <v>3</v>
      </c>
      <c r="M841" s="13" t="n">
        <v>1118960.06</v>
      </c>
      <c r="N841" s="13" t="n">
        <v>372986.686666667</v>
      </c>
      <c r="O841" s="13" t="n">
        <v>1203.39</v>
      </c>
      <c r="P841" s="13" t="n">
        <v>1</v>
      </c>
      <c r="Q841" s="13" t="n">
        <v>2</v>
      </c>
      <c r="R841" s="13" t="s">
        <v>101</v>
      </c>
      <c r="S841" s="13" t="s">
        <v>141</v>
      </c>
      <c r="T841" s="13" t="n">
        <v>1</v>
      </c>
      <c r="U841" s="13" t="n">
        <f aca="false">IF(B841="Individual",1,0)</f>
        <v>1</v>
      </c>
      <c r="V841" s="13" t="n">
        <f aca="false">IF(B841="Company",1,0)</f>
        <v>0</v>
      </c>
      <c r="W841" s="13" t="n">
        <f aca="false">IF(H841="Home",1,0)</f>
        <v>1</v>
      </c>
      <c r="X841" s="13" t="n">
        <f aca="false">IF(H841="Investment",1,0)</f>
        <v>0</v>
      </c>
      <c r="Y841" s="13" t="n">
        <f aca="false">IF(K841="Website",1,0)</f>
        <v>1</v>
      </c>
      <c r="Z841" s="13" t="n">
        <f aca="false">IF(K841="Agency",1,0)</f>
        <v>0</v>
      </c>
      <c r="AA841" s="13" t="n">
        <f aca="false">IF(K841="Client",1,0)</f>
        <v>0</v>
      </c>
      <c r="AB841" s="13" t="n">
        <f aca="false">(D841-AVERAGE(D$2:D$2001))/STDEV(D$2:D$2001)</f>
        <v>0.857037075920391</v>
      </c>
      <c r="AC841" s="13" t="n">
        <f aca="false">(I841-AVERAGE(I$2:I$2001))/STDEV(I$2:I$2001)</f>
        <v>-0.0205155458339628</v>
      </c>
      <c r="AD841" s="13" t="n">
        <f aca="false">(L841-AVERAGE(L$2:L$2001))/STDEV(L$2:L$2001)</f>
        <v>-0.777063122173208</v>
      </c>
      <c r="AE841" s="13" t="n">
        <f aca="false">(M841-AVERAGE(M$2:M$2001))/STDEV(M$2:M$2001)</f>
        <v>-0.406563982764849</v>
      </c>
      <c r="AF841" s="13" t="n">
        <f aca="false">(N841-AVERAGE(N$2:N$2001))/STDEV(N$2:N$2001)</f>
        <v>0.371429347710206</v>
      </c>
      <c r="AG841" s="13" t="n">
        <f aca="false">(O841-AVERAGE(O$2:O$2001))/STDEV(O$2:O$2001)</f>
        <v>0.25422732961879</v>
      </c>
      <c r="AH841" s="0" t="str">
        <f aca="false">IF(B841="Company","C3 - Corporate Buyers",IF(AND(H841="Investment",M841&gt;'Segmentation Summary'!$C$1),"C1 - Global Investors",IF(AND(I841&gt;=4,M841&gt;'Segmentation Summary'!$C$1),"C4 - Luxury Investors",IF(AND(D841&lt;'Segmentation Summary'!$C$2,J841=1),"C2 - First-Time Buyers","C5 - Other Individual Buyers"))))</f>
        <v>C5 - Other Individual Buyers</v>
      </c>
    </row>
    <row r="842" customFormat="false" ht="15" hidden="false" customHeight="true" outlineLevel="0" collapsed="false">
      <c r="A842" s="13" t="s">
        <v>1722</v>
      </c>
      <c r="B842" s="13" t="s">
        <v>34</v>
      </c>
      <c r="C842" s="13" t="s">
        <v>1723</v>
      </c>
      <c r="D842" s="13" t="n">
        <v>76</v>
      </c>
      <c r="E842" s="13" t="s">
        <v>90</v>
      </c>
      <c r="F842" s="13" t="s">
        <v>33</v>
      </c>
      <c r="G842" s="13" t="s">
        <v>95</v>
      </c>
      <c r="H842" s="13" t="s">
        <v>41</v>
      </c>
      <c r="I842" s="13" t="n">
        <v>3</v>
      </c>
      <c r="J842" s="13" t="n">
        <v>1</v>
      </c>
      <c r="K842" s="13" t="s">
        <v>91</v>
      </c>
      <c r="L842" s="13" t="n">
        <v>4</v>
      </c>
      <c r="M842" s="13" t="n">
        <v>1179975.09</v>
      </c>
      <c r="N842" s="13" t="n">
        <v>294993.7725</v>
      </c>
      <c r="O842" s="13" t="n">
        <v>1009.9325</v>
      </c>
      <c r="P842" s="13" t="n">
        <v>1</v>
      </c>
      <c r="Q842" s="13" t="n">
        <v>3</v>
      </c>
      <c r="R842" s="13" t="s">
        <v>98</v>
      </c>
      <c r="S842" s="13" t="s">
        <v>114</v>
      </c>
      <c r="T842" s="13" t="n">
        <v>1</v>
      </c>
      <c r="U842" s="13" t="n">
        <f aca="false">IF(B842="Individual",1,0)</f>
        <v>1</v>
      </c>
      <c r="V842" s="13" t="n">
        <f aca="false">IF(B842="Company",1,0)</f>
        <v>0</v>
      </c>
      <c r="W842" s="13" t="n">
        <f aca="false">IF(H842="Home",1,0)</f>
        <v>1</v>
      </c>
      <c r="X842" s="13" t="n">
        <f aca="false">IF(H842="Investment",1,0)</f>
        <v>0</v>
      </c>
      <c r="Y842" s="13" t="n">
        <f aca="false">IF(K842="Website",1,0)</f>
        <v>0</v>
      </c>
      <c r="Z842" s="13" t="n">
        <f aca="false">IF(K842="Agency",1,0)</f>
        <v>1</v>
      </c>
      <c r="AA842" s="13" t="n">
        <f aca="false">IF(K842="Client",1,0)</f>
        <v>0</v>
      </c>
      <c r="AB842" s="13" t="n">
        <f aca="false">(D842-AVERAGE(D$2:D$2001))/STDEV(D$2:D$2001)</f>
        <v>1.26067426433745</v>
      </c>
      <c r="AC842" s="13" t="n">
        <f aca="false">(I842-AVERAGE(I$2:I$2001))/STDEV(I$2:I$2001)</f>
        <v>-0.0205155458339628</v>
      </c>
      <c r="AD842" s="13" t="n">
        <f aca="false">(L842-AVERAGE(L$2:L$2001))/STDEV(L$2:L$2001)</f>
        <v>0.413838214490712</v>
      </c>
      <c r="AE842" s="13" t="n">
        <f aca="false">(M842-AVERAGE(M$2:M$2001))/STDEV(M$2:M$2001)</f>
        <v>-0.231148080230019</v>
      </c>
      <c r="AF842" s="13" t="n">
        <f aca="false">(N842-AVERAGE(N$2:N$2001))/STDEV(N$2:N$2001)</f>
        <v>-0.747200546596694</v>
      </c>
      <c r="AG842" s="13" t="n">
        <f aca="false">(O842-AVERAGE(O$2:O$2001))/STDEV(O$2:O$2001)</f>
        <v>-0.625434476265723</v>
      </c>
      <c r="AH842" s="0" t="str">
        <f aca="false">IF(B842="Company","C3 - Corporate Buyers",IF(AND(H842="Investment",M842&gt;'Segmentation Summary'!$C$1),"C1 - Global Investors",IF(AND(I842&gt;=4,M842&gt;'Segmentation Summary'!$C$1),"C4 - Luxury Investors",IF(AND(D842&lt;'Segmentation Summary'!$C$2,J842=1),"C2 - First-Time Buyers","C5 - Other Individual Buyers"))))</f>
        <v>C5 - Other Individual Buyers</v>
      </c>
    </row>
    <row r="843" customFormat="false" ht="15" hidden="false" customHeight="true" outlineLevel="0" collapsed="false">
      <c r="A843" s="13" t="s">
        <v>1724</v>
      </c>
      <c r="B843" s="13" t="s">
        <v>34</v>
      </c>
      <c r="C843" s="13" t="s">
        <v>1725</v>
      </c>
      <c r="D843" s="13" t="n">
        <v>56</v>
      </c>
      <c r="E843" s="13" t="s">
        <v>90</v>
      </c>
      <c r="F843" s="13" t="s">
        <v>33</v>
      </c>
      <c r="G843" s="13" t="s">
        <v>110</v>
      </c>
      <c r="H843" s="13" t="s">
        <v>41</v>
      </c>
      <c r="I843" s="13" t="n">
        <v>3</v>
      </c>
      <c r="J843" s="13" t="n">
        <v>0</v>
      </c>
      <c r="K843" s="13" t="s">
        <v>91</v>
      </c>
      <c r="L843" s="13" t="n">
        <v>4</v>
      </c>
      <c r="M843" s="13" t="n">
        <v>1394159.93</v>
      </c>
      <c r="N843" s="13" t="n">
        <v>348539.9825</v>
      </c>
      <c r="O843" s="13" t="n">
        <v>1132.7375</v>
      </c>
      <c r="P843" s="13" t="n">
        <v>0</v>
      </c>
      <c r="Q843" s="13" t="n">
        <v>4</v>
      </c>
      <c r="R843" s="13" t="s">
        <v>101</v>
      </c>
      <c r="S843" s="13" t="s">
        <v>133</v>
      </c>
      <c r="T843" s="13" t="n">
        <v>1</v>
      </c>
      <c r="U843" s="13" t="n">
        <f aca="false">IF(B843="Individual",1,0)</f>
        <v>1</v>
      </c>
      <c r="V843" s="13" t="n">
        <f aca="false">IF(B843="Company",1,0)</f>
        <v>0</v>
      </c>
      <c r="W843" s="13" t="n">
        <f aca="false">IF(H843="Home",1,0)</f>
        <v>1</v>
      </c>
      <c r="X843" s="13" t="n">
        <f aca="false">IF(H843="Investment",1,0)</f>
        <v>0</v>
      </c>
      <c r="Y843" s="13" t="n">
        <f aca="false">IF(K843="Website",1,0)</f>
        <v>0</v>
      </c>
      <c r="Z843" s="13" t="n">
        <f aca="false">IF(K843="Agency",1,0)</f>
        <v>1</v>
      </c>
      <c r="AA843" s="13" t="n">
        <f aca="false">IF(K843="Client",1,0)</f>
        <v>0</v>
      </c>
      <c r="AB843" s="13" t="n">
        <f aca="false">(D843-AVERAGE(D$2:D$2001))/STDEV(D$2:D$2001)</f>
        <v>0.107425154574426</v>
      </c>
      <c r="AC843" s="13" t="n">
        <f aca="false">(I843-AVERAGE(I$2:I$2001))/STDEV(I$2:I$2001)</f>
        <v>-0.0205155458339628</v>
      </c>
      <c r="AD843" s="13" t="n">
        <f aca="false">(L843-AVERAGE(L$2:L$2001))/STDEV(L$2:L$2001)</f>
        <v>0.413838214490712</v>
      </c>
      <c r="AE843" s="13" t="n">
        <f aca="false">(M843-AVERAGE(M$2:M$2001))/STDEV(M$2:M$2001)</f>
        <v>0.384625230344083</v>
      </c>
      <c r="AF843" s="13" t="n">
        <f aca="false">(N843-AVERAGE(N$2:N$2001))/STDEV(N$2:N$2001)</f>
        <v>0.0207973141427465</v>
      </c>
      <c r="AG843" s="13" t="n">
        <f aca="false">(O843-AVERAGE(O$2:O$2001))/STDEV(O$2:O$2001)</f>
        <v>-0.0670334420765727</v>
      </c>
      <c r="AH843" s="0" t="str">
        <f aca="false">IF(B843="Company","C3 - Corporate Buyers",IF(AND(H843="Investment",M843&gt;'Segmentation Summary'!$C$1),"C1 - Global Investors",IF(AND(I843&gt;=4,M843&gt;'Segmentation Summary'!$C$1),"C4 - Luxury Investors",IF(AND(D843&lt;'Segmentation Summary'!$C$2,J843=1),"C2 - First-Time Buyers","C5 - Other Individual Buyers"))))</f>
        <v>C5 - Other Individual Buyers</v>
      </c>
    </row>
    <row r="844" customFormat="false" ht="15" hidden="false" customHeight="true" outlineLevel="0" collapsed="false">
      <c r="A844" s="13" t="s">
        <v>1726</v>
      </c>
      <c r="B844" s="13" t="s">
        <v>34</v>
      </c>
      <c r="C844" s="13" t="s">
        <v>1727</v>
      </c>
      <c r="D844" s="13" t="n">
        <v>24</v>
      </c>
      <c r="E844" s="13" t="s">
        <v>90</v>
      </c>
      <c r="F844" s="13" t="s">
        <v>33</v>
      </c>
      <c r="G844" s="13" t="s">
        <v>100</v>
      </c>
      <c r="H844" s="13" t="s">
        <v>41</v>
      </c>
      <c r="I844" s="13" t="n">
        <v>2</v>
      </c>
      <c r="J844" s="13" t="n">
        <v>0</v>
      </c>
      <c r="K844" s="13" t="s">
        <v>91</v>
      </c>
      <c r="L844" s="13" t="n">
        <v>3</v>
      </c>
      <c r="M844" s="13" t="n">
        <v>1040682.81</v>
      </c>
      <c r="N844" s="13" t="n">
        <v>346894.27</v>
      </c>
      <c r="O844" s="13" t="n">
        <v>1138.42333333333</v>
      </c>
      <c r="P844" s="13" t="n">
        <v>0</v>
      </c>
      <c r="Q844" s="13" t="n">
        <v>3</v>
      </c>
      <c r="R844" s="13" t="s">
        <v>117</v>
      </c>
      <c r="S844" s="13" t="s">
        <v>164</v>
      </c>
      <c r="T844" s="13" t="n">
        <v>1</v>
      </c>
      <c r="U844" s="13" t="n">
        <f aca="false">IF(B844="Individual",1,0)</f>
        <v>1</v>
      </c>
      <c r="V844" s="13" t="n">
        <f aca="false">IF(B844="Company",1,0)</f>
        <v>0</v>
      </c>
      <c r="W844" s="13" t="n">
        <f aca="false">IF(H844="Home",1,0)</f>
        <v>1</v>
      </c>
      <c r="X844" s="13" t="n">
        <f aca="false">IF(H844="Investment",1,0)</f>
        <v>0</v>
      </c>
      <c r="Y844" s="13" t="n">
        <f aca="false">IF(K844="Website",1,0)</f>
        <v>0</v>
      </c>
      <c r="Z844" s="13" t="n">
        <f aca="false">IF(K844="Agency",1,0)</f>
        <v>1</v>
      </c>
      <c r="AA844" s="13" t="n">
        <f aca="false">IF(K844="Client",1,0)</f>
        <v>0</v>
      </c>
      <c r="AB844" s="13" t="n">
        <f aca="false">(D844-AVERAGE(D$2:D$2001))/STDEV(D$2:D$2001)</f>
        <v>-1.73777342104641</v>
      </c>
      <c r="AC844" s="13" t="n">
        <f aca="false">(I844-AVERAGE(I$2:I$2001))/STDEV(I$2:I$2001)</f>
        <v>-0.727948160798201</v>
      </c>
      <c r="AD844" s="13" t="n">
        <f aca="false">(L844-AVERAGE(L$2:L$2001))/STDEV(L$2:L$2001)</f>
        <v>-0.777063122173208</v>
      </c>
      <c r="AE844" s="13" t="n">
        <f aca="false">(M844-AVERAGE(M$2:M$2001))/STDEV(M$2:M$2001)</f>
        <v>-0.631608114623745</v>
      </c>
      <c r="AF844" s="13" t="n">
        <f aca="false">(N844-AVERAGE(N$2:N$2001))/STDEV(N$2:N$2001)</f>
        <v>-0.0028066660342283</v>
      </c>
      <c r="AG844" s="13" t="n">
        <f aca="false">(O844-AVERAGE(O$2:O$2001))/STDEV(O$2:O$2001)</f>
        <v>-0.0411796477395454</v>
      </c>
      <c r="AH844" s="0" t="str">
        <f aca="false">IF(B844="Company","C3 - Corporate Buyers",IF(AND(H844="Investment",M844&gt;'Segmentation Summary'!$C$1),"C1 - Global Investors",IF(AND(I844&gt;=4,M844&gt;'Segmentation Summary'!$C$1),"C4 - Luxury Investors",IF(AND(D844&lt;'Segmentation Summary'!$C$2,J844=1),"C2 - First-Time Buyers","C5 - Other Individual Buyers"))))</f>
        <v>C5 - Other Individual Buyers</v>
      </c>
    </row>
    <row r="845" customFormat="false" ht="15" hidden="false" customHeight="true" outlineLevel="0" collapsed="false">
      <c r="A845" s="13" t="s">
        <v>1728</v>
      </c>
      <c r="B845" s="13" t="s">
        <v>34</v>
      </c>
      <c r="C845" s="13" t="s">
        <v>1727</v>
      </c>
      <c r="D845" s="13" t="n">
        <v>74</v>
      </c>
      <c r="E845" s="13" t="s">
        <v>90</v>
      </c>
      <c r="F845" s="13" t="s">
        <v>33</v>
      </c>
      <c r="G845" s="13" t="s">
        <v>100</v>
      </c>
      <c r="H845" s="13" t="s">
        <v>41</v>
      </c>
      <c r="I845" s="13" t="n">
        <v>1</v>
      </c>
      <c r="J845" s="13" t="n">
        <v>0</v>
      </c>
      <c r="K845" s="13" t="s">
        <v>85</v>
      </c>
      <c r="L845" s="13" t="n">
        <v>3</v>
      </c>
      <c r="M845" s="13" t="n">
        <v>947393.7</v>
      </c>
      <c r="N845" s="13" t="n">
        <v>315797.9</v>
      </c>
      <c r="O845" s="13" t="n">
        <v>939.33</v>
      </c>
      <c r="P845" s="13" t="n">
        <v>1</v>
      </c>
      <c r="Q845" s="13" t="n">
        <v>2</v>
      </c>
      <c r="R845" s="13" t="s">
        <v>98</v>
      </c>
      <c r="S845" s="13" t="s">
        <v>141</v>
      </c>
      <c r="T845" s="13" t="n">
        <v>1</v>
      </c>
      <c r="U845" s="13" t="n">
        <f aca="false">IF(B845="Individual",1,0)</f>
        <v>1</v>
      </c>
      <c r="V845" s="13" t="n">
        <f aca="false">IF(B845="Company",1,0)</f>
        <v>0</v>
      </c>
      <c r="W845" s="13" t="n">
        <f aca="false">IF(H845="Home",1,0)</f>
        <v>1</v>
      </c>
      <c r="X845" s="13" t="n">
        <f aca="false">IF(H845="Investment",1,0)</f>
        <v>0</v>
      </c>
      <c r="Y845" s="13" t="n">
        <f aca="false">IF(K845="Website",1,0)</f>
        <v>1</v>
      </c>
      <c r="Z845" s="13" t="n">
        <f aca="false">IF(K845="Agency",1,0)</f>
        <v>0</v>
      </c>
      <c r="AA845" s="13" t="n">
        <f aca="false">IF(K845="Client",1,0)</f>
        <v>0</v>
      </c>
      <c r="AB845" s="13" t="n">
        <f aca="false">(D845-AVERAGE(D$2:D$2001))/STDEV(D$2:D$2001)</f>
        <v>1.14534935336115</v>
      </c>
      <c r="AC845" s="13" t="n">
        <f aca="false">(I845-AVERAGE(I$2:I$2001))/STDEV(I$2:I$2001)</f>
        <v>-1.43538077576244</v>
      </c>
      <c r="AD845" s="13" t="n">
        <f aca="false">(L845-AVERAGE(L$2:L$2001))/STDEV(L$2:L$2001)</f>
        <v>-0.777063122173208</v>
      </c>
      <c r="AE845" s="13" t="n">
        <f aca="false">(M845-AVERAGE(M$2:M$2001))/STDEV(M$2:M$2001)</f>
        <v>-0.89981077595688</v>
      </c>
      <c r="AF845" s="13" t="n">
        <f aca="false">(N845-AVERAGE(N$2:N$2001))/STDEV(N$2:N$2001)</f>
        <v>-0.448812940554164</v>
      </c>
      <c r="AG845" s="13" t="n">
        <f aca="false">(O845-AVERAGE(O$2:O$2001))/STDEV(O$2:O$2001)</f>
        <v>-0.946467895233512</v>
      </c>
      <c r="AH845" s="0" t="str">
        <f aca="false">IF(B845="Company","C3 - Corporate Buyers",IF(AND(H845="Investment",M845&gt;'Segmentation Summary'!$C$1),"C1 - Global Investors",IF(AND(I845&gt;=4,M845&gt;'Segmentation Summary'!$C$1),"C4 - Luxury Investors",IF(AND(D845&lt;'Segmentation Summary'!$C$2,J845=1),"C2 - First-Time Buyers","C5 - Other Individual Buyers"))))</f>
        <v>C5 - Other Individual Buyers</v>
      </c>
    </row>
    <row r="846" customFormat="false" ht="15" hidden="false" customHeight="true" outlineLevel="0" collapsed="false">
      <c r="A846" s="13" t="s">
        <v>1729</v>
      </c>
      <c r="B846" s="13" t="s">
        <v>34</v>
      </c>
      <c r="C846" s="13" t="s">
        <v>1730</v>
      </c>
      <c r="D846" s="13" t="n">
        <v>71</v>
      </c>
      <c r="E846" s="13" t="s">
        <v>90</v>
      </c>
      <c r="F846" s="13" t="s">
        <v>33</v>
      </c>
      <c r="G846" s="13" t="s">
        <v>110</v>
      </c>
      <c r="H846" s="13" t="s">
        <v>41</v>
      </c>
      <c r="I846" s="13" t="n">
        <v>2</v>
      </c>
      <c r="J846" s="13" t="n">
        <v>1</v>
      </c>
      <c r="K846" s="13" t="s">
        <v>91</v>
      </c>
      <c r="L846" s="13" t="n">
        <v>4</v>
      </c>
      <c r="M846" s="13" t="n">
        <v>1586439.08</v>
      </c>
      <c r="N846" s="13" t="n">
        <v>396609.77</v>
      </c>
      <c r="O846" s="13" t="n">
        <v>1333.5625</v>
      </c>
      <c r="P846" s="13" t="n">
        <v>0</v>
      </c>
      <c r="Q846" s="13" t="n">
        <v>4</v>
      </c>
      <c r="R846" s="13" t="s">
        <v>121</v>
      </c>
      <c r="S846" s="13" t="s">
        <v>133</v>
      </c>
      <c r="T846" s="13" t="n">
        <v>1</v>
      </c>
      <c r="U846" s="13" t="n">
        <f aca="false">IF(B846="Individual",1,0)</f>
        <v>1</v>
      </c>
      <c r="V846" s="13" t="n">
        <f aca="false">IF(B846="Company",1,0)</f>
        <v>0</v>
      </c>
      <c r="W846" s="13" t="n">
        <f aca="false">IF(H846="Home",1,0)</f>
        <v>1</v>
      </c>
      <c r="X846" s="13" t="n">
        <f aca="false">IF(H846="Investment",1,0)</f>
        <v>0</v>
      </c>
      <c r="Y846" s="13" t="n">
        <f aca="false">IF(K846="Website",1,0)</f>
        <v>0</v>
      </c>
      <c r="Z846" s="13" t="n">
        <f aca="false">IF(K846="Agency",1,0)</f>
        <v>1</v>
      </c>
      <c r="AA846" s="13" t="n">
        <f aca="false">IF(K846="Client",1,0)</f>
        <v>0</v>
      </c>
      <c r="AB846" s="13" t="n">
        <f aca="false">(D846-AVERAGE(D$2:D$2001))/STDEV(D$2:D$2001)</f>
        <v>0.972361986896694</v>
      </c>
      <c r="AC846" s="13" t="n">
        <f aca="false">(I846-AVERAGE(I$2:I$2001))/STDEV(I$2:I$2001)</f>
        <v>-0.727948160798201</v>
      </c>
      <c r="AD846" s="13" t="n">
        <f aca="false">(L846-AVERAGE(L$2:L$2001))/STDEV(L$2:L$2001)</f>
        <v>0.413838214490712</v>
      </c>
      <c r="AE846" s="13" t="n">
        <f aca="false">(M846-AVERAGE(M$2:M$2001))/STDEV(M$2:M$2001)</f>
        <v>0.937420511045903</v>
      </c>
      <c r="AF846" s="13" t="n">
        <f aca="false">(N846-AVERAGE(N$2:N$2001))/STDEV(N$2:N$2001)</f>
        <v>0.710248424990733</v>
      </c>
      <c r="AG846" s="13" t="n">
        <f aca="false">(O846-AVERAGE(O$2:O$2001))/STDEV(O$2:O$2001)</f>
        <v>0.846128788215647</v>
      </c>
      <c r="AH846" s="0" t="str">
        <f aca="false">IF(B846="Company","C3 - Corporate Buyers",IF(AND(H846="Investment",M846&gt;'Segmentation Summary'!$C$1),"C1 - Global Investors",IF(AND(I846&gt;=4,M846&gt;'Segmentation Summary'!$C$1),"C4 - Luxury Investors",IF(AND(D846&lt;'Segmentation Summary'!$C$2,J846=1),"C2 - First-Time Buyers","C5 - Other Individual Buyers"))))</f>
        <v>C5 - Other Individual Buyers</v>
      </c>
    </row>
    <row r="847" customFormat="false" ht="15" hidden="false" customHeight="true" outlineLevel="0" collapsed="false">
      <c r="A847" s="13" t="s">
        <v>1731</v>
      </c>
      <c r="B847" s="13" t="s">
        <v>34</v>
      </c>
      <c r="C847" s="13" t="s">
        <v>1732</v>
      </c>
      <c r="D847" s="13" t="n">
        <v>67</v>
      </c>
      <c r="E847" s="13" t="s">
        <v>90</v>
      </c>
      <c r="F847" s="13" t="s">
        <v>33</v>
      </c>
      <c r="G847" s="13" t="s">
        <v>95</v>
      </c>
      <c r="H847" s="13" t="s">
        <v>41</v>
      </c>
      <c r="I847" s="13" t="n">
        <v>5</v>
      </c>
      <c r="J847" s="13" t="n">
        <v>0</v>
      </c>
      <c r="K847" s="13" t="s">
        <v>85</v>
      </c>
      <c r="L847" s="13" t="n">
        <v>4</v>
      </c>
      <c r="M847" s="13" t="n">
        <v>1384660.54</v>
      </c>
      <c r="N847" s="13" t="n">
        <v>346165.135</v>
      </c>
      <c r="O847" s="13" t="n">
        <v>1073.905</v>
      </c>
      <c r="P847" s="13" t="n">
        <v>0</v>
      </c>
      <c r="Q847" s="13" t="n">
        <v>4</v>
      </c>
      <c r="R847" s="13" t="s">
        <v>121</v>
      </c>
      <c r="S847" s="13" t="s">
        <v>164</v>
      </c>
      <c r="T847" s="13" t="n">
        <v>1</v>
      </c>
      <c r="U847" s="13" t="n">
        <f aca="false">IF(B847="Individual",1,0)</f>
        <v>1</v>
      </c>
      <c r="V847" s="13" t="n">
        <f aca="false">IF(B847="Company",1,0)</f>
        <v>0</v>
      </c>
      <c r="W847" s="13" t="n">
        <f aca="false">IF(H847="Home",1,0)</f>
        <v>1</v>
      </c>
      <c r="X847" s="13" t="n">
        <f aca="false">IF(H847="Investment",1,0)</f>
        <v>0</v>
      </c>
      <c r="Y847" s="13" t="n">
        <f aca="false">IF(K847="Website",1,0)</f>
        <v>1</v>
      </c>
      <c r="Z847" s="13" t="n">
        <f aca="false">IF(K847="Agency",1,0)</f>
        <v>0</v>
      </c>
      <c r="AA847" s="13" t="n">
        <f aca="false">IF(K847="Client",1,0)</f>
        <v>0</v>
      </c>
      <c r="AB847" s="13" t="n">
        <f aca="false">(D847-AVERAGE(D$2:D$2001))/STDEV(D$2:D$2001)</f>
        <v>0.741712164944089</v>
      </c>
      <c r="AC847" s="13" t="n">
        <f aca="false">(I847-AVERAGE(I$2:I$2001))/STDEV(I$2:I$2001)</f>
        <v>1.39434968409451</v>
      </c>
      <c r="AD847" s="13" t="n">
        <f aca="false">(L847-AVERAGE(L$2:L$2001))/STDEV(L$2:L$2001)</f>
        <v>0.413838214490712</v>
      </c>
      <c r="AE847" s="13" t="n">
        <f aca="false">(M847-AVERAGE(M$2:M$2001))/STDEV(M$2:M$2001)</f>
        <v>0.357314843536433</v>
      </c>
      <c r="AF847" s="13" t="n">
        <f aca="false">(N847-AVERAGE(N$2:N$2001))/STDEV(N$2:N$2001)</f>
        <v>-0.013264439239657</v>
      </c>
      <c r="AG847" s="13" t="n">
        <f aca="false">(O847-AVERAGE(O$2:O$2001))/STDEV(O$2:O$2001)</f>
        <v>-0.334548028973956</v>
      </c>
      <c r="AH847" s="0" t="str">
        <f aca="false">IF(B847="Company","C3 - Corporate Buyers",IF(AND(H847="Investment",M847&gt;'Segmentation Summary'!$C$1),"C1 - Global Investors",IF(AND(I847&gt;=4,M847&gt;'Segmentation Summary'!$C$1),"C4 - Luxury Investors",IF(AND(D847&lt;'Segmentation Summary'!$C$2,J847=1),"C2 - First-Time Buyers","C5 - Other Individual Buyers"))))</f>
        <v>C4 - Luxury Investors</v>
      </c>
    </row>
    <row r="848" customFormat="false" ht="15" hidden="false" customHeight="true" outlineLevel="0" collapsed="false">
      <c r="A848" s="13" t="s">
        <v>1733</v>
      </c>
      <c r="B848" s="13" t="s">
        <v>34</v>
      </c>
      <c r="C848" s="13" t="s">
        <v>1734</v>
      </c>
      <c r="D848" s="13" t="n">
        <v>30</v>
      </c>
      <c r="E848" s="13" t="s">
        <v>90</v>
      </c>
      <c r="F848" s="13" t="s">
        <v>45</v>
      </c>
      <c r="G848" s="13" t="s">
        <v>1735</v>
      </c>
      <c r="H848" s="13" t="s">
        <v>41</v>
      </c>
      <c r="I848" s="13" t="n">
        <v>4</v>
      </c>
      <c r="J848" s="13" t="n">
        <v>0</v>
      </c>
      <c r="K848" s="13" t="s">
        <v>85</v>
      </c>
      <c r="L848" s="13" t="n">
        <v>3</v>
      </c>
      <c r="M848" s="13" t="n">
        <v>1069904.1</v>
      </c>
      <c r="N848" s="13" t="n">
        <v>356634.7</v>
      </c>
      <c r="O848" s="13" t="n">
        <v>1238.36</v>
      </c>
      <c r="P848" s="13" t="n">
        <v>0</v>
      </c>
      <c r="Q848" s="13" t="n">
        <v>3</v>
      </c>
      <c r="R848" s="13" t="s">
        <v>141</v>
      </c>
      <c r="S848" s="13" t="s">
        <v>154</v>
      </c>
      <c r="T848" s="13" t="n">
        <v>1</v>
      </c>
      <c r="U848" s="13" t="n">
        <f aca="false">IF(B848="Individual",1,0)</f>
        <v>1</v>
      </c>
      <c r="V848" s="13" t="n">
        <f aca="false">IF(B848="Company",1,0)</f>
        <v>0</v>
      </c>
      <c r="W848" s="13" t="n">
        <f aca="false">IF(H848="Home",1,0)</f>
        <v>1</v>
      </c>
      <c r="X848" s="13" t="n">
        <f aca="false">IF(H848="Investment",1,0)</f>
        <v>0</v>
      </c>
      <c r="Y848" s="13" t="n">
        <f aca="false">IF(K848="Website",1,0)</f>
        <v>1</v>
      </c>
      <c r="Z848" s="13" t="n">
        <f aca="false">IF(K848="Agency",1,0)</f>
        <v>0</v>
      </c>
      <c r="AA848" s="13" t="n">
        <f aca="false">IF(K848="Client",1,0)</f>
        <v>0</v>
      </c>
      <c r="AB848" s="13" t="n">
        <f aca="false">(D848-AVERAGE(D$2:D$2001))/STDEV(D$2:D$2001)</f>
        <v>-1.39179868811751</v>
      </c>
      <c r="AC848" s="13" t="n">
        <f aca="false">(I848-AVERAGE(I$2:I$2001))/STDEV(I$2:I$2001)</f>
        <v>0.686917069130275</v>
      </c>
      <c r="AD848" s="13" t="n">
        <f aca="false">(L848-AVERAGE(L$2:L$2001))/STDEV(L$2:L$2001)</f>
        <v>-0.777063122173208</v>
      </c>
      <c r="AE848" s="13" t="n">
        <f aca="false">(M848-AVERAGE(M$2:M$2001))/STDEV(M$2:M$2001)</f>
        <v>-0.547598011562549</v>
      </c>
      <c r="AF848" s="13" t="n">
        <f aca="false">(N848-AVERAGE(N$2:N$2001))/STDEV(N$2:N$2001)</f>
        <v>0.136897514759936</v>
      </c>
      <c r="AG848" s="13" t="n">
        <f aca="false">(O848-AVERAGE(O$2:O$2001))/STDEV(O$2:O$2001)</f>
        <v>0.413237827282521</v>
      </c>
      <c r="AH848" s="0" t="str">
        <f aca="false">IF(B848="Company","C3 - Corporate Buyers",IF(AND(H848="Investment",M848&gt;'Segmentation Summary'!$C$1),"C1 - Global Investors",IF(AND(I848&gt;=4,M848&gt;'Segmentation Summary'!$C$1),"C4 - Luxury Investors",IF(AND(D848&lt;'Segmentation Summary'!$C$2,J848=1),"C2 - First-Time Buyers","C5 - Other Individual Buyers"))))</f>
        <v>C5 - Other Individual Buyers</v>
      </c>
    </row>
    <row r="849" customFormat="false" ht="15" hidden="false" customHeight="true" outlineLevel="0" collapsed="false">
      <c r="A849" s="13" t="s">
        <v>1736</v>
      </c>
      <c r="B849" s="13" t="s">
        <v>34</v>
      </c>
      <c r="C849" s="13" t="s">
        <v>1737</v>
      </c>
      <c r="D849" s="13" t="n">
        <v>66</v>
      </c>
      <c r="E849" s="13" t="s">
        <v>90</v>
      </c>
      <c r="F849" s="13" t="s">
        <v>33</v>
      </c>
      <c r="G849" s="13" t="s">
        <v>95</v>
      </c>
      <c r="H849" s="13" t="s">
        <v>43</v>
      </c>
      <c r="I849" s="13" t="n">
        <v>2</v>
      </c>
      <c r="J849" s="13" t="n">
        <v>1</v>
      </c>
      <c r="K849" s="13" t="s">
        <v>85</v>
      </c>
      <c r="L849" s="13" t="n">
        <v>3</v>
      </c>
      <c r="M849" s="13" t="n">
        <v>984121.4</v>
      </c>
      <c r="N849" s="13" t="n">
        <v>328040.466666667</v>
      </c>
      <c r="O849" s="13" t="n">
        <v>1167.24</v>
      </c>
      <c r="P849" s="13" t="n">
        <v>1</v>
      </c>
      <c r="Q849" s="13" t="n">
        <v>2</v>
      </c>
      <c r="R849" s="13" t="s">
        <v>111</v>
      </c>
      <c r="S849" s="13" t="s">
        <v>114</v>
      </c>
      <c r="T849" s="13" t="n">
        <v>1</v>
      </c>
      <c r="U849" s="13" t="n">
        <f aca="false">IF(B849="Individual",1,0)</f>
        <v>1</v>
      </c>
      <c r="V849" s="13" t="n">
        <f aca="false">IF(B849="Company",1,0)</f>
        <v>0</v>
      </c>
      <c r="W849" s="13" t="n">
        <f aca="false">IF(H849="Home",1,0)</f>
        <v>0</v>
      </c>
      <c r="X849" s="13" t="n">
        <f aca="false">IF(H849="Investment",1,0)</f>
        <v>1</v>
      </c>
      <c r="Y849" s="13" t="n">
        <f aca="false">IF(K849="Website",1,0)</f>
        <v>1</v>
      </c>
      <c r="Z849" s="13" t="n">
        <f aca="false">IF(K849="Agency",1,0)</f>
        <v>0</v>
      </c>
      <c r="AA849" s="13" t="n">
        <f aca="false">IF(K849="Client",1,0)</f>
        <v>0</v>
      </c>
      <c r="AB849" s="13" t="n">
        <f aca="false">(D849-AVERAGE(D$2:D$2001))/STDEV(D$2:D$2001)</f>
        <v>0.684049709455938</v>
      </c>
      <c r="AC849" s="13" t="n">
        <f aca="false">(I849-AVERAGE(I$2:I$2001))/STDEV(I$2:I$2001)</f>
        <v>-0.727948160798201</v>
      </c>
      <c r="AD849" s="13" t="n">
        <f aca="false">(L849-AVERAGE(L$2:L$2001))/STDEV(L$2:L$2001)</f>
        <v>-0.777063122173208</v>
      </c>
      <c r="AE849" s="13" t="n">
        <f aca="false">(M849-AVERAGE(M$2:M$2001))/STDEV(M$2:M$2001)</f>
        <v>-0.794220028176727</v>
      </c>
      <c r="AF849" s="13" t="n">
        <f aca="false">(N849-AVERAGE(N$2:N$2001))/STDEV(N$2:N$2001)</f>
        <v>-0.273221334538346</v>
      </c>
      <c r="AG849" s="13" t="n">
        <f aca="false">(O849-AVERAGE(O$2:O$2001))/STDEV(O$2:O$2001)</f>
        <v>0.0898513075843628</v>
      </c>
      <c r="AH849" s="0" t="str">
        <f aca="false">IF(B849="Company","C3 - Corporate Buyers",IF(AND(H849="Investment",M849&gt;'Segmentation Summary'!$C$1),"C1 - Global Investors",IF(AND(I849&gt;=4,M849&gt;'Segmentation Summary'!$C$1),"C4 - Luxury Investors",IF(AND(D849&lt;'Segmentation Summary'!$C$2,J849=1),"C2 - First-Time Buyers","C5 - Other Individual Buyers"))))</f>
        <v>C5 - Other Individual Buyers</v>
      </c>
    </row>
    <row r="850" customFormat="false" ht="15" hidden="false" customHeight="true" outlineLevel="0" collapsed="false">
      <c r="A850" s="13" t="s">
        <v>1738</v>
      </c>
      <c r="B850" s="13" t="s">
        <v>34</v>
      </c>
      <c r="C850" s="13" t="s">
        <v>1739</v>
      </c>
      <c r="D850" s="13" t="n">
        <v>54</v>
      </c>
      <c r="E850" s="13" t="s">
        <v>90</v>
      </c>
      <c r="F850" s="13" t="s">
        <v>33</v>
      </c>
      <c r="G850" s="13" t="s">
        <v>157</v>
      </c>
      <c r="H850" s="13" t="s">
        <v>41</v>
      </c>
      <c r="I850" s="13" t="n">
        <v>3</v>
      </c>
      <c r="J850" s="13" t="n">
        <v>1</v>
      </c>
      <c r="K850" s="13" t="s">
        <v>91</v>
      </c>
      <c r="L850" s="13" t="n">
        <v>3</v>
      </c>
      <c r="M850" s="13" t="n">
        <v>1033523.16</v>
      </c>
      <c r="N850" s="13" t="n">
        <v>344507.72</v>
      </c>
      <c r="O850" s="13" t="n">
        <v>1108.99666666667</v>
      </c>
      <c r="P850" s="13" t="n">
        <v>0</v>
      </c>
      <c r="Q850" s="13" t="n">
        <v>3</v>
      </c>
      <c r="R850" s="13" t="s">
        <v>92</v>
      </c>
      <c r="S850" s="13" t="s">
        <v>114</v>
      </c>
      <c r="T850" s="13" t="n">
        <v>1</v>
      </c>
      <c r="U850" s="13" t="n">
        <f aca="false">IF(B850="Individual",1,0)</f>
        <v>1</v>
      </c>
      <c r="V850" s="13" t="n">
        <f aca="false">IF(B850="Company",1,0)</f>
        <v>0</v>
      </c>
      <c r="W850" s="13" t="n">
        <f aca="false">IF(H850="Home",1,0)</f>
        <v>1</v>
      </c>
      <c r="X850" s="13" t="n">
        <f aca="false">IF(H850="Investment",1,0)</f>
        <v>0</v>
      </c>
      <c r="Y850" s="13" t="n">
        <f aca="false">IF(K850="Website",1,0)</f>
        <v>0</v>
      </c>
      <c r="Z850" s="13" t="n">
        <f aca="false">IF(K850="Agency",1,0)</f>
        <v>1</v>
      </c>
      <c r="AA850" s="13" t="n">
        <f aca="false">IF(K850="Client",1,0)</f>
        <v>0</v>
      </c>
      <c r="AB850" s="13" t="n">
        <f aca="false">(D850-AVERAGE(D$2:D$2001))/STDEV(D$2:D$2001)</f>
        <v>-0.00789975640187674</v>
      </c>
      <c r="AC850" s="13" t="n">
        <f aca="false">(I850-AVERAGE(I$2:I$2001))/STDEV(I$2:I$2001)</f>
        <v>-0.0205155458339628</v>
      </c>
      <c r="AD850" s="13" t="n">
        <f aca="false">(L850-AVERAGE(L$2:L$2001))/STDEV(L$2:L$2001)</f>
        <v>-0.777063122173208</v>
      </c>
      <c r="AE850" s="13" t="n">
        <f aca="false">(M850-AVERAGE(M$2:M$2001))/STDEV(M$2:M$2001)</f>
        <v>-0.652191837463569</v>
      </c>
      <c r="AF850" s="13" t="n">
        <f aca="false">(N850-AVERAGE(N$2:N$2001))/STDEV(N$2:N$2001)</f>
        <v>-0.0370362650020684</v>
      </c>
      <c r="AG850" s="13" t="n">
        <f aca="false">(O850-AVERAGE(O$2:O$2001))/STDEV(O$2:O$2001)</f>
        <v>-0.174984306339784</v>
      </c>
      <c r="AH850" s="0" t="str">
        <f aca="false">IF(B850="Company","C3 - Corporate Buyers",IF(AND(H850="Investment",M850&gt;'Segmentation Summary'!$C$1),"C1 - Global Investors",IF(AND(I850&gt;=4,M850&gt;'Segmentation Summary'!$C$1),"C4 - Luxury Investors",IF(AND(D850&lt;'Segmentation Summary'!$C$2,J850=1),"C2 - First-Time Buyers","C5 - Other Individual Buyers"))))</f>
        <v>C2 - First-Time Buyers</v>
      </c>
    </row>
    <row r="851" customFormat="false" ht="15" hidden="false" customHeight="true" outlineLevel="0" collapsed="false">
      <c r="A851" s="13" t="s">
        <v>1740</v>
      </c>
      <c r="B851" s="13" t="s">
        <v>34</v>
      </c>
      <c r="C851" s="13" t="s">
        <v>1741</v>
      </c>
      <c r="D851" s="13" t="n">
        <v>58</v>
      </c>
      <c r="E851" s="13" t="s">
        <v>90</v>
      </c>
      <c r="F851" s="13" t="s">
        <v>33</v>
      </c>
      <c r="G851" s="13" t="s">
        <v>162</v>
      </c>
      <c r="H851" s="13" t="s">
        <v>41</v>
      </c>
      <c r="I851" s="13" t="n">
        <v>5</v>
      </c>
      <c r="J851" s="13" t="n">
        <v>1</v>
      </c>
      <c r="K851" s="13" t="s">
        <v>91</v>
      </c>
      <c r="L851" s="13" t="n">
        <v>4</v>
      </c>
      <c r="M851" s="13" t="n">
        <v>1572779.33</v>
      </c>
      <c r="N851" s="13" t="n">
        <v>393194.8325</v>
      </c>
      <c r="O851" s="13" t="n">
        <v>1450.2925</v>
      </c>
      <c r="P851" s="13" t="n">
        <v>1</v>
      </c>
      <c r="Q851" s="13" t="n">
        <v>3</v>
      </c>
      <c r="R851" s="13" t="s">
        <v>86</v>
      </c>
      <c r="S851" s="13" t="s">
        <v>114</v>
      </c>
      <c r="T851" s="13" t="n">
        <v>1</v>
      </c>
      <c r="U851" s="13" t="n">
        <f aca="false">IF(B851="Individual",1,0)</f>
        <v>1</v>
      </c>
      <c r="V851" s="13" t="n">
        <f aca="false">IF(B851="Company",1,0)</f>
        <v>0</v>
      </c>
      <c r="W851" s="13" t="n">
        <f aca="false">IF(H851="Home",1,0)</f>
        <v>1</v>
      </c>
      <c r="X851" s="13" t="n">
        <f aca="false">IF(H851="Investment",1,0)</f>
        <v>0</v>
      </c>
      <c r="Y851" s="13" t="n">
        <f aca="false">IF(K851="Website",1,0)</f>
        <v>0</v>
      </c>
      <c r="Z851" s="13" t="n">
        <f aca="false">IF(K851="Agency",1,0)</f>
        <v>1</v>
      </c>
      <c r="AA851" s="13" t="n">
        <f aca="false">IF(K851="Client",1,0)</f>
        <v>0</v>
      </c>
      <c r="AB851" s="13" t="n">
        <f aca="false">(D851-AVERAGE(D$2:D$2001))/STDEV(D$2:D$2001)</f>
        <v>0.222750065550728</v>
      </c>
      <c r="AC851" s="13" t="n">
        <f aca="false">(I851-AVERAGE(I$2:I$2001))/STDEV(I$2:I$2001)</f>
        <v>1.39434968409451</v>
      </c>
      <c r="AD851" s="13" t="n">
        <f aca="false">(L851-AVERAGE(L$2:L$2001))/STDEV(L$2:L$2001)</f>
        <v>0.413838214490712</v>
      </c>
      <c r="AE851" s="13" t="n">
        <f aca="false">(M851-AVERAGE(M$2:M$2001))/STDEV(M$2:M$2001)</f>
        <v>0.898149246659896</v>
      </c>
      <c r="AF851" s="13" t="n">
        <f aca="false">(N851-AVERAGE(N$2:N$2001))/STDEV(N$2:N$2001)</f>
        <v>0.661268960439294</v>
      </c>
      <c r="AG851" s="13" t="n">
        <f aca="false">(O851-AVERAGE(O$2:O$2001))/STDEV(O$2:O$2001)</f>
        <v>1.37690646600482</v>
      </c>
      <c r="AH851" s="0" t="str">
        <f aca="false">IF(B851="Company","C3 - Corporate Buyers",IF(AND(H851="Investment",M851&gt;'Segmentation Summary'!$C$1),"C1 - Global Investors",IF(AND(I851&gt;=4,M851&gt;'Segmentation Summary'!$C$1),"C4 - Luxury Investors",IF(AND(D851&lt;'Segmentation Summary'!$C$2,J851=1),"C2 - First-Time Buyers","C5 - Other Individual Buyers"))))</f>
        <v>C4 - Luxury Investors</v>
      </c>
    </row>
    <row r="852" customFormat="false" ht="15" hidden="false" customHeight="true" outlineLevel="0" collapsed="false">
      <c r="A852" s="13" t="s">
        <v>1742</v>
      </c>
      <c r="B852" s="13" t="s">
        <v>34</v>
      </c>
      <c r="C852" s="13" t="s">
        <v>1743</v>
      </c>
      <c r="D852" s="13" t="n">
        <v>78</v>
      </c>
      <c r="E852" s="13" t="s">
        <v>90</v>
      </c>
      <c r="F852" s="13" t="s">
        <v>42</v>
      </c>
      <c r="G852" s="13" t="s">
        <v>551</v>
      </c>
      <c r="H852" s="13" t="s">
        <v>43</v>
      </c>
      <c r="I852" s="13" t="n">
        <v>5</v>
      </c>
      <c r="J852" s="13" t="n">
        <v>0</v>
      </c>
      <c r="K852" s="13" t="s">
        <v>85</v>
      </c>
      <c r="L852" s="13" t="n">
        <v>3</v>
      </c>
      <c r="M852" s="13" t="n">
        <v>1070534.64</v>
      </c>
      <c r="N852" s="13" t="n">
        <v>356844.88</v>
      </c>
      <c r="O852" s="13" t="n">
        <v>1179.52333333333</v>
      </c>
      <c r="P852" s="13" t="n">
        <v>0</v>
      </c>
      <c r="Q852" s="13" t="n">
        <v>3</v>
      </c>
      <c r="R852" s="13" t="s">
        <v>98</v>
      </c>
      <c r="S852" s="13" t="s">
        <v>114</v>
      </c>
      <c r="T852" s="13" t="n">
        <v>1</v>
      </c>
      <c r="U852" s="13" t="n">
        <f aca="false">IF(B852="Individual",1,0)</f>
        <v>1</v>
      </c>
      <c r="V852" s="13" t="n">
        <f aca="false">IF(B852="Company",1,0)</f>
        <v>0</v>
      </c>
      <c r="W852" s="13" t="n">
        <f aca="false">IF(H852="Home",1,0)</f>
        <v>0</v>
      </c>
      <c r="X852" s="13" t="n">
        <f aca="false">IF(H852="Investment",1,0)</f>
        <v>1</v>
      </c>
      <c r="Y852" s="13" t="n">
        <f aca="false">IF(K852="Website",1,0)</f>
        <v>1</v>
      </c>
      <c r="Z852" s="13" t="n">
        <f aca="false">IF(K852="Agency",1,0)</f>
        <v>0</v>
      </c>
      <c r="AA852" s="13" t="n">
        <f aca="false">IF(K852="Client",1,0)</f>
        <v>0</v>
      </c>
      <c r="AB852" s="13" t="n">
        <f aca="false">(D852-AVERAGE(D$2:D$2001))/STDEV(D$2:D$2001)</f>
        <v>1.37599917531375</v>
      </c>
      <c r="AC852" s="13" t="n">
        <f aca="false">(I852-AVERAGE(I$2:I$2001))/STDEV(I$2:I$2001)</f>
        <v>1.39434968409451</v>
      </c>
      <c r="AD852" s="13" t="n">
        <f aca="false">(L852-AVERAGE(L$2:L$2001))/STDEV(L$2:L$2001)</f>
        <v>-0.777063122173208</v>
      </c>
      <c r="AE852" s="13" t="n">
        <f aca="false">(M852-AVERAGE(M$2:M$2001))/STDEV(M$2:M$2001)</f>
        <v>-0.545785232921216</v>
      </c>
      <c r="AF852" s="13" t="n">
        <f aca="false">(N852-AVERAGE(N$2:N$2001))/STDEV(N$2:N$2001)</f>
        <v>0.139912065936764</v>
      </c>
      <c r="AG852" s="13" t="n">
        <f aca="false">(O852-AVERAGE(O$2:O$2001))/STDEV(O$2:O$2001)</f>
        <v>0.145704294324491</v>
      </c>
      <c r="AH852" s="0" t="str">
        <f aca="false">IF(B852="Company","C3 - Corporate Buyers",IF(AND(H852="Investment",M852&gt;'Segmentation Summary'!$C$1),"C1 - Global Investors",IF(AND(I852&gt;=4,M852&gt;'Segmentation Summary'!$C$1),"C4 - Luxury Investors",IF(AND(D852&lt;'Segmentation Summary'!$C$2,J852=1),"C2 - First-Time Buyers","C5 - Other Individual Buyers"))))</f>
        <v>C5 - Other Individual Buyers</v>
      </c>
    </row>
    <row r="853" customFormat="false" ht="15" hidden="false" customHeight="true" outlineLevel="0" collapsed="false">
      <c r="A853" s="13" t="s">
        <v>1744</v>
      </c>
      <c r="B853" s="13" t="s">
        <v>34</v>
      </c>
      <c r="C853" s="13" t="s">
        <v>1745</v>
      </c>
      <c r="D853" s="13" t="n">
        <v>73</v>
      </c>
      <c r="E853" s="13" t="s">
        <v>83</v>
      </c>
      <c r="F853" s="13" t="s">
        <v>44</v>
      </c>
      <c r="G853" s="13" t="s">
        <v>148</v>
      </c>
      <c r="H853" s="13" t="s">
        <v>43</v>
      </c>
      <c r="I853" s="13" t="n">
        <v>1</v>
      </c>
      <c r="J853" s="13" t="n">
        <v>0</v>
      </c>
      <c r="K853" s="13" t="s">
        <v>85</v>
      </c>
      <c r="L853" s="13" t="n">
        <v>3</v>
      </c>
      <c r="M853" s="13" t="n">
        <v>1029593.97</v>
      </c>
      <c r="N853" s="13" t="n">
        <v>343197.99</v>
      </c>
      <c r="O853" s="13" t="n">
        <v>1273.45</v>
      </c>
      <c r="P853" s="13" t="n">
        <v>0</v>
      </c>
      <c r="Q853" s="13" t="n">
        <v>3</v>
      </c>
      <c r="R853" s="13" t="s">
        <v>117</v>
      </c>
      <c r="S853" s="13" t="s">
        <v>135</v>
      </c>
      <c r="T853" s="13" t="n">
        <v>1</v>
      </c>
      <c r="U853" s="13" t="n">
        <f aca="false">IF(B853="Individual",1,0)</f>
        <v>1</v>
      </c>
      <c r="V853" s="13" t="n">
        <f aca="false">IF(B853="Company",1,0)</f>
        <v>0</v>
      </c>
      <c r="W853" s="13" t="n">
        <f aca="false">IF(H853="Home",1,0)</f>
        <v>0</v>
      </c>
      <c r="X853" s="13" t="n">
        <f aca="false">IF(H853="Investment",1,0)</f>
        <v>1</v>
      </c>
      <c r="Y853" s="13" t="n">
        <f aca="false">IF(K853="Website",1,0)</f>
        <v>1</v>
      </c>
      <c r="Z853" s="13" t="n">
        <f aca="false">IF(K853="Agency",1,0)</f>
        <v>0</v>
      </c>
      <c r="AA853" s="13" t="n">
        <f aca="false">IF(K853="Client",1,0)</f>
        <v>0</v>
      </c>
      <c r="AB853" s="13" t="n">
        <f aca="false">(D853-AVERAGE(D$2:D$2001))/STDEV(D$2:D$2001)</f>
        <v>1.087686897873</v>
      </c>
      <c r="AC853" s="13" t="n">
        <f aca="false">(I853-AVERAGE(I$2:I$2001))/STDEV(I$2:I$2001)</f>
        <v>-1.43538077576244</v>
      </c>
      <c r="AD853" s="13" t="n">
        <f aca="false">(L853-AVERAGE(L$2:L$2001))/STDEV(L$2:L$2001)</f>
        <v>-0.777063122173208</v>
      </c>
      <c r="AE853" s="13" t="n">
        <f aca="false">(M853-AVERAGE(M$2:M$2001))/STDEV(M$2:M$2001)</f>
        <v>-0.663488110039044</v>
      </c>
      <c r="AF853" s="13" t="n">
        <f aca="false">(N853-AVERAGE(N$2:N$2001))/STDEV(N$2:N$2001)</f>
        <v>-0.055821344994588</v>
      </c>
      <c r="AG853" s="13" t="n">
        <f aca="false">(O853-AVERAGE(O$2:O$2001))/STDEV(O$2:O$2001)</f>
        <v>0.572793971492426</v>
      </c>
      <c r="AH853" s="0" t="str">
        <f aca="false">IF(B853="Company","C3 - Corporate Buyers",IF(AND(H853="Investment",M853&gt;'Segmentation Summary'!$C$1),"C1 - Global Investors",IF(AND(I853&gt;=4,M853&gt;'Segmentation Summary'!$C$1),"C4 - Luxury Investors",IF(AND(D853&lt;'Segmentation Summary'!$C$2,J853=1),"C2 - First-Time Buyers","C5 - Other Individual Buyers"))))</f>
        <v>C5 - Other Individual Buyers</v>
      </c>
    </row>
    <row r="854" customFormat="false" ht="15" hidden="false" customHeight="true" outlineLevel="0" collapsed="false">
      <c r="A854" s="13" t="s">
        <v>1746</v>
      </c>
      <c r="B854" s="13" t="s">
        <v>34</v>
      </c>
      <c r="C854" s="13" t="s">
        <v>1747</v>
      </c>
      <c r="D854" s="13" t="n">
        <v>61</v>
      </c>
      <c r="E854" s="13" t="s">
        <v>83</v>
      </c>
      <c r="F854" s="13" t="s">
        <v>37</v>
      </c>
      <c r="G854" s="13" t="s">
        <v>940</v>
      </c>
      <c r="H854" s="13" t="s">
        <v>43</v>
      </c>
      <c r="I854" s="13" t="n">
        <v>3</v>
      </c>
      <c r="J854" s="13" t="n">
        <v>1</v>
      </c>
      <c r="K854" s="13" t="s">
        <v>91</v>
      </c>
      <c r="L854" s="13" t="n">
        <v>3</v>
      </c>
      <c r="M854" s="13" t="n">
        <v>1220533.28</v>
      </c>
      <c r="N854" s="13" t="n">
        <v>406844.426666667</v>
      </c>
      <c r="O854" s="13" t="n">
        <v>1371.61333333333</v>
      </c>
      <c r="P854" s="13" t="n">
        <v>0</v>
      </c>
      <c r="Q854" s="13" t="n">
        <v>3</v>
      </c>
      <c r="R854" s="13" t="s">
        <v>98</v>
      </c>
      <c r="S854" s="13" t="s">
        <v>111</v>
      </c>
      <c r="T854" s="13" t="n">
        <v>1</v>
      </c>
      <c r="U854" s="13" t="n">
        <f aca="false">IF(B854="Individual",1,0)</f>
        <v>1</v>
      </c>
      <c r="V854" s="13" t="n">
        <f aca="false">IF(B854="Company",1,0)</f>
        <v>0</v>
      </c>
      <c r="W854" s="13" t="n">
        <f aca="false">IF(H854="Home",1,0)</f>
        <v>0</v>
      </c>
      <c r="X854" s="13" t="n">
        <f aca="false">IF(H854="Investment",1,0)</f>
        <v>1</v>
      </c>
      <c r="Y854" s="13" t="n">
        <f aca="false">IF(K854="Website",1,0)</f>
        <v>0</v>
      </c>
      <c r="Z854" s="13" t="n">
        <f aca="false">IF(K854="Agency",1,0)</f>
        <v>1</v>
      </c>
      <c r="AA854" s="13" t="n">
        <f aca="false">IF(K854="Client",1,0)</f>
        <v>0</v>
      </c>
      <c r="AB854" s="13" t="n">
        <f aca="false">(D854-AVERAGE(D$2:D$2001))/STDEV(D$2:D$2001)</f>
        <v>0.395737432015182</v>
      </c>
      <c r="AC854" s="13" t="n">
        <f aca="false">(I854-AVERAGE(I$2:I$2001))/STDEV(I$2:I$2001)</f>
        <v>-0.0205155458339628</v>
      </c>
      <c r="AD854" s="13" t="n">
        <f aca="false">(L854-AVERAGE(L$2:L$2001))/STDEV(L$2:L$2001)</f>
        <v>-0.777063122173208</v>
      </c>
      <c r="AE854" s="13" t="n">
        <f aca="false">(M854-AVERAGE(M$2:M$2001))/STDEV(M$2:M$2001)</f>
        <v>-0.114544818639734</v>
      </c>
      <c r="AF854" s="13" t="n">
        <f aca="false">(N854-AVERAGE(N$2:N$2001))/STDEV(N$2:N$2001)</f>
        <v>0.857041156453948</v>
      </c>
      <c r="AG854" s="13" t="n">
        <f aca="false">(O854-AVERAGE(O$2:O$2001))/STDEV(O$2:O$2001)</f>
        <v>1.01914800310991</v>
      </c>
      <c r="AH854" s="0" t="str">
        <f aca="false">IF(B854="Company","C3 - Corporate Buyers",IF(AND(H854="Investment",M854&gt;'Segmentation Summary'!$C$1),"C1 - Global Investors",IF(AND(I854&gt;=4,M854&gt;'Segmentation Summary'!$C$1),"C4 - Luxury Investors",IF(AND(D854&lt;'Segmentation Summary'!$C$2,J854=1),"C2 - First-Time Buyers","C5 - Other Individual Buyers"))))</f>
        <v>C5 - Other Individual Buyers</v>
      </c>
    </row>
    <row r="855" customFormat="false" ht="15" hidden="false" customHeight="true" outlineLevel="0" collapsed="false">
      <c r="A855" s="13" t="s">
        <v>1748</v>
      </c>
      <c r="B855" s="13" t="s">
        <v>34</v>
      </c>
      <c r="C855" s="13" t="s">
        <v>1749</v>
      </c>
      <c r="D855" s="13" t="n">
        <v>37</v>
      </c>
      <c r="E855" s="13" t="s">
        <v>83</v>
      </c>
      <c r="F855" s="13" t="s">
        <v>33</v>
      </c>
      <c r="G855" s="13" t="s">
        <v>157</v>
      </c>
      <c r="H855" s="13" t="s">
        <v>43</v>
      </c>
      <c r="I855" s="13" t="n">
        <v>1</v>
      </c>
      <c r="J855" s="13" t="n">
        <v>1</v>
      </c>
      <c r="K855" s="13" t="s">
        <v>85</v>
      </c>
      <c r="L855" s="13" t="n">
        <v>4</v>
      </c>
      <c r="M855" s="13" t="n">
        <v>1282390.94</v>
      </c>
      <c r="N855" s="13" t="n">
        <v>320597.735</v>
      </c>
      <c r="O855" s="13" t="n">
        <v>1103.3225</v>
      </c>
      <c r="P855" s="13" t="n">
        <v>0</v>
      </c>
      <c r="Q855" s="13" t="n">
        <v>4</v>
      </c>
      <c r="R855" s="13" t="s">
        <v>101</v>
      </c>
      <c r="S855" s="13" t="s">
        <v>133</v>
      </c>
      <c r="T855" s="13" t="n">
        <v>1</v>
      </c>
      <c r="U855" s="13" t="n">
        <f aca="false">IF(B855="Individual",1,0)</f>
        <v>1</v>
      </c>
      <c r="V855" s="13" t="n">
        <f aca="false">IF(B855="Company",1,0)</f>
        <v>0</v>
      </c>
      <c r="W855" s="13" t="n">
        <f aca="false">IF(H855="Home",1,0)</f>
        <v>0</v>
      </c>
      <c r="X855" s="13" t="n">
        <f aca="false">IF(H855="Investment",1,0)</f>
        <v>1</v>
      </c>
      <c r="Y855" s="13" t="n">
        <f aca="false">IF(K855="Website",1,0)</f>
        <v>1</v>
      </c>
      <c r="Z855" s="13" t="n">
        <f aca="false">IF(K855="Agency",1,0)</f>
        <v>0</v>
      </c>
      <c r="AA855" s="13" t="n">
        <f aca="false">IF(K855="Client",1,0)</f>
        <v>0</v>
      </c>
      <c r="AB855" s="13" t="n">
        <f aca="false">(D855-AVERAGE(D$2:D$2001))/STDEV(D$2:D$2001)</f>
        <v>-0.988161499700447</v>
      </c>
      <c r="AC855" s="13" t="n">
        <f aca="false">(I855-AVERAGE(I$2:I$2001))/STDEV(I$2:I$2001)</f>
        <v>-1.43538077576244</v>
      </c>
      <c r="AD855" s="13" t="n">
        <f aca="false">(L855-AVERAGE(L$2:L$2001))/STDEV(L$2:L$2001)</f>
        <v>0.413838214490712</v>
      </c>
      <c r="AE855" s="13" t="n">
        <f aca="false">(M855-AVERAGE(M$2:M$2001))/STDEV(M$2:M$2001)</f>
        <v>0.0632936132612691</v>
      </c>
      <c r="AF855" s="13" t="n">
        <f aca="false">(N855-AVERAGE(N$2:N$2001))/STDEV(N$2:N$2001)</f>
        <v>-0.379970290217151</v>
      </c>
      <c r="AG855" s="13" t="n">
        <f aca="false">(O855-AVERAGE(O$2:O$2001))/STDEV(O$2:O$2001)</f>
        <v>-0.200785051707075</v>
      </c>
      <c r="AH855" s="0" t="str">
        <f aca="false">IF(B855="Company","C3 - Corporate Buyers",IF(AND(H855="Investment",M855&gt;'Segmentation Summary'!$C$1),"C1 - Global Investors",IF(AND(I855&gt;=4,M855&gt;'Segmentation Summary'!$C$1),"C4 - Luxury Investors",IF(AND(D855&lt;'Segmentation Summary'!$C$2,J855=1),"C2 - First-Time Buyers","C5 - Other Individual Buyers"))))</f>
        <v>C1 - Global Investors</v>
      </c>
    </row>
    <row r="856" customFormat="false" ht="15" hidden="false" customHeight="true" outlineLevel="0" collapsed="false">
      <c r="A856" s="13" t="s">
        <v>1750</v>
      </c>
      <c r="B856" s="13" t="s">
        <v>34</v>
      </c>
      <c r="C856" s="13" t="s">
        <v>1751</v>
      </c>
      <c r="D856" s="13" t="n">
        <v>91</v>
      </c>
      <c r="E856" s="13" t="s">
        <v>83</v>
      </c>
      <c r="F856" s="13" t="s">
        <v>33</v>
      </c>
      <c r="G856" s="13" t="s">
        <v>95</v>
      </c>
      <c r="H856" s="13" t="s">
        <v>41</v>
      </c>
      <c r="I856" s="13" t="n">
        <v>4</v>
      </c>
      <c r="J856" s="13" t="n">
        <v>1</v>
      </c>
      <c r="K856" s="13" t="s">
        <v>91</v>
      </c>
      <c r="L856" s="13" t="n">
        <v>5</v>
      </c>
      <c r="M856" s="13" t="n">
        <v>2020519.52</v>
      </c>
      <c r="N856" s="13" t="n">
        <v>404103.904</v>
      </c>
      <c r="O856" s="13" t="n">
        <v>1344.144</v>
      </c>
      <c r="P856" s="13" t="n">
        <v>1</v>
      </c>
      <c r="Q856" s="13" t="n">
        <v>4</v>
      </c>
      <c r="R856" s="13" t="s">
        <v>86</v>
      </c>
      <c r="S856" s="13" t="s">
        <v>114</v>
      </c>
      <c r="T856" s="13" t="n">
        <v>1</v>
      </c>
      <c r="U856" s="13" t="n">
        <f aca="false">IF(B856="Individual",1,0)</f>
        <v>1</v>
      </c>
      <c r="V856" s="13" t="n">
        <f aca="false">IF(B856="Company",1,0)</f>
        <v>0</v>
      </c>
      <c r="W856" s="13" t="n">
        <f aca="false">IF(H856="Home",1,0)</f>
        <v>1</v>
      </c>
      <c r="X856" s="13" t="n">
        <f aca="false">IF(H856="Investment",1,0)</f>
        <v>0</v>
      </c>
      <c r="Y856" s="13" t="n">
        <f aca="false">IF(K856="Website",1,0)</f>
        <v>0</v>
      </c>
      <c r="Z856" s="13" t="n">
        <f aca="false">IF(K856="Agency",1,0)</f>
        <v>1</v>
      </c>
      <c r="AA856" s="13" t="n">
        <f aca="false">IF(K856="Client",1,0)</f>
        <v>0</v>
      </c>
      <c r="AB856" s="13" t="n">
        <f aca="false">(D856-AVERAGE(D$2:D$2001))/STDEV(D$2:D$2001)</f>
        <v>2.12561109665972</v>
      </c>
      <c r="AC856" s="13" t="n">
        <f aca="false">(I856-AVERAGE(I$2:I$2001))/STDEV(I$2:I$2001)</f>
        <v>0.686917069130275</v>
      </c>
      <c r="AD856" s="13" t="n">
        <f aca="false">(L856-AVERAGE(L$2:L$2001))/STDEV(L$2:L$2001)</f>
        <v>1.60473955115463</v>
      </c>
      <c r="AE856" s="13" t="n">
        <f aca="false">(M856-AVERAGE(M$2:M$2001))/STDEV(M$2:M$2001)</f>
        <v>2.18538535110771</v>
      </c>
      <c r="AF856" s="13" t="n">
        <f aca="false">(N856-AVERAGE(N$2:N$2001))/STDEV(N$2:N$2001)</f>
        <v>0.817734629524998</v>
      </c>
      <c r="AG856" s="13" t="n">
        <f aca="false">(O856-AVERAGE(O$2:O$2001))/STDEV(O$2:O$2001)</f>
        <v>0.894243445951672</v>
      </c>
      <c r="AH856" s="0" t="str">
        <f aca="false">IF(B856="Company","C3 - Corporate Buyers",IF(AND(H856="Investment",M856&gt;'Segmentation Summary'!$C$1),"C1 - Global Investors",IF(AND(I856&gt;=4,M856&gt;'Segmentation Summary'!$C$1),"C4 - Luxury Investors",IF(AND(D856&lt;'Segmentation Summary'!$C$2,J856=1),"C2 - First-Time Buyers","C5 - Other Individual Buyers"))))</f>
        <v>C4 - Luxury Investors</v>
      </c>
    </row>
    <row r="857" customFormat="false" ht="15" hidden="false" customHeight="true" outlineLevel="0" collapsed="false">
      <c r="A857" s="13" t="s">
        <v>1752</v>
      </c>
      <c r="B857" s="13" t="s">
        <v>34</v>
      </c>
      <c r="C857" s="13" t="s">
        <v>1753</v>
      </c>
      <c r="D857" s="13" t="n">
        <v>38</v>
      </c>
      <c r="E857" s="13" t="s">
        <v>83</v>
      </c>
      <c r="F857" s="13" t="s">
        <v>33</v>
      </c>
      <c r="G857" s="13" t="s">
        <v>95</v>
      </c>
      <c r="H857" s="13" t="s">
        <v>43</v>
      </c>
      <c r="I857" s="13" t="n">
        <v>1</v>
      </c>
      <c r="J857" s="13" t="n">
        <v>0</v>
      </c>
      <c r="K857" s="13" t="s">
        <v>85</v>
      </c>
      <c r="L857" s="13" t="n">
        <v>4</v>
      </c>
      <c r="M857" s="13" t="n">
        <v>1971083.93</v>
      </c>
      <c r="N857" s="13" t="n">
        <v>492770.9825</v>
      </c>
      <c r="O857" s="13" t="n">
        <v>1602.67</v>
      </c>
      <c r="P857" s="13" t="n">
        <v>0</v>
      </c>
      <c r="Q857" s="13" t="n">
        <v>4</v>
      </c>
      <c r="R857" s="13" t="s">
        <v>98</v>
      </c>
      <c r="S857" s="13" t="s">
        <v>87</v>
      </c>
      <c r="T857" s="13" t="n">
        <v>1</v>
      </c>
      <c r="U857" s="13" t="n">
        <f aca="false">IF(B857="Individual",1,0)</f>
        <v>1</v>
      </c>
      <c r="V857" s="13" t="n">
        <f aca="false">IF(B857="Company",1,0)</f>
        <v>0</v>
      </c>
      <c r="W857" s="13" t="n">
        <f aca="false">IF(H857="Home",1,0)</f>
        <v>0</v>
      </c>
      <c r="X857" s="13" t="n">
        <f aca="false">IF(H857="Investment",1,0)</f>
        <v>1</v>
      </c>
      <c r="Y857" s="13" t="n">
        <f aca="false">IF(K857="Website",1,0)</f>
        <v>1</v>
      </c>
      <c r="Z857" s="13" t="n">
        <f aca="false">IF(K857="Agency",1,0)</f>
        <v>0</v>
      </c>
      <c r="AA857" s="13" t="n">
        <f aca="false">IF(K857="Client",1,0)</f>
        <v>0</v>
      </c>
      <c r="AB857" s="13" t="n">
        <f aca="false">(D857-AVERAGE(D$2:D$2001))/STDEV(D$2:D$2001)</f>
        <v>-0.930499044212296</v>
      </c>
      <c r="AC857" s="13" t="n">
        <f aca="false">(I857-AVERAGE(I$2:I$2001))/STDEV(I$2:I$2001)</f>
        <v>-1.43538077576244</v>
      </c>
      <c r="AD857" s="13" t="n">
        <f aca="false">(L857-AVERAGE(L$2:L$2001))/STDEV(L$2:L$2001)</f>
        <v>0.413838214490712</v>
      </c>
      <c r="AE857" s="13" t="n">
        <f aca="false">(M857-AVERAGE(M$2:M$2001))/STDEV(M$2:M$2001)</f>
        <v>2.04325990042462</v>
      </c>
      <c r="AF857" s="13" t="n">
        <f aca="false">(N857-AVERAGE(N$2:N$2001))/STDEV(N$2:N$2001)</f>
        <v>2.08946098711438</v>
      </c>
      <c r="AG857" s="13" t="n">
        <f aca="false">(O857-AVERAGE(O$2:O$2001))/STDEV(O$2:O$2001)</f>
        <v>2.06977527091633</v>
      </c>
      <c r="AH857" s="0" t="str">
        <f aca="false">IF(B857="Company","C3 - Corporate Buyers",IF(AND(H857="Investment",M857&gt;'Segmentation Summary'!$C$1),"C1 - Global Investors",IF(AND(I857&gt;=4,M857&gt;'Segmentation Summary'!$C$1),"C4 - Luxury Investors",IF(AND(D857&lt;'Segmentation Summary'!$C$2,J857=1),"C2 - First-Time Buyers","C5 - Other Individual Buyers"))))</f>
        <v>C1 - Global Investors</v>
      </c>
    </row>
    <row r="858" customFormat="false" ht="15" hidden="false" customHeight="true" outlineLevel="0" collapsed="false">
      <c r="A858" s="13" t="s">
        <v>1754</v>
      </c>
      <c r="B858" s="13" t="s">
        <v>34</v>
      </c>
      <c r="C858" s="13" t="s">
        <v>1755</v>
      </c>
      <c r="D858" s="13" t="n">
        <v>84</v>
      </c>
      <c r="E858" s="13" t="s">
        <v>83</v>
      </c>
      <c r="F858" s="13" t="s">
        <v>33</v>
      </c>
      <c r="G858" s="13" t="s">
        <v>84</v>
      </c>
      <c r="H858" s="13" t="s">
        <v>41</v>
      </c>
      <c r="I858" s="13" t="n">
        <v>4</v>
      </c>
      <c r="J858" s="13" t="n">
        <v>1</v>
      </c>
      <c r="K858" s="13" t="s">
        <v>85</v>
      </c>
      <c r="L858" s="13" t="n">
        <v>4</v>
      </c>
      <c r="M858" s="13" t="n">
        <v>1330046.48</v>
      </c>
      <c r="N858" s="13" t="n">
        <v>332511.62</v>
      </c>
      <c r="O858" s="13" t="n">
        <v>1068.57</v>
      </c>
      <c r="P858" s="13" t="n">
        <v>0</v>
      </c>
      <c r="Q858" s="13" t="n">
        <v>4</v>
      </c>
      <c r="R858" s="13" t="s">
        <v>121</v>
      </c>
      <c r="S858" s="13" t="s">
        <v>152</v>
      </c>
      <c r="T858" s="13" t="n">
        <v>1</v>
      </c>
      <c r="U858" s="13" t="n">
        <f aca="false">IF(B858="Individual",1,0)</f>
        <v>1</v>
      </c>
      <c r="V858" s="13" t="n">
        <f aca="false">IF(B858="Company",1,0)</f>
        <v>0</v>
      </c>
      <c r="W858" s="13" t="n">
        <f aca="false">IF(H858="Home",1,0)</f>
        <v>1</v>
      </c>
      <c r="X858" s="13" t="n">
        <f aca="false">IF(H858="Investment",1,0)</f>
        <v>0</v>
      </c>
      <c r="Y858" s="13" t="n">
        <f aca="false">IF(K858="Website",1,0)</f>
        <v>1</v>
      </c>
      <c r="Z858" s="13" t="n">
        <f aca="false">IF(K858="Agency",1,0)</f>
        <v>0</v>
      </c>
      <c r="AA858" s="13" t="n">
        <f aca="false">IF(K858="Client",1,0)</f>
        <v>0</v>
      </c>
      <c r="AB858" s="13" t="n">
        <f aca="false">(D858-AVERAGE(D$2:D$2001))/STDEV(D$2:D$2001)</f>
        <v>1.72197390824266</v>
      </c>
      <c r="AC858" s="13" t="n">
        <f aca="false">(I858-AVERAGE(I$2:I$2001))/STDEV(I$2:I$2001)</f>
        <v>0.686917069130275</v>
      </c>
      <c r="AD858" s="13" t="n">
        <f aca="false">(L858-AVERAGE(L$2:L$2001))/STDEV(L$2:L$2001)</f>
        <v>0.413838214490712</v>
      </c>
      <c r="AE858" s="13" t="n">
        <f aca="false">(M858-AVERAGE(M$2:M$2001))/STDEV(M$2:M$2001)</f>
        <v>0.200301487548714</v>
      </c>
      <c r="AF858" s="13" t="n">
        <f aca="false">(N858-AVERAGE(N$2:N$2001))/STDEV(N$2:N$2001)</f>
        <v>-0.209092870637022</v>
      </c>
      <c r="AG858" s="13" t="n">
        <f aca="false">(O858-AVERAGE(O$2:O$2001))/STDEV(O$2:O$2001)</f>
        <v>-0.358806565005869</v>
      </c>
      <c r="AH858" s="0" t="str">
        <f aca="false">IF(B858="Company","C3 - Corporate Buyers",IF(AND(H858="Investment",M858&gt;'Segmentation Summary'!$C$1),"C1 - Global Investors",IF(AND(I858&gt;=4,M858&gt;'Segmentation Summary'!$C$1),"C4 - Luxury Investors",IF(AND(D858&lt;'Segmentation Summary'!$C$2,J858=1),"C2 - First-Time Buyers","C5 - Other Individual Buyers"))))</f>
        <v>C4 - Luxury Investors</v>
      </c>
    </row>
    <row r="859" customFormat="false" ht="15" hidden="false" customHeight="true" outlineLevel="0" collapsed="false">
      <c r="A859" s="13" t="s">
        <v>1756</v>
      </c>
      <c r="B859" s="13" t="s">
        <v>34</v>
      </c>
      <c r="C859" s="13" t="s">
        <v>1757</v>
      </c>
      <c r="D859" s="13" t="n">
        <v>55</v>
      </c>
      <c r="E859" s="13" t="s">
        <v>83</v>
      </c>
      <c r="F859" s="13" t="s">
        <v>33</v>
      </c>
      <c r="G859" s="13" t="s">
        <v>110</v>
      </c>
      <c r="H859" s="13" t="s">
        <v>41</v>
      </c>
      <c r="I859" s="13" t="n">
        <v>4</v>
      </c>
      <c r="J859" s="13" t="n">
        <v>0</v>
      </c>
      <c r="K859" s="13" t="s">
        <v>91</v>
      </c>
      <c r="L859" s="13" t="n">
        <v>4</v>
      </c>
      <c r="M859" s="13" t="n">
        <v>1789601.33</v>
      </c>
      <c r="N859" s="13" t="n">
        <v>447400.3325</v>
      </c>
      <c r="O859" s="13" t="n">
        <v>1422.9925</v>
      </c>
      <c r="P859" s="13" t="n">
        <v>1</v>
      </c>
      <c r="Q859" s="13" t="n">
        <v>3</v>
      </c>
      <c r="R859" s="13" t="s">
        <v>101</v>
      </c>
      <c r="S859" s="13" t="s">
        <v>114</v>
      </c>
      <c r="T859" s="13" t="n">
        <v>1</v>
      </c>
      <c r="U859" s="13" t="n">
        <f aca="false">IF(B859="Individual",1,0)</f>
        <v>1</v>
      </c>
      <c r="V859" s="13" t="n">
        <f aca="false">IF(B859="Company",1,0)</f>
        <v>0</v>
      </c>
      <c r="W859" s="13" t="n">
        <f aca="false">IF(H859="Home",1,0)</f>
        <v>1</v>
      </c>
      <c r="X859" s="13" t="n">
        <f aca="false">IF(H859="Investment",1,0)</f>
        <v>0</v>
      </c>
      <c r="Y859" s="13" t="n">
        <f aca="false">IF(K859="Website",1,0)</f>
        <v>0</v>
      </c>
      <c r="Z859" s="13" t="n">
        <f aca="false">IF(K859="Agency",1,0)</f>
        <v>1</v>
      </c>
      <c r="AA859" s="13" t="n">
        <f aca="false">IF(K859="Client",1,0)</f>
        <v>0</v>
      </c>
      <c r="AB859" s="13" t="n">
        <f aca="false">(D859-AVERAGE(D$2:D$2001))/STDEV(D$2:D$2001)</f>
        <v>0.0497626990862745</v>
      </c>
      <c r="AC859" s="13" t="n">
        <f aca="false">(I859-AVERAGE(I$2:I$2001))/STDEV(I$2:I$2001)</f>
        <v>0.686917069130275</v>
      </c>
      <c r="AD859" s="13" t="n">
        <f aca="false">(L859-AVERAGE(L$2:L$2001))/STDEV(L$2:L$2001)</f>
        <v>0.413838214490712</v>
      </c>
      <c r="AE859" s="13" t="n">
        <f aca="false">(M859-AVERAGE(M$2:M$2001))/STDEV(M$2:M$2001)</f>
        <v>1.52150429244791</v>
      </c>
      <c r="AF859" s="13" t="n">
        <f aca="false">(N859-AVERAGE(N$2:N$2001))/STDEV(N$2:N$2001)</f>
        <v>1.43872282767494</v>
      </c>
      <c r="AG859" s="13" t="n">
        <f aca="false">(O859-AVERAGE(O$2:O$2001))/STDEV(O$2:O$2001)</f>
        <v>1.25277187675061</v>
      </c>
      <c r="AH859" s="0" t="str">
        <f aca="false">IF(B859="Company","C3 - Corporate Buyers",IF(AND(H859="Investment",M859&gt;'Segmentation Summary'!$C$1),"C1 - Global Investors",IF(AND(I859&gt;=4,M859&gt;'Segmentation Summary'!$C$1),"C4 - Luxury Investors",IF(AND(D859&lt;'Segmentation Summary'!$C$2,J859=1),"C2 - First-Time Buyers","C5 - Other Individual Buyers"))))</f>
        <v>C4 - Luxury Investors</v>
      </c>
    </row>
    <row r="860" customFormat="false" ht="15" hidden="false" customHeight="true" outlineLevel="0" collapsed="false">
      <c r="A860" s="13" t="s">
        <v>1758</v>
      </c>
      <c r="B860" s="13" t="s">
        <v>34</v>
      </c>
      <c r="C860" s="13" t="s">
        <v>1759</v>
      </c>
      <c r="D860" s="13" t="n">
        <v>30</v>
      </c>
      <c r="E860" s="13" t="s">
        <v>83</v>
      </c>
      <c r="F860" s="13" t="s">
        <v>33</v>
      </c>
      <c r="G860" s="13" t="s">
        <v>95</v>
      </c>
      <c r="H860" s="13" t="s">
        <v>41</v>
      </c>
      <c r="I860" s="13" t="n">
        <v>5</v>
      </c>
      <c r="J860" s="13" t="n">
        <v>1</v>
      </c>
      <c r="K860" s="13" t="s">
        <v>85</v>
      </c>
      <c r="L860" s="13" t="n">
        <v>4</v>
      </c>
      <c r="M860" s="13" t="n">
        <v>1301018.95</v>
      </c>
      <c r="N860" s="13" t="n">
        <v>325254.7375</v>
      </c>
      <c r="O860" s="13" t="n">
        <v>972.245</v>
      </c>
      <c r="P860" s="13" t="n">
        <v>0</v>
      </c>
      <c r="Q860" s="13" t="n">
        <v>4</v>
      </c>
      <c r="R860" s="13" t="s">
        <v>93</v>
      </c>
      <c r="S860" s="13" t="s">
        <v>87</v>
      </c>
      <c r="T860" s="13" t="n">
        <v>1</v>
      </c>
      <c r="U860" s="13" t="n">
        <f aca="false">IF(B860="Individual",1,0)</f>
        <v>1</v>
      </c>
      <c r="V860" s="13" t="n">
        <f aca="false">IF(B860="Company",1,0)</f>
        <v>0</v>
      </c>
      <c r="W860" s="13" t="n">
        <f aca="false">IF(H860="Home",1,0)</f>
        <v>1</v>
      </c>
      <c r="X860" s="13" t="n">
        <f aca="false">IF(H860="Investment",1,0)</f>
        <v>0</v>
      </c>
      <c r="Y860" s="13" t="n">
        <f aca="false">IF(K860="Website",1,0)</f>
        <v>1</v>
      </c>
      <c r="Z860" s="13" t="n">
        <f aca="false">IF(K860="Agency",1,0)</f>
        <v>0</v>
      </c>
      <c r="AA860" s="13" t="n">
        <f aca="false">IF(K860="Client",1,0)</f>
        <v>0</v>
      </c>
      <c r="AB860" s="13" t="n">
        <f aca="false">(D860-AVERAGE(D$2:D$2001))/STDEV(D$2:D$2001)</f>
        <v>-1.39179868811751</v>
      </c>
      <c r="AC860" s="13" t="n">
        <f aca="false">(I860-AVERAGE(I$2:I$2001))/STDEV(I$2:I$2001)</f>
        <v>1.39434968409451</v>
      </c>
      <c r="AD860" s="13" t="n">
        <f aca="false">(L860-AVERAGE(L$2:L$2001))/STDEV(L$2:L$2001)</f>
        <v>0.413838214490712</v>
      </c>
      <c r="AE860" s="13" t="n">
        <f aca="false">(M860-AVERAGE(M$2:M$2001))/STDEV(M$2:M$2001)</f>
        <v>0.116848437155936</v>
      </c>
      <c r="AF860" s="13" t="n">
        <f aca="false">(N860-AVERAGE(N$2:N$2001))/STDEV(N$2:N$2001)</f>
        <v>-0.313176245270586</v>
      </c>
      <c r="AG860" s="13" t="n">
        <f aca="false">(O860-AVERAGE(O$2:O$2001))/STDEV(O$2:O$2001)</f>
        <v>-0.796801594672983</v>
      </c>
      <c r="AH860" s="0" t="str">
        <f aca="false">IF(B860="Company","C3 - Corporate Buyers",IF(AND(H860="Investment",M860&gt;'Segmentation Summary'!$C$1),"C1 - Global Investors",IF(AND(I860&gt;=4,M860&gt;'Segmentation Summary'!$C$1),"C4 - Luxury Investors",IF(AND(D860&lt;'Segmentation Summary'!$C$2,J860=1),"C2 - First-Time Buyers","C5 - Other Individual Buyers"))))</f>
        <v>C4 - Luxury Investors</v>
      </c>
    </row>
    <row r="861" customFormat="false" ht="15" hidden="false" customHeight="true" outlineLevel="0" collapsed="false">
      <c r="A861" s="13" t="s">
        <v>1760</v>
      </c>
      <c r="B861" s="13" t="s">
        <v>34</v>
      </c>
      <c r="C861" s="13" t="s">
        <v>1761</v>
      </c>
      <c r="D861" s="13" t="n">
        <v>65</v>
      </c>
      <c r="E861" s="13" t="s">
        <v>83</v>
      </c>
      <c r="F861" s="13" t="s">
        <v>46</v>
      </c>
      <c r="G861" s="13" t="s">
        <v>414</v>
      </c>
      <c r="H861" s="13" t="s">
        <v>41</v>
      </c>
      <c r="I861" s="13" t="n">
        <v>1</v>
      </c>
      <c r="J861" s="13" t="n">
        <v>0</v>
      </c>
      <c r="K861" s="13" t="s">
        <v>85</v>
      </c>
      <c r="L861" s="13" t="n">
        <v>4</v>
      </c>
      <c r="M861" s="13" t="n">
        <v>1221304.62</v>
      </c>
      <c r="N861" s="13" t="n">
        <v>305326.155</v>
      </c>
      <c r="O861" s="13" t="n">
        <v>984.9525</v>
      </c>
      <c r="P861" s="13" t="n">
        <v>1</v>
      </c>
      <c r="Q861" s="13" t="n">
        <v>3</v>
      </c>
      <c r="R861" s="13" t="s">
        <v>124</v>
      </c>
      <c r="S861" s="13" t="s">
        <v>154</v>
      </c>
      <c r="T861" s="13" t="n">
        <v>1</v>
      </c>
      <c r="U861" s="13" t="n">
        <f aca="false">IF(B861="Individual",1,0)</f>
        <v>1</v>
      </c>
      <c r="V861" s="13" t="n">
        <f aca="false">IF(B861="Company",1,0)</f>
        <v>0</v>
      </c>
      <c r="W861" s="13" t="n">
        <f aca="false">IF(H861="Home",1,0)</f>
        <v>1</v>
      </c>
      <c r="X861" s="13" t="n">
        <f aca="false">IF(H861="Investment",1,0)</f>
        <v>0</v>
      </c>
      <c r="Y861" s="13" t="n">
        <f aca="false">IF(K861="Website",1,0)</f>
        <v>1</v>
      </c>
      <c r="Z861" s="13" t="n">
        <f aca="false">IF(K861="Agency",1,0)</f>
        <v>0</v>
      </c>
      <c r="AA861" s="13" t="n">
        <f aca="false">IF(K861="Client",1,0)</f>
        <v>0</v>
      </c>
      <c r="AB861" s="13" t="n">
        <f aca="false">(D861-AVERAGE(D$2:D$2001))/STDEV(D$2:D$2001)</f>
        <v>0.626387253967787</v>
      </c>
      <c r="AC861" s="13" t="n">
        <f aca="false">(I861-AVERAGE(I$2:I$2001))/STDEV(I$2:I$2001)</f>
        <v>-1.43538077576244</v>
      </c>
      <c r="AD861" s="13" t="n">
        <f aca="false">(L861-AVERAGE(L$2:L$2001))/STDEV(L$2:L$2001)</f>
        <v>0.413838214490712</v>
      </c>
      <c r="AE861" s="13" t="n">
        <f aca="false">(M861-AVERAGE(M$2:M$2001))/STDEV(M$2:M$2001)</f>
        <v>-0.112327245326056</v>
      </c>
      <c r="AF861" s="13" t="n">
        <f aca="false">(N861-AVERAGE(N$2:N$2001))/STDEV(N$2:N$2001)</f>
        <v>-0.599006161665592</v>
      </c>
      <c r="AG861" s="13" t="n">
        <f aca="false">(O861-AVERAGE(O$2:O$2001))/STDEV(O$2:O$2001)</f>
        <v>-0.739019898960604</v>
      </c>
      <c r="AH861" s="0" t="str">
        <f aca="false">IF(B861="Company","C3 - Corporate Buyers",IF(AND(H861="Investment",M861&gt;'Segmentation Summary'!$C$1),"C1 - Global Investors",IF(AND(I861&gt;=4,M861&gt;'Segmentation Summary'!$C$1),"C4 - Luxury Investors",IF(AND(D861&lt;'Segmentation Summary'!$C$2,J861=1),"C2 - First-Time Buyers","C5 - Other Individual Buyers"))))</f>
        <v>C5 - Other Individual Buyers</v>
      </c>
    </row>
    <row r="862" customFormat="false" ht="15" hidden="false" customHeight="true" outlineLevel="0" collapsed="false">
      <c r="A862" s="13" t="s">
        <v>1762</v>
      </c>
      <c r="B862" s="13" t="s">
        <v>34</v>
      </c>
      <c r="C862" s="13" t="s">
        <v>1763</v>
      </c>
      <c r="D862" s="13" t="n">
        <v>58</v>
      </c>
      <c r="E862" s="13" t="s">
        <v>83</v>
      </c>
      <c r="F862" s="13" t="s">
        <v>33</v>
      </c>
      <c r="G862" s="13" t="s">
        <v>95</v>
      </c>
      <c r="H862" s="13" t="s">
        <v>41</v>
      </c>
      <c r="I862" s="13" t="n">
        <v>4</v>
      </c>
      <c r="J862" s="13" t="n">
        <v>1</v>
      </c>
      <c r="K862" s="13" t="s">
        <v>91</v>
      </c>
      <c r="L862" s="13" t="n">
        <v>4</v>
      </c>
      <c r="M862" s="13" t="n">
        <v>1185505.46</v>
      </c>
      <c r="N862" s="13" t="n">
        <v>296376.365</v>
      </c>
      <c r="O862" s="13" t="n">
        <v>986.395</v>
      </c>
      <c r="P862" s="13" t="n">
        <v>0</v>
      </c>
      <c r="Q862" s="13" t="n">
        <v>4</v>
      </c>
      <c r="R862" s="13" t="s">
        <v>111</v>
      </c>
      <c r="S862" s="13" t="s">
        <v>125</v>
      </c>
      <c r="T862" s="13" t="n">
        <v>1</v>
      </c>
      <c r="U862" s="13" t="n">
        <f aca="false">IF(B862="Individual",1,0)</f>
        <v>1</v>
      </c>
      <c r="V862" s="13" t="n">
        <f aca="false">IF(B862="Company",1,0)</f>
        <v>0</v>
      </c>
      <c r="W862" s="13" t="n">
        <f aca="false">IF(H862="Home",1,0)</f>
        <v>1</v>
      </c>
      <c r="X862" s="13" t="n">
        <f aca="false">IF(H862="Investment",1,0)</f>
        <v>0</v>
      </c>
      <c r="Y862" s="13" t="n">
        <f aca="false">IF(K862="Website",1,0)</f>
        <v>0</v>
      </c>
      <c r="Z862" s="13" t="n">
        <f aca="false">IF(K862="Agency",1,0)</f>
        <v>1</v>
      </c>
      <c r="AA862" s="13" t="n">
        <f aca="false">IF(K862="Client",1,0)</f>
        <v>0</v>
      </c>
      <c r="AB862" s="13" t="n">
        <f aca="false">(D862-AVERAGE(D$2:D$2001))/STDEV(D$2:D$2001)</f>
        <v>0.222750065550728</v>
      </c>
      <c r="AC862" s="13" t="n">
        <f aca="false">(I862-AVERAGE(I$2:I$2001))/STDEV(I$2:I$2001)</f>
        <v>0.686917069130275</v>
      </c>
      <c r="AD862" s="13" t="n">
        <f aca="false">(L862-AVERAGE(L$2:L$2001))/STDEV(L$2:L$2001)</f>
        <v>0.413838214490712</v>
      </c>
      <c r="AE862" s="13" t="n">
        <f aca="false">(M862-AVERAGE(M$2:M$2001))/STDEV(M$2:M$2001)</f>
        <v>-0.215248475740739</v>
      </c>
      <c r="AF862" s="13" t="n">
        <f aca="false">(N862-AVERAGE(N$2:N$2001))/STDEV(N$2:N$2001)</f>
        <v>-0.727370420761936</v>
      </c>
      <c r="AG862" s="13" t="n">
        <f aca="false">(O862-AVERAGE(O$2:O$2001))/STDEV(O$2:O$2001)</f>
        <v>-0.732460772770157</v>
      </c>
      <c r="AH862" s="0" t="str">
        <f aca="false">IF(B862="Company","C3 - Corporate Buyers",IF(AND(H862="Investment",M862&gt;'Segmentation Summary'!$C$1),"C1 - Global Investors",IF(AND(I862&gt;=4,M862&gt;'Segmentation Summary'!$C$1),"C4 - Luxury Investors",IF(AND(D862&lt;'Segmentation Summary'!$C$2,J862=1),"C2 - First-Time Buyers","C5 - Other Individual Buyers"))))</f>
        <v>C5 - Other Individual Buyers</v>
      </c>
    </row>
    <row r="863" customFormat="false" ht="15" hidden="false" customHeight="true" outlineLevel="0" collapsed="false">
      <c r="A863" s="13" t="s">
        <v>1764</v>
      </c>
      <c r="B863" s="13" t="s">
        <v>34</v>
      </c>
      <c r="C863" s="13" t="s">
        <v>1765</v>
      </c>
      <c r="D863" s="13" t="n">
        <v>75</v>
      </c>
      <c r="E863" s="13" t="s">
        <v>83</v>
      </c>
      <c r="F863" s="13" t="s">
        <v>33</v>
      </c>
      <c r="G863" s="13" t="s">
        <v>95</v>
      </c>
      <c r="H863" s="13" t="s">
        <v>41</v>
      </c>
      <c r="I863" s="13" t="n">
        <v>3</v>
      </c>
      <c r="J863" s="13" t="n">
        <v>0</v>
      </c>
      <c r="K863" s="13" t="s">
        <v>91</v>
      </c>
      <c r="L863" s="13" t="n">
        <v>4</v>
      </c>
      <c r="M863" s="13" t="n">
        <v>1041853.81</v>
      </c>
      <c r="N863" s="13" t="n">
        <v>260463.4525</v>
      </c>
      <c r="O863" s="13" t="n">
        <v>854.79</v>
      </c>
      <c r="P863" s="13" t="n">
        <v>0</v>
      </c>
      <c r="Q863" s="13" t="n">
        <v>4</v>
      </c>
      <c r="R863" s="13" t="s">
        <v>101</v>
      </c>
      <c r="S863" s="13" t="s">
        <v>154</v>
      </c>
      <c r="T863" s="13" t="n">
        <v>1</v>
      </c>
      <c r="U863" s="13" t="n">
        <f aca="false">IF(B863="Individual",1,0)</f>
        <v>1</v>
      </c>
      <c r="V863" s="13" t="n">
        <f aca="false">IF(B863="Company",1,0)</f>
        <v>0</v>
      </c>
      <c r="W863" s="13" t="n">
        <f aca="false">IF(H863="Home",1,0)</f>
        <v>1</v>
      </c>
      <c r="X863" s="13" t="n">
        <f aca="false">IF(H863="Investment",1,0)</f>
        <v>0</v>
      </c>
      <c r="Y863" s="13" t="n">
        <f aca="false">IF(K863="Website",1,0)</f>
        <v>0</v>
      </c>
      <c r="Z863" s="13" t="n">
        <f aca="false">IF(K863="Agency",1,0)</f>
        <v>1</v>
      </c>
      <c r="AA863" s="13" t="n">
        <f aca="false">IF(K863="Client",1,0)</f>
        <v>0</v>
      </c>
      <c r="AB863" s="13" t="n">
        <f aca="false">(D863-AVERAGE(D$2:D$2001))/STDEV(D$2:D$2001)</f>
        <v>1.2030118088493</v>
      </c>
      <c r="AC863" s="13" t="n">
        <f aca="false">(I863-AVERAGE(I$2:I$2001))/STDEV(I$2:I$2001)</f>
        <v>-0.0205155458339628</v>
      </c>
      <c r="AD863" s="13" t="n">
        <f aca="false">(L863-AVERAGE(L$2:L$2001))/STDEV(L$2:L$2001)</f>
        <v>0.413838214490712</v>
      </c>
      <c r="AE863" s="13" t="n">
        <f aca="false">(M863-AVERAGE(M$2:M$2001))/STDEV(M$2:M$2001)</f>
        <v>-0.62824153393259</v>
      </c>
      <c r="AF863" s="13" t="n">
        <f aca="false">(N863-AVERAGE(N$2:N$2001))/STDEV(N$2:N$2001)</f>
        <v>-1.24245897647714</v>
      </c>
      <c r="AG863" s="13" t="n">
        <f aca="false">(O863-AVERAGE(O$2:O$2001))/STDEV(O$2:O$2001)</f>
        <v>-1.33087588701195</v>
      </c>
      <c r="AH863" s="0" t="str">
        <f aca="false">IF(B863="Company","C3 - Corporate Buyers",IF(AND(H863="Investment",M863&gt;'Segmentation Summary'!$C$1),"C1 - Global Investors",IF(AND(I863&gt;=4,M863&gt;'Segmentation Summary'!$C$1),"C4 - Luxury Investors",IF(AND(D863&lt;'Segmentation Summary'!$C$2,J863=1),"C2 - First-Time Buyers","C5 - Other Individual Buyers"))))</f>
        <v>C5 - Other Individual Buyers</v>
      </c>
    </row>
    <row r="864" customFormat="false" ht="15" hidden="false" customHeight="true" outlineLevel="0" collapsed="false">
      <c r="A864" s="13" t="s">
        <v>1766</v>
      </c>
      <c r="B864" s="13" t="s">
        <v>34</v>
      </c>
      <c r="C864" s="13" t="s">
        <v>1767</v>
      </c>
      <c r="D864" s="13" t="n">
        <v>55</v>
      </c>
      <c r="E864" s="13" t="s">
        <v>83</v>
      </c>
      <c r="F864" s="13" t="s">
        <v>33</v>
      </c>
      <c r="G864" s="13" t="s">
        <v>95</v>
      </c>
      <c r="H864" s="13" t="s">
        <v>43</v>
      </c>
      <c r="I864" s="13" t="n">
        <v>4</v>
      </c>
      <c r="J864" s="13" t="n">
        <v>0</v>
      </c>
      <c r="K864" s="13" t="s">
        <v>85</v>
      </c>
      <c r="L864" s="13" t="n">
        <v>5</v>
      </c>
      <c r="M864" s="13" t="n">
        <v>1439142.47</v>
      </c>
      <c r="N864" s="13" t="n">
        <v>287828.494</v>
      </c>
      <c r="O864" s="13" t="n">
        <v>957.588</v>
      </c>
      <c r="P864" s="13" t="n">
        <v>0</v>
      </c>
      <c r="Q864" s="13" t="n">
        <v>5</v>
      </c>
      <c r="R864" s="13" t="s">
        <v>101</v>
      </c>
      <c r="S864" s="13" t="s">
        <v>87</v>
      </c>
      <c r="T864" s="13" t="n">
        <v>1</v>
      </c>
      <c r="U864" s="13" t="n">
        <f aca="false">IF(B864="Individual",1,0)</f>
        <v>1</v>
      </c>
      <c r="V864" s="13" t="n">
        <f aca="false">IF(B864="Company",1,0)</f>
        <v>0</v>
      </c>
      <c r="W864" s="13" t="n">
        <f aca="false">IF(H864="Home",1,0)</f>
        <v>0</v>
      </c>
      <c r="X864" s="13" t="n">
        <f aca="false">IF(H864="Investment",1,0)</f>
        <v>1</v>
      </c>
      <c r="Y864" s="13" t="n">
        <f aca="false">IF(K864="Website",1,0)</f>
        <v>1</v>
      </c>
      <c r="Z864" s="13" t="n">
        <f aca="false">IF(K864="Agency",1,0)</f>
        <v>0</v>
      </c>
      <c r="AA864" s="13" t="n">
        <f aca="false">IF(K864="Client",1,0)</f>
        <v>0</v>
      </c>
      <c r="AB864" s="13" t="n">
        <f aca="false">(D864-AVERAGE(D$2:D$2001))/STDEV(D$2:D$2001)</f>
        <v>0.0497626990862745</v>
      </c>
      <c r="AC864" s="13" t="n">
        <f aca="false">(I864-AVERAGE(I$2:I$2001))/STDEV(I$2:I$2001)</f>
        <v>0.686917069130275</v>
      </c>
      <c r="AD864" s="13" t="n">
        <f aca="false">(L864-AVERAGE(L$2:L$2001))/STDEV(L$2:L$2001)</f>
        <v>1.60473955115463</v>
      </c>
      <c r="AE864" s="13" t="n">
        <f aca="false">(M864-AVERAGE(M$2:M$2001))/STDEV(M$2:M$2001)</f>
        <v>0.513948330773749</v>
      </c>
      <c r="AF864" s="13" t="n">
        <f aca="false">(N864-AVERAGE(N$2:N$2001))/STDEV(N$2:N$2001)</f>
        <v>-0.849970071453866</v>
      </c>
      <c r="AG864" s="13" t="n">
        <f aca="false">(O864-AVERAGE(O$2:O$2001))/STDEV(O$2:O$2001)</f>
        <v>-0.863447773233387</v>
      </c>
      <c r="AH864" s="0" t="str">
        <f aca="false">IF(B864="Company","C3 - Corporate Buyers",IF(AND(H864="Investment",M864&gt;'Segmentation Summary'!$C$1),"C1 - Global Investors",IF(AND(I864&gt;=4,M864&gt;'Segmentation Summary'!$C$1),"C4 - Luxury Investors",IF(AND(D864&lt;'Segmentation Summary'!$C$2,J864=1),"C2 - First-Time Buyers","C5 - Other Individual Buyers"))))</f>
        <v>C1 - Global Investors</v>
      </c>
    </row>
    <row r="865" customFormat="false" ht="15" hidden="false" customHeight="true" outlineLevel="0" collapsed="false">
      <c r="A865" s="13" t="s">
        <v>1768</v>
      </c>
      <c r="B865" s="13" t="s">
        <v>34</v>
      </c>
      <c r="C865" s="13" t="s">
        <v>1769</v>
      </c>
      <c r="D865" s="13" t="n">
        <v>86</v>
      </c>
      <c r="E865" s="13" t="s">
        <v>83</v>
      </c>
      <c r="F865" s="13" t="s">
        <v>33</v>
      </c>
      <c r="G865" s="13" t="s">
        <v>95</v>
      </c>
      <c r="H865" s="13" t="s">
        <v>41</v>
      </c>
      <c r="I865" s="13" t="n">
        <v>5</v>
      </c>
      <c r="J865" s="13" t="n">
        <v>0</v>
      </c>
      <c r="K865" s="13" t="s">
        <v>85</v>
      </c>
      <c r="L865" s="13" t="n">
        <v>6</v>
      </c>
      <c r="M865" s="13" t="n">
        <v>1513641.46</v>
      </c>
      <c r="N865" s="13" t="n">
        <v>252273.576666667</v>
      </c>
      <c r="O865" s="13" t="n">
        <v>851.395</v>
      </c>
      <c r="P865" s="13" t="n">
        <v>0</v>
      </c>
      <c r="Q865" s="13" t="n">
        <v>6</v>
      </c>
      <c r="R865" s="13" t="s">
        <v>117</v>
      </c>
      <c r="S865" s="13" t="s">
        <v>114</v>
      </c>
      <c r="T865" s="13" t="n">
        <v>1</v>
      </c>
      <c r="U865" s="13" t="n">
        <f aca="false">IF(B865="Individual",1,0)</f>
        <v>1</v>
      </c>
      <c r="V865" s="13" t="n">
        <f aca="false">IF(B865="Company",1,0)</f>
        <v>0</v>
      </c>
      <c r="W865" s="13" t="n">
        <f aca="false">IF(H865="Home",1,0)</f>
        <v>1</v>
      </c>
      <c r="X865" s="13" t="n">
        <f aca="false">IF(H865="Investment",1,0)</f>
        <v>0</v>
      </c>
      <c r="Y865" s="13" t="n">
        <f aca="false">IF(K865="Website",1,0)</f>
        <v>1</v>
      </c>
      <c r="Z865" s="13" t="n">
        <f aca="false">IF(K865="Agency",1,0)</f>
        <v>0</v>
      </c>
      <c r="AA865" s="13" t="n">
        <f aca="false">IF(K865="Client",1,0)</f>
        <v>0</v>
      </c>
      <c r="AB865" s="13" t="n">
        <f aca="false">(D865-AVERAGE(D$2:D$2001))/STDEV(D$2:D$2001)</f>
        <v>1.83729881921896</v>
      </c>
      <c r="AC865" s="13" t="n">
        <f aca="false">(I865-AVERAGE(I$2:I$2001))/STDEV(I$2:I$2001)</f>
        <v>1.39434968409451</v>
      </c>
      <c r="AD865" s="13" t="n">
        <f aca="false">(L865-AVERAGE(L$2:L$2001))/STDEV(L$2:L$2001)</f>
        <v>2.79564088781855</v>
      </c>
      <c r="AE865" s="13" t="n">
        <f aca="false">(M865-AVERAGE(M$2:M$2001))/STDEV(M$2:M$2001)</f>
        <v>0.72813010809621</v>
      </c>
      <c r="AF865" s="13" t="n">
        <f aca="false">(N865-AVERAGE(N$2:N$2001))/STDEV(N$2:N$2001)</f>
        <v>-1.35992400564953</v>
      </c>
      <c r="AG865" s="13" t="n">
        <f aca="false">(O865-AVERAGE(O$2:O$2001))/STDEV(O$2:O$2001)</f>
        <v>-1.34631313721407</v>
      </c>
      <c r="AH865" s="0" t="str">
        <f aca="false">IF(B865="Company","C3 - Corporate Buyers",IF(AND(H865="Investment",M865&gt;'Segmentation Summary'!$C$1),"C1 - Global Investors",IF(AND(I865&gt;=4,M865&gt;'Segmentation Summary'!$C$1),"C4 - Luxury Investors",IF(AND(D865&lt;'Segmentation Summary'!$C$2,J865=1),"C2 - First-Time Buyers","C5 - Other Individual Buyers"))))</f>
        <v>C4 - Luxury Investors</v>
      </c>
    </row>
    <row r="866" customFormat="false" ht="15" hidden="false" customHeight="true" outlineLevel="0" collapsed="false">
      <c r="A866" s="13" t="s">
        <v>1770</v>
      </c>
      <c r="B866" s="13" t="s">
        <v>34</v>
      </c>
      <c r="C866" s="13" t="s">
        <v>1771</v>
      </c>
      <c r="D866" s="13" t="n">
        <v>71</v>
      </c>
      <c r="E866" s="13" t="s">
        <v>83</v>
      </c>
      <c r="F866" s="13" t="s">
        <v>33</v>
      </c>
      <c r="G866" s="13" t="s">
        <v>95</v>
      </c>
      <c r="H866" s="13" t="s">
        <v>41</v>
      </c>
      <c r="I866" s="13" t="n">
        <v>4</v>
      </c>
      <c r="J866" s="13" t="n">
        <v>0</v>
      </c>
      <c r="K866" s="13" t="s">
        <v>85</v>
      </c>
      <c r="L866" s="13" t="n">
        <v>4</v>
      </c>
      <c r="M866" s="13" t="n">
        <v>1135363.52</v>
      </c>
      <c r="N866" s="13" t="n">
        <v>283840.88</v>
      </c>
      <c r="O866" s="13" t="n">
        <v>983.24</v>
      </c>
      <c r="P866" s="13" t="n">
        <v>1</v>
      </c>
      <c r="Q866" s="13" t="n">
        <v>3</v>
      </c>
      <c r="R866" s="13" t="s">
        <v>128</v>
      </c>
      <c r="S866" s="13" t="s">
        <v>87</v>
      </c>
      <c r="T866" s="13" t="n">
        <v>1</v>
      </c>
      <c r="U866" s="13" t="n">
        <f aca="false">IF(B866="Individual",1,0)</f>
        <v>1</v>
      </c>
      <c r="V866" s="13" t="n">
        <f aca="false">IF(B866="Company",1,0)</f>
        <v>0</v>
      </c>
      <c r="W866" s="13" t="n">
        <f aca="false">IF(H866="Home",1,0)</f>
        <v>1</v>
      </c>
      <c r="X866" s="13" t="n">
        <f aca="false">IF(H866="Investment",1,0)</f>
        <v>0</v>
      </c>
      <c r="Y866" s="13" t="n">
        <f aca="false">IF(K866="Website",1,0)</f>
        <v>1</v>
      </c>
      <c r="Z866" s="13" t="n">
        <f aca="false">IF(K866="Agency",1,0)</f>
        <v>0</v>
      </c>
      <c r="AA866" s="13" t="n">
        <f aca="false">IF(K866="Client",1,0)</f>
        <v>0</v>
      </c>
      <c r="AB866" s="13" t="n">
        <f aca="false">(D866-AVERAGE(D$2:D$2001))/STDEV(D$2:D$2001)</f>
        <v>0.972361986896694</v>
      </c>
      <c r="AC866" s="13" t="n">
        <f aca="false">(I866-AVERAGE(I$2:I$2001))/STDEV(I$2:I$2001)</f>
        <v>0.686917069130275</v>
      </c>
      <c r="AD866" s="13" t="n">
        <f aca="false">(L866-AVERAGE(L$2:L$2001))/STDEV(L$2:L$2001)</f>
        <v>0.413838214490712</v>
      </c>
      <c r="AE866" s="13" t="n">
        <f aca="false">(M866-AVERAGE(M$2:M$2001))/STDEV(M$2:M$2001)</f>
        <v>-0.359404655946621</v>
      </c>
      <c r="AF866" s="13" t="n">
        <f aca="false">(N866-AVERAGE(N$2:N$2001))/STDEV(N$2:N$2001)</f>
        <v>-0.907163270028604</v>
      </c>
      <c r="AG866" s="13" t="n">
        <f aca="false">(O866-AVERAGE(O$2:O$2001))/STDEV(O$2:O$2001)</f>
        <v>-0.746806729879939</v>
      </c>
      <c r="AH866" s="0" t="str">
        <f aca="false">IF(B866="Company","C3 - Corporate Buyers",IF(AND(H866="Investment",M866&gt;'Segmentation Summary'!$C$1),"C1 - Global Investors",IF(AND(I866&gt;=4,M866&gt;'Segmentation Summary'!$C$1),"C4 - Luxury Investors",IF(AND(D866&lt;'Segmentation Summary'!$C$2,J866=1),"C2 - First-Time Buyers","C5 - Other Individual Buyers"))))</f>
        <v>C5 - Other Individual Buyers</v>
      </c>
    </row>
    <row r="867" customFormat="false" ht="15" hidden="false" customHeight="true" outlineLevel="0" collapsed="false">
      <c r="A867" s="13" t="s">
        <v>1772</v>
      </c>
      <c r="B867" s="13" t="s">
        <v>34</v>
      </c>
      <c r="C867" s="13" t="s">
        <v>1773</v>
      </c>
      <c r="D867" s="13" t="n">
        <v>53</v>
      </c>
      <c r="E867" s="13" t="s">
        <v>90</v>
      </c>
      <c r="F867" s="13" t="s">
        <v>33</v>
      </c>
      <c r="G867" s="13" t="s">
        <v>95</v>
      </c>
      <c r="H867" s="13" t="s">
        <v>41</v>
      </c>
      <c r="I867" s="13" t="n">
        <v>1</v>
      </c>
      <c r="J867" s="13" t="n">
        <v>0</v>
      </c>
      <c r="K867" s="13" t="s">
        <v>85</v>
      </c>
      <c r="L867" s="13" t="n">
        <v>4</v>
      </c>
      <c r="M867" s="13" t="n">
        <v>1390091.2</v>
      </c>
      <c r="N867" s="13" t="n">
        <v>347522.8</v>
      </c>
      <c r="O867" s="13" t="n">
        <v>1204.3675</v>
      </c>
      <c r="P867" s="13" t="n">
        <v>0</v>
      </c>
      <c r="Q867" s="13" t="n">
        <v>4</v>
      </c>
      <c r="R867" s="13" t="s">
        <v>92</v>
      </c>
      <c r="S867" s="13" t="s">
        <v>133</v>
      </c>
      <c r="T867" s="13" t="n">
        <v>1</v>
      </c>
      <c r="U867" s="13" t="n">
        <f aca="false">IF(B867="Individual",1,0)</f>
        <v>1</v>
      </c>
      <c r="V867" s="13" t="n">
        <f aca="false">IF(B867="Company",1,0)</f>
        <v>0</v>
      </c>
      <c r="W867" s="13" t="n">
        <f aca="false">IF(H867="Home",1,0)</f>
        <v>1</v>
      </c>
      <c r="X867" s="13" t="n">
        <f aca="false">IF(H867="Investment",1,0)</f>
        <v>0</v>
      </c>
      <c r="Y867" s="13" t="n">
        <f aca="false">IF(K867="Website",1,0)</f>
        <v>1</v>
      </c>
      <c r="Z867" s="13" t="n">
        <f aca="false">IF(K867="Agency",1,0)</f>
        <v>0</v>
      </c>
      <c r="AA867" s="13" t="n">
        <f aca="false">IF(K867="Client",1,0)</f>
        <v>0</v>
      </c>
      <c r="AB867" s="13" t="n">
        <f aca="false">(D867-AVERAGE(D$2:D$2001))/STDEV(D$2:D$2001)</f>
        <v>-0.065562211890028</v>
      </c>
      <c r="AC867" s="13" t="n">
        <f aca="false">(I867-AVERAGE(I$2:I$2001))/STDEV(I$2:I$2001)</f>
        <v>-1.43538077576244</v>
      </c>
      <c r="AD867" s="13" t="n">
        <f aca="false">(L867-AVERAGE(L$2:L$2001))/STDEV(L$2:L$2001)</f>
        <v>0.413838214490712</v>
      </c>
      <c r="AE867" s="13" t="n">
        <f aca="false">(M867-AVERAGE(M$2:M$2001))/STDEV(M$2:M$2001)</f>
        <v>0.372927785548587</v>
      </c>
      <c r="AF867" s="13" t="n">
        <f aca="false">(N867-AVERAGE(N$2:N$2001))/STDEV(N$2:N$2001)</f>
        <v>0.00620815864543695</v>
      </c>
      <c r="AG867" s="13" t="n">
        <f aca="false">(O867-AVERAGE(O$2:O$2001))/STDEV(O$2:O$2001)</f>
        <v>0.258672075442819</v>
      </c>
      <c r="AH867" s="0" t="str">
        <f aca="false">IF(B867="Company","C3 - Corporate Buyers",IF(AND(H867="Investment",M867&gt;'Segmentation Summary'!$C$1),"C1 - Global Investors",IF(AND(I867&gt;=4,M867&gt;'Segmentation Summary'!$C$1),"C4 - Luxury Investors",IF(AND(D867&lt;'Segmentation Summary'!$C$2,J867=1),"C2 - First-Time Buyers","C5 - Other Individual Buyers"))))</f>
        <v>C5 - Other Individual Buyers</v>
      </c>
    </row>
    <row r="868" customFormat="false" ht="15" hidden="false" customHeight="true" outlineLevel="0" collapsed="false">
      <c r="A868" s="13" t="s">
        <v>1774</v>
      </c>
      <c r="B868" s="13" t="s">
        <v>34</v>
      </c>
      <c r="C868" s="13" t="s">
        <v>1775</v>
      </c>
      <c r="D868" s="13" t="n">
        <v>77</v>
      </c>
      <c r="E868" s="13" t="s">
        <v>83</v>
      </c>
      <c r="F868" s="13" t="s">
        <v>33</v>
      </c>
      <c r="G868" s="13" t="s">
        <v>95</v>
      </c>
      <c r="H868" s="13" t="s">
        <v>43</v>
      </c>
      <c r="I868" s="13" t="n">
        <v>5</v>
      </c>
      <c r="J868" s="13" t="n">
        <v>1</v>
      </c>
      <c r="K868" s="13" t="s">
        <v>85</v>
      </c>
      <c r="L868" s="13" t="n">
        <v>9</v>
      </c>
      <c r="M868" s="13" t="n">
        <v>3403263.85</v>
      </c>
      <c r="N868" s="13" t="n">
        <v>378140.427777778</v>
      </c>
      <c r="O868" s="13" t="n">
        <v>1222.90888888889</v>
      </c>
      <c r="P868" s="13" t="n">
        <v>1</v>
      </c>
      <c r="Q868" s="13" t="n">
        <v>8</v>
      </c>
      <c r="R868" s="13" t="s">
        <v>92</v>
      </c>
      <c r="S868" s="13" t="s">
        <v>125</v>
      </c>
      <c r="T868" s="13" t="n">
        <v>1</v>
      </c>
      <c r="U868" s="13" t="n">
        <f aca="false">IF(B868="Individual",1,0)</f>
        <v>1</v>
      </c>
      <c r="V868" s="13" t="n">
        <f aca="false">IF(B868="Company",1,0)</f>
        <v>0</v>
      </c>
      <c r="W868" s="13" t="n">
        <f aca="false">IF(H868="Home",1,0)</f>
        <v>0</v>
      </c>
      <c r="X868" s="13" t="n">
        <f aca="false">IF(H868="Investment",1,0)</f>
        <v>1</v>
      </c>
      <c r="Y868" s="13" t="n">
        <f aca="false">IF(K868="Website",1,0)</f>
        <v>1</v>
      </c>
      <c r="Z868" s="13" t="n">
        <f aca="false">IF(K868="Agency",1,0)</f>
        <v>0</v>
      </c>
      <c r="AA868" s="13" t="n">
        <f aca="false">IF(K868="Client",1,0)</f>
        <v>0</v>
      </c>
      <c r="AB868" s="13" t="n">
        <f aca="false">(D868-AVERAGE(D$2:D$2001))/STDEV(D$2:D$2001)</f>
        <v>1.3183367198256</v>
      </c>
      <c r="AC868" s="13" t="n">
        <f aca="false">(I868-AVERAGE(I$2:I$2001))/STDEV(I$2:I$2001)</f>
        <v>1.39434968409451</v>
      </c>
      <c r="AD868" s="13" t="n">
        <f aca="false">(L868-AVERAGE(L$2:L$2001))/STDEV(L$2:L$2001)</f>
        <v>6.36834489781031</v>
      </c>
      <c r="AE868" s="13" t="n">
        <f aca="false">(M868-AVERAGE(M$2:M$2001))/STDEV(M$2:M$2001)</f>
        <v>6.16072297893266</v>
      </c>
      <c r="AF868" s="13" t="n">
        <f aca="false">(N868-AVERAGE(N$2:N$2001))/STDEV(N$2:N$2001)</f>
        <v>0.445347971421169</v>
      </c>
      <c r="AG868" s="13" t="n">
        <f aca="false">(O868-AVERAGE(O$2:O$2001))/STDEV(O$2:O$2001)</f>
        <v>0.342980782179999</v>
      </c>
      <c r="AH868" s="0" t="str">
        <f aca="false">IF(B868="Company","C3 - Corporate Buyers",IF(AND(H868="Investment",M868&gt;'Segmentation Summary'!$C$1),"C1 - Global Investors",IF(AND(I868&gt;=4,M868&gt;'Segmentation Summary'!$C$1),"C4 - Luxury Investors",IF(AND(D868&lt;'Segmentation Summary'!$C$2,J868=1),"C2 - First-Time Buyers","C5 - Other Individual Buyers"))))</f>
        <v>C1 - Global Investors</v>
      </c>
    </row>
    <row r="869" customFormat="false" ht="15" hidden="false" customHeight="true" outlineLevel="0" collapsed="false">
      <c r="A869" s="13" t="s">
        <v>1776</v>
      </c>
      <c r="B869" s="13" t="s">
        <v>34</v>
      </c>
      <c r="C869" s="13" t="s">
        <v>1777</v>
      </c>
      <c r="D869" s="13" t="n">
        <v>60</v>
      </c>
      <c r="E869" s="13" t="s">
        <v>83</v>
      </c>
      <c r="F869" s="13" t="s">
        <v>33</v>
      </c>
      <c r="G869" s="13" t="s">
        <v>95</v>
      </c>
      <c r="H869" s="13" t="s">
        <v>41</v>
      </c>
      <c r="I869" s="13" t="n">
        <v>5</v>
      </c>
      <c r="J869" s="13" t="n">
        <v>0</v>
      </c>
      <c r="K869" s="13" t="s">
        <v>85</v>
      </c>
      <c r="L869" s="13" t="n">
        <v>3</v>
      </c>
      <c r="M869" s="13" t="n">
        <v>1046535</v>
      </c>
      <c r="N869" s="13" t="n">
        <v>348845</v>
      </c>
      <c r="O869" s="13" t="n">
        <v>1169.04666666667</v>
      </c>
      <c r="P869" s="13" t="n">
        <v>0</v>
      </c>
      <c r="Q869" s="13" t="n">
        <v>3</v>
      </c>
      <c r="R869" s="13" t="s">
        <v>117</v>
      </c>
      <c r="S869" s="13" t="s">
        <v>125</v>
      </c>
      <c r="T869" s="13" t="n">
        <v>1</v>
      </c>
      <c r="U869" s="13" t="n">
        <f aca="false">IF(B869="Individual",1,0)</f>
        <v>1</v>
      </c>
      <c r="V869" s="13" t="n">
        <f aca="false">IF(B869="Company",1,0)</f>
        <v>0</v>
      </c>
      <c r="W869" s="13" t="n">
        <f aca="false">IF(H869="Home",1,0)</f>
        <v>1</v>
      </c>
      <c r="X869" s="13" t="n">
        <f aca="false">IF(H869="Investment",1,0)</f>
        <v>0</v>
      </c>
      <c r="Y869" s="13" t="n">
        <f aca="false">IF(K869="Website",1,0)</f>
        <v>1</v>
      </c>
      <c r="Z869" s="13" t="n">
        <f aca="false">IF(K869="Agency",1,0)</f>
        <v>0</v>
      </c>
      <c r="AA869" s="13" t="n">
        <f aca="false">IF(K869="Client",1,0)</f>
        <v>0</v>
      </c>
      <c r="AB869" s="13" t="n">
        <f aca="false">(D869-AVERAGE(D$2:D$2001))/STDEV(D$2:D$2001)</f>
        <v>0.338074976527031</v>
      </c>
      <c r="AC869" s="13" t="n">
        <f aca="false">(I869-AVERAGE(I$2:I$2001))/STDEV(I$2:I$2001)</f>
        <v>1.39434968409451</v>
      </c>
      <c r="AD869" s="13" t="n">
        <f aca="false">(L869-AVERAGE(L$2:L$2001))/STDEV(L$2:L$2001)</f>
        <v>-0.777063122173208</v>
      </c>
      <c r="AE869" s="13" t="n">
        <f aca="false">(M869-AVERAGE(M$2:M$2001))/STDEV(M$2:M$2001)</f>
        <v>-0.614783289811641</v>
      </c>
      <c r="AF869" s="13" t="n">
        <f aca="false">(N869-AVERAGE(N$2:N$2001))/STDEV(N$2:N$2001)</f>
        <v>0.0251720922547381</v>
      </c>
      <c r="AG869" s="13" t="n">
        <f aca="false">(O869-AVERAGE(O$2:O$2001))/STDEV(O$2:O$2001)</f>
        <v>0.0980663194739732</v>
      </c>
      <c r="AH869" s="0" t="str">
        <f aca="false">IF(B869="Company","C3 - Corporate Buyers",IF(AND(H869="Investment",M869&gt;'Segmentation Summary'!$C$1),"C1 - Global Investors",IF(AND(I869&gt;=4,M869&gt;'Segmentation Summary'!$C$1),"C4 - Luxury Investors",IF(AND(D869&lt;'Segmentation Summary'!$C$2,J869=1),"C2 - First-Time Buyers","C5 - Other Individual Buyers"))))</f>
        <v>C5 - Other Individual Buyers</v>
      </c>
    </row>
    <row r="870" customFormat="false" ht="15" hidden="false" customHeight="true" outlineLevel="0" collapsed="false">
      <c r="A870" s="13" t="s">
        <v>1778</v>
      </c>
      <c r="B870" s="13" t="s">
        <v>34</v>
      </c>
      <c r="C870" s="13" t="s">
        <v>1779</v>
      </c>
      <c r="D870" s="13" t="n">
        <v>69</v>
      </c>
      <c r="E870" s="13" t="s">
        <v>83</v>
      </c>
      <c r="F870" s="13" t="s">
        <v>35</v>
      </c>
      <c r="G870" s="13" t="s">
        <v>185</v>
      </c>
      <c r="H870" s="13" t="s">
        <v>41</v>
      </c>
      <c r="I870" s="13" t="n">
        <v>4</v>
      </c>
      <c r="J870" s="13" t="n">
        <v>1</v>
      </c>
      <c r="K870" s="13" t="s">
        <v>85</v>
      </c>
      <c r="L870" s="13" t="n">
        <v>4</v>
      </c>
      <c r="M870" s="13" t="n">
        <v>1822778.36</v>
      </c>
      <c r="N870" s="13" t="n">
        <v>455694.59</v>
      </c>
      <c r="O870" s="13" t="n">
        <v>1504.0975</v>
      </c>
      <c r="P870" s="13" t="n">
        <v>1</v>
      </c>
      <c r="Q870" s="13" t="n">
        <v>3</v>
      </c>
      <c r="R870" s="13" t="s">
        <v>215</v>
      </c>
      <c r="S870" s="13" t="s">
        <v>114</v>
      </c>
      <c r="T870" s="13" t="n">
        <v>1</v>
      </c>
      <c r="U870" s="13" t="n">
        <f aca="false">IF(B870="Individual",1,0)</f>
        <v>1</v>
      </c>
      <c r="V870" s="13" t="n">
        <f aca="false">IF(B870="Company",1,0)</f>
        <v>0</v>
      </c>
      <c r="W870" s="13" t="n">
        <f aca="false">IF(H870="Home",1,0)</f>
        <v>1</v>
      </c>
      <c r="X870" s="13" t="n">
        <f aca="false">IF(H870="Investment",1,0)</f>
        <v>0</v>
      </c>
      <c r="Y870" s="13" t="n">
        <f aca="false">IF(K870="Website",1,0)</f>
        <v>1</v>
      </c>
      <c r="Z870" s="13" t="n">
        <f aca="false">IF(K870="Agency",1,0)</f>
        <v>0</v>
      </c>
      <c r="AA870" s="13" t="n">
        <f aca="false">IF(K870="Client",1,0)</f>
        <v>0</v>
      </c>
      <c r="AB870" s="13" t="n">
        <f aca="false">(D870-AVERAGE(D$2:D$2001))/STDEV(D$2:D$2001)</f>
        <v>0.857037075920391</v>
      </c>
      <c r="AC870" s="13" t="n">
        <f aca="false">(I870-AVERAGE(I$2:I$2001))/STDEV(I$2:I$2001)</f>
        <v>0.686917069130275</v>
      </c>
      <c r="AD870" s="13" t="n">
        <f aca="false">(L870-AVERAGE(L$2:L$2001))/STDEV(L$2:L$2001)</f>
        <v>0.413838214490712</v>
      </c>
      <c r="AE870" s="13" t="n">
        <f aca="false">(M870-AVERAGE(M$2:M$2001))/STDEV(M$2:M$2001)</f>
        <v>1.61688699832997</v>
      </c>
      <c r="AF870" s="13" t="n">
        <f aca="false">(N870-AVERAGE(N$2:N$2001))/STDEV(N$2:N$2001)</f>
        <v>1.55768497301486</v>
      </c>
      <c r="AG870" s="13" t="n">
        <f aca="false">(O870-AVERAGE(O$2:O$2001))/STDEV(O$2:O$2001)</f>
        <v>1.62156073614486</v>
      </c>
      <c r="AH870" s="0" t="str">
        <f aca="false">IF(B870="Company","C3 - Corporate Buyers",IF(AND(H870="Investment",M870&gt;'Segmentation Summary'!$C$1),"C1 - Global Investors",IF(AND(I870&gt;=4,M870&gt;'Segmentation Summary'!$C$1),"C4 - Luxury Investors",IF(AND(D870&lt;'Segmentation Summary'!$C$2,J870=1),"C2 - First-Time Buyers","C5 - Other Individual Buyers"))))</f>
        <v>C4 - Luxury Investors</v>
      </c>
    </row>
    <row r="871" customFormat="false" ht="15" hidden="false" customHeight="true" outlineLevel="0" collapsed="false">
      <c r="A871" s="13" t="s">
        <v>1780</v>
      </c>
      <c r="B871" s="13" t="s">
        <v>34</v>
      </c>
      <c r="C871" s="13" t="s">
        <v>1781</v>
      </c>
      <c r="D871" s="13" t="n">
        <v>70</v>
      </c>
      <c r="E871" s="13" t="s">
        <v>83</v>
      </c>
      <c r="F871" s="13" t="s">
        <v>33</v>
      </c>
      <c r="G871" s="13" t="s">
        <v>106</v>
      </c>
      <c r="H871" s="13" t="s">
        <v>41</v>
      </c>
      <c r="I871" s="13" t="n">
        <v>4</v>
      </c>
      <c r="J871" s="13" t="n">
        <v>0</v>
      </c>
      <c r="K871" s="13" t="s">
        <v>85</v>
      </c>
      <c r="L871" s="13" t="n">
        <v>3</v>
      </c>
      <c r="M871" s="13" t="n">
        <v>1167841.72</v>
      </c>
      <c r="N871" s="13" t="n">
        <v>389280.573333333</v>
      </c>
      <c r="O871" s="13" t="n">
        <v>1117.94</v>
      </c>
      <c r="P871" s="13" t="n">
        <v>0</v>
      </c>
      <c r="Q871" s="13" t="n">
        <v>3</v>
      </c>
      <c r="R871" s="13" t="s">
        <v>98</v>
      </c>
      <c r="S871" s="13" t="s">
        <v>114</v>
      </c>
      <c r="T871" s="13" t="n">
        <v>1</v>
      </c>
      <c r="U871" s="13" t="n">
        <f aca="false">IF(B871="Individual",1,0)</f>
        <v>1</v>
      </c>
      <c r="V871" s="13" t="n">
        <f aca="false">IF(B871="Company",1,0)</f>
        <v>0</v>
      </c>
      <c r="W871" s="13" t="n">
        <f aca="false">IF(H871="Home",1,0)</f>
        <v>1</v>
      </c>
      <c r="X871" s="13" t="n">
        <f aca="false">IF(H871="Investment",1,0)</f>
        <v>0</v>
      </c>
      <c r="Y871" s="13" t="n">
        <f aca="false">IF(K871="Website",1,0)</f>
        <v>1</v>
      </c>
      <c r="Z871" s="13" t="n">
        <f aca="false">IF(K871="Agency",1,0)</f>
        <v>0</v>
      </c>
      <c r="AA871" s="13" t="n">
        <f aca="false">IF(K871="Client",1,0)</f>
        <v>0</v>
      </c>
      <c r="AB871" s="13" t="n">
        <f aca="false">(D871-AVERAGE(D$2:D$2001))/STDEV(D$2:D$2001)</f>
        <v>0.914699531408543</v>
      </c>
      <c r="AC871" s="13" t="n">
        <f aca="false">(I871-AVERAGE(I$2:I$2001))/STDEV(I$2:I$2001)</f>
        <v>0.686917069130275</v>
      </c>
      <c r="AD871" s="13" t="n">
        <f aca="false">(L871-AVERAGE(L$2:L$2001))/STDEV(L$2:L$2001)</f>
        <v>-0.777063122173208</v>
      </c>
      <c r="AE871" s="13" t="n">
        <f aca="false">(M871-AVERAGE(M$2:M$2001))/STDEV(M$2:M$2001)</f>
        <v>-0.266031059871905</v>
      </c>
      <c r="AF871" s="13" t="n">
        <f aca="false">(N871-AVERAGE(N$2:N$2001))/STDEV(N$2:N$2001)</f>
        <v>0.605127869101924</v>
      </c>
      <c r="AG871" s="13" t="n">
        <f aca="false">(O871-AVERAGE(O$2:O$2001))/STDEV(O$2:O$2001)</f>
        <v>-0.134318481801453</v>
      </c>
      <c r="AH871" s="0" t="str">
        <f aca="false">IF(B871="Company","C3 - Corporate Buyers",IF(AND(H871="Investment",M871&gt;'Segmentation Summary'!$C$1),"C1 - Global Investors",IF(AND(I871&gt;=4,M871&gt;'Segmentation Summary'!$C$1),"C4 - Luxury Investors",IF(AND(D871&lt;'Segmentation Summary'!$C$2,J871=1),"C2 - First-Time Buyers","C5 - Other Individual Buyers"))))</f>
        <v>C5 - Other Individual Buyers</v>
      </c>
    </row>
    <row r="872" customFormat="false" ht="15" hidden="false" customHeight="true" outlineLevel="0" collapsed="false">
      <c r="A872" s="13" t="s">
        <v>1782</v>
      </c>
      <c r="B872" s="13" t="s">
        <v>34</v>
      </c>
      <c r="C872" s="13" t="s">
        <v>1783</v>
      </c>
      <c r="D872" s="13" t="n">
        <v>62</v>
      </c>
      <c r="E872" s="13" t="s">
        <v>83</v>
      </c>
      <c r="F872" s="13" t="s">
        <v>33</v>
      </c>
      <c r="G872" s="13" t="s">
        <v>106</v>
      </c>
      <c r="H872" s="13" t="s">
        <v>41</v>
      </c>
      <c r="I872" s="13" t="n">
        <v>3</v>
      </c>
      <c r="J872" s="13" t="n">
        <v>1</v>
      </c>
      <c r="K872" s="13" t="s">
        <v>91</v>
      </c>
      <c r="L872" s="13" t="n">
        <v>4</v>
      </c>
      <c r="M872" s="13" t="n">
        <v>1174012.19</v>
      </c>
      <c r="N872" s="13" t="n">
        <v>293503.0475</v>
      </c>
      <c r="O872" s="13" t="n">
        <v>990.4475</v>
      </c>
      <c r="P872" s="13" t="n">
        <v>1</v>
      </c>
      <c r="Q872" s="13" t="n">
        <v>3</v>
      </c>
      <c r="R872" s="13" t="s">
        <v>92</v>
      </c>
      <c r="S872" s="13" t="s">
        <v>215</v>
      </c>
      <c r="T872" s="13" t="n">
        <v>1</v>
      </c>
      <c r="U872" s="13" t="n">
        <f aca="false">IF(B872="Individual",1,0)</f>
        <v>1</v>
      </c>
      <c r="V872" s="13" t="n">
        <f aca="false">IF(B872="Company",1,0)</f>
        <v>0</v>
      </c>
      <c r="W872" s="13" t="n">
        <f aca="false">IF(H872="Home",1,0)</f>
        <v>1</v>
      </c>
      <c r="X872" s="13" t="n">
        <f aca="false">IF(H872="Investment",1,0)</f>
        <v>0</v>
      </c>
      <c r="Y872" s="13" t="n">
        <f aca="false">IF(K872="Website",1,0)</f>
        <v>0</v>
      </c>
      <c r="Z872" s="13" t="n">
        <f aca="false">IF(K872="Agency",1,0)</f>
        <v>1</v>
      </c>
      <c r="AA872" s="13" t="n">
        <f aca="false">IF(K872="Client",1,0)</f>
        <v>0</v>
      </c>
      <c r="AB872" s="13" t="n">
        <f aca="false">(D872-AVERAGE(D$2:D$2001))/STDEV(D$2:D$2001)</f>
        <v>0.453399887503333</v>
      </c>
      <c r="AC872" s="13" t="n">
        <f aca="false">(I872-AVERAGE(I$2:I$2001))/STDEV(I$2:I$2001)</f>
        <v>-0.0205155458339628</v>
      </c>
      <c r="AD872" s="13" t="n">
        <f aca="false">(L872-AVERAGE(L$2:L$2001))/STDEV(L$2:L$2001)</f>
        <v>0.413838214490712</v>
      </c>
      <c r="AE872" s="13" t="n">
        <f aca="false">(M872-AVERAGE(M$2:M$2001))/STDEV(M$2:M$2001)</f>
        <v>-0.248291192103027</v>
      </c>
      <c r="AF872" s="13" t="n">
        <f aca="false">(N872-AVERAGE(N$2:N$2001))/STDEV(N$2:N$2001)</f>
        <v>-0.768581585720674</v>
      </c>
      <c r="AG872" s="13" t="n">
        <f aca="false">(O872-AVERAGE(O$2:O$2001))/STDEV(O$2:O$2001)</f>
        <v>-0.714033834200461</v>
      </c>
      <c r="AH872" s="0" t="str">
        <f aca="false">IF(B872="Company","C3 - Corporate Buyers",IF(AND(H872="Investment",M872&gt;'Segmentation Summary'!$C$1),"C1 - Global Investors",IF(AND(I872&gt;=4,M872&gt;'Segmentation Summary'!$C$1),"C4 - Luxury Investors",IF(AND(D872&lt;'Segmentation Summary'!$C$2,J872=1),"C2 - First-Time Buyers","C5 - Other Individual Buyers"))))</f>
        <v>C5 - Other Individual Buyers</v>
      </c>
    </row>
    <row r="873" customFormat="false" ht="15" hidden="false" customHeight="true" outlineLevel="0" collapsed="false">
      <c r="A873" s="13" t="s">
        <v>1784</v>
      </c>
      <c r="B873" s="13" t="s">
        <v>34</v>
      </c>
      <c r="C873" s="13" t="s">
        <v>1783</v>
      </c>
      <c r="D873" s="13" t="n">
        <v>36</v>
      </c>
      <c r="E873" s="13" t="s">
        <v>83</v>
      </c>
      <c r="F873" s="13" t="s">
        <v>33</v>
      </c>
      <c r="G873" s="13" t="s">
        <v>84</v>
      </c>
      <c r="H873" s="13" t="s">
        <v>43</v>
      </c>
      <c r="I873" s="13" t="n">
        <v>2</v>
      </c>
      <c r="J873" s="13" t="n">
        <v>1</v>
      </c>
      <c r="K873" s="13" t="s">
        <v>85</v>
      </c>
      <c r="L873" s="13" t="n">
        <v>4</v>
      </c>
      <c r="M873" s="13" t="n">
        <v>1364310.45</v>
      </c>
      <c r="N873" s="13" t="n">
        <v>341077.6125</v>
      </c>
      <c r="O873" s="13" t="n">
        <v>1146.9925</v>
      </c>
      <c r="P873" s="13" t="n">
        <v>1</v>
      </c>
      <c r="Q873" s="13" t="n">
        <v>3</v>
      </c>
      <c r="R873" s="13" t="s">
        <v>117</v>
      </c>
      <c r="S873" s="13" t="s">
        <v>215</v>
      </c>
      <c r="T873" s="13" t="n">
        <v>1</v>
      </c>
      <c r="U873" s="13" t="n">
        <f aca="false">IF(B873="Individual",1,0)</f>
        <v>1</v>
      </c>
      <c r="V873" s="13" t="n">
        <f aca="false">IF(B873="Company",1,0)</f>
        <v>0</v>
      </c>
      <c r="W873" s="13" t="n">
        <f aca="false">IF(H873="Home",1,0)</f>
        <v>0</v>
      </c>
      <c r="X873" s="13" t="n">
        <f aca="false">IF(H873="Investment",1,0)</f>
        <v>1</v>
      </c>
      <c r="Y873" s="13" t="n">
        <f aca="false">IF(K873="Website",1,0)</f>
        <v>1</v>
      </c>
      <c r="Z873" s="13" t="n">
        <f aca="false">IF(K873="Agency",1,0)</f>
        <v>0</v>
      </c>
      <c r="AA873" s="13" t="n">
        <f aca="false">IF(K873="Client",1,0)</f>
        <v>0</v>
      </c>
      <c r="AB873" s="13" t="n">
        <f aca="false">(D873-AVERAGE(D$2:D$2001))/STDEV(D$2:D$2001)</f>
        <v>-1.0458239551886</v>
      </c>
      <c r="AC873" s="13" t="n">
        <f aca="false">(I873-AVERAGE(I$2:I$2001))/STDEV(I$2:I$2001)</f>
        <v>-0.727948160798201</v>
      </c>
      <c r="AD873" s="13" t="n">
        <f aca="false">(L873-AVERAGE(L$2:L$2001))/STDEV(L$2:L$2001)</f>
        <v>0.413838214490712</v>
      </c>
      <c r="AE873" s="13" t="n">
        <f aca="false">(M873-AVERAGE(M$2:M$2001))/STDEV(M$2:M$2001)</f>
        <v>0.298809104802632</v>
      </c>
      <c r="AF873" s="13" t="n">
        <f aca="false">(N873-AVERAGE(N$2:N$2001))/STDEV(N$2:N$2001)</f>
        <v>-0.0862333084922856</v>
      </c>
      <c r="AG873" s="13" t="n">
        <f aca="false">(O873-AVERAGE(O$2:O$2001))/STDEV(O$2:O$2001)</f>
        <v>-0.00221517944584596</v>
      </c>
      <c r="AH873" s="0" t="str">
        <f aca="false">IF(B873="Company","C3 - Corporate Buyers",IF(AND(H873="Investment",M873&gt;'Segmentation Summary'!$C$1),"C1 - Global Investors",IF(AND(I873&gt;=4,M873&gt;'Segmentation Summary'!$C$1),"C4 - Luxury Investors",IF(AND(D873&lt;'Segmentation Summary'!$C$2,J873=1),"C2 - First-Time Buyers","C5 - Other Individual Buyers"))))</f>
        <v>C1 - Global Investors</v>
      </c>
    </row>
    <row r="874" customFormat="false" ht="15" hidden="false" customHeight="true" outlineLevel="0" collapsed="false">
      <c r="A874" s="13" t="s">
        <v>1785</v>
      </c>
      <c r="B874" s="13" t="s">
        <v>34</v>
      </c>
      <c r="C874" s="13" t="s">
        <v>1786</v>
      </c>
      <c r="D874" s="13" t="n">
        <v>84</v>
      </c>
      <c r="E874" s="13" t="s">
        <v>83</v>
      </c>
      <c r="F874" s="13" t="s">
        <v>33</v>
      </c>
      <c r="G874" s="13" t="s">
        <v>95</v>
      </c>
      <c r="H874" s="13" t="s">
        <v>43</v>
      </c>
      <c r="I874" s="13" t="n">
        <v>4</v>
      </c>
      <c r="J874" s="13" t="n">
        <v>0</v>
      </c>
      <c r="K874" s="13" t="s">
        <v>85</v>
      </c>
      <c r="L874" s="13" t="n">
        <v>6</v>
      </c>
      <c r="M874" s="13" t="n">
        <v>2000308.58</v>
      </c>
      <c r="N874" s="13" t="n">
        <v>333384.763333333</v>
      </c>
      <c r="O874" s="13" t="n">
        <v>1201.58833333333</v>
      </c>
      <c r="P874" s="13" t="n">
        <v>1</v>
      </c>
      <c r="Q874" s="13" t="n">
        <v>5</v>
      </c>
      <c r="R874" s="13" t="s">
        <v>86</v>
      </c>
      <c r="S874" s="13" t="s">
        <v>135</v>
      </c>
      <c r="T874" s="13" t="n">
        <v>1</v>
      </c>
      <c r="U874" s="13" t="n">
        <f aca="false">IF(B874="Individual",1,0)</f>
        <v>1</v>
      </c>
      <c r="V874" s="13" t="n">
        <f aca="false">IF(B874="Company",1,0)</f>
        <v>0</v>
      </c>
      <c r="W874" s="13" t="n">
        <f aca="false">IF(H874="Home",1,0)</f>
        <v>0</v>
      </c>
      <c r="X874" s="13" t="n">
        <f aca="false">IF(H874="Investment",1,0)</f>
        <v>1</v>
      </c>
      <c r="Y874" s="13" t="n">
        <f aca="false">IF(K874="Website",1,0)</f>
        <v>1</v>
      </c>
      <c r="Z874" s="13" t="n">
        <f aca="false">IF(K874="Agency",1,0)</f>
        <v>0</v>
      </c>
      <c r="AA874" s="13" t="n">
        <f aca="false">IF(K874="Client",1,0)</f>
        <v>0</v>
      </c>
      <c r="AB874" s="13" t="n">
        <f aca="false">(D874-AVERAGE(D$2:D$2001))/STDEV(D$2:D$2001)</f>
        <v>1.72197390824266</v>
      </c>
      <c r="AC874" s="13" t="n">
        <f aca="false">(I874-AVERAGE(I$2:I$2001))/STDEV(I$2:I$2001)</f>
        <v>0.686917069130275</v>
      </c>
      <c r="AD874" s="13" t="n">
        <f aca="false">(L874-AVERAGE(L$2:L$2001))/STDEV(L$2:L$2001)</f>
        <v>2.79564088781855</v>
      </c>
      <c r="AE874" s="13" t="n">
        <f aca="false">(M874-AVERAGE(M$2:M$2001))/STDEV(M$2:M$2001)</f>
        <v>2.12727966335868</v>
      </c>
      <c r="AF874" s="13" t="n">
        <f aca="false">(N874-AVERAGE(N$2:N$2001))/STDEV(N$2:N$2001)</f>
        <v>-0.196569627402465</v>
      </c>
      <c r="AG874" s="13" t="n">
        <f aca="false">(O874-AVERAGE(O$2:O$2001))/STDEV(O$2:O$2001)</f>
        <v>0.246035053001936</v>
      </c>
      <c r="AH874" s="0" t="str">
        <f aca="false">IF(B874="Company","C3 - Corporate Buyers",IF(AND(H874="Investment",M874&gt;'Segmentation Summary'!$C$1),"C1 - Global Investors",IF(AND(I874&gt;=4,M874&gt;'Segmentation Summary'!$C$1),"C4 - Luxury Investors",IF(AND(D874&lt;'Segmentation Summary'!$C$2,J874=1),"C2 - First-Time Buyers","C5 - Other Individual Buyers"))))</f>
        <v>C1 - Global Investors</v>
      </c>
    </row>
    <row r="875" customFormat="false" ht="15" hidden="false" customHeight="true" outlineLevel="0" collapsed="false">
      <c r="A875" s="13" t="s">
        <v>1787</v>
      </c>
      <c r="B875" s="13" t="s">
        <v>34</v>
      </c>
      <c r="C875" s="13" t="s">
        <v>1788</v>
      </c>
      <c r="D875" s="13" t="n">
        <v>76</v>
      </c>
      <c r="E875" s="13" t="s">
        <v>83</v>
      </c>
      <c r="F875" s="13" t="s">
        <v>33</v>
      </c>
      <c r="G875" s="13" t="s">
        <v>84</v>
      </c>
      <c r="H875" s="13" t="s">
        <v>43</v>
      </c>
      <c r="I875" s="13" t="n">
        <v>1</v>
      </c>
      <c r="J875" s="13" t="n">
        <v>0</v>
      </c>
      <c r="K875" s="13" t="s">
        <v>116</v>
      </c>
      <c r="L875" s="13" t="n">
        <v>4</v>
      </c>
      <c r="M875" s="13" t="n">
        <v>1155979.49</v>
      </c>
      <c r="N875" s="13" t="n">
        <v>288994.8725</v>
      </c>
      <c r="O875" s="13" t="n">
        <v>1011.5875</v>
      </c>
      <c r="P875" s="13" t="n">
        <v>0</v>
      </c>
      <c r="Q875" s="13" t="n">
        <v>4</v>
      </c>
      <c r="R875" s="13" t="s">
        <v>92</v>
      </c>
      <c r="S875" s="13" t="s">
        <v>141</v>
      </c>
      <c r="T875" s="13" t="n">
        <v>1</v>
      </c>
      <c r="U875" s="13" t="n">
        <f aca="false">IF(B875="Individual",1,0)</f>
        <v>1</v>
      </c>
      <c r="V875" s="13" t="n">
        <f aca="false">IF(B875="Company",1,0)</f>
        <v>0</v>
      </c>
      <c r="W875" s="13" t="n">
        <f aca="false">IF(H875="Home",1,0)</f>
        <v>0</v>
      </c>
      <c r="X875" s="13" t="n">
        <f aca="false">IF(H875="Investment",1,0)</f>
        <v>1</v>
      </c>
      <c r="Y875" s="13" t="n">
        <f aca="false">IF(K875="Website",1,0)</f>
        <v>0</v>
      </c>
      <c r="Z875" s="13" t="n">
        <f aca="false">IF(K875="Agency",1,0)</f>
        <v>0</v>
      </c>
      <c r="AA875" s="13" t="n">
        <f aca="false">IF(K875="Client",1,0)</f>
        <v>1</v>
      </c>
      <c r="AB875" s="13" t="n">
        <f aca="false">(D875-AVERAGE(D$2:D$2001))/STDEV(D$2:D$2001)</f>
        <v>1.26067426433745</v>
      </c>
      <c r="AC875" s="13" t="n">
        <f aca="false">(I875-AVERAGE(I$2:I$2001))/STDEV(I$2:I$2001)</f>
        <v>-1.43538077576244</v>
      </c>
      <c r="AD875" s="13" t="n">
        <f aca="false">(L875-AVERAGE(L$2:L$2001))/STDEV(L$2:L$2001)</f>
        <v>0.413838214490712</v>
      </c>
      <c r="AE875" s="13" t="n">
        <f aca="false">(M875-AVERAGE(M$2:M$2001))/STDEV(M$2:M$2001)</f>
        <v>-0.300134522273312</v>
      </c>
      <c r="AF875" s="13" t="n">
        <f aca="false">(N875-AVERAGE(N$2:N$2001))/STDEV(N$2:N$2001)</f>
        <v>-0.833241040719245</v>
      </c>
      <c r="AG875" s="13" t="n">
        <f aca="false">(O875-AVERAGE(O$2:O$2001))/STDEV(O$2:O$2001)</f>
        <v>-0.617909100983095</v>
      </c>
      <c r="AH875" s="0" t="str">
        <f aca="false">IF(B875="Company","C3 - Corporate Buyers",IF(AND(H875="Investment",M875&gt;'Segmentation Summary'!$C$1),"C1 - Global Investors",IF(AND(I875&gt;=4,M875&gt;'Segmentation Summary'!$C$1),"C4 - Luxury Investors",IF(AND(D875&lt;'Segmentation Summary'!$C$2,J875=1),"C2 - First-Time Buyers","C5 - Other Individual Buyers"))))</f>
        <v>C5 - Other Individual Buyers</v>
      </c>
    </row>
    <row r="876" customFormat="false" ht="15" hidden="false" customHeight="true" outlineLevel="0" collapsed="false">
      <c r="A876" s="13" t="s">
        <v>1789</v>
      </c>
      <c r="B876" s="13" t="s">
        <v>34</v>
      </c>
      <c r="C876" s="13" t="s">
        <v>1790</v>
      </c>
      <c r="D876" s="13" t="n">
        <v>42</v>
      </c>
      <c r="E876" s="13" t="s">
        <v>83</v>
      </c>
      <c r="F876" s="13" t="s">
        <v>33</v>
      </c>
      <c r="G876" s="13" t="s">
        <v>162</v>
      </c>
      <c r="H876" s="13" t="s">
        <v>43</v>
      </c>
      <c r="I876" s="13" t="n">
        <v>5</v>
      </c>
      <c r="J876" s="13" t="n">
        <v>1</v>
      </c>
      <c r="K876" s="13" t="s">
        <v>91</v>
      </c>
      <c r="L876" s="13" t="n">
        <v>4</v>
      </c>
      <c r="M876" s="13" t="n">
        <v>1482633.92</v>
      </c>
      <c r="N876" s="13" t="n">
        <v>370658.48</v>
      </c>
      <c r="O876" s="13" t="n">
        <v>1246.7075</v>
      </c>
      <c r="P876" s="13" t="n">
        <v>0</v>
      </c>
      <c r="Q876" s="13" t="n">
        <v>4</v>
      </c>
      <c r="R876" s="13" t="s">
        <v>215</v>
      </c>
      <c r="S876" s="13" t="s">
        <v>114</v>
      </c>
      <c r="T876" s="13" t="n">
        <v>1</v>
      </c>
      <c r="U876" s="13" t="n">
        <f aca="false">IF(B876="Individual",1,0)</f>
        <v>1</v>
      </c>
      <c r="V876" s="13" t="n">
        <f aca="false">IF(B876="Company",1,0)</f>
        <v>0</v>
      </c>
      <c r="W876" s="13" t="n">
        <f aca="false">IF(H876="Home",1,0)</f>
        <v>0</v>
      </c>
      <c r="X876" s="13" t="n">
        <f aca="false">IF(H876="Investment",1,0)</f>
        <v>1</v>
      </c>
      <c r="Y876" s="13" t="n">
        <f aca="false">IF(K876="Website",1,0)</f>
        <v>0</v>
      </c>
      <c r="Z876" s="13" t="n">
        <f aca="false">IF(K876="Agency",1,0)</f>
        <v>1</v>
      </c>
      <c r="AA876" s="13" t="n">
        <f aca="false">IF(K876="Client",1,0)</f>
        <v>0</v>
      </c>
      <c r="AB876" s="13" t="n">
        <f aca="false">(D876-AVERAGE(D$2:D$2001))/STDEV(D$2:D$2001)</f>
        <v>-0.699849222259691</v>
      </c>
      <c r="AC876" s="13" t="n">
        <f aca="false">(I876-AVERAGE(I$2:I$2001))/STDEV(I$2:I$2001)</f>
        <v>1.39434968409451</v>
      </c>
      <c r="AD876" s="13" t="n">
        <f aca="false">(L876-AVERAGE(L$2:L$2001))/STDEV(L$2:L$2001)</f>
        <v>0.413838214490712</v>
      </c>
      <c r="AE876" s="13" t="n">
        <f aca="false">(M876-AVERAGE(M$2:M$2001))/STDEV(M$2:M$2001)</f>
        <v>0.638984603873974</v>
      </c>
      <c r="AF876" s="13" t="n">
        <f aca="false">(N876-AVERAGE(N$2:N$2001))/STDEV(N$2:N$2001)</f>
        <v>0.338036550360785</v>
      </c>
      <c r="AG876" s="13" t="n">
        <f aca="false">(O876-AVERAGE(O$2:O$2001))/STDEV(O$2:O$2001)</f>
        <v>0.451194365150637</v>
      </c>
      <c r="AH876" s="0" t="str">
        <f aca="false">IF(B876="Company","C3 - Corporate Buyers",IF(AND(H876="Investment",M876&gt;'Segmentation Summary'!$C$1),"C1 - Global Investors",IF(AND(I876&gt;=4,M876&gt;'Segmentation Summary'!$C$1),"C4 - Luxury Investors",IF(AND(D876&lt;'Segmentation Summary'!$C$2,J876=1),"C2 - First-Time Buyers","C5 - Other Individual Buyers"))))</f>
        <v>C1 - Global Investors</v>
      </c>
    </row>
    <row r="877" customFormat="false" ht="15" hidden="false" customHeight="true" outlineLevel="0" collapsed="false">
      <c r="A877" s="13" t="s">
        <v>1791</v>
      </c>
      <c r="B877" s="13" t="s">
        <v>34</v>
      </c>
      <c r="C877" s="13" t="s">
        <v>1792</v>
      </c>
      <c r="D877" s="13" t="n">
        <v>28</v>
      </c>
      <c r="E877" s="13" t="s">
        <v>83</v>
      </c>
      <c r="F877" s="13" t="s">
        <v>37</v>
      </c>
      <c r="G877" s="13" t="s">
        <v>572</v>
      </c>
      <c r="H877" s="13" t="s">
        <v>41</v>
      </c>
      <c r="I877" s="13" t="n">
        <v>1</v>
      </c>
      <c r="J877" s="13" t="n">
        <v>0</v>
      </c>
      <c r="K877" s="13" t="s">
        <v>85</v>
      </c>
      <c r="L877" s="13" t="n">
        <v>3</v>
      </c>
      <c r="M877" s="13" t="n">
        <v>1019272.59</v>
      </c>
      <c r="N877" s="13" t="n">
        <v>339757.53</v>
      </c>
      <c r="O877" s="13" t="n">
        <v>1049.38</v>
      </c>
      <c r="P877" s="13" t="n">
        <v>1</v>
      </c>
      <c r="Q877" s="13" t="n">
        <v>2</v>
      </c>
      <c r="R877" s="13" t="s">
        <v>86</v>
      </c>
      <c r="S877" s="13" t="s">
        <v>152</v>
      </c>
      <c r="T877" s="13" t="n">
        <v>1</v>
      </c>
      <c r="U877" s="13" t="n">
        <f aca="false">IF(B877="Individual",1,0)</f>
        <v>1</v>
      </c>
      <c r="V877" s="13" t="n">
        <f aca="false">IF(B877="Company",1,0)</f>
        <v>0</v>
      </c>
      <c r="W877" s="13" t="n">
        <f aca="false">IF(H877="Home",1,0)</f>
        <v>1</v>
      </c>
      <c r="X877" s="13" t="n">
        <f aca="false">IF(H877="Investment",1,0)</f>
        <v>0</v>
      </c>
      <c r="Y877" s="13" t="n">
        <f aca="false">IF(K877="Website",1,0)</f>
        <v>1</v>
      </c>
      <c r="Z877" s="13" t="n">
        <f aca="false">IF(K877="Agency",1,0)</f>
        <v>0</v>
      </c>
      <c r="AA877" s="13" t="n">
        <f aca="false">IF(K877="Client",1,0)</f>
        <v>0</v>
      </c>
      <c r="AB877" s="13" t="n">
        <f aca="false">(D877-AVERAGE(D$2:D$2001))/STDEV(D$2:D$2001)</f>
        <v>-1.50712359909381</v>
      </c>
      <c r="AC877" s="13" t="n">
        <f aca="false">(I877-AVERAGE(I$2:I$2001))/STDEV(I$2:I$2001)</f>
        <v>-1.43538077576244</v>
      </c>
      <c r="AD877" s="13" t="n">
        <f aca="false">(L877-AVERAGE(L$2:L$2001))/STDEV(L$2:L$2001)</f>
        <v>-0.777063122173208</v>
      </c>
      <c r="AE877" s="13" t="n">
        <f aca="false">(M877-AVERAGE(M$2:M$2001))/STDEV(M$2:M$2001)</f>
        <v>-0.693161686993853</v>
      </c>
      <c r="AF877" s="13" t="n">
        <f aca="false">(N877-AVERAGE(N$2:N$2001))/STDEV(N$2:N$2001)</f>
        <v>-0.105166871409242</v>
      </c>
      <c r="AG877" s="13" t="n">
        <f aca="false">(O877-AVERAGE(O$2:O$2001))/STDEV(O$2:O$2001)</f>
        <v>-0.446064541847934</v>
      </c>
      <c r="AH877" s="0" t="str">
        <f aca="false">IF(B877="Company","C3 - Corporate Buyers",IF(AND(H877="Investment",M877&gt;'Segmentation Summary'!$C$1),"C1 - Global Investors",IF(AND(I877&gt;=4,M877&gt;'Segmentation Summary'!$C$1),"C4 - Luxury Investors",IF(AND(D877&lt;'Segmentation Summary'!$C$2,J877=1),"C2 - First-Time Buyers","C5 - Other Individual Buyers"))))</f>
        <v>C5 - Other Individual Buyers</v>
      </c>
    </row>
    <row r="878" customFormat="false" ht="15" hidden="false" customHeight="true" outlineLevel="0" collapsed="false">
      <c r="A878" s="13" t="s">
        <v>1793</v>
      </c>
      <c r="B878" s="13" t="s">
        <v>34</v>
      </c>
      <c r="C878" s="13" t="s">
        <v>1794</v>
      </c>
      <c r="D878" s="13" t="n">
        <v>35</v>
      </c>
      <c r="E878" s="13" t="s">
        <v>83</v>
      </c>
      <c r="F878" s="13" t="s">
        <v>40</v>
      </c>
      <c r="G878" s="13" t="s">
        <v>239</v>
      </c>
      <c r="H878" s="13" t="s">
        <v>41</v>
      </c>
      <c r="I878" s="13" t="n">
        <v>5</v>
      </c>
      <c r="J878" s="13" t="n">
        <v>0</v>
      </c>
      <c r="K878" s="13" t="s">
        <v>116</v>
      </c>
      <c r="L878" s="13" t="n">
        <v>4</v>
      </c>
      <c r="M878" s="13" t="n">
        <v>1485168.27</v>
      </c>
      <c r="N878" s="13" t="n">
        <v>371292.0675</v>
      </c>
      <c r="O878" s="13" t="n">
        <v>1220.42</v>
      </c>
      <c r="P878" s="13" t="n">
        <v>0</v>
      </c>
      <c r="Q878" s="13" t="n">
        <v>4</v>
      </c>
      <c r="R878" s="13" t="s">
        <v>92</v>
      </c>
      <c r="S878" s="13" t="s">
        <v>125</v>
      </c>
      <c r="T878" s="13" t="n">
        <v>1</v>
      </c>
      <c r="U878" s="13" t="n">
        <f aca="false">IF(B878="Individual",1,0)</f>
        <v>1</v>
      </c>
      <c r="V878" s="13" t="n">
        <f aca="false">IF(B878="Company",1,0)</f>
        <v>0</v>
      </c>
      <c r="W878" s="13" t="n">
        <f aca="false">IF(H878="Home",1,0)</f>
        <v>1</v>
      </c>
      <c r="X878" s="13" t="n">
        <f aca="false">IF(H878="Investment",1,0)</f>
        <v>0</v>
      </c>
      <c r="Y878" s="13" t="n">
        <f aca="false">IF(K878="Website",1,0)</f>
        <v>0</v>
      </c>
      <c r="Z878" s="13" t="n">
        <f aca="false">IF(K878="Agency",1,0)</f>
        <v>0</v>
      </c>
      <c r="AA878" s="13" t="n">
        <f aca="false">IF(K878="Client",1,0)</f>
        <v>1</v>
      </c>
      <c r="AB878" s="13" t="n">
        <f aca="false">(D878-AVERAGE(D$2:D$2001))/STDEV(D$2:D$2001)</f>
        <v>-1.10348641067675</v>
      </c>
      <c r="AC878" s="13" t="n">
        <f aca="false">(I878-AVERAGE(I$2:I$2001))/STDEV(I$2:I$2001)</f>
        <v>1.39434968409451</v>
      </c>
      <c r="AD878" s="13" t="n">
        <f aca="false">(L878-AVERAGE(L$2:L$2001))/STDEV(L$2:L$2001)</f>
        <v>0.413838214490712</v>
      </c>
      <c r="AE878" s="13" t="n">
        <f aca="false">(M878-AVERAGE(M$2:M$2001))/STDEV(M$2:M$2001)</f>
        <v>0.646270764228056</v>
      </c>
      <c r="AF878" s="13" t="n">
        <f aca="false">(N878-AVERAGE(N$2:N$2001))/STDEV(N$2:N$2001)</f>
        <v>0.347123913305637</v>
      </c>
      <c r="AG878" s="13" t="n">
        <f aca="false">(O878-AVERAGE(O$2:O$2001))/STDEV(O$2:O$2001)</f>
        <v>0.331663668629752</v>
      </c>
      <c r="AH878" s="0" t="str">
        <f aca="false">IF(B878="Company","C3 - Corporate Buyers",IF(AND(H878="Investment",M878&gt;'Segmentation Summary'!$C$1),"C1 - Global Investors",IF(AND(I878&gt;=4,M878&gt;'Segmentation Summary'!$C$1),"C4 - Luxury Investors",IF(AND(D878&lt;'Segmentation Summary'!$C$2,J878=1),"C2 - First-Time Buyers","C5 - Other Individual Buyers"))))</f>
        <v>C4 - Luxury Investors</v>
      </c>
    </row>
    <row r="879" customFormat="false" ht="15" hidden="false" customHeight="true" outlineLevel="0" collapsed="false">
      <c r="A879" s="13" t="s">
        <v>1795</v>
      </c>
      <c r="B879" s="13" t="s">
        <v>34</v>
      </c>
      <c r="C879" s="13" t="s">
        <v>1796</v>
      </c>
      <c r="D879" s="13" t="n">
        <v>73</v>
      </c>
      <c r="E879" s="13" t="s">
        <v>83</v>
      </c>
      <c r="F879" s="13" t="s">
        <v>33</v>
      </c>
      <c r="G879" s="13" t="s">
        <v>123</v>
      </c>
      <c r="H879" s="13" t="s">
        <v>41</v>
      </c>
      <c r="I879" s="13" t="n">
        <v>4</v>
      </c>
      <c r="J879" s="13" t="n">
        <v>0</v>
      </c>
      <c r="K879" s="13" t="s">
        <v>116</v>
      </c>
      <c r="L879" s="13" t="n">
        <v>4</v>
      </c>
      <c r="M879" s="13" t="n">
        <v>1300035.21</v>
      </c>
      <c r="N879" s="13" t="n">
        <v>325008.8025</v>
      </c>
      <c r="O879" s="13" t="n">
        <v>1159.5325</v>
      </c>
      <c r="P879" s="13" t="n">
        <v>1</v>
      </c>
      <c r="Q879" s="13" t="n">
        <v>3</v>
      </c>
      <c r="R879" s="13" t="s">
        <v>98</v>
      </c>
      <c r="S879" s="13" t="s">
        <v>135</v>
      </c>
      <c r="T879" s="13" t="n">
        <v>1</v>
      </c>
      <c r="U879" s="13" t="n">
        <f aca="false">IF(B879="Individual",1,0)</f>
        <v>1</v>
      </c>
      <c r="V879" s="13" t="n">
        <f aca="false">IF(B879="Company",1,0)</f>
        <v>0</v>
      </c>
      <c r="W879" s="13" t="n">
        <f aca="false">IF(H879="Home",1,0)</f>
        <v>1</v>
      </c>
      <c r="X879" s="13" t="n">
        <f aca="false">IF(H879="Investment",1,0)</f>
        <v>0</v>
      </c>
      <c r="Y879" s="13" t="n">
        <f aca="false">IF(K879="Website",1,0)</f>
        <v>0</v>
      </c>
      <c r="Z879" s="13" t="n">
        <f aca="false">IF(K879="Agency",1,0)</f>
        <v>0</v>
      </c>
      <c r="AA879" s="13" t="n">
        <f aca="false">IF(K879="Client",1,0)</f>
        <v>1</v>
      </c>
      <c r="AB879" s="13" t="n">
        <f aca="false">(D879-AVERAGE(D$2:D$2001))/STDEV(D$2:D$2001)</f>
        <v>1.087686897873</v>
      </c>
      <c r="AC879" s="13" t="n">
        <f aca="false">(I879-AVERAGE(I$2:I$2001))/STDEV(I$2:I$2001)</f>
        <v>0.686917069130275</v>
      </c>
      <c r="AD879" s="13" t="n">
        <f aca="false">(L879-AVERAGE(L$2:L$2001))/STDEV(L$2:L$2001)</f>
        <v>0.413838214490712</v>
      </c>
      <c r="AE879" s="13" t="n">
        <f aca="false">(M879-AVERAGE(M$2:M$2001))/STDEV(M$2:M$2001)</f>
        <v>0.114020221879149</v>
      </c>
      <c r="AF879" s="13" t="n">
        <f aca="false">(N879-AVERAGE(N$2:N$2001))/STDEV(N$2:N$2001)</f>
        <v>-0.316703620109645</v>
      </c>
      <c r="AG879" s="13" t="n">
        <f aca="false">(O879-AVERAGE(O$2:O$2001))/STDEV(O$2:O$2001)</f>
        <v>0.0548048846291666</v>
      </c>
      <c r="AH879" s="0" t="str">
        <f aca="false">IF(B879="Company","C3 - Corporate Buyers",IF(AND(H879="Investment",M879&gt;'Segmentation Summary'!$C$1),"C1 - Global Investors",IF(AND(I879&gt;=4,M879&gt;'Segmentation Summary'!$C$1),"C4 - Luxury Investors",IF(AND(D879&lt;'Segmentation Summary'!$C$2,J879=1),"C2 - First-Time Buyers","C5 - Other Individual Buyers"))))</f>
        <v>C4 - Luxury Investors</v>
      </c>
    </row>
    <row r="880" customFormat="false" ht="15" hidden="false" customHeight="true" outlineLevel="0" collapsed="false">
      <c r="A880" s="13" t="s">
        <v>1797</v>
      </c>
      <c r="B880" s="13" t="s">
        <v>34</v>
      </c>
      <c r="C880" s="13" t="s">
        <v>1798</v>
      </c>
      <c r="D880" s="13" t="n">
        <v>33</v>
      </c>
      <c r="E880" s="13" t="s">
        <v>83</v>
      </c>
      <c r="F880" s="13" t="s">
        <v>42</v>
      </c>
      <c r="G880" s="13" t="s">
        <v>288</v>
      </c>
      <c r="H880" s="13" t="s">
        <v>43</v>
      </c>
      <c r="I880" s="13" t="n">
        <v>4</v>
      </c>
      <c r="J880" s="13" t="n">
        <v>1</v>
      </c>
      <c r="K880" s="13" t="s">
        <v>85</v>
      </c>
      <c r="L880" s="13" t="n">
        <v>4</v>
      </c>
      <c r="M880" s="13" t="n">
        <v>1401657.84</v>
      </c>
      <c r="N880" s="13" t="n">
        <v>350414.46</v>
      </c>
      <c r="O880" s="13" t="n">
        <v>1182.3725</v>
      </c>
      <c r="P880" s="13" t="n">
        <v>1</v>
      </c>
      <c r="Q880" s="13" t="n">
        <v>3</v>
      </c>
      <c r="R880" s="13" t="s">
        <v>128</v>
      </c>
      <c r="S880" s="13" t="s">
        <v>114</v>
      </c>
      <c r="T880" s="13" t="n">
        <v>1</v>
      </c>
      <c r="U880" s="13" t="n">
        <f aca="false">IF(B880="Individual",1,0)</f>
        <v>1</v>
      </c>
      <c r="V880" s="13" t="n">
        <f aca="false">IF(B880="Company",1,0)</f>
        <v>0</v>
      </c>
      <c r="W880" s="13" t="n">
        <f aca="false">IF(H880="Home",1,0)</f>
        <v>0</v>
      </c>
      <c r="X880" s="13" t="n">
        <f aca="false">IF(H880="Investment",1,0)</f>
        <v>1</v>
      </c>
      <c r="Y880" s="13" t="n">
        <f aca="false">IF(K880="Website",1,0)</f>
        <v>1</v>
      </c>
      <c r="Z880" s="13" t="n">
        <f aca="false">IF(K880="Agency",1,0)</f>
        <v>0</v>
      </c>
      <c r="AA880" s="13" t="n">
        <f aca="false">IF(K880="Client",1,0)</f>
        <v>0</v>
      </c>
      <c r="AB880" s="13" t="n">
        <f aca="false">(D880-AVERAGE(D$2:D$2001))/STDEV(D$2:D$2001)</f>
        <v>-1.21881132165305</v>
      </c>
      <c r="AC880" s="13" t="n">
        <f aca="false">(I880-AVERAGE(I$2:I$2001))/STDEV(I$2:I$2001)</f>
        <v>0.686917069130275</v>
      </c>
      <c r="AD880" s="13" t="n">
        <f aca="false">(L880-AVERAGE(L$2:L$2001))/STDEV(L$2:L$2001)</f>
        <v>0.413838214490712</v>
      </c>
      <c r="AE880" s="13" t="n">
        <f aca="false">(M880-AVERAGE(M$2:M$2001))/STDEV(M$2:M$2001)</f>
        <v>0.406181437884667</v>
      </c>
      <c r="AF880" s="13" t="n">
        <f aca="false">(N880-AVERAGE(N$2:N$2001))/STDEV(N$2:N$2001)</f>
        <v>0.0476824047963006</v>
      </c>
      <c r="AG880" s="13" t="n">
        <f aca="false">(O880-AVERAGE(O$2:O$2001))/STDEV(O$2:O$2001)</f>
        <v>0.158659610583974</v>
      </c>
      <c r="AH880" s="0" t="str">
        <f aca="false">IF(B880="Company","C3 - Corporate Buyers",IF(AND(H880="Investment",M880&gt;'Segmentation Summary'!$C$1),"C1 - Global Investors",IF(AND(I880&gt;=4,M880&gt;'Segmentation Summary'!$C$1),"C4 - Luxury Investors",IF(AND(D880&lt;'Segmentation Summary'!$C$2,J880=1),"C2 - First-Time Buyers","C5 - Other Individual Buyers"))))</f>
        <v>C1 - Global Investors</v>
      </c>
    </row>
    <row r="881" customFormat="false" ht="15" hidden="false" customHeight="true" outlineLevel="0" collapsed="false">
      <c r="A881" s="13" t="s">
        <v>1799</v>
      </c>
      <c r="B881" s="13" t="s">
        <v>34</v>
      </c>
      <c r="C881" s="13" t="s">
        <v>1800</v>
      </c>
      <c r="D881" s="13" t="n">
        <v>71</v>
      </c>
      <c r="E881" s="13" t="s">
        <v>83</v>
      </c>
      <c r="F881" s="13" t="s">
        <v>33</v>
      </c>
      <c r="G881" s="13" t="s">
        <v>265</v>
      </c>
      <c r="H881" s="13" t="s">
        <v>41</v>
      </c>
      <c r="I881" s="13" t="n">
        <v>2</v>
      </c>
      <c r="J881" s="13" t="n">
        <v>1</v>
      </c>
      <c r="K881" s="13" t="s">
        <v>85</v>
      </c>
      <c r="L881" s="13" t="n">
        <v>3</v>
      </c>
      <c r="M881" s="13" t="n">
        <v>1295836.68</v>
      </c>
      <c r="N881" s="13" t="n">
        <v>431945.56</v>
      </c>
      <c r="O881" s="13" t="n">
        <v>1445.29333333333</v>
      </c>
      <c r="P881" s="13" t="n">
        <v>0</v>
      </c>
      <c r="Q881" s="13" t="n">
        <v>3</v>
      </c>
      <c r="R881" s="13" t="s">
        <v>124</v>
      </c>
      <c r="S881" s="13" t="s">
        <v>152</v>
      </c>
      <c r="T881" s="13" t="n">
        <v>1</v>
      </c>
      <c r="U881" s="13" t="n">
        <f aca="false">IF(B881="Individual",1,0)</f>
        <v>1</v>
      </c>
      <c r="V881" s="13" t="n">
        <f aca="false">IF(B881="Company",1,0)</f>
        <v>0</v>
      </c>
      <c r="W881" s="13" t="n">
        <f aca="false">IF(H881="Home",1,0)</f>
        <v>1</v>
      </c>
      <c r="X881" s="13" t="n">
        <f aca="false">IF(H881="Investment",1,0)</f>
        <v>0</v>
      </c>
      <c r="Y881" s="13" t="n">
        <f aca="false">IF(K881="Website",1,0)</f>
        <v>1</v>
      </c>
      <c r="Z881" s="13" t="n">
        <f aca="false">IF(K881="Agency",1,0)</f>
        <v>0</v>
      </c>
      <c r="AA881" s="13" t="n">
        <f aca="false">IF(K881="Client",1,0)</f>
        <v>0</v>
      </c>
      <c r="AB881" s="13" t="n">
        <f aca="false">(D881-AVERAGE(D$2:D$2001))/STDEV(D$2:D$2001)</f>
        <v>0.972361986896694</v>
      </c>
      <c r="AC881" s="13" t="n">
        <f aca="false">(I881-AVERAGE(I$2:I$2001))/STDEV(I$2:I$2001)</f>
        <v>-0.727948160798201</v>
      </c>
      <c r="AD881" s="13" t="n">
        <f aca="false">(L881-AVERAGE(L$2:L$2001))/STDEV(L$2:L$2001)</f>
        <v>-0.777063122173208</v>
      </c>
      <c r="AE881" s="13" t="n">
        <f aca="false">(M881-AVERAGE(M$2:M$2001))/STDEV(M$2:M$2001)</f>
        <v>0.101949606995086</v>
      </c>
      <c r="AF881" s="13" t="n">
        <f aca="false">(N881-AVERAGE(N$2:N$2001))/STDEV(N$2:N$2001)</f>
        <v>1.21705947898574</v>
      </c>
      <c r="AG881" s="13" t="n">
        <f aca="false">(O881-AVERAGE(O$2:O$2001))/STDEV(O$2:O$2001)</f>
        <v>1.35417498245975</v>
      </c>
      <c r="AH881" s="0" t="str">
        <f aca="false">IF(B881="Company","C3 - Corporate Buyers",IF(AND(H881="Investment",M881&gt;'Segmentation Summary'!$C$1),"C1 - Global Investors",IF(AND(I881&gt;=4,M881&gt;'Segmentation Summary'!$C$1),"C4 - Luxury Investors",IF(AND(D881&lt;'Segmentation Summary'!$C$2,J881=1),"C2 - First-Time Buyers","C5 - Other Individual Buyers"))))</f>
        <v>C5 - Other Individual Buyers</v>
      </c>
    </row>
    <row r="882" customFormat="false" ht="15" hidden="false" customHeight="true" outlineLevel="0" collapsed="false">
      <c r="A882" s="13" t="s">
        <v>1801</v>
      </c>
      <c r="B882" s="13" t="s">
        <v>34</v>
      </c>
      <c r="C882" s="13" t="s">
        <v>1802</v>
      </c>
      <c r="D882" s="13" t="n">
        <v>55</v>
      </c>
      <c r="E882" s="13" t="s">
        <v>83</v>
      </c>
      <c r="F882" s="13" t="s">
        <v>44</v>
      </c>
      <c r="G882" s="13" t="s">
        <v>318</v>
      </c>
      <c r="H882" s="13" t="s">
        <v>41</v>
      </c>
      <c r="I882" s="13" t="n">
        <v>5</v>
      </c>
      <c r="J882" s="13" t="n">
        <v>0</v>
      </c>
      <c r="K882" s="13" t="s">
        <v>91</v>
      </c>
      <c r="L882" s="13" t="n">
        <v>3</v>
      </c>
      <c r="M882" s="13" t="n">
        <v>1333020.46</v>
      </c>
      <c r="N882" s="13" t="n">
        <v>444340.153333333</v>
      </c>
      <c r="O882" s="13" t="n">
        <v>1525.18</v>
      </c>
      <c r="P882" s="13" t="n">
        <v>0</v>
      </c>
      <c r="Q882" s="13" t="n">
        <v>3</v>
      </c>
      <c r="R882" s="13" t="s">
        <v>117</v>
      </c>
      <c r="S882" s="13" t="s">
        <v>107</v>
      </c>
      <c r="T882" s="13" t="n">
        <v>1</v>
      </c>
      <c r="U882" s="13" t="n">
        <f aca="false">IF(B882="Individual",1,0)</f>
        <v>1</v>
      </c>
      <c r="V882" s="13" t="n">
        <f aca="false">IF(B882="Company",1,0)</f>
        <v>0</v>
      </c>
      <c r="W882" s="13" t="n">
        <f aca="false">IF(H882="Home",1,0)</f>
        <v>1</v>
      </c>
      <c r="X882" s="13" t="n">
        <f aca="false">IF(H882="Investment",1,0)</f>
        <v>0</v>
      </c>
      <c r="Y882" s="13" t="n">
        <f aca="false">IF(K882="Website",1,0)</f>
        <v>0</v>
      </c>
      <c r="Z882" s="13" t="n">
        <f aca="false">IF(K882="Agency",1,0)</f>
        <v>1</v>
      </c>
      <c r="AA882" s="13" t="n">
        <f aca="false">IF(K882="Client",1,0)</f>
        <v>0</v>
      </c>
      <c r="AB882" s="13" t="n">
        <f aca="false">(D882-AVERAGE(D$2:D$2001))/STDEV(D$2:D$2001)</f>
        <v>0.0497626990862745</v>
      </c>
      <c r="AC882" s="13" t="n">
        <f aca="false">(I882-AVERAGE(I$2:I$2001))/STDEV(I$2:I$2001)</f>
        <v>1.39434968409451</v>
      </c>
      <c r="AD882" s="13" t="n">
        <f aca="false">(L882-AVERAGE(L$2:L$2001))/STDEV(L$2:L$2001)</f>
        <v>-0.777063122173208</v>
      </c>
      <c r="AE882" s="13" t="n">
        <f aca="false">(M882-AVERAGE(M$2:M$2001))/STDEV(M$2:M$2001)</f>
        <v>0.208851567517872</v>
      </c>
      <c r="AF882" s="13" t="n">
        <f aca="false">(N882-AVERAGE(N$2:N$2001))/STDEV(N$2:N$2001)</f>
        <v>1.39483155967521</v>
      </c>
      <c r="AG882" s="13" t="n">
        <f aca="false">(O882-AVERAGE(O$2:O$2001))/STDEV(O$2:O$2001)</f>
        <v>1.71742401372552</v>
      </c>
      <c r="AH882" s="0" t="str">
        <f aca="false">IF(B882="Company","C3 - Corporate Buyers",IF(AND(H882="Investment",M882&gt;'Segmentation Summary'!$C$1),"C1 - Global Investors",IF(AND(I882&gt;=4,M882&gt;'Segmentation Summary'!$C$1),"C4 - Luxury Investors",IF(AND(D882&lt;'Segmentation Summary'!$C$2,J882=1),"C2 - First-Time Buyers","C5 - Other Individual Buyers"))))</f>
        <v>C4 - Luxury Investors</v>
      </c>
    </row>
    <row r="883" customFormat="false" ht="15" hidden="false" customHeight="true" outlineLevel="0" collapsed="false">
      <c r="A883" s="13" t="s">
        <v>1803</v>
      </c>
      <c r="B883" s="13" t="s">
        <v>34</v>
      </c>
      <c r="C883" s="13" t="s">
        <v>1804</v>
      </c>
      <c r="D883" s="13" t="n">
        <v>70</v>
      </c>
      <c r="E883" s="13" t="s">
        <v>83</v>
      </c>
      <c r="F883" s="13" t="s">
        <v>33</v>
      </c>
      <c r="G883" s="13" t="s">
        <v>95</v>
      </c>
      <c r="H883" s="13" t="s">
        <v>41</v>
      </c>
      <c r="I883" s="13" t="n">
        <v>3</v>
      </c>
      <c r="J883" s="13" t="n">
        <v>0</v>
      </c>
      <c r="K883" s="13" t="s">
        <v>85</v>
      </c>
      <c r="L883" s="13" t="n">
        <v>4</v>
      </c>
      <c r="M883" s="13" t="n">
        <v>1136482.92</v>
      </c>
      <c r="N883" s="13" t="n">
        <v>284120.73</v>
      </c>
      <c r="O883" s="13" t="n">
        <v>883.805</v>
      </c>
      <c r="P883" s="13" t="n">
        <v>1</v>
      </c>
      <c r="Q883" s="13" t="n">
        <v>3</v>
      </c>
      <c r="R883" s="13" t="s">
        <v>86</v>
      </c>
      <c r="S883" s="13" t="s">
        <v>152</v>
      </c>
      <c r="T883" s="13" t="n">
        <v>1</v>
      </c>
      <c r="U883" s="13" t="n">
        <f aca="false">IF(B883="Individual",1,0)</f>
        <v>1</v>
      </c>
      <c r="V883" s="13" t="n">
        <f aca="false">IF(B883="Company",1,0)</f>
        <v>0</v>
      </c>
      <c r="W883" s="13" t="n">
        <f aca="false">IF(H883="Home",1,0)</f>
        <v>1</v>
      </c>
      <c r="X883" s="13" t="n">
        <f aca="false">IF(H883="Investment",1,0)</f>
        <v>0</v>
      </c>
      <c r="Y883" s="13" t="n">
        <f aca="false">IF(K883="Website",1,0)</f>
        <v>1</v>
      </c>
      <c r="Z883" s="13" t="n">
        <f aca="false">IF(K883="Agency",1,0)</f>
        <v>0</v>
      </c>
      <c r="AA883" s="13" t="n">
        <f aca="false">IF(K883="Client",1,0)</f>
        <v>0</v>
      </c>
      <c r="AB883" s="13" t="n">
        <f aca="false">(D883-AVERAGE(D$2:D$2001))/STDEV(D$2:D$2001)</f>
        <v>0.914699531408543</v>
      </c>
      <c r="AC883" s="13" t="n">
        <f aca="false">(I883-AVERAGE(I$2:I$2001))/STDEV(I$2:I$2001)</f>
        <v>-0.0205155458339628</v>
      </c>
      <c r="AD883" s="13" t="n">
        <f aca="false">(L883-AVERAGE(L$2:L$2001))/STDEV(L$2:L$2001)</f>
        <v>0.413838214490712</v>
      </c>
      <c r="AE883" s="13" t="n">
        <f aca="false">(M883-AVERAGE(M$2:M$2001))/STDEV(M$2:M$2001)</f>
        <v>-0.356186423303001</v>
      </c>
      <c r="AF883" s="13" t="n">
        <f aca="false">(N883-AVERAGE(N$2:N$2001))/STDEV(N$2:N$2001)</f>
        <v>-0.903149462117122</v>
      </c>
      <c r="AG883" s="13" t="n">
        <f aca="false">(O883-AVERAGE(O$2:O$2001))/STDEV(O$2:O$2001)</f>
        <v>-1.19894309920202</v>
      </c>
      <c r="AH883" s="0" t="str">
        <f aca="false">IF(B883="Company","C3 - Corporate Buyers",IF(AND(H883="Investment",M883&gt;'Segmentation Summary'!$C$1),"C1 - Global Investors",IF(AND(I883&gt;=4,M883&gt;'Segmentation Summary'!$C$1),"C4 - Luxury Investors",IF(AND(D883&lt;'Segmentation Summary'!$C$2,J883=1),"C2 - First-Time Buyers","C5 - Other Individual Buyers"))))</f>
        <v>C5 - Other Individual Buyers</v>
      </c>
    </row>
    <row r="884" customFormat="false" ht="15" hidden="false" customHeight="true" outlineLevel="0" collapsed="false">
      <c r="A884" s="13" t="s">
        <v>1805</v>
      </c>
      <c r="B884" s="13" t="s">
        <v>34</v>
      </c>
      <c r="C884" s="13" t="s">
        <v>1806</v>
      </c>
      <c r="D884" s="13" t="n">
        <v>75</v>
      </c>
      <c r="E884" s="13" t="s">
        <v>83</v>
      </c>
      <c r="F884" s="13" t="s">
        <v>33</v>
      </c>
      <c r="G884" s="13" t="s">
        <v>162</v>
      </c>
      <c r="H884" s="13" t="s">
        <v>43</v>
      </c>
      <c r="I884" s="13" t="n">
        <v>4</v>
      </c>
      <c r="J884" s="13" t="n">
        <v>0</v>
      </c>
      <c r="K884" s="13" t="s">
        <v>85</v>
      </c>
      <c r="L884" s="13" t="n">
        <v>4</v>
      </c>
      <c r="M884" s="13" t="n">
        <v>1398930.7</v>
      </c>
      <c r="N884" s="13" t="n">
        <v>349732.675</v>
      </c>
      <c r="O884" s="13" t="n">
        <v>1135.53</v>
      </c>
      <c r="P884" s="13" t="n">
        <v>0</v>
      </c>
      <c r="Q884" s="13" t="n">
        <v>4</v>
      </c>
      <c r="R884" s="13" t="s">
        <v>107</v>
      </c>
      <c r="S884" s="13" t="s">
        <v>87</v>
      </c>
      <c r="T884" s="13" t="n">
        <v>1</v>
      </c>
      <c r="U884" s="13" t="n">
        <f aca="false">IF(B884="Individual",1,0)</f>
        <v>1</v>
      </c>
      <c r="V884" s="13" t="n">
        <f aca="false">IF(B884="Company",1,0)</f>
        <v>0</v>
      </c>
      <c r="W884" s="13" t="n">
        <f aca="false">IF(H884="Home",1,0)</f>
        <v>0</v>
      </c>
      <c r="X884" s="13" t="n">
        <f aca="false">IF(H884="Investment",1,0)</f>
        <v>1</v>
      </c>
      <c r="Y884" s="13" t="n">
        <f aca="false">IF(K884="Website",1,0)</f>
        <v>1</v>
      </c>
      <c r="Z884" s="13" t="n">
        <f aca="false">IF(K884="Agency",1,0)</f>
        <v>0</v>
      </c>
      <c r="AA884" s="13" t="n">
        <f aca="false">IF(K884="Client",1,0)</f>
        <v>0</v>
      </c>
      <c r="AB884" s="13" t="n">
        <f aca="false">(D884-AVERAGE(D$2:D$2001))/STDEV(D$2:D$2001)</f>
        <v>1.2030118088493</v>
      </c>
      <c r="AC884" s="13" t="n">
        <f aca="false">(I884-AVERAGE(I$2:I$2001))/STDEV(I$2:I$2001)</f>
        <v>0.686917069130275</v>
      </c>
      <c r="AD884" s="13" t="n">
        <f aca="false">(L884-AVERAGE(L$2:L$2001))/STDEV(L$2:L$2001)</f>
        <v>0.413838214490712</v>
      </c>
      <c r="AE884" s="13" t="n">
        <f aca="false">(M884-AVERAGE(M$2:M$2001))/STDEV(M$2:M$2001)</f>
        <v>0.398341013575462</v>
      </c>
      <c r="AF884" s="13" t="n">
        <f aca="false">(N884-AVERAGE(N$2:N$2001))/STDEV(N$2:N$2001)</f>
        <v>0.0379037589970132</v>
      </c>
      <c r="AG884" s="13" t="n">
        <f aca="false">(O884-AVERAGE(O$2:O$2001))/STDEV(O$2:O$2001)</f>
        <v>-0.0543357922416864</v>
      </c>
      <c r="AH884" s="0" t="str">
        <f aca="false">IF(B884="Company","C3 - Corporate Buyers",IF(AND(H884="Investment",M884&gt;'Segmentation Summary'!$C$1),"C1 - Global Investors",IF(AND(I884&gt;=4,M884&gt;'Segmentation Summary'!$C$1),"C4 - Luxury Investors",IF(AND(D884&lt;'Segmentation Summary'!$C$2,J884=1),"C2 - First-Time Buyers","C5 - Other Individual Buyers"))))</f>
        <v>C1 - Global Investors</v>
      </c>
    </row>
    <row r="885" customFormat="false" ht="15" hidden="false" customHeight="true" outlineLevel="0" collapsed="false">
      <c r="A885" s="13" t="s">
        <v>1807</v>
      </c>
      <c r="B885" s="13" t="s">
        <v>34</v>
      </c>
      <c r="C885" s="13" t="s">
        <v>1808</v>
      </c>
      <c r="D885" s="13" t="n">
        <v>84</v>
      </c>
      <c r="E885" s="13" t="s">
        <v>83</v>
      </c>
      <c r="F885" s="13" t="s">
        <v>33</v>
      </c>
      <c r="G885" s="13" t="s">
        <v>84</v>
      </c>
      <c r="H885" s="13" t="s">
        <v>43</v>
      </c>
      <c r="I885" s="13" t="n">
        <v>5</v>
      </c>
      <c r="J885" s="13" t="n">
        <v>0</v>
      </c>
      <c r="K885" s="13" t="s">
        <v>116</v>
      </c>
      <c r="L885" s="13" t="n">
        <v>4</v>
      </c>
      <c r="M885" s="13" t="n">
        <v>1335521.08</v>
      </c>
      <c r="N885" s="13" t="n">
        <v>333880.27</v>
      </c>
      <c r="O885" s="13" t="n">
        <v>1159.9675</v>
      </c>
      <c r="P885" s="13" t="n">
        <v>0</v>
      </c>
      <c r="Q885" s="13" t="n">
        <v>4</v>
      </c>
      <c r="R885" s="13" t="s">
        <v>86</v>
      </c>
      <c r="S885" s="13" t="s">
        <v>103</v>
      </c>
      <c r="T885" s="13" t="n">
        <v>1</v>
      </c>
      <c r="U885" s="13" t="n">
        <f aca="false">IF(B885="Individual",1,0)</f>
        <v>1</v>
      </c>
      <c r="V885" s="13" t="n">
        <f aca="false">IF(B885="Company",1,0)</f>
        <v>0</v>
      </c>
      <c r="W885" s="13" t="n">
        <f aca="false">IF(H885="Home",1,0)</f>
        <v>0</v>
      </c>
      <c r="X885" s="13" t="n">
        <f aca="false">IF(H885="Investment",1,0)</f>
        <v>1</v>
      </c>
      <c r="Y885" s="13" t="n">
        <f aca="false">IF(K885="Website",1,0)</f>
        <v>0</v>
      </c>
      <c r="Z885" s="13" t="n">
        <f aca="false">IF(K885="Agency",1,0)</f>
        <v>0</v>
      </c>
      <c r="AA885" s="13" t="n">
        <f aca="false">IF(K885="Client",1,0)</f>
        <v>1</v>
      </c>
      <c r="AB885" s="13" t="n">
        <f aca="false">(D885-AVERAGE(D$2:D$2001))/STDEV(D$2:D$2001)</f>
        <v>1.72197390824266</v>
      </c>
      <c r="AC885" s="13" t="n">
        <f aca="false">(I885-AVERAGE(I$2:I$2001))/STDEV(I$2:I$2001)</f>
        <v>1.39434968409451</v>
      </c>
      <c r="AD885" s="13" t="n">
        <f aca="false">(L885-AVERAGE(L$2:L$2001))/STDEV(L$2:L$2001)</f>
        <v>0.413838214490712</v>
      </c>
      <c r="AE885" s="13" t="n">
        <f aca="false">(M885-AVERAGE(M$2:M$2001))/STDEV(M$2:M$2001)</f>
        <v>0.216040755398246</v>
      </c>
      <c r="AF885" s="13" t="n">
        <f aca="false">(N885-AVERAGE(N$2:N$2001))/STDEV(N$2:N$2001)</f>
        <v>-0.189462718062245</v>
      </c>
      <c r="AG885" s="13" t="n">
        <f aca="false">(O885-AVERAGE(O$2:O$2001))/STDEV(O$2:O$2001)</f>
        <v>0.0567828533590412</v>
      </c>
      <c r="AH885" s="0" t="str">
        <f aca="false">IF(B885="Company","C3 - Corporate Buyers",IF(AND(H885="Investment",M885&gt;'Segmentation Summary'!$C$1),"C1 - Global Investors",IF(AND(I885&gt;=4,M885&gt;'Segmentation Summary'!$C$1),"C4 - Luxury Investors",IF(AND(D885&lt;'Segmentation Summary'!$C$2,J885=1),"C2 - First-Time Buyers","C5 - Other Individual Buyers"))))</f>
        <v>C1 - Global Investors</v>
      </c>
    </row>
    <row r="886" customFormat="false" ht="15" hidden="false" customHeight="true" outlineLevel="0" collapsed="false">
      <c r="A886" s="13" t="s">
        <v>1809</v>
      </c>
      <c r="B886" s="13" t="s">
        <v>34</v>
      </c>
      <c r="C886" s="13" t="s">
        <v>1810</v>
      </c>
      <c r="D886" s="13" t="n">
        <v>75</v>
      </c>
      <c r="E886" s="13" t="s">
        <v>83</v>
      </c>
      <c r="F886" s="13" t="s">
        <v>33</v>
      </c>
      <c r="G886" s="13" t="s">
        <v>95</v>
      </c>
      <c r="H886" s="13" t="s">
        <v>41</v>
      </c>
      <c r="I886" s="13" t="n">
        <v>5</v>
      </c>
      <c r="J886" s="13" t="n">
        <v>0</v>
      </c>
      <c r="K886" s="13" t="s">
        <v>85</v>
      </c>
      <c r="L886" s="13" t="n">
        <v>3</v>
      </c>
      <c r="M886" s="13" t="n">
        <v>1161316.17</v>
      </c>
      <c r="N886" s="13" t="n">
        <v>387105.39</v>
      </c>
      <c r="O886" s="13" t="n">
        <v>1339.74666666667</v>
      </c>
      <c r="P886" s="13" t="n">
        <v>0</v>
      </c>
      <c r="Q886" s="13" t="n">
        <v>3</v>
      </c>
      <c r="R886" s="13" t="s">
        <v>93</v>
      </c>
      <c r="S886" s="13" t="s">
        <v>133</v>
      </c>
      <c r="T886" s="13" t="n">
        <v>1</v>
      </c>
      <c r="U886" s="13" t="n">
        <f aca="false">IF(B886="Individual",1,0)</f>
        <v>1</v>
      </c>
      <c r="V886" s="13" t="n">
        <f aca="false">IF(B886="Company",1,0)</f>
        <v>0</v>
      </c>
      <c r="W886" s="13" t="n">
        <f aca="false">IF(H886="Home",1,0)</f>
        <v>1</v>
      </c>
      <c r="X886" s="13" t="n">
        <f aca="false">IF(H886="Investment",1,0)</f>
        <v>0</v>
      </c>
      <c r="Y886" s="13" t="n">
        <f aca="false">IF(K886="Website",1,0)</f>
        <v>1</v>
      </c>
      <c r="Z886" s="13" t="n">
        <f aca="false">IF(K886="Agency",1,0)</f>
        <v>0</v>
      </c>
      <c r="AA886" s="13" t="n">
        <f aca="false">IF(K886="Client",1,0)</f>
        <v>0</v>
      </c>
      <c r="AB886" s="13" t="n">
        <f aca="false">(D886-AVERAGE(D$2:D$2001))/STDEV(D$2:D$2001)</f>
        <v>1.2030118088493</v>
      </c>
      <c r="AC886" s="13" t="n">
        <f aca="false">(I886-AVERAGE(I$2:I$2001))/STDEV(I$2:I$2001)</f>
        <v>1.39434968409451</v>
      </c>
      <c r="AD886" s="13" t="n">
        <f aca="false">(L886-AVERAGE(L$2:L$2001))/STDEV(L$2:L$2001)</f>
        <v>-0.777063122173208</v>
      </c>
      <c r="AE886" s="13" t="n">
        <f aca="false">(M886-AVERAGE(M$2:M$2001))/STDEV(M$2:M$2001)</f>
        <v>-0.2847917692051</v>
      </c>
      <c r="AF886" s="13" t="n">
        <f aca="false">(N886-AVERAGE(N$2:N$2001))/STDEV(N$2:N$2001)</f>
        <v>0.573929841328981</v>
      </c>
      <c r="AG886" s="13" t="n">
        <f aca="false">(O886-AVERAGE(O$2:O$2001))/STDEV(O$2:O$2001)</f>
        <v>0.874248531404171</v>
      </c>
      <c r="AH886" s="0" t="str">
        <f aca="false">IF(B886="Company","C3 - Corporate Buyers",IF(AND(H886="Investment",M886&gt;'Segmentation Summary'!$C$1),"C1 - Global Investors",IF(AND(I886&gt;=4,M886&gt;'Segmentation Summary'!$C$1),"C4 - Luxury Investors",IF(AND(D886&lt;'Segmentation Summary'!$C$2,J886=1),"C2 - First-Time Buyers","C5 - Other Individual Buyers"))))</f>
        <v>C5 - Other Individual Buyers</v>
      </c>
    </row>
    <row r="887" customFormat="false" ht="15" hidden="false" customHeight="true" outlineLevel="0" collapsed="false">
      <c r="A887" s="13" t="s">
        <v>1811</v>
      </c>
      <c r="B887" s="13" t="s">
        <v>34</v>
      </c>
      <c r="C887" s="13" t="s">
        <v>1812</v>
      </c>
      <c r="D887" s="13" t="n">
        <v>80</v>
      </c>
      <c r="E887" s="13" t="s">
        <v>83</v>
      </c>
      <c r="F887" s="13" t="s">
        <v>33</v>
      </c>
      <c r="G887" s="13" t="s">
        <v>95</v>
      </c>
      <c r="H887" s="13" t="s">
        <v>41</v>
      </c>
      <c r="I887" s="13" t="n">
        <v>1</v>
      </c>
      <c r="J887" s="13" t="n">
        <v>1</v>
      </c>
      <c r="K887" s="13" t="s">
        <v>85</v>
      </c>
      <c r="L887" s="13" t="n">
        <v>3</v>
      </c>
      <c r="M887" s="13" t="n">
        <v>788250.35</v>
      </c>
      <c r="N887" s="13" t="n">
        <v>262750.116666667</v>
      </c>
      <c r="O887" s="13" t="n">
        <v>979.086666666667</v>
      </c>
      <c r="P887" s="13" t="n">
        <v>1</v>
      </c>
      <c r="Q887" s="13" t="n">
        <v>2</v>
      </c>
      <c r="R887" s="13" t="s">
        <v>98</v>
      </c>
      <c r="S887" s="13" t="s">
        <v>215</v>
      </c>
      <c r="T887" s="13" t="n">
        <v>1</v>
      </c>
      <c r="U887" s="13" t="n">
        <f aca="false">IF(B887="Individual",1,0)</f>
        <v>1</v>
      </c>
      <c r="V887" s="13" t="n">
        <f aca="false">IF(B887="Company",1,0)</f>
        <v>0</v>
      </c>
      <c r="W887" s="13" t="n">
        <f aca="false">IF(H887="Home",1,0)</f>
        <v>1</v>
      </c>
      <c r="X887" s="13" t="n">
        <f aca="false">IF(H887="Investment",1,0)</f>
        <v>0</v>
      </c>
      <c r="Y887" s="13" t="n">
        <f aca="false">IF(K887="Website",1,0)</f>
        <v>1</v>
      </c>
      <c r="Z887" s="13" t="n">
        <f aca="false">IF(K887="Agency",1,0)</f>
        <v>0</v>
      </c>
      <c r="AA887" s="13" t="n">
        <f aca="false">IF(K887="Client",1,0)</f>
        <v>0</v>
      </c>
      <c r="AB887" s="13" t="n">
        <f aca="false">(D887-AVERAGE(D$2:D$2001))/STDEV(D$2:D$2001)</f>
        <v>1.49132408629005</v>
      </c>
      <c r="AC887" s="13" t="n">
        <f aca="false">(I887-AVERAGE(I$2:I$2001))/STDEV(I$2:I$2001)</f>
        <v>-1.43538077576244</v>
      </c>
      <c r="AD887" s="13" t="n">
        <f aca="false">(L887-AVERAGE(L$2:L$2001))/STDEV(L$2:L$2001)</f>
        <v>-0.777063122173208</v>
      </c>
      <c r="AE887" s="13" t="n">
        <f aca="false">(M887-AVERAGE(M$2:M$2001))/STDEV(M$2:M$2001)</f>
        <v>-1.35734188546656</v>
      </c>
      <c r="AF887" s="13" t="n">
        <f aca="false">(N887-AVERAGE(N$2:N$2001))/STDEV(N$2:N$2001)</f>
        <v>-1.20966201123478</v>
      </c>
      <c r="AG887" s="13" t="n">
        <f aca="false">(O887-AVERAGE(O$2:O$2001))/STDEV(O$2:O$2001)</f>
        <v>-0.765692163116904</v>
      </c>
      <c r="AH887" s="0" t="str">
        <f aca="false">IF(B887="Company","C3 - Corporate Buyers",IF(AND(H887="Investment",M887&gt;'Segmentation Summary'!$C$1),"C1 - Global Investors",IF(AND(I887&gt;=4,M887&gt;'Segmentation Summary'!$C$1),"C4 - Luxury Investors",IF(AND(D887&lt;'Segmentation Summary'!$C$2,J887=1),"C2 - First-Time Buyers","C5 - Other Individual Buyers"))))</f>
        <v>C5 - Other Individual Buyers</v>
      </c>
    </row>
    <row r="888" customFormat="false" ht="15" hidden="false" customHeight="true" outlineLevel="0" collapsed="false">
      <c r="A888" s="13" t="s">
        <v>1813</v>
      </c>
      <c r="B888" s="13" t="s">
        <v>34</v>
      </c>
      <c r="C888" s="13" t="s">
        <v>1814</v>
      </c>
      <c r="D888" s="13" t="n">
        <v>32</v>
      </c>
      <c r="E888" s="13" t="s">
        <v>83</v>
      </c>
      <c r="F888" s="13" t="s">
        <v>33</v>
      </c>
      <c r="G888" s="13" t="s">
        <v>84</v>
      </c>
      <c r="H888" s="13" t="s">
        <v>43</v>
      </c>
      <c r="I888" s="13" t="n">
        <v>1</v>
      </c>
      <c r="J888" s="13" t="n">
        <v>1</v>
      </c>
      <c r="K888" s="13" t="s">
        <v>85</v>
      </c>
      <c r="L888" s="13" t="n">
        <v>3</v>
      </c>
      <c r="M888" s="13" t="n">
        <v>837604.3</v>
      </c>
      <c r="N888" s="13" t="n">
        <v>279201.433333333</v>
      </c>
      <c r="O888" s="13" t="n">
        <v>853.813333333333</v>
      </c>
      <c r="P888" s="13" t="n">
        <v>0</v>
      </c>
      <c r="Q888" s="13" t="n">
        <v>3</v>
      </c>
      <c r="R888" s="13" t="s">
        <v>101</v>
      </c>
      <c r="S888" s="13" t="s">
        <v>87</v>
      </c>
      <c r="T888" s="13" t="n">
        <v>1</v>
      </c>
      <c r="U888" s="13" t="n">
        <f aca="false">IF(B888="Individual",1,0)</f>
        <v>1</v>
      </c>
      <c r="V888" s="13" t="n">
        <f aca="false">IF(B888="Company",1,0)</f>
        <v>0</v>
      </c>
      <c r="W888" s="13" t="n">
        <f aca="false">IF(H888="Home",1,0)</f>
        <v>0</v>
      </c>
      <c r="X888" s="13" t="n">
        <f aca="false">IF(H888="Investment",1,0)</f>
        <v>1</v>
      </c>
      <c r="Y888" s="13" t="n">
        <f aca="false">IF(K888="Website",1,0)</f>
        <v>1</v>
      </c>
      <c r="Z888" s="13" t="n">
        <f aca="false">IF(K888="Agency",1,0)</f>
        <v>0</v>
      </c>
      <c r="AA888" s="13" t="n">
        <f aca="false">IF(K888="Client",1,0)</f>
        <v>0</v>
      </c>
      <c r="AB888" s="13" t="n">
        <f aca="false">(D888-AVERAGE(D$2:D$2001))/STDEV(D$2:D$2001)</f>
        <v>-1.2764737771412</v>
      </c>
      <c r="AC888" s="13" t="n">
        <f aca="false">(I888-AVERAGE(I$2:I$2001))/STDEV(I$2:I$2001)</f>
        <v>-1.43538077576244</v>
      </c>
      <c r="AD888" s="13" t="n">
        <f aca="false">(L888-AVERAGE(L$2:L$2001))/STDEV(L$2:L$2001)</f>
        <v>-0.777063122173208</v>
      </c>
      <c r="AE888" s="13" t="n">
        <f aca="false">(M888-AVERAGE(M$2:M$2001))/STDEV(M$2:M$2001)</f>
        <v>-1.21545114669434</v>
      </c>
      <c r="AF888" s="13" t="n">
        <f aca="false">(N888-AVERAGE(N$2:N$2001))/STDEV(N$2:N$2001)</f>
        <v>-0.973705516716372</v>
      </c>
      <c r="AG888" s="13" t="n">
        <f aca="false">(O888-AVERAGE(O$2:O$2001))/STDEV(O$2:O$2001)</f>
        <v>-1.33531684362385</v>
      </c>
      <c r="AH888" s="0" t="str">
        <f aca="false">IF(B888="Company","C3 - Corporate Buyers",IF(AND(H888="Investment",M888&gt;'Segmentation Summary'!$C$1),"C1 - Global Investors",IF(AND(I888&gt;=4,M888&gt;'Segmentation Summary'!$C$1),"C4 - Luxury Investors",IF(AND(D888&lt;'Segmentation Summary'!$C$2,J888=1),"C2 - First-Time Buyers","C5 - Other Individual Buyers"))))</f>
        <v>C2 - First-Time Buyers</v>
      </c>
    </row>
    <row r="889" customFormat="false" ht="15" hidden="false" customHeight="true" outlineLevel="0" collapsed="false">
      <c r="A889" s="13" t="s">
        <v>1815</v>
      </c>
      <c r="B889" s="13" t="s">
        <v>34</v>
      </c>
      <c r="C889" s="13" t="s">
        <v>1816</v>
      </c>
      <c r="D889" s="13" t="n">
        <v>74</v>
      </c>
      <c r="E889" s="13" t="s">
        <v>83</v>
      </c>
      <c r="F889" s="13" t="s">
        <v>33</v>
      </c>
      <c r="G889" s="13" t="s">
        <v>95</v>
      </c>
      <c r="H889" s="13" t="s">
        <v>41</v>
      </c>
      <c r="I889" s="13" t="n">
        <v>4</v>
      </c>
      <c r="J889" s="13" t="n">
        <v>0</v>
      </c>
      <c r="K889" s="13" t="s">
        <v>91</v>
      </c>
      <c r="L889" s="13" t="n">
        <v>4</v>
      </c>
      <c r="M889" s="13" t="n">
        <v>1142671.94</v>
      </c>
      <c r="N889" s="13" t="n">
        <v>285667.985</v>
      </c>
      <c r="O889" s="13" t="n">
        <v>997.415</v>
      </c>
      <c r="P889" s="13" t="n">
        <v>0</v>
      </c>
      <c r="Q889" s="13" t="n">
        <v>4</v>
      </c>
      <c r="R889" s="13" t="s">
        <v>98</v>
      </c>
      <c r="S889" s="13" t="s">
        <v>164</v>
      </c>
      <c r="T889" s="13" t="n">
        <v>1</v>
      </c>
      <c r="U889" s="13" t="n">
        <f aca="false">IF(B889="Individual",1,0)</f>
        <v>1</v>
      </c>
      <c r="V889" s="13" t="n">
        <f aca="false">IF(B889="Company",1,0)</f>
        <v>0</v>
      </c>
      <c r="W889" s="13" t="n">
        <f aca="false">IF(H889="Home",1,0)</f>
        <v>1</v>
      </c>
      <c r="X889" s="13" t="n">
        <f aca="false">IF(H889="Investment",1,0)</f>
        <v>0</v>
      </c>
      <c r="Y889" s="13" t="n">
        <f aca="false">IF(K889="Website",1,0)</f>
        <v>0</v>
      </c>
      <c r="Z889" s="13" t="n">
        <f aca="false">IF(K889="Agency",1,0)</f>
        <v>1</v>
      </c>
      <c r="AA889" s="13" t="n">
        <f aca="false">IF(K889="Client",1,0)</f>
        <v>0</v>
      </c>
      <c r="AB889" s="13" t="n">
        <f aca="false">(D889-AVERAGE(D$2:D$2001))/STDEV(D$2:D$2001)</f>
        <v>1.14534935336115</v>
      </c>
      <c r="AC889" s="13" t="n">
        <f aca="false">(I889-AVERAGE(I$2:I$2001))/STDEV(I$2:I$2001)</f>
        <v>0.686917069130275</v>
      </c>
      <c r="AD889" s="13" t="n">
        <f aca="false">(L889-AVERAGE(L$2:L$2001))/STDEV(L$2:L$2001)</f>
        <v>0.413838214490712</v>
      </c>
      <c r="AE889" s="13" t="n">
        <f aca="false">(M889-AVERAGE(M$2:M$2001))/STDEV(M$2:M$2001)</f>
        <v>-0.338393224986027</v>
      </c>
      <c r="AF889" s="13" t="n">
        <f aca="false">(N889-AVERAGE(N$2:N$2001))/STDEV(N$2:N$2001)</f>
        <v>-0.880957629492209</v>
      </c>
      <c r="AG889" s="13" t="n">
        <f aca="false">(O889-AVERAGE(O$2:O$2001))/STDEV(O$2:O$2001)</f>
        <v>-0.682352231613328</v>
      </c>
      <c r="AH889" s="0" t="str">
        <f aca="false">IF(B889="Company","C3 - Corporate Buyers",IF(AND(H889="Investment",M889&gt;'Segmentation Summary'!$C$1),"C1 - Global Investors",IF(AND(I889&gt;=4,M889&gt;'Segmentation Summary'!$C$1),"C4 - Luxury Investors",IF(AND(D889&lt;'Segmentation Summary'!$C$2,J889=1),"C2 - First-Time Buyers","C5 - Other Individual Buyers"))))</f>
        <v>C5 - Other Individual Buyers</v>
      </c>
    </row>
    <row r="890" customFormat="false" ht="15" hidden="false" customHeight="true" outlineLevel="0" collapsed="false">
      <c r="A890" s="13" t="s">
        <v>1817</v>
      </c>
      <c r="B890" s="13" t="s">
        <v>34</v>
      </c>
      <c r="C890" s="13" t="s">
        <v>1818</v>
      </c>
      <c r="D890" s="13" t="n">
        <v>57</v>
      </c>
      <c r="E890" s="13" t="s">
        <v>83</v>
      </c>
      <c r="F890" s="13" t="s">
        <v>33</v>
      </c>
      <c r="G890" s="13" t="s">
        <v>157</v>
      </c>
      <c r="H890" s="13" t="s">
        <v>41</v>
      </c>
      <c r="I890" s="13" t="n">
        <v>4</v>
      </c>
      <c r="J890" s="13" t="n">
        <v>1</v>
      </c>
      <c r="K890" s="13" t="s">
        <v>85</v>
      </c>
      <c r="L890" s="13" t="n">
        <v>3</v>
      </c>
      <c r="M890" s="13" t="n">
        <v>993925.86</v>
      </c>
      <c r="N890" s="13" t="n">
        <v>331308.62</v>
      </c>
      <c r="O890" s="13" t="n">
        <v>994.826666666667</v>
      </c>
      <c r="P890" s="13" t="n">
        <v>1</v>
      </c>
      <c r="Q890" s="13" t="n">
        <v>2</v>
      </c>
      <c r="R890" s="13" t="s">
        <v>124</v>
      </c>
      <c r="S890" s="13" t="s">
        <v>154</v>
      </c>
      <c r="T890" s="13" t="n">
        <v>1</v>
      </c>
      <c r="U890" s="13" t="n">
        <f aca="false">IF(B890="Individual",1,0)</f>
        <v>1</v>
      </c>
      <c r="V890" s="13" t="n">
        <f aca="false">IF(B890="Company",1,0)</f>
        <v>0</v>
      </c>
      <c r="W890" s="13" t="n">
        <f aca="false">IF(H890="Home",1,0)</f>
        <v>1</v>
      </c>
      <c r="X890" s="13" t="n">
        <f aca="false">IF(H890="Investment",1,0)</f>
        <v>0</v>
      </c>
      <c r="Y890" s="13" t="n">
        <f aca="false">IF(K890="Website",1,0)</f>
        <v>1</v>
      </c>
      <c r="Z890" s="13" t="n">
        <f aca="false">IF(K890="Agency",1,0)</f>
        <v>0</v>
      </c>
      <c r="AA890" s="13" t="n">
        <f aca="false">IF(K890="Client",1,0)</f>
        <v>0</v>
      </c>
      <c r="AB890" s="13" t="n">
        <f aca="false">(D890-AVERAGE(D$2:D$2001))/STDEV(D$2:D$2001)</f>
        <v>0.165087610062577</v>
      </c>
      <c r="AC890" s="13" t="n">
        <f aca="false">(I890-AVERAGE(I$2:I$2001))/STDEV(I$2:I$2001)</f>
        <v>0.686917069130275</v>
      </c>
      <c r="AD890" s="13" t="n">
        <f aca="false">(L890-AVERAGE(L$2:L$2001))/STDEV(L$2:L$2001)</f>
        <v>-0.777063122173208</v>
      </c>
      <c r="AE890" s="13" t="n">
        <f aca="false">(M890-AVERAGE(M$2:M$2001))/STDEV(M$2:M$2001)</f>
        <v>-0.766032576662458</v>
      </c>
      <c r="AF890" s="13" t="n">
        <f aca="false">(N890-AVERAGE(N$2:N$2001))/STDEV(N$2:N$2001)</f>
        <v>-0.226347152993692</v>
      </c>
      <c r="AG890" s="13" t="n">
        <f aca="false">(O890-AVERAGE(O$2:O$2001))/STDEV(O$2:O$2001)</f>
        <v>-0.694121524477294</v>
      </c>
      <c r="AH890" s="0" t="str">
        <f aca="false">IF(B890="Company","C3 - Corporate Buyers",IF(AND(H890="Investment",M890&gt;'Segmentation Summary'!$C$1),"C1 - Global Investors",IF(AND(I890&gt;=4,M890&gt;'Segmentation Summary'!$C$1),"C4 - Luxury Investors",IF(AND(D890&lt;'Segmentation Summary'!$C$2,J890=1),"C2 - First-Time Buyers","C5 - Other Individual Buyers"))))</f>
        <v>C5 - Other Individual Buyers</v>
      </c>
    </row>
    <row r="891" customFormat="false" ht="15" hidden="false" customHeight="true" outlineLevel="0" collapsed="false">
      <c r="A891" s="13" t="s">
        <v>1819</v>
      </c>
      <c r="B891" s="13" t="s">
        <v>34</v>
      </c>
      <c r="C891" s="13" t="s">
        <v>1820</v>
      </c>
      <c r="D891" s="13" t="n">
        <v>63</v>
      </c>
      <c r="E891" s="13" t="s">
        <v>83</v>
      </c>
      <c r="F891" s="13" t="s">
        <v>33</v>
      </c>
      <c r="G891" s="13" t="s">
        <v>100</v>
      </c>
      <c r="H891" s="13" t="s">
        <v>41</v>
      </c>
      <c r="I891" s="13" t="n">
        <v>2</v>
      </c>
      <c r="J891" s="13" t="n">
        <v>0</v>
      </c>
      <c r="K891" s="13" t="s">
        <v>85</v>
      </c>
      <c r="L891" s="13" t="n">
        <v>4</v>
      </c>
      <c r="M891" s="13" t="n">
        <v>1528550.13</v>
      </c>
      <c r="N891" s="13" t="n">
        <v>382137.5325</v>
      </c>
      <c r="O891" s="13" t="n">
        <v>1227.17</v>
      </c>
      <c r="P891" s="13" t="n">
        <v>2</v>
      </c>
      <c r="Q891" s="13" t="n">
        <v>2</v>
      </c>
      <c r="R891" s="13" t="s">
        <v>101</v>
      </c>
      <c r="S891" s="13" t="s">
        <v>152</v>
      </c>
      <c r="T891" s="13" t="n">
        <v>1</v>
      </c>
      <c r="U891" s="13" t="n">
        <f aca="false">IF(B891="Individual",1,0)</f>
        <v>1</v>
      </c>
      <c r="V891" s="13" t="n">
        <f aca="false">IF(B891="Company",1,0)</f>
        <v>0</v>
      </c>
      <c r="W891" s="13" t="n">
        <f aca="false">IF(H891="Home",1,0)</f>
        <v>1</v>
      </c>
      <c r="X891" s="13" t="n">
        <f aca="false">IF(H891="Investment",1,0)</f>
        <v>0</v>
      </c>
      <c r="Y891" s="13" t="n">
        <f aca="false">IF(K891="Website",1,0)</f>
        <v>1</v>
      </c>
      <c r="Z891" s="13" t="n">
        <f aca="false">IF(K891="Agency",1,0)</f>
        <v>0</v>
      </c>
      <c r="AA891" s="13" t="n">
        <f aca="false">IF(K891="Client",1,0)</f>
        <v>0</v>
      </c>
      <c r="AB891" s="13" t="n">
        <f aca="false">(D891-AVERAGE(D$2:D$2001))/STDEV(D$2:D$2001)</f>
        <v>0.511062342991484</v>
      </c>
      <c r="AC891" s="13" t="n">
        <f aca="false">(I891-AVERAGE(I$2:I$2001))/STDEV(I$2:I$2001)</f>
        <v>-0.727948160798201</v>
      </c>
      <c r="AD891" s="13" t="n">
        <f aca="false">(L891-AVERAGE(L$2:L$2001))/STDEV(L$2:L$2001)</f>
        <v>0.413838214490712</v>
      </c>
      <c r="AE891" s="13" t="n">
        <f aca="false">(M891-AVERAGE(M$2:M$2001))/STDEV(M$2:M$2001)</f>
        <v>0.770991970224999</v>
      </c>
      <c r="AF891" s="13" t="n">
        <f aca="false">(N891-AVERAGE(N$2:N$2001))/STDEV(N$2:N$2001)</f>
        <v>0.502677292689994</v>
      </c>
      <c r="AG891" s="13" t="n">
        <f aca="false">(O891-AVERAGE(O$2:O$2001))/STDEV(O$2:O$2001)</f>
        <v>0.362356286851948</v>
      </c>
      <c r="AH891" s="0" t="str">
        <f aca="false">IF(B891="Company","C3 - Corporate Buyers",IF(AND(H891="Investment",M891&gt;'Segmentation Summary'!$C$1),"C1 - Global Investors",IF(AND(I891&gt;=4,M891&gt;'Segmentation Summary'!$C$1),"C4 - Luxury Investors",IF(AND(D891&lt;'Segmentation Summary'!$C$2,J891=1),"C2 - First-Time Buyers","C5 - Other Individual Buyers"))))</f>
        <v>C5 - Other Individual Buyers</v>
      </c>
    </row>
    <row r="892" customFormat="false" ht="15" hidden="false" customHeight="true" outlineLevel="0" collapsed="false">
      <c r="A892" s="13" t="s">
        <v>1821</v>
      </c>
      <c r="B892" s="13" t="s">
        <v>34</v>
      </c>
      <c r="C892" s="13" t="s">
        <v>1822</v>
      </c>
      <c r="D892" s="13" t="n">
        <v>81</v>
      </c>
      <c r="E892" s="13" t="s">
        <v>83</v>
      </c>
      <c r="F892" s="13" t="s">
        <v>33</v>
      </c>
      <c r="G892" s="13" t="s">
        <v>95</v>
      </c>
      <c r="H892" s="13" t="s">
        <v>41</v>
      </c>
      <c r="I892" s="13" t="n">
        <v>2</v>
      </c>
      <c r="J892" s="13" t="n">
        <v>1</v>
      </c>
      <c r="K892" s="13" t="s">
        <v>91</v>
      </c>
      <c r="L892" s="13" t="n">
        <v>7</v>
      </c>
      <c r="M892" s="13" t="n">
        <v>2660292.37</v>
      </c>
      <c r="N892" s="13" t="n">
        <v>380041.767142857</v>
      </c>
      <c r="O892" s="13" t="n">
        <v>1249.51</v>
      </c>
      <c r="P892" s="13" t="n">
        <v>1</v>
      </c>
      <c r="Q892" s="13" t="n">
        <v>6</v>
      </c>
      <c r="R892" s="13" t="s">
        <v>92</v>
      </c>
      <c r="S892" s="13" t="s">
        <v>133</v>
      </c>
      <c r="T892" s="13" t="n">
        <v>1</v>
      </c>
      <c r="U892" s="13" t="n">
        <f aca="false">IF(B892="Individual",1,0)</f>
        <v>1</v>
      </c>
      <c r="V892" s="13" t="n">
        <f aca="false">IF(B892="Company",1,0)</f>
        <v>0</v>
      </c>
      <c r="W892" s="13" t="n">
        <f aca="false">IF(H892="Home",1,0)</f>
        <v>1</v>
      </c>
      <c r="X892" s="13" t="n">
        <f aca="false">IF(H892="Investment",1,0)</f>
        <v>0</v>
      </c>
      <c r="Y892" s="13" t="n">
        <f aca="false">IF(K892="Website",1,0)</f>
        <v>0</v>
      </c>
      <c r="Z892" s="13" t="n">
        <f aca="false">IF(K892="Agency",1,0)</f>
        <v>1</v>
      </c>
      <c r="AA892" s="13" t="n">
        <f aca="false">IF(K892="Client",1,0)</f>
        <v>0</v>
      </c>
      <c r="AB892" s="13" t="n">
        <f aca="false">(D892-AVERAGE(D$2:D$2001))/STDEV(D$2:D$2001)</f>
        <v>1.54898654177821</v>
      </c>
      <c r="AC892" s="13" t="n">
        <f aca="false">(I892-AVERAGE(I$2:I$2001))/STDEV(I$2:I$2001)</f>
        <v>-0.727948160798201</v>
      </c>
      <c r="AD892" s="13" t="n">
        <f aca="false">(L892-AVERAGE(L$2:L$2001))/STDEV(L$2:L$2001)</f>
        <v>3.98654222448247</v>
      </c>
      <c r="AE892" s="13" t="n">
        <f aca="false">(M892-AVERAGE(M$2:M$2001))/STDEV(M$2:M$2001)</f>
        <v>4.02470808683414</v>
      </c>
      <c r="AF892" s="13" t="n">
        <f aca="false">(N892-AVERAGE(N$2:N$2001))/STDEV(N$2:N$2001)</f>
        <v>0.472618334065329</v>
      </c>
      <c r="AG892" s="13" t="n">
        <f aca="false">(O892-AVERAGE(O$2:O$2001))/STDEV(O$2:O$2001)</f>
        <v>0.463937485531037</v>
      </c>
      <c r="AH892" s="0" t="str">
        <f aca="false">IF(B892="Company","C3 - Corporate Buyers",IF(AND(H892="Investment",M892&gt;'Segmentation Summary'!$C$1),"C1 - Global Investors",IF(AND(I892&gt;=4,M892&gt;'Segmentation Summary'!$C$1),"C4 - Luxury Investors",IF(AND(D892&lt;'Segmentation Summary'!$C$2,J892=1),"C2 - First-Time Buyers","C5 - Other Individual Buyers"))))</f>
        <v>C5 - Other Individual Buyers</v>
      </c>
    </row>
    <row r="893" customFormat="false" ht="15" hidden="false" customHeight="true" outlineLevel="0" collapsed="false">
      <c r="A893" s="13" t="s">
        <v>1823</v>
      </c>
      <c r="B893" s="13" t="s">
        <v>34</v>
      </c>
      <c r="C893" s="13" t="s">
        <v>1824</v>
      </c>
      <c r="D893" s="13" t="n">
        <v>68</v>
      </c>
      <c r="E893" s="13" t="s">
        <v>83</v>
      </c>
      <c r="F893" s="13" t="s">
        <v>33</v>
      </c>
      <c r="G893" s="13" t="s">
        <v>95</v>
      </c>
      <c r="H893" s="13" t="s">
        <v>41</v>
      </c>
      <c r="I893" s="13" t="n">
        <v>4</v>
      </c>
      <c r="J893" s="13" t="n">
        <v>0</v>
      </c>
      <c r="K893" s="13" t="s">
        <v>91</v>
      </c>
      <c r="L893" s="13" t="n">
        <v>3</v>
      </c>
      <c r="M893" s="13" t="n">
        <v>1068278.76</v>
      </c>
      <c r="N893" s="13" t="n">
        <v>356092.92</v>
      </c>
      <c r="O893" s="13" t="n">
        <v>1224.68</v>
      </c>
      <c r="P893" s="13" t="n">
        <v>0</v>
      </c>
      <c r="Q893" s="13" t="n">
        <v>3</v>
      </c>
      <c r="R893" s="13" t="s">
        <v>92</v>
      </c>
      <c r="S893" s="13" t="s">
        <v>107</v>
      </c>
      <c r="T893" s="13" t="n">
        <v>1</v>
      </c>
      <c r="U893" s="13" t="n">
        <f aca="false">IF(B893="Individual",1,0)</f>
        <v>1</v>
      </c>
      <c r="V893" s="13" t="n">
        <f aca="false">IF(B893="Company",1,0)</f>
        <v>0</v>
      </c>
      <c r="W893" s="13" t="n">
        <f aca="false">IF(H893="Home",1,0)</f>
        <v>1</v>
      </c>
      <c r="X893" s="13" t="n">
        <f aca="false">IF(H893="Investment",1,0)</f>
        <v>0</v>
      </c>
      <c r="Y893" s="13" t="n">
        <f aca="false">IF(K893="Website",1,0)</f>
        <v>0</v>
      </c>
      <c r="Z893" s="13" t="n">
        <f aca="false">IF(K893="Agency",1,0)</f>
        <v>1</v>
      </c>
      <c r="AA893" s="13" t="n">
        <f aca="false">IF(K893="Client",1,0)</f>
        <v>0</v>
      </c>
      <c r="AB893" s="13" t="n">
        <f aca="false">(D893-AVERAGE(D$2:D$2001))/STDEV(D$2:D$2001)</f>
        <v>0.79937462043224</v>
      </c>
      <c r="AC893" s="13" t="n">
        <f aca="false">(I893-AVERAGE(I$2:I$2001))/STDEV(I$2:I$2001)</f>
        <v>0.686917069130275</v>
      </c>
      <c r="AD893" s="13" t="n">
        <f aca="false">(L893-AVERAGE(L$2:L$2001))/STDEV(L$2:L$2001)</f>
        <v>-0.777063122173208</v>
      </c>
      <c r="AE893" s="13" t="n">
        <f aca="false">(M893-AVERAGE(M$2:M$2001))/STDEV(M$2:M$2001)</f>
        <v>-0.552270802562176</v>
      </c>
      <c r="AF893" s="13" t="n">
        <f aca="false">(N893-AVERAGE(N$2:N$2001))/STDEV(N$2:N$2001)</f>
        <v>0.129126920333338</v>
      </c>
      <c r="AG893" s="13" t="n">
        <f aca="false">(O893-AVERAGE(O$2:O$2001))/STDEV(O$2:O$2001)</f>
        <v>0.351034121018871</v>
      </c>
      <c r="AH893" s="0" t="str">
        <f aca="false">IF(B893="Company","C3 - Corporate Buyers",IF(AND(H893="Investment",M893&gt;'Segmentation Summary'!$C$1),"C1 - Global Investors",IF(AND(I893&gt;=4,M893&gt;'Segmentation Summary'!$C$1),"C4 - Luxury Investors",IF(AND(D893&lt;'Segmentation Summary'!$C$2,J893=1),"C2 - First-Time Buyers","C5 - Other Individual Buyers"))))</f>
        <v>C5 - Other Individual Buyers</v>
      </c>
    </row>
    <row r="894" customFormat="false" ht="15" hidden="false" customHeight="true" outlineLevel="0" collapsed="false">
      <c r="A894" s="13" t="s">
        <v>1825</v>
      </c>
      <c r="B894" s="13" t="s">
        <v>34</v>
      </c>
      <c r="C894" s="13" t="s">
        <v>1826</v>
      </c>
      <c r="D894" s="13" t="n">
        <v>55</v>
      </c>
      <c r="E894" s="13" t="s">
        <v>90</v>
      </c>
      <c r="F894" s="13" t="s">
        <v>33</v>
      </c>
      <c r="G894" s="13" t="s">
        <v>95</v>
      </c>
      <c r="H894" s="13" t="s">
        <v>43</v>
      </c>
      <c r="I894" s="13" t="n">
        <v>5</v>
      </c>
      <c r="J894" s="13" t="n">
        <v>0</v>
      </c>
      <c r="K894" s="13" t="s">
        <v>85</v>
      </c>
      <c r="L894" s="13" t="n">
        <v>4</v>
      </c>
      <c r="M894" s="13" t="n">
        <v>1757967.56</v>
      </c>
      <c r="N894" s="13" t="n">
        <v>439491.89</v>
      </c>
      <c r="O894" s="13" t="n">
        <v>1458.93</v>
      </c>
      <c r="P894" s="13" t="n">
        <v>1</v>
      </c>
      <c r="Q894" s="13" t="n">
        <v>3</v>
      </c>
      <c r="R894" s="13" t="s">
        <v>101</v>
      </c>
      <c r="S894" s="13" t="s">
        <v>154</v>
      </c>
      <c r="T894" s="13" t="n">
        <v>1</v>
      </c>
      <c r="U894" s="13" t="n">
        <f aca="false">IF(B894="Individual",1,0)</f>
        <v>1</v>
      </c>
      <c r="V894" s="13" t="n">
        <f aca="false">IF(B894="Company",1,0)</f>
        <v>0</v>
      </c>
      <c r="W894" s="13" t="n">
        <f aca="false">IF(H894="Home",1,0)</f>
        <v>0</v>
      </c>
      <c r="X894" s="13" t="n">
        <f aca="false">IF(H894="Investment",1,0)</f>
        <v>1</v>
      </c>
      <c r="Y894" s="13" t="n">
        <f aca="false">IF(K894="Website",1,0)</f>
        <v>1</v>
      </c>
      <c r="Z894" s="13" t="n">
        <f aca="false">IF(K894="Agency",1,0)</f>
        <v>0</v>
      </c>
      <c r="AA894" s="13" t="n">
        <f aca="false">IF(K894="Client",1,0)</f>
        <v>0</v>
      </c>
      <c r="AB894" s="13" t="n">
        <f aca="false">(D894-AVERAGE(D$2:D$2001))/STDEV(D$2:D$2001)</f>
        <v>0.0497626990862745</v>
      </c>
      <c r="AC894" s="13" t="n">
        <f aca="false">(I894-AVERAGE(I$2:I$2001))/STDEV(I$2:I$2001)</f>
        <v>1.39434968409451</v>
      </c>
      <c r="AD894" s="13" t="n">
        <f aca="false">(L894-AVERAGE(L$2:L$2001))/STDEV(L$2:L$2001)</f>
        <v>0.413838214490712</v>
      </c>
      <c r="AE894" s="13" t="n">
        <f aca="false">(M894-AVERAGE(M$2:M$2001))/STDEV(M$2:M$2001)</f>
        <v>1.43055840067125</v>
      </c>
      <c r="AF894" s="13" t="n">
        <f aca="false">(N894-AVERAGE(N$2:N$2001))/STDEV(N$2:N$2001)</f>
        <v>1.32529431570778</v>
      </c>
      <c r="AG894" s="13" t="n">
        <f aca="false">(O894-AVERAGE(O$2:O$2001))/STDEV(O$2:O$2001)</f>
        <v>1.41618164969285</v>
      </c>
      <c r="AH894" s="0" t="str">
        <f aca="false">IF(B894="Company","C3 - Corporate Buyers",IF(AND(H894="Investment",M894&gt;'Segmentation Summary'!$C$1),"C1 - Global Investors",IF(AND(I894&gt;=4,M894&gt;'Segmentation Summary'!$C$1),"C4 - Luxury Investors",IF(AND(D894&lt;'Segmentation Summary'!$C$2,J894=1),"C2 - First-Time Buyers","C5 - Other Individual Buyers"))))</f>
        <v>C1 - Global Investors</v>
      </c>
    </row>
    <row r="895" customFormat="false" ht="15" hidden="false" customHeight="true" outlineLevel="0" collapsed="false">
      <c r="A895" s="13" t="s">
        <v>1827</v>
      </c>
      <c r="B895" s="13" t="s">
        <v>34</v>
      </c>
      <c r="C895" s="13" t="s">
        <v>1828</v>
      </c>
      <c r="D895" s="13" t="n">
        <v>55</v>
      </c>
      <c r="E895" s="13" t="s">
        <v>90</v>
      </c>
      <c r="F895" s="13" t="s">
        <v>33</v>
      </c>
      <c r="G895" s="13" t="s">
        <v>95</v>
      </c>
      <c r="H895" s="13" t="s">
        <v>43</v>
      </c>
      <c r="I895" s="13" t="n">
        <v>3</v>
      </c>
      <c r="J895" s="13" t="n">
        <v>0</v>
      </c>
      <c r="K895" s="13" t="s">
        <v>91</v>
      </c>
      <c r="L895" s="13" t="n">
        <v>3</v>
      </c>
      <c r="M895" s="13" t="n">
        <v>661984.35</v>
      </c>
      <c r="N895" s="13" t="n">
        <v>220661.45</v>
      </c>
      <c r="O895" s="13" t="n">
        <v>753.313333333333</v>
      </c>
      <c r="P895" s="13" t="n">
        <v>0</v>
      </c>
      <c r="Q895" s="13" t="n">
        <v>3</v>
      </c>
      <c r="R895" s="13" t="s">
        <v>92</v>
      </c>
      <c r="S895" s="13" t="s">
        <v>154</v>
      </c>
      <c r="T895" s="13" t="n">
        <v>1</v>
      </c>
      <c r="U895" s="13" t="n">
        <f aca="false">IF(B895="Individual",1,0)</f>
        <v>1</v>
      </c>
      <c r="V895" s="13" t="n">
        <f aca="false">IF(B895="Company",1,0)</f>
        <v>0</v>
      </c>
      <c r="W895" s="13" t="n">
        <f aca="false">IF(H895="Home",1,0)</f>
        <v>0</v>
      </c>
      <c r="X895" s="13" t="n">
        <f aca="false">IF(H895="Investment",1,0)</f>
        <v>1</v>
      </c>
      <c r="Y895" s="13" t="n">
        <f aca="false">IF(K895="Website",1,0)</f>
        <v>0</v>
      </c>
      <c r="Z895" s="13" t="n">
        <f aca="false">IF(K895="Agency",1,0)</f>
        <v>1</v>
      </c>
      <c r="AA895" s="13" t="n">
        <f aca="false">IF(K895="Client",1,0)</f>
        <v>0</v>
      </c>
      <c r="AB895" s="13" t="n">
        <f aca="false">(D895-AVERAGE(D$2:D$2001))/STDEV(D$2:D$2001)</f>
        <v>0.0497626990862745</v>
      </c>
      <c r="AC895" s="13" t="n">
        <f aca="false">(I895-AVERAGE(I$2:I$2001))/STDEV(I$2:I$2001)</f>
        <v>-0.0205155458339628</v>
      </c>
      <c r="AD895" s="13" t="n">
        <f aca="false">(L895-AVERAGE(L$2:L$2001))/STDEV(L$2:L$2001)</f>
        <v>-0.777063122173208</v>
      </c>
      <c r="AE895" s="13" t="n">
        <f aca="false">(M895-AVERAGE(M$2:M$2001))/STDEV(M$2:M$2001)</f>
        <v>-1.72035185775474</v>
      </c>
      <c r="AF895" s="13" t="n">
        <f aca="false">(N895-AVERAGE(N$2:N$2001))/STDEV(N$2:N$2001)</f>
        <v>-1.81332762942467</v>
      </c>
      <c r="AG895" s="13" t="n">
        <f aca="false">(O895-AVERAGE(O$2:O$2001))/STDEV(O$2:O$2001)</f>
        <v>-1.79229582604321</v>
      </c>
      <c r="AH895" s="0" t="str">
        <f aca="false">IF(B895="Company","C3 - Corporate Buyers",IF(AND(H895="Investment",M895&gt;'Segmentation Summary'!$C$1),"C1 - Global Investors",IF(AND(I895&gt;=4,M895&gt;'Segmentation Summary'!$C$1),"C4 - Luxury Investors",IF(AND(D895&lt;'Segmentation Summary'!$C$2,J895=1),"C2 - First-Time Buyers","C5 - Other Individual Buyers"))))</f>
        <v>C5 - Other Individual Buyers</v>
      </c>
    </row>
    <row r="896" customFormat="false" ht="15" hidden="false" customHeight="true" outlineLevel="0" collapsed="false">
      <c r="A896" s="13" t="s">
        <v>1829</v>
      </c>
      <c r="B896" s="13" t="s">
        <v>34</v>
      </c>
      <c r="C896" s="13" t="s">
        <v>1830</v>
      </c>
      <c r="D896" s="13" t="n">
        <v>65</v>
      </c>
      <c r="E896" s="13" t="s">
        <v>90</v>
      </c>
      <c r="F896" s="13" t="s">
        <v>33</v>
      </c>
      <c r="G896" s="13" t="s">
        <v>95</v>
      </c>
      <c r="H896" s="13" t="s">
        <v>41</v>
      </c>
      <c r="I896" s="13" t="n">
        <v>4</v>
      </c>
      <c r="J896" s="13" t="n">
        <v>0</v>
      </c>
      <c r="K896" s="13" t="s">
        <v>85</v>
      </c>
      <c r="L896" s="13" t="n">
        <v>4</v>
      </c>
      <c r="M896" s="13" t="n">
        <v>1356644.74</v>
      </c>
      <c r="N896" s="13" t="n">
        <v>339161.185</v>
      </c>
      <c r="O896" s="13" t="n">
        <v>1161.6775</v>
      </c>
      <c r="P896" s="13" t="n">
        <v>0</v>
      </c>
      <c r="Q896" s="13" t="n">
        <v>4</v>
      </c>
      <c r="R896" s="13" t="s">
        <v>98</v>
      </c>
      <c r="S896" s="13" t="s">
        <v>215</v>
      </c>
      <c r="T896" s="13" t="n">
        <v>1</v>
      </c>
      <c r="U896" s="13" t="n">
        <f aca="false">IF(B896="Individual",1,0)</f>
        <v>1</v>
      </c>
      <c r="V896" s="13" t="n">
        <f aca="false">IF(B896="Company",1,0)</f>
        <v>0</v>
      </c>
      <c r="W896" s="13" t="n">
        <f aca="false">IF(H896="Home",1,0)</f>
        <v>1</v>
      </c>
      <c r="X896" s="13" t="n">
        <f aca="false">IF(H896="Investment",1,0)</f>
        <v>0</v>
      </c>
      <c r="Y896" s="13" t="n">
        <f aca="false">IF(K896="Website",1,0)</f>
        <v>1</v>
      </c>
      <c r="Z896" s="13" t="n">
        <f aca="false">IF(K896="Agency",1,0)</f>
        <v>0</v>
      </c>
      <c r="AA896" s="13" t="n">
        <f aca="false">IF(K896="Client",1,0)</f>
        <v>0</v>
      </c>
      <c r="AB896" s="13" t="n">
        <f aca="false">(D896-AVERAGE(D$2:D$2001))/STDEV(D$2:D$2001)</f>
        <v>0.626387253967787</v>
      </c>
      <c r="AC896" s="13" t="n">
        <f aca="false">(I896-AVERAGE(I$2:I$2001))/STDEV(I$2:I$2001)</f>
        <v>0.686917069130275</v>
      </c>
      <c r="AD896" s="13" t="n">
        <f aca="false">(L896-AVERAGE(L$2:L$2001))/STDEV(L$2:L$2001)</f>
        <v>0.413838214490712</v>
      </c>
      <c r="AE896" s="13" t="n">
        <f aca="false">(M896-AVERAGE(M$2:M$2001))/STDEV(M$2:M$2001)</f>
        <v>0.276770478611344</v>
      </c>
      <c r="AF896" s="13" t="n">
        <f aca="false">(N896-AVERAGE(N$2:N$2001))/STDEV(N$2:N$2001)</f>
        <v>-0.113720075907986</v>
      </c>
      <c r="AG896" s="13" t="n">
        <f aca="false">(O896-AVERAGE(O$2:O$2001))/STDEV(O$2:O$2001)</f>
        <v>0.0645583166419977</v>
      </c>
      <c r="AH896" s="0" t="str">
        <f aca="false">IF(B896="Company","C3 - Corporate Buyers",IF(AND(H896="Investment",M896&gt;'Segmentation Summary'!$C$1),"C1 - Global Investors",IF(AND(I896&gt;=4,M896&gt;'Segmentation Summary'!$C$1),"C4 - Luxury Investors",IF(AND(D896&lt;'Segmentation Summary'!$C$2,J896=1),"C2 - First-Time Buyers","C5 - Other Individual Buyers"))))</f>
        <v>C4 - Luxury Investors</v>
      </c>
    </row>
    <row r="897" customFormat="false" ht="15" hidden="false" customHeight="true" outlineLevel="0" collapsed="false">
      <c r="A897" s="13" t="s">
        <v>1831</v>
      </c>
      <c r="B897" s="13" t="s">
        <v>34</v>
      </c>
      <c r="C897" s="13" t="s">
        <v>1832</v>
      </c>
      <c r="D897" s="13" t="n">
        <v>50</v>
      </c>
      <c r="E897" s="13" t="s">
        <v>90</v>
      </c>
      <c r="F897" s="13" t="s">
        <v>33</v>
      </c>
      <c r="G897" s="13" t="s">
        <v>84</v>
      </c>
      <c r="H897" s="13" t="s">
        <v>43</v>
      </c>
      <c r="I897" s="13" t="n">
        <v>4</v>
      </c>
      <c r="J897" s="13" t="n">
        <v>0</v>
      </c>
      <c r="K897" s="13" t="s">
        <v>85</v>
      </c>
      <c r="L897" s="13" t="n">
        <v>3</v>
      </c>
      <c r="M897" s="13" t="n">
        <v>728363.17</v>
      </c>
      <c r="N897" s="13" t="n">
        <v>242787.723333333</v>
      </c>
      <c r="O897" s="13" t="n">
        <v>889.916666666667</v>
      </c>
      <c r="P897" s="13" t="n">
        <v>0</v>
      </c>
      <c r="Q897" s="13" t="n">
        <v>3</v>
      </c>
      <c r="R897" s="13" t="s">
        <v>101</v>
      </c>
      <c r="S897" s="13" t="s">
        <v>141</v>
      </c>
      <c r="T897" s="13" t="n">
        <v>1</v>
      </c>
      <c r="U897" s="13" t="n">
        <f aca="false">IF(B897="Individual",1,0)</f>
        <v>1</v>
      </c>
      <c r="V897" s="13" t="n">
        <f aca="false">IF(B897="Company",1,0)</f>
        <v>0</v>
      </c>
      <c r="W897" s="13" t="n">
        <f aca="false">IF(H897="Home",1,0)</f>
        <v>0</v>
      </c>
      <c r="X897" s="13" t="n">
        <f aca="false">IF(H897="Investment",1,0)</f>
        <v>1</v>
      </c>
      <c r="Y897" s="13" t="n">
        <f aca="false">IF(K897="Website",1,0)</f>
        <v>1</v>
      </c>
      <c r="Z897" s="13" t="n">
        <f aca="false">IF(K897="Agency",1,0)</f>
        <v>0</v>
      </c>
      <c r="AA897" s="13" t="n">
        <f aca="false">IF(K897="Client",1,0)</f>
        <v>0</v>
      </c>
      <c r="AB897" s="13" t="n">
        <f aca="false">(D897-AVERAGE(D$2:D$2001))/STDEV(D$2:D$2001)</f>
        <v>-0.238549578354482</v>
      </c>
      <c r="AC897" s="13" t="n">
        <f aca="false">(I897-AVERAGE(I$2:I$2001))/STDEV(I$2:I$2001)</f>
        <v>0.686917069130275</v>
      </c>
      <c r="AD897" s="13" t="n">
        <f aca="false">(L897-AVERAGE(L$2:L$2001))/STDEV(L$2:L$2001)</f>
        <v>-0.777063122173208</v>
      </c>
      <c r="AE897" s="13" t="n">
        <f aca="false">(M897-AVERAGE(M$2:M$2001))/STDEV(M$2:M$2001)</f>
        <v>-1.5295152619275</v>
      </c>
      <c r="AF897" s="13" t="n">
        <f aca="false">(N897-AVERAGE(N$2:N$2001))/STDEV(N$2:N$2001)</f>
        <v>-1.49597686666974</v>
      </c>
      <c r="AG897" s="13" t="n">
        <f aca="false">(O897-AVERAGE(O$2:O$2001))/STDEV(O$2:O$2001)</f>
        <v>-1.17115301746849</v>
      </c>
      <c r="AH897" s="0" t="str">
        <f aca="false">IF(B897="Company","C3 - Corporate Buyers",IF(AND(H897="Investment",M897&gt;'Segmentation Summary'!$C$1),"C1 - Global Investors",IF(AND(I897&gt;=4,M897&gt;'Segmentation Summary'!$C$1),"C4 - Luxury Investors",IF(AND(D897&lt;'Segmentation Summary'!$C$2,J897=1),"C2 - First-Time Buyers","C5 - Other Individual Buyers"))))</f>
        <v>C5 - Other Individual Buyers</v>
      </c>
    </row>
    <row r="898" customFormat="false" ht="15" hidden="false" customHeight="true" outlineLevel="0" collapsed="false">
      <c r="A898" s="13" t="s">
        <v>1833</v>
      </c>
      <c r="B898" s="13" t="s">
        <v>34</v>
      </c>
      <c r="C898" s="13" t="s">
        <v>1834</v>
      </c>
      <c r="D898" s="13" t="n">
        <v>42</v>
      </c>
      <c r="E898" s="13" t="s">
        <v>90</v>
      </c>
      <c r="F898" s="13" t="s">
        <v>33</v>
      </c>
      <c r="G898" s="13" t="s">
        <v>84</v>
      </c>
      <c r="H898" s="13" t="s">
        <v>41</v>
      </c>
      <c r="I898" s="13" t="n">
        <v>3</v>
      </c>
      <c r="J898" s="13" t="n">
        <v>0</v>
      </c>
      <c r="K898" s="13" t="s">
        <v>85</v>
      </c>
      <c r="L898" s="13" t="n">
        <v>4</v>
      </c>
      <c r="M898" s="13" t="n">
        <v>1676365.72</v>
      </c>
      <c r="N898" s="13" t="n">
        <v>419091.43</v>
      </c>
      <c r="O898" s="13" t="n">
        <v>1307.3</v>
      </c>
      <c r="P898" s="13" t="n">
        <v>0</v>
      </c>
      <c r="Q898" s="13" t="n">
        <v>4</v>
      </c>
      <c r="R898" s="13" t="s">
        <v>101</v>
      </c>
      <c r="S898" s="13" t="s">
        <v>111</v>
      </c>
      <c r="T898" s="13" t="n">
        <v>1</v>
      </c>
      <c r="U898" s="13" t="n">
        <f aca="false">IF(B898="Individual",1,0)</f>
        <v>1</v>
      </c>
      <c r="V898" s="13" t="n">
        <f aca="false">IF(B898="Company",1,0)</f>
        <v>0</v>
      </c>
      <c r="W898" s="13" t="n">
        <f aca="false">IF(H898="Home",1,0)</f>
        <v>1</v>
      </c>
      <c r="X898" s="13" t="n">
        <f aca="false">IF(H898="Investment",1,0)</f>
        <v>0</v>
      </c>
      <c r="Y898" s="13" t="n">
        <f aca="false">IF(K898="Website",1,0)</f>
        <v>1</v>
      </c>
      <c r="Z898" s="13" t="n">
        <f aca="false">IF(K898="Agency",1,0)</f>
        <v>0</v>
      </c>
      <c r="AA898" s="13" t="n">
        <f aca="false">IF(K898="Client",1,0)</f>
        <v>0</v>
      </c>
      <c r="AB898" s="13" t="n">
        <f aca="false">(D898-AVERAGE(D$2:D$2001))/STDEV(D$2:D$2001)</f>
        <v>-0.699849222259691</v>
      </c>
      <c r="AC898" s="13" t="n">
        <f aca="false">(I898-AVERAGE(I$2:I$2001))/STDEV(I$2:I$2001)</f>
        <v>-0.0205155458339628</v>
      </c>
      <c r="AD898" s="13" t="n">
        <f aca="false">(L898-AVERAGE(L$2:L$2001))/STDEV(L$2:L$2001)</f>
        <v>0.413838214490712</v>
      </c>
      <c r="AE898" s="13" t="n">
        <f aca="false">(M898-AVERAGE(M$2:M$2001))/STDEV(M$2:M$2001)</f>
        <v>1.19595619835975</v>
      </c>
      <c r="AF898" s="13" t="n">
        <f aca="false">(N898-AVERAGE(N$2:N$2001))/STDEV(N$2:N$2001)</f>
        <v>1.03269639630133</v>
      </c>
      <c r="AG898" s="13" t="n">
        <f aca="false">(O898-AVERAGE(O$2:O$2001))/STDEV(O$2:O$2001)</f>
        <v>0.726711768058548</v>
      </c>
      <c r="AH898" s="0" t="str">
        <f aca="false">IF(B898="Company","C3 - Corporate Buyers",IF(AND(H898="Investment",M898&gt;'Segmentation Summary'!$C$1),"C1 - Global Investors",IF(AND(I898&gt;=4,M898&gt;'Segmentation Summary'!$C$1),"C4 - Luxury Investors",IF(AND(D898&lt;'Segmentation Summary'!$C$2,J898=1),"C2 - First-Time Buyers","C5 - Other Individual Buyers"))))</f>
        <v>C5 - Other Individual Buyers</v>
      </c>
    </row>
    <row r="899" customFormat="false" ht="15" hidden="false" customHeight="true" outlineLevel="0" collapsed="false">
      <c r="A899" s="13" t="s">
        <v>1835</v>
      </c>
      <c r="B899" s="13" t="s">
        <v>34</v>
      </c>
      <c r="C899" s="13" t="s">
        <v>1836</v>
      </c>
      <c r="D899" s="13" t="n">
        <v>43</v>
      </c>
      <c r="E899" s="13" t="s">
        <v>90</v>
      </c>
      <c r="F899" s="13" t="s">
        <v>46</v>
      </c>
      <c r="G899" s="13" t="s">
        <v>1065</v>
      </c>
      <c r="H899" s="13" t="s">
        <v>41</v>
      </c>
      <c r="I899" s="13" t="n">
        <v>2</v>
      </c>
      <c r="J899" s="13" t="n">
        <v>0</v>
      </c>
      <c r="K899" s="13" t="s">
        <v>85</v>
      </c>
      <c r="L899" s="13" t="n">
        <v>3</v>
      </c>
      <c r="M899" s="13" t="n">
        <v>1445226.07</v>
      </c>
      <c r="N899" s="13" t="n">
        <v>481742.023333333</v>
      </c>
      <c r="O899" s="13" t="n">
        <v>1510.37666666667</v>
      </c>
      <c r="P899" s="13" t="n">
        <v>1</v>
      </c>
      <c r="Q899" s="13" t="n">
        <v>2</v>
      </c>
      <c r="R899" s="13" t="s">
        <v>121</v>
      </c>
      <c r="S899" s="13" t="s">
        <v>215</v>
      </c>
      <c r="T899" s="13" t="n">
        <v>1</v>
      </c>
      <c r="U899" s="13" t="n">
        <f aca="false">IF(B899="Individual",1,0)</f>
        <v>1</v>
      </c>
      <c r="V899" s="13" t="n">
        <f aca="false">IF(B899="Company",1,0)</f>
        <v>0</v>
      </c>
      <c r="W899" s="13" t="n">
        <f aca="false">IF(H899="Home",1,0)</f>
        <v>1</v>
      </c>
      <c r="X899" s="13" t="n">
        <f aca="false">IF(H899="Investment",1,0)</f>
        <v>0</v>
      </c>
      <c r="Y899" s="13" t="n">
        <f aca="false">IF(K899="Website",1,0)</f>
        <v>1</v>
      </c>
      <c r="Z899" s="13" t="n">
        <f aca="false">IF(K899="Agency",1,0)</f>
        <v>0</v>
      </c>
      <c r="AA899" s="13" t="n">
        <f aca="false">IF(K899="Client",1,0)</f>
        <v>0</v>
      </c>
      <c r="AB899" s="13" t="n">
        <f aca="false">(D899-AVERAGE(D$2:D$2001))/STDEV(D$2:D$2001)</f>
        <v>-0.64218676677154</v>
      </c>
      <c r="AC899" s="13" t="n">
        <f aca="false">(I899-AVERAGE(I$2:I$2001))/STDEV(I$2:I$2001)</f>
        <v>-0.727948160798201</v>
      </c>
      <c r="AD899" s="13" t="n">
        <f aca="false">(L899-AVERAGE(L$2:L$2001))/STDEV(L$2:L$2001)</f>
        <v>-0.777063122173208</v>
      </c>
      <c r="AE899" s="13" t="n">
        <f aca="false">(M899-AVERAGE(M$2:M$2001))/STDEV(M$2:M$2001)</f>
        <v>0.531438450579654</v>
      </c>
      <c r="AF899" s="13" t="n">
        <f aca="false">(N899-AVERAGE(N$2:N$2001))/STDEV(N$2:N$2001)</f>
        <v>1.93127580377119</v>
      </c>
      <c r="AG899" s="13" t="n">
        <f aca="false">(O899-AVERAGE(O$2:O$2001))/STDEV(O$2:O$2001)</f>
        <v>1.65011244951577</v>
      </c>
      <c r="AH899" s="0" t="str">
        <f aca="false">IF(B899="Company","C3 - Corporate Buyers",IF(AND(H899="Investment",M899&gt;'Segmentation Summary'!$C$1),"C1 - Global Investors",IF(AND(I899&gt;=4,M899&gt;'Segmentation Summary'!$C$1),"C4 - Luxury Investors",IF(AND(D899&lt;'Segmentation Summary'!$C$2,J899=1),"C2 - First-Time Buyers","C5 - Other Individual Buyers"))))</f>
        <v>C5 - Other Individual Buyers</v>
      </c>
    </row>
    <row r="900" customFormat="false" ht="15" hidden="false" customHeight="true" outlineLevel="0" collapsed="false">
      <c r="A900" s="13" t="s">
        <v>1837</v>
      </c>
      <c r="B900" s="13" t="s">
        <v>34</v>
      </c>
      <c r="C900" s="13" t="s">
        <v>1838</v>
      </c>
      <c r="D900" s="13" t="n">
        <v>54</v>
      </c>
      <c r="E900" s="13" t="s">
        <v>90</v>
      </c>
      <c r="F900" s="13" t="s">
        <v>33</v>
      </c>
      <c r="G900" s="13" t="s">
        <v>95</v>
      </c>
      <c r="H900" s="13" t="s">
        <v>41</v>
      </c>
      <c r="I900" s="13" t="n">
        <v>3</v>
      </c>
      <c r="J900" s="13" t="n">
        <v>0</v>
      </c>
      <c r="K900" s="13" t="s">
        <v>85</v>
      </c>
      <c r="L900" s="13" t="n">
        <v>4</v>
      </c>
      <c r="M900" s="13" t="n">
        <v>1269395.74</v>
      </c>
      <c r="N900" s="13" t="n">
        <v>317348.935</v>
      </c>
      <c r="O900" s="13" t="n">
        <v>1048.3425</v>
      </c>
      <c r="P900" s="13" t="n">
        <v>1</v>
      </c>
      <c r="Q900" s="13" t="n">
        <v>3</v>
      </c>
      <c r="R900" s="13" t="s">
        <v>121</v>
      </c>
      <c r="S900" s="13" t="s">
        <v>112</v>
      </c>
      <c r="T900" s="13" t="n">
        <v>1</v>
      </c>
      <c r="U900" s="13" t="n">
        <f aca="false">IF(B900="Individual",1,0)</f>
        <v>1</v>
      </c>
      <c r="V900" s="13" t="n">
        <f aca="false">IF(B900="Company",1,0)</f>
        <v>0</v>
      </c>
      <c r="W900" s="13" t="n">
        <f aca="false">IF(H900="Home",1,0)</f>
        <v>1</v>
      </c>
      <c r="X900" s="13" t="n">
        <f aca="false">IF(H900="Investment",1,0)</f>
        <v>0</v>
      </c>
      <c r="Y900" s="13" t="n">
        <f aca="false">IF(K900="Website",1,0)</f>
        <v>1</v>
      </c>
      <c r="Z900" s="13" t="n">
        <f aca="false">IF(K900="Agency",1,0)</f>
        <v>0</v>
      </c>
      <c r="AA900" s="13" t="n">
        <f aca="false">IF(K900="Client",1,0)</f>
        <v>0</v>
      </c>
      <c r="AB900" s="13" t="n">
        <f aca="false">(D900-AVERAGE(D$2:D$2001))/STDEV(D$2:D$2001)</f>
        <v>-0.00789975640187674</v>
      </c>
      <c r="AC900" s="13" t="n">
        <f aca="false">(I900-AVERAGE(I$2:I$2001))/STDEV(I$2:I$2001)</f>
        <v>-0.0205155458339628</v>
      </c>
      <c r="AD900" s="13" t="n">
        <f aca="false">(L900-AVERAGE(L$2:L$2001))/STDEV(L$2:L$2001)</f>
        <v>0.413838214490712</v>
      </c>
      <c r="AE900" s="13" t="n">
        <f aca="false">(M900-AVERAGE(M$2:M$2001))/STDEV(M$2:M$2001)</f>
        <v>0.0259329049797094</v>
      </c>
      <c r="AF900" s="13" t="n">
        <f aca="false">(N900-AVERAGE(N$2:N$2001))/STDEV(N$2:N$2001)</f>
        <v>-0.426566892478456</v>
      </c>
      <c r="AG900" s="13" t="n">
        <f aca="false">(O900-AVERAGE(O$2:O$2001))/STDEV(O$2:O$2001)</f>
        <v>-0.45078211094505</v>
      </c>
      <c r="AH900" s="0" t="str">
        <f aca="false">IF(B900="Company","C3 - Corporate Buyers",IF(AND(H900="Investment",M900&gt;'Segmentation Summary'!$C$1),"C1 - Global Investors",IF(AND(I900&gt;=4,M900&gt;'Segmentation Summary'!$C$1),"C4 - Luxury Investors",IF(AND(D900&lt;'Segmentation Summary'!$C$2,J900=1),"C2 - First-Time Buyers","C5 - Other Individual Buyers"))))</f>
        <v>C5 - Other Individual Buyers</v>
      </c>
    </row>
    <row r="901" customFormat="false" ht="15" hidden="false" customHeight="true" outlineLevel="0" collapsed="false">
      <c r="A901" s="13" t="s">
        <v>1839</v>
      </c>
      <c r="B901" s="13" t="s">
        <v>34</v>
      </c>
      <c r="C901" s="13" t="s">
        <v>1840</v>
      </c>
      <c r="D901" s="13" t="n">
        <v>84</v>
      </c>
      <c r="E901" s="13" t="s">
        <v>83</v>
      </c>
      <c r="F901" s="13" t="s">
        <v>33</v>
      </c>
      <c r="G901" s="13" t="s">
        <v>95</v>
      </c>
      <c r="H901" s="13" t="s">
        <v>41</v>
      </c>
      <c r="I901" s="13" t="n">
        <v>5</v>
      </c>
      <c r="J901" s="13" t="n">
        <v>0</v>
      </c>
      <c r="K901" s="13" t="s">
        <v>85</v>
      </c>
      <c r="L901" s="13" t="n">
        <v>9</v>
      </c>
      <c r="M901" s="13" t="n">
        <v>2744452.35</v>
      </c>
      <c r="N901" s="13" t="n">
        <v>304939.15</v>
      </c>
      <c r="O901" s="13" t="n">
        <v>993.508888888889</v>
      </c>
      <c r="P901" s="13" t="n">
        <v>1</v>
      </c>
      <c r="Q901" s="13" t="n">
        <v>8</v>
      </c>
      <c r="R901" s="13" t="s">
        <v>98</v>
      </c>
      <c r="S901" s="13" t="s">
        <v>141</v>
      </c>
      <c r="T901" s="13" t="n">
        <v>1</v>
      </c>
      <c r="U901" s="13" t="n">
        <f aca="false">IF(B901="Individual",1,0)</f>
        <v>1</v>
      </c>
      <c r="V901" s="13" t="n">
        <f aca="false">IF(B901="Company",1,0)</f>
        <v>0</v>
      </c>
      <c r="W901" s="13" t="n">
        <f aca="false">IF(H901="Home",1,0)</f>
        <v>1</v>
      </c>
      <c r="X901" s="13" t="n">
        <f aca="false">IF(H901="Investment",1,0)</f>
        <v>0</v>
      </c>
      <c r="Y901" s="13" t="n">
        <f aca="false">IF(K901="Website",1,0)</f>
        <v>1</v>
      </c>
      <c r="Z901" s="13" t="n">
        <f aca="false">IF(K901="Agency",1,0)</f>
        <v>0</v>
      </c>
      <c r="AA901" s="13" t="n">
        <f aca="false">IF(K901="Client",1,0)</f>
        <v>0</v>
      </c>
      <c r="AB901" s="13" t="n">
        <f aca="false">(D901-AVERAGE(D$2:D$2001))/STDEV(D$2:D$2001)</f>
        <v>1.72197390824266</v>
      </c>
      <c r="AC901" s="13" t="n">
        <f aca="false">(I901-AVERAGE(I$2:I$2001))/STDEV(I$2:I$2001)</f>
        <v>1.39434968409451</v>
      </c>
      <c r="AD901" s="13" t="n">
        <f aca="false">(L901-AVERAGE(L$2:L$2001))/STDEV(L$2:L$2001)</f>
        <v>6.36834489781031</v>
      </c>
      <c r="AE901" s="13" t="n">
        <f aca="false">(M901-AVERAGE(M$2:M$2001))/STDEV(M$2:M$2001)</f>
        <v>4.26666484484955</v>
      </c>
      <c r="AF901" s="13" t="n">
        <f aca="false">(N901-AVERAGE(N$2:N$2001))/STDEV(N$2:N$2001)</f>
        <v>-0.604556862865462</v>
      </c>
      <c r="AG901" s="13" t="n">
        <f aca="false">(O901-AVERAGE(O$2:O$2001))/STDEV(O$2:O$2001)</f>
        <v>-0.700113531919521</v>
      </c>
      <c r="AH901" s="0" t="str">
        <f aca="false">IF(B901="Company","C3 - Corporate Buyers",IF(AND(H901="Investment",M901&gt;'Segmentation Summary'!$C$1),"C1 - Global Investors",IF(AND(I901&gt;=4,M901&gt;'Segmentation Summary'!$C$1),"C4 - Luxury Investors",IF(AND(D901&lt;'Segmentation Summary'!$C$2,J901=1),"C2 - First-Time Buyers","C5 - Other Individual Buyers"))))</f>
        <v>C4 - Luxury Investors</v>
      </c>
    </row>
    <row r="902" customFormat="false" ht="15" hidden="false" customHeight="true" outlineLevel="0" collapsed="false">
      <c r="A902" s="13" t="s">
        <v>1841</v>
      </c>
      <c r="B902" s="13" t="s">
        <v>34</v>
      </c>
      <c r="C902" s="13" t="s">
        <v>1842</v>
      </c>
      <c r="D902" s="13" t="n">
        <v>60</v>
      </c>
      <c r="E902" s="13" t="s">
        <v>83</v>
      </c>
      <c r="F902" s="13" t="s">
        <v>35</v>
      </c>
      <c r="G902" s="13" t="s">
        <v>137</v>
      </c>
      <c r="H902" s="13" t="s">
        <v>43</v>
      </c>
      <c r="I902" s="13" t="n">
        <v>4</v>
      </c>
      <c r="J902" s="13" t="n">
        <v>0</v>
      </c>
      <c r="K902" s="13" t="s">
        <v>91</v>
      </c>
      <c r="L902" s="13" t="n">
        <v>8</v>
      </c>
      <c r="M902" s="13" t="n">
        <v>2884556.25</v>
      </c>
      <c r="N902" s="13" t="n">
        <v>360569.53125</v>
      </c>
      <c r="O902" s="13" t="n">
        <v>1135.78625</v>
      </c>
      <c r="P902" s="13" t="n">
        <v>3</v>
      </c>
      <c r="Q902" s="13" t="n">
        <v>5</v>
      </c>
      <c r="R902" s="13" t="s">
        <v>98</v>
      </c>
      <c r="S902" s="13" t="s">
        <v>125</v>
      </c>
      <c r="T902" s="13" t="n">
        <v>1</v>
      </c>
      <c r="U902" s="13" t="n">
        <f aca="false">IF(B902="Individual",1,0)</f>
        <v>1</v>
      </c>
      <c r="V902" s="13" t="n">
        <f aca="false">IF(B902="Company",1,0)</f>
        <v>0</v>
      </c>
      <c r="W902" s="13" t="n">
        <f aca="false">IF(H902="Home",1,0)</f>
        <v>0</v>
      </c>
      <c r="X902" s="13" t="n">
        <f aca="false">IF(H902="Investment",1,0)</f>
        <v>1</v>
      </c>
      <c r="Y902" s="13" t="n">
        <f aca="false">IF(K902="Website",1,0)</f>
        <v>0</v>
      </c>
      <c r="Z902" s="13" t="n">
        <f aca="false">IF(K902="Agency",1,0)</f>
        <v>1</v>
      </c>
      <c r="AA902" s="13" t="n">
        <f aca="false">IF(K902="Client",1,0)</f>
        <v>0</v>
      </c>
      <c r="AB902" s="13" t="n">
        <f aca="false">(D902-AVERAGE(D$2:D$2001))/STDEV(D$2:D$2001)</f>
        <v>0.338074976527031</v>
      </c>
      <c r="AC902" s="13" t="n">
        <f aca="false">(I902-AVERAGE(I$2:I$2001))/STDEV(I$2:I$2001)</f>
        <v>0.686917069130275</v>
      </c>
      <c r="AD902" s="13" t="n">
        <f aca="false">(L902-AVERAGE(L$2:L$2001))/STDEV(L$2:L$2001)</f>
        <v>5.17744356114639</v>
      </c>
      <c r="AE902" s="13" t="n">
        <f aca="false">(M902-AVERAGE(M$2:M$2001))/STDEV(M$2:M$2001)</f>
        <v>4.66945825603282</v>
      </c>
      <c r="AF902" s="13" t="n">
        <f aca="false">(N902-AVERAGE(N$2:N$2001))/STDEV(N$2:N$2001)</f>
        <v>0.193333665560724</v>
      </c>
      <c r="AG902" s="13" t="n">
        <f aca="false">(O902-AVERAGE(O$2:O$2001))/STDEV(O$2:O$2001)</f>
        <v>-0.0531706095128802</v>
      </c>
      <c r="AH902" s="0" t="str">
        <f aca="false">IF(B902="Company","C3 - Corporate Buyers",IF(AND(H902="Investment",M902&gt;'Segmentation Summary'!$C$1),"C1 - Global Investors",IF(AND(I902&gt;=4,M902&gt;'Segmentation Summary'!$C$1),"C4 - Luxury Investors",IF(AND(D902&lt;'Segmentation Summary'!$C$2,J902=1),"C2 - First-Time Buyers","C5 - Other Individual Buyers"))))</f>
        <v>C1 - Global Investors</v>
      </c>
    </row>
    <row r="903" customFormat="false" ht="15" hidden="false" customHeight="true" outlineLevel="0" collapsed="false">
      <c r="A903" s="13" t="s">
        <v>1843</v>
      </c>
      <c r="B903" s="13" t="s">
        <v>34</v>
      </c>
      <c r="C903" s="13" t="s">
        <v>1844</v>
      </c>
      <c r="D903" s="13" t="n">
        <v>88</v>
      </c>
      <c r="E903" s="13" t="s">
        <v>83</v>
      </c>
      <c r="F903" s="13" t="s">
        <v>33</v>
      </c>
      <c r="G903" s="13" t="s">
        <v>157</v>
      </c>
      <c r="H903" s="13" t="s">
        <v>43</v>
      </c>
      <c r="I903" s="13" t="n">
        <v>2</v>
      </c>
      <c r="J903" s="13" t="n">
        <v>0</v>
      </c>
      <c r="K903" s="13" t="s">
        <v>85</v>
      </c>
      <c r="L903" s="13" t="n">
        <v>6</v>
      </c>
      <c r="M903" s="13" t="n">
        <v>1450519.57</v>
      </c>
      <c r="N903" s="13" t="n">
        <v>241753.261666667</v>
      </c>
      <c r="O903" s="13" t="n">
        <v>786.973333333333</v>
      </c>
      <c r="P903" s="13" t="n">
        <v>1</v>
      </c>
      <c r="Q903" s="13" t="n">
        <v>5</v>
      </c>
      <c r="R903" s="13" t="s">
        <v>98</v>
      </c>
      <c r="S903" s="13" t="s">
        <v>107</v>
      </c>
      <c r="T903" s="13" t="n">
        <v>1</v>
      </c>
      <c r="U903" s="13" t="n">
        <f aca="false">IF(B903="Individual",1,0)</f>
        <v>1</v>
      </c>
      <c r="V903" s="13" t="n">
        <f aca="false">IF(B903="Company",1,0)</f>
        <v>0</v>
      </c>
      <c r="W903" s="13" t="n">
        <f aca="false">IF(H903="Home",1,0)</f>
        <v>0</v>
      </c>
      <c r="X903" s="13" t="n">
        <f aca="false">IF(H903="Investment",1,0)</f>
        <v>1</v>
      </c>
      <c r="Y903" s="13" t="n">
        <f aca="false">IF(K903="Website",1,0)</f>
        <v>1</v>
      </c>
      <c r="Z903" s="13" t="n">
        <f aca="false">IF(K903="Agency",1,0)</f>
        <v>0</v>
      </c>
      <c r="AA903" s="13" t="n">
        <f aca="false">IF(K903="Client",1,0)</f>
        <v>0</v>
      </c>
      <c r="AB903" s="13" t="n">
        <f aca="false">(D903-AVERAGE(D$2:D$2001))/STDEV(D$2:D$2001)</f>
        <v>1.95262373019526</v>
      </c>
      <c r="AC903" s="13" t="n">
        <f aca="false">(I903-AVERAGE(I$2:I$2001))/STDEV(I$2:I$2001)</f>
        <v>-0.727948160798201</v>
      </c>
      <c r="AD903" s="13" t="n">
        <f aca="false">(L903-AVERAGE(L$2:L$2001))/STDEV(L$2:L$2001)</f>
        <v>2.79564088781855</v>
      </c>
      <c r="AE903" s="13" t="n">
        <f aca="false">(M903-AVERAGE(M$2:M$2001))/STDEV(M$2:M$2001)</f>
        <v>0.546657062781732</v>
      </c>
      <c r="AF903" s="13" t="n">
        <f aca="false">(N903-AVERAGE(N$2:N$2001))/STDEV(N$2:N$2001)</f>
        <v>-1.51081385227556</v>
      </c>
      <c r="AG903" s="13" t="n">
        <f aca="false">(O903-AVERAGE(O$2:O$2001))/STDEV(O$2:O$2001)</f>
        <v>-1.63924196984186</v>
      </c>
      <c r="AH903" s="0" t="str">
        <f aca="false">IF(B903="Company","C3 - Corporate Buyers",IF(AND(H903="Investment",M903&gt;'Segmentation Summary'!$C$1),"C1 - Global Investors",IF(AND(I903&gt;=4,M903&gt;'Segmentation Summary'!$C$1),"C4 - Luxury Investors",IF(AND(D903&lt;'Segmentation Summary'!$C$2,J903=1),"C2 - First-Time Buyers","C5 - Other Individual Buyers"))))</f>
        <v>C1 - Global Investors</v>
      </c>
    </row>
    <row r="904" customFormat="false" ht="15" hidden="false" customHeight="true" outlineLevel="0" collapsed="false">
      <c r="A904" s="13" t="s">
        <v>1845</v>
      </c>
      <c r="B904" s="13" t="s">
        <v>34</v>
      </c>
      <c r="C904" s="13" t="s">
        <v>1846</v>
      </c>
      <c r="D904" s="13" t="n">
        <v>46</v>
      </c>
      <c r="E904" s="13" t="s">
        <v>83</v>
      </c>
      <c r="F904" s="13" t="s">
        <v>33</v>
      </c>
      <c r="G904" s="13" t="s">
        <v>120</v>
      </c>
      <c r="H904" s="13" t="s">
        <v>41</v>
      </c>
      <c r="I904" s="13" t="n">
        <v>3</v>
      </c>
      <c r="J904" s="13" t="n">
        <v>0</v>
      </c>
      <c r="K904" s="13" t="s">
        <v>85</v>
      </c>
      <c r="L904" s="13" t="n">
        <v>3</v>
      </c>
      <c r="M904" s="13" t="n">
        <v>821534.94</v>
      </c>
      <c r="N904" s="13" t="n">
        <v>273844.98</v>
      </c>
      <c r="O904" s="13" t="n">
        <v>897.31</v>
      </c>
      <c r="P904" s="13" t="n">
        <v>1</v>
      </c>
      <c r="Q904" s="13" t="n">
        <v>2</v>
      </c>
      <c r="R904" s="13" t="s">
        <v>93</v>
      </c>
      <c r="S904" s="13" t="s">
        <v>133</v>
      </c>
      <c r="T904" s="13" t="n">
        <v>1</v>
      </c>
      <c r="U904" s="13" t="n">
        <f aca="false">IF(B904="Individual",1,0)</f>
        <v>1</v>
      </c>
      <c r="V904" s="13" t="n">
        <f aca="false">IF(B904="Company",1,0)</f>
        <v>0</v>
      </c>
      <c r="W904" s="13" t="n">
        <f aca="false">IF(H904="Home",1,0)</f>
        <v>1</v>
      </c>
      <c r="X904" s="13" t="n">
        <f aca="false">IF(H904="Investment",1,0)</f>
        <v>0</v>
      </c>
      <c r="Y904" s="13" t="n">
        <f aca="false">IF(K904="Website",1,0)</f>
        <v>1</v>
      </c>
      <c r="Z904" s="13" t="n">
        <f aca="false">IF(K904="Agency",1,0)</f>
        <v>0</v>
      </c>
      <c r="AA904" s="13" t="n">
        <f aca="false">IF(K904="Client",1,0)</f>
        <v>0</v>
      </c>
      <c r="AB904" s="13" t="n">
        <f aca="false">(D904-AVERAGE(D$2:D$2001))/STDEV(D$2:D$2001)</f>
        <v>-0.469199400307086</v>
      </c>
      <c r="AC904" s="13" t="n">
        <f aca="false">(I904-AVERAGE(I$2:I$2001))/STDEV(I$2:I$2001)</f>
        <v>-0.0205155458339628</v>
      </c>
      <c r="AD904" s="13" t="n">
        <f aca="false">(L904-AVERAGE(L$2:L$2001))/STDEV(L$2:L$2001)</f>
        <v>-0.777063122173208</v>
      </c>
      <c r="AE904" s="13" t="n">
        <f aca="false">(M904-AVERAGE(M$2:M$2001))/STDEV(M$2:M$2001)</f>
        <v>-1.2616499486544</v>
      </c>
      <c r="AF904" s="13" t="n">
        <f aca="false">(N904-AVERAGE(N$2:N$2001))/STDEV(N$2:N$2001)</f>
        <v>-1.05053158341933</v>
      </c>
      <c r="AG904" s="13" t="n">
        <f aca="false">(O904-AVERAGE(O$2:O$2001))/STDEV(O$2:O$2001)</f>
        <v>-1.13753512748487</v>
      </c>
      <c r="AH904" s="0" t="str">
        <f aca="false">IF(B904="Company","C3 - Corporate Buyers",IF(AND(H904="Investment",M904&gt;'Segmentation Summary'!$C$1),"C1 - Global Investors",IF(AND(I904&gt;=4,M904&gt;'Segmentation Summary'!$C$1),"C4 - Luxury Investors",IF(AND(D904&lt;'Segmentation Summary'!$C$2,J904=1),"C2 - First-Time Buyers","C5 - Other Individual Buyers"))))</f>
        <v>C5 - Other Individual Buyers</v>
      </c>
    </row>
    <row r="905" customFormat="false" ht="15" hidden="false" customHeight="true" outlineLevel="0" collapsed="false">
      <c r="A905" s="13" t="s">
        <v>1847</v>
      </c>
      <c r="B905" s="13" t="s">
        <v>34</v>
      </c>
      <c r="C905" s="13" t="s">
        <v>1848</v>
      </c>
      <c r="D905" s="13" t="n">
        <v>71</v>
      </c>
      <c r="E905" s="13" t="s">
        <v>83</v>
      </c>
      <c r="F905" s="13" t="s">
        <v>33</v>
      </c>
      <c r="G905" s="13" t="s">
        <v>84</v>
      </c>
      <c r="H905" s="13" t="s">
        <v>41</v>
      </c>
      <c r="I905" s="13" t="n">
        <v>2</v>
      </c>
      <c r="J905" s="13" t="n">
        <v>0</v>
      </c>
      <c r="K905" s="13" t="s">
        <v>91</v>
      </c>
      <c r="L905" s="13" t="n">
        <v>3</v>
      </c>
      <c r="M905" s="13" t="n">
        <v>1322506.76</v>
      </c>
      <c r="N905" s="13" t="n">
        <v>440835.586666667</v>
      </c>
      <c r="O905" s="13" t="n">
        <v>1523.69333333333</v>
      </c>
      <c r="P905" s="13" t="n">
        <v>0</v>
      </c>
      <c r="Q905" s="13" t="n">
        <v>3</v>
      </c>
      <c r="R905" s="13" t="s">
        <v>101</v>
      </c>
      <c r="S905" s="13" t="s">
        <v>87</v>
      </c>
      <c r="T905" s="13" t="n">
        <v>1</v>
      </c>
      <c r="U905" s="13" t="n">
        <f aca="false">IF(B905="Individual",1,0)</f>
        <v>1</v>
      </c>
      <c r="V905" s="13" t="n">
        <f aca="false">IF(B905="Company",1,0)</f>
        <v>0</v>
      </c>
      <c r="W905" s="13" t="n">
        <f aca="false">IF(H905="Home",1,0)</f>
        <v>1</v>
      </c>
      <c r="X905" s="13" t="n">
        <f aca="false">IF(H905="Investment",1,0)</f>
        <v>0</v>
      </c>
      <c r="Y905" s="13" t="n">
        <f aca="false">IF(K905="Website",1,0)</f>
        <v>0</v>
      </c>
      <c r="Z905" s="13" t="n">
        <f aca="false">IF(K905="Agency",1,0)</f>
        <v>1</v>
      </c>
      <c r="AA905" s="13" t="n">
        <f aca="false">IF(K905="Client",1,0)</f>
        <v>0</v>
      </c>
      <c r="AB905" s="13" t="n">
        <f aca="false">(D905-AVERAGE(D$2:D$2001))/STDEV(D$2:D$2001)</f>
        <v>0.972361986896694</v>
      </c>
      <c r="AC905" s="13" t="n">
        <f aca="false">(I905-AVERAGE(I$2:I$2001))/STDEV(I$2:I$2001)</f>
        <v>-0.727948160798201</v>
      </c>
      <c r="AD905" s="13" t="n">
        <f aca="false">(L905-AVERAGE(L$2:L$2001))/STDEV(L$2:L$2001)</f>
        <v>-0.777063122173208</v>
      </c>
      <c r="AE905" s="13" t="n">
        <f aca="false">(M905-AVERAGE(M$2:M$2001))/STDEV(M$2:M$2001)</f>
        <v>0.178625077840157</v>
      </c>
      <c r="AF905" s="13" t="n">
        <f aca="false">(N905-AVERAGE(N$2:N$2001))/STDEV(N$2:N$2001)</f>
        <v>1.34456656981284</v>
      </c>
      <c r="AG905" s="13" t="n">
        <f aca="false">(O905-AVERAGE(O$2:O$2001))/STDEV(O$2:O$2001)</f>
        <v>1.71066405929237</v>
      </c>
      <c r="AH905" s="0" t="str">
        <f aca="false">IF(B905="Company","C3 - Corporate Buyers",IF(AND(H905="Investment",M905&gt;'Segmentation Summary'!$C$1),"C1 - Global Investors",IF(AND(I905&gt;=4,M905&gt;'Segmentation Summary'!$C$1),"C4 - Luxury Investors",IF(AND(D905&lt;'Segmentation Summary'!$C$2,J905=1),"C2 - First-Time Buyers","C5 - Other Individual Buyers"))))</f>
        <v>C5 - Other Individual Buyers</v>
      </c>
    </row>
    <row r="906" customFormat="false" ht="15" hidden="false" customHeight="true" outlineLevel="0" collapsed="false">
      <c r="A906" s="13" t="s">
        <v>1849</v>
      </c>
      <c r="B906" s="13" t="s">
        <v>34</v>
      </c>
      <c r="C906" s="13" t="s">
        <v>1850</v>
      </c>
      <c r="D906" s="13" t="n">
        <v>80</v>
      </c>
      <c r="E906" s="13" t="s">
        <v>83</v>
      </c>
      <c r="F906" s="13" t="s">
        <v>33</v>
      </c>
      <c r="G906" s="13" t="s">
        <v>157</v>
      </c>
      <c r="H906" s="13" t="s">
        <v>41</v>
      </c>
      <c r="I906" s="13" t="n">
        <v>1</v>
      </c>
      <c r="J906" s="13" t="n">
        <v>0</v>
      </c>
      <c r="K906" s="13" t="s">
        <v>116</v>
      </c>
      <c r="L906" s="13" t="n">
        <v>3</v>
      </c>
      <c r="M906" s="13" t="n">
        <v>1120963.1</v>
      </c>
      <c r="N906" s="13" t="n">
        <v>373654.366666667</v>
      </c>
      <c r="O906" s="13" t="n">
        <v>1301.65</v>
      </c>
      <c r="P906" s="13" t="n">
        <v>1</v>
      </c>
      <c r="Q906" s="13" t="n">
        <v>2</v>
      </c>
      <c r="R906" s="13" t="s">
        <v>111</v>
      </c>
      <c r="S906" s="13" t="s">
        <v>111</v>
      </c>
      <c r="T906" s="13" t="n">
        <v>1</v>
      </c>
      <c r="U906" s="13" t="n">
        <f aca="false">IF(B906="Individual",1,0)</f>
        <v>1</v>
      </c>
      <c r="V906" s="13" t="n">
        <f aca="false">IF(B906="Company",1,0)</f>
        <v>0</v>
      </c>
      <c r="W906" s="13" t="n">
        <f aca="false">IF(H906="Home",1,0)</f>
        <v>1</v>
      </c>
      <c r="X906" s="13" t="n">
        <f aca="false">IF(H906="Investment",1,0)</f>
        <v>0</v>
      </c>
      <c r="Y906" s="13" t="n">
        <f aca="false">IF(K906="Website",1,0)</f>
        <v>0</v>
      </c>
      <c r="Z906" s="13" t="n">
        <f aca="false">IF(K906="Agency",1,0)</f>
        <v>0</v>
      </c>
      <c r="AA906" s="13" t="n">
        <f aca="false">IF(K906="Client",1,0)</f>
        <v>1</v>
      </c>
      <c r="AB906" s="13" t="n">
        <f aca="false">(D906-AVERAGE(D$2:D$2001))/STDEV(D$2:D$2001)</f>
        <v>1.49132408629005</v>
      </c>
      <c r="AC906" s="13" t="n">
        <f aca="false">(I906-AVERAGE(I$2:I$2001))/STDEV(I$2:I$2001)</f>
        <v>-1.43538077576244</v>
      </c>
      <c r="AD906" s="13" t="n">
        <f aca="false">(L906-AVERAGE(L$2:L$2001))/STDEV(L$2:L$2001)</f>
        <v>-0.777063122173208</v>
      </c>
      <c r="AE906" s="13" t="n">
        <f aca="false">(M906-AVERAGE(M$2:M$2001))/STDEV(M$2:M$2001)</f>
        <v>-0.400805318556811</v>
      </c>
      <c r="AF906" s="13" t="n">
        <f aca="false">(N906-AVERAGE(N$2:N$2001))/STDEV(N$2:N$2001)</f>
        <v>0.381005689558836</v>
      </c>
      <c r="AG906" s="13" t="n">
        <f aca="false">(O906-AVERAGE(O$2:O$2001))/STDEV(O$2:O$2001)</f>
        <v>0.701020909842933</v>
      </c>
      <c r="AH906" s="0" t="str">
        <f aca="false">IF(B906="Company","C3 - Corporate Buyers",IF(AND(H906="Investment",M906&gt;'Segmentation Summary'!$C$1),"C1 - Global Investors",IF(AND(I906&gt;=4,M906&gt;'Segmentation Summary'!$C$1),"C4 - Luxury Investors",IF(AND(D906&lt;'Segmentation Summary'!$C$2,J906=1),"C2 - First-Time Buyers","C5 - Other Individual Buyers"))))</f>
        <v>C5 - Other Individual Buyers</v>
      </c>
    </row>
    <row r="907" customFormat="false" ht="15" hidden="false" customHeight="true" outlineLevel="0" collapsed="false">
      <c r="A907" s="13" t="s">
        <v>1851</v>
      </c>
      <c r="B907" s="13" t="s">
        <v>34</v>
      </c>
      <c r="C907" s="13" t="s">
        <v>1852</v>
      </c>
      <c r="D907" s="13" t="n">
        <v>83</v>
      </c>
      <c r="E907" s="13" t="s">
        <v>83</v>
      </c>
      <c r="F907" s="13" t="s">
        <v>37</v>
      </c>
      <c r="G907" s="13" t="s">
        <v>169</v>
      </c>
      <c r="H907" s="13" t="s">
        <v>41</v>
      </c>
      <c r="I907" s="13" t="n">
        <v>4</v>
      </c>
      <c r="J907" s="13" t="n">
        <v>0</v>
      </c>
      <c r="K907" s="13" t="s">
        <v>91</v>
      </c>
      <c r="L907" s="13" t="n">
        <v>3</v>
      </c>
      <c r="M907" s="13" t="n">
        <v>598874.99</v>
      </c>
      <c r="N907" s="13" t="n">
        <v>199624.996666667</v>
      </c>
      <c r="O907" s="13" t="n">
        <v>678.97</v>
      </c>
      <c r="P907" s="13" t="n">
        <v>1</v>
      </c>
      <c r="Q907" s="13" t="n">
        <v>2</v>
      </c>
      <c r="R907" s="13" t="s">
        <v>121</v>
      </c>
      <c r="S907" s="13" t="s">
        <v>114</v>
      </c>
      <c r="T907" s="13" t="n">
        <v>1</v>
      </c>
      <c r="U907" s="13" t="n">
        <f aca="false">IF(B907="Individual",1,0)</f>
        <v>1</v>
      </c>
      <c r="V907" s="13" t="n">
        <f aca="false">IF(B907="Company",1,0)</f>
        <v>0</v>
      </c>
      <c r="W907" s="13" t="n">
        <f aca="false">IF(H907="Home",1,0)</f>
        <v>1</v>
      </c>
      <c r="X907" s="13" t="n">
        <f aca="false">IF(H907="Investment",1,0)</f>
        <v>0</v>
      </c>
      <c r="Y907" s="13" t="n">
        <f aca="false">IF(K907="Website",1,0)</f>
        <v>0</v>
      </c>
      <c r="Z907" s="13" t="n">
        <f aca="false">IF(K907="Agency",1,0)</f>
        <v>1</v>
      </c>
      <c r="AA907" s="13" t="n">
        <f aca="false">IF(K907="Client",1,0)</f>
        <v>0</v>
      </c>
      <c r="AB907" s="13" t="n">
        <f aca="false">(D907-AVERAGE(D$2:D$2001))/STDEV(D$2:D$2001)</f>
        <v>1.66431145275451</v>
      </c>
      <c r="AC907" s="13" t="n">
        <f aca="false">(I907-AVERAGE(I$2:I$2001))/STDEV(I$2:I$2001)</f>
        <v>0.686917069130275</v>
      </c>
      <c r="AD907" s="13" t="n">
        <f aca="false">(L907-AVERAGE(L$2:L$2001))/STDEV(L$2:L$2001)</f>
        <v>-0.777063122173208</v>
      </c>
      <c r="AE907" s="13" t="n">
        <f aca="false">(M907-AVERAGE(M$2:M$2001))/STDEV(M$2:M$2001)</f>
        <v>-1.90178887979334</v>
      </c>
      <c r="AF907" s="13" t="n">
        <f aca="false">(N907-AVERAGE(N$2:N$2001))/STDEV(N$2:N$2001)</f>
        <v>-2.11504741795022</v>
      </c>
      <c r="AG907" s="13" t="n">
        <f aca="false">(O907-AVERAGE(O$2:O$2001))/STDEV(O$2:O$2001)</f>
        <v>-2.1303390182455</v>
      </c>
      <c r="AH907" s="0" t="str">
        <f aca="false">IF(B907="Company","C3 - Corporate Buyers",IF(AND(H907="Investment",M907&gt;'Segmentation Summary'!$C$1),"C1 - Global Investors",IF(AND(I907&gt;=4,M907&gt;'Segmentation Summary'!$C$1),"C4 - Luxury Investors",IF(AND(D907&lt;'Segmentation Summary'!$C$2,J907=1),"C2 - First-Time Buyers","C5 - Other Individual Buyers"))))</f>
        <v>C5 - Other Individual Buyers</v>
      </c>
    </row>
    <row r="908" customFormat="false" ht="15" hidden="false" customHeight="true" outlineLevel="0" collapsed="false">
      <c r="A908" s="13" t="s">
        <v>1853</v>
      </c>
      <c r="B908" s="13" t="s">
        <v>34</v>
      </c>
      <c r="C908" s="13" t="s">
        <v>1854</v>
      </c>
      <c r="D908" s="13" t="n">
        <v>67</v>
      </c>
      <c r="E908" s="13" t="s">
        <v>83</v>
      </c>
      <c r="F908" s="13" t="s">
        <v>33</v>
      </c>
      <c r="G908" s="13" t="s">
        <v>162</v>
      </c>
      <c r="H908" s="13" t="s">
        <v>41</v>
      </c>
      <c r="I908" s="13" t="n">
        <v>1</v>
      </c>
      <c r="J908" s="13" t="n">
        <v>0</v>
      </c>
      <c r="K908" s="13" t="s">
        <v>85</v>
      </c>
      <c r="L908" s="13" t="n">
        <v>3</v>
      </c>
      <c r="M908" s="13" t="n">
        <v>938557.19</v>
      </c>
      <c r="N908" s="13" t="n">
        <v>312852.396666667</v>
      </c>
      <c r="O908" s="13" t="n">
        <v>1098.06666666667</v>
      </c>
      <c r="P908" s="13" t="n">
        <v>0</v>
      </c>
      <c r="Q908" s="13" t="n">
        <v>3</v>
      </c>
      <c r="R908" s="13" t="s">
        <v>98</v>
      </c>
      <c r="S908" s="13" t="s">
        <v>128</v>
      </c>
      <c r="T908" s="13" t="n">
        <v>1</v>
      </c>
      <c r="U908" s="13" t="n">
        <f aca="false">IF(B908="Individual",1,0)</f>
        <v>1</v>
      </c>
      <c r="V908" s="13" t="n">
        <f aca="false">IF(B908="Company",1,0)</f>
        <v>0</v>
      </c>
      <c r="W908" s="13" t="n">
        <f aca="false">IF(H908="Home",1,0)</f>
        <v>1</v>
      </c>
      <c r="X908" s="13" t="n">
        <f aca="false">IF(H908="Investment",1,0)</f>
        <v>0</v>
      </c>
      <c r="Y908" s="13" t="n">
        <f aca="false">IF(K908="Website",1,0)</f>
        <v>1</v>
      </c>
      <c r="Z908" s="13" t="n">
        <f aca="false">IF(K908="Agency",1,0)</f>
        <v>0</v>
      </c>
      <c r="AA908" s="13" t="n">
        <f aca="false">IF(K908="Client",1,0)</f>
        <v>0</v>
      </c>
      <c r="AB908" s="13" t="n">
        <f aca="false">(D908-AVERAGE(D$2:D$2001))/STDEV(D$2:D$2001)</f>
        <v>0.741712164944089</v>
      </c>
      <c r="AC908" s="13" t="n">
        <f aca="false">(I908-AVERAGE(I$2:I$2001))/STDEV(I$2:I$2001)</f>
        <v>-1.43538077576244</v>
      </c>
      <c r="AD908" s="13" t="n">
        <f aca="false">(L908-AVERAGE(L$2:L$2001))/STDEV(L$2:L$2001)</f>
        <v>-0.777063122173208</v>
      </c>
      <c r="AE908" s="13" t="n">
        <f aca="false">(M908-AVERAGE(M$2:M$2001))/STDEV(M$2:M$2001)</f>
        <v>-0.925215407846892</v>
      </c>
      <c r="AF908" s="13" t="n">
        <f aca="false">(N908-AVERAGE(N$2:N$2001))/STDEV(N$2:N$2001)</f>
        <v>-0.491059446120116</v>
      </c>
      <c r="AG908" s="13" t="n">
        <f aca="false">(O908-AVERAGE(O$2:O$2001))/STDEV(O$2:O$2001)</f>
        <v>-0.224683612586984</v>
      </c>
      <c r="AH908" s="0" t="str">
        <f aca="false">IF(B908="Company","C3 - Corporate Buyers",IF(AND(H908="Investment",M908&gt;'Segmentation Summary'!$C$1),"C1 - Global Investors",IF(AND(I908&gt;=4,M908&gt;'Segmentation Summary'!$C$1),"C4 - Luxury Investors",IF(AND(D908&lt;'Segmentation Summary'!$C$2,J908=1),"C2 - First-Time Buyers","C5 - Other Individual Buyers"))))</f>
        <v>C5 - Other Individual Buyers</v>
      </c>
    </row>
    <row r="909" customFormat="false" ht="15" hidden="false" customHeight="true" outlineLevel="0" collapsed="false">
      <c r="A909" s="13" t="s">
        <v>1855</v>
      </c>
      <c r="B909" s="13" t="s">
        <v>34</v>
      </c>
      <c r="C909" s="13" t="s">
        <v>1856</v>
      </c>
      <c r="D909" s="13" t="n">
        <v>63</v>
      </c>
      <c r="E909" s="13" t="s">
        <v>83</v>
      </c>
      <c r="F909" s="13" t="s">
        <v>33</v>
      </c>
      <c r="G909" s="13" t="s">
        <v>100</v>
      </c>
      <c r="H909" s="13" t="s">
        <v>41</v>
      </c>
      <c r="I909" s="13" t="n">
        <v>1</v>
      </c>
      <c r="J909" s="13" t="n">
        <v>0</v>
      </c>
      <c r="K909" s="13" t="s">
        <v>85</v>
      </c>
      <c r="L909" s="13" t="n">
        <v>3</v>
      </c>
      <c r="M909" s="13" t="n">
        <v>1180529.35</v>
      </c>
      <c r="N909" s="13" t="n">
        <v>393509.783333333</v>
      </c>
      <c r="O909" s="13" t="n">
        <v>1354.29333333333</v>
      </c>
      <c r="P909" s="13" t="n">
        <v>1</v>
      </c>
      <c r="Q909" s="13" t="n">
        <v>2</v>
      </c>
      <c r="R909" s="13" t="s">
        <v>111</v>
      </c>
      <c r="S909" s="13" t="s">
        <v>152</v>
      </c>
      <c r="T909" s="13" t="n">
        <v>1</v>
      </c>
      <c r="U909" s="13" t="n">
        <f aca="false">IF(B909="Individual",1,0)</f>
        <v>1</v>
      </c>
      <c r="V909" s="13" t="n">
        <f aca="false">IF(B909="Company",1,0)</f>
        <v>0</v>
      </c>
      <c r="W909" s="13" t="n">
        <f aca="false">IF(H909="Home",1,0)</f>
        <v>1</v>
      </c>
      <c r="X909" s="13" t="n">
        <f aca="false">IF(H909="Investment",1,0)</f>
        <v>0</v>
      </c>
      <c r="Y909" s="13" t="n">
        <f aca="false">IF(K909="Website",1,0)</f>
        <v>1</v>
      </c>
      <c r="Z909" s="13" t="n">
        <f aca="false">IF(K909="Agency",1,0)</f>
        <v>0</v>
      </c>
      <c r="AA909" s="13" t="n">
        <f aca="false">IF(K909="Client",1,0)</f>
        <v>0</v>
      </c>
      <c r="AB909" s="13" t="n">
        <f aca="false">(D909-AVERAGE(D$2:D$2001))/STDEV(D$2:D$2001)</f>
        <v>0.511062342991484</v>
      </c>
      <c r="AC909" s="13" t="n">
        <f aca="false">(I909-AVERAGE(I$2:I$2001))/STDEV(I$2:I$2001)</f>
        <v>-1.43538077576244</v>
      </c>
      <c r="AD909" s="13" t="n">
        <f aca="false">(L909-AVERAGE(L$2:L$2001))/STDEV(L$2:L$2001)</f>
        <v>-0.777063122173208</v>
      </c>
      <c r="AE909" s="13" t="n">
        <f aca="false">(M909-AVERAGE(M$2:M$2001))/STDEV(M$2:M$2001)</f>
        <v>-0.229554603702367</v>
      </c>
      <c r="AF909" s="13" t="n">
        <f aca="false">(N909-AVERAGE(N$2:N$2001))/STDEV(N$2:N$2001)</f>
        <v>0.665786209489</v>
      </c>
      <c r="AG909" s="13" t="n">
        <f aca="false">(O909-AVERAGE(O$2:O$2001))/STDEV(O$2:O$2001)</f>
        <v>0.940393018279036</v>
      </c>
      <c r="AH909" s="0" t="str">
        <f aca="false">IF(B909="Company","C3 - Corporate Buyers",IF(AND(H909="Investment",M909&gt;'Segmentation Summary'!$C$1),"C1 - Global Investors",IF(AND(I909&gt;=4,M909&gt;'Segmentation Summary'!$C$1),"C4 - Luxury Investors",IF(AND(D909&lt;'Segmentation Summary'!$C$2,J909=1),"C2 - First-Time Buyers","C5 - Other Individual Buyers"))))</f>
        <v>C5 - Other Individual Buyers</v>
      </c>
    </row>
    <row r="910" customFormat="false" ht="15" hidden="false" customHeight="true" outlineLevel="0" collapsed="false">
      <c r="A910" s="13" t="s">
        <v>1857</v>
      </c>
      <c r="B910" s="13" t="s">
        <v>34</v>
      </c>
      <c r="C910" s="13" t="s">
        <v>1858</v>
      </c>
      <c r="D910" s="13" t="n">
        <v>74</v>
      </c>
      <c r="E910" s="13" t="s">
        <v>83</v>
      </c>
      <c r="F910" s="13" t="s">
        <v>33</v>
      </c>
      <c r="G910" s="13" t="s">
        <v>95</v>
      </c>
      <c r="H910" s="13" t="s">
        <v>43</v>
      </c>
      <c r="I910" s="13" t="n">
        <v>1</v>
      </c>
      <c r="J910" s="13" t="n">
        <v>0</v>
      </c>
      <c r="K910" s="13" t="s">
        <v>85</v>
      </c>
      <c r="L910" s="13" t="n">
        <v>3</v>
      </c>
      <c r="M910" s="13" t="n">
        <v>1123364.22</v>
      </c>
      <c r="N910" s="13" t="n">
        <v>374454.74</v>
      </c>
      <c r="O910" s="13" t="n">
        <v>1023.92666666667</v>
      </c>
      <c r="P910" s="13" t="n">
        <v>2</v>
      </c>
      <c r="Q910" s="13" t="n">
        <v>1</v>
      </c>
      <c r="R910" s="13" t="s">
        <v>103</v>
      </c>
      <c r="S910" s="13" t="s">
        <v>141</v>
      </c>
      <c r="T910" s="13" t="n">
        <v>1</v>
      </c>
      <c r="U910" s="13" t="n">
        <f aca="false">IF(B910="Individual",1,0)</f>
        <v>1</v>
      </c>
      <c r="V910" s="13" t="n">
        <f aca="false">IF(B910="Company",1,0)</f>
        <v>0</v>
      </c>
      <c r="W910" s="13" t="n">
        <f aca="false">IF(H910="Home",1,0)</f>
        <v>0</v>
      </c>
      <c r="X910" s="13" t="n">
        <f aca="false">IF(H910="Investment",1,0)</f>
        <v>1</v>
      </c>
      <c r="Y910" s="13" t="n">
        <f aca="false">IF(K910="Website",1,0)</f>
        <v>1</v>
      </c>
      <c r="Z910" s="13" t="n">
        <f aca="false">IF(K910="Agency",1,0)</f>
        <v>0</v>
      </c>
      <c r="AA910" s="13" t="n">
        <f aca="false">IF(K910="Client",1,0)</f>
        <v>0</v>
      </c>
      <c r="AB910" s="13" t="n">
        <f aca="false">(D910-AVERAGE(D$2:D$2001))/STDEV(D$2:D$2001)</f>
        <v>1.14534935336115</v>
      </c>
      <c r="AC910" s="13" t="n">
        <f aca="false">(I910-AVERAGE(I$2:I$2001))/STDEV(I$2:I$2001)</f>
        <v>-1.43538077576244</v>
      </c>
      <c r="AD910" s="13" t="n">
        <f aca="false">(L910-AVERAGE(L$2:L$2001))/STDEV(L$2:L$2001)</f>
        <v>-0.777063122173208</v>
      </c>
      <c r="AE910" s="13" t="n">
        <f aca="false">(M910-AVERAGE(M$2:M$2001))/STDEV(M$2:M$2001)</f>
        <v>-0.39390218941151</v>
      </c>
      <c r="AF910" s="13" t="n">
        <f aca="false">(N910-AVERAGE(N$2:N$2001))/STDEV(N$2:N$2001)</f>
        <v>0.392485213652</v>
      </c>
      <c r="AG910" s="13" t="n">
        <f aca="false">(O910-AVERAGE(O$2:O$2001))/STDEV(O$2:O$2001)</f>
        <v>-0.561802237030481</v>
      </c>
      <c r="AH910" s="0" t="str">
        <f aca="false">IF(B910="Company","C3 - Corporate Buyers",IF(AND(H910="Investment",M910&gt;'Segmentation Summary'!$C$1),"C1 - Global Investors",IF(AND(I910&gt;=4,M910&gt;'Segmentation Summary'!$C$1),"C4 - Luxury Investors",IF(AND(D910&lt;'Segmentation Summary'!$C$2,J910=1),"C2 - First-Time Buyers","C5 - Other Individual Buyers"))))</f>
        <v>C5 - Other Individual Buyers</v>
      </c>
    </row>
    <row r="911" customFormat="false" ht="15" hidden="false" customHeight="true" outlineLevel="0" collapsed="false">
      <c r="A911" s="13" t="s">
        <v>1859</v>
      </c>
      <c r="B911" s="13" t="s">
        <v>34</v>
      </c>
      <c r="C911" s="13" t="s">
        <v>1860</v>
      </c>
      <c r="D911" s="13" t="n">
        <v>43</v>
      </c>
      <c r="E911" s="13" t="s">
        <v>83</v>
      </c>
      <c r="F911" s="13" t="s">
        <v>33</v>
      </c>
      <c r="G911" s="13" t="s">
        <v>97</v>
      </c>
      <c r="H911" s="13" t="s">
        <v>41</v>
      </c>
      <c r="I911" s="13" t="n">
        <v>5</v>
      </c>
      <c r="J911" s="13" t="n">
        <v>1</v>
      </c>
      <c r="K911" s="13" t="s">
        <v>91</v>
      </c>
      <c r="L911" s="13" t="n">
        <v>4</v>
      </c>
      <c r="M911" s="13" t="n">
        <v>1109919.36</v>
      </c>
      <c r="N911" s="13" t="n">
        <v>277479.84</v>
      </c>
      <c r="O911" s="13" t="n">
        <v>942.035</v>
      </c>
      <c r="P911" s="13" t="n">
        <v>1</v>
      </c>
      <c r="Q911" s="13" t="n">
        <v>3</v>
      </c>
      <c r="R911" s="13" t="s">
        <v>92</v>
      </c>
      <c r="S911" s="13" t="s">
        <v>141</v>
      </c>
      <c r="T911" s="13" t="n">
        <v>1</v>
      </c>
      <c r="U911" s="13" t="n">
        <f aca="false">IF(B911="Individual",1,0)</f>
        <v>1</v>
      </c>
      <c r="V911" s="13" t="n">
        <f aca="false">IF(B911="Company",1,0)</f>
        <v>0</v>
      </c>
      <c r="W911" s="13" t="n">
        <f aca="false">IF(H911="Home",1,0)</f>
        <v>1</v>
      </c>
      <c r="X911" s="13" t="n">
        <f aca="false">IF(H911="Investment",1,0)</f>
        <v>0</v>
      </c>
      <c r="Y911" s="13" t="n">
        <f aca="false">IF(K911="Website",1,0)</f>
        <v>0</v>
      </c>
      <c r="Z911" s="13" t="n">
        <f aca="false">IF(K911="Agency",1,0)</f>
        <v>1</v>
      </c>
      <c r="AA911" s="13" t="n">
        <f aca="false">IF(K911="Client",1,0)</f>
        <v>0</v>
      </c>
      <c r="AB911" s="13" t="n">
        <f aca="false">(D911-AVERAGE(D$2:D$2001))/STDEV(D$2:D$2001)</f>
        <v>-0.64218676677154</v>
      </c>
      <c r="AC911" s="13" t="n">
        <f aca="false">(I911-AVERAGE(I$2:I$2001))/STDEV(I$2:I$2001)</f>
        <v>1.39434968409451</v>
      </c>
      <c r="AD911" s="13" t="n">
        <f aca="false">(L911-AVERAGE(L$2:L$2001))/STDEV(L$2:L$2001)</f>
        <v>0.413838214490712</v>
      </c>
      <c r="AE911" s="13" t="n">
        <f aca="false">(M911-AVERAGE(M$2:M$2001))/STDEV(M$2:M$2001)</f>
        <v>-0.432555653178624</v>
      </c>
      <c r="AF911" s="13" t="n">
        <f aca="false">(N911-AVERAGE(N$2:N$2001))/STDEV(N$2:N$2001)</f>
        <v>-0.99839783382085</v>
      </c>
      <c r="AG911" s="13" t="n">
        <f aca="false">(O911-AVERAGE(O$2:O$2001))/STDEV(O$2:O$2001)</f>
        <v>-0.934168112671877</v>
      </c>
      <c r="AH911" s="0" t="str">
        <f aca="false">IF(B911="Company","C3 - Corporate Buyers",IF(AND(H911="Investment",M911&gt;'Segmentation Summary'!$C$1),"C1 - Global Investors",IF(AND(I911&gt;=4,M911&gt;'Segmentation Summary'!$C$1),"C4 - Luxury Investors",IF(AND(D911&lt;'Segmentation Summary'!$C$2,J911=1),"C2 - First-Time Buyers","C5 - Other Individual Buyers"))))</f>
        <v>C2 - First-Time Buyers</v>
      </c>
    </row>
    <row r="912" customFormat="false" ht="15" hidden="false" customHeight="true" outlineLevel="0" collapsed="false">
      <c r="A912" s="13" t="s">
        <v>1861</v>
      </c>
      <c r="B912" s="13" t="s">
        <v>34</v>
      </c>
      <c r="C912" s="13" t="s">
        <v>1862</v>
      </c>
      <c r="D912" s="13" t="n">
        <v>50</v>
      </c>
      <c r="E912" s="13" t="s">
        <v>90</v>
      </c>
      <c r="F912" s="13" t="s">
        <v>33</v>
      </c>
      <c r="G912" s="13" t="s">
        <v>95</v>
      </c>
      <c r="H912" s="13" t="s">
        <v>43</v>
      </c>
      <c r="I912" s="13" t="n">
        <v>4</v>
      </c>
      <c r="J912" s="13" t="n">
        <v>0</v>
      </c>
      <c r="K912" s="13" t="s">
        <v>116</v>
      </c>
      <c r="L912" s="13" t="n">
        <v>4</v>
      </c>
      <c r="M912" s="13" t="n">
        <v>1175129.27</v>
      </c>
      <c r="N912" s="13" t="n">
        <v>293782.3175</v>
      </c>
      <c r="O912" s="13" t="n">
        <v>1105.1225</v>
      </c>
      <c r="P912" s="13" t="n">
        <v>1</v>
      </c>
      <c r="Q912" s="13" t="n">
        <v>3</v>
      </c>
      <c r="R912" s="13" t="s">
        <v>92</v>
      </c>
      <c r="S912" s="13" t="s">
        <v>121</v>
      </c>
      <c r="T912" s="13" t="n">
        <v>1</v>
      </c>
      <c r="U912" s="13" t="n">
        <f aca="false">IF(B912="Individual",1,0)</f>
        <v>1</v>
      </c>
      <c r="V912" s="13" t="n">
        <f aca="false">IF(B912="Company",1,0)</f>
        <v>0</v>
      </c>
      <c r="W912" s="13" t="n">
        <f aca="false">IF(H912="Home",1,0)</f>
        <v>0</v>
      </c>
      <c r="X912" s="13" t="n">
        <f aca="false">IF(H912="Investment",1,0)</f>
        <v>1</v>
      </c>
      <c r="Y912" s="13" t="n">
        <f aca="false">IF(K912="Website",1,0)</f>
        <v>0</v>
      </c>
      <c r="Z912" s="13" t="n">
        <f aca="false">IF(K912="Agency",1,0)</f>
        <v>0</v>
      </c>
      <c r="AA912" s="13" t="n">
        <f aca="false">IF(K912="Client",1,0)</f>
        <v>1</v>
      </c>
      <c r="AB912" s="13" t="n">
        <f aca="false">(D912-AVERAGE(D$2:D$2001))/STDEV(D$2:D$2001)</f>
        <v>-0.238549578354482</v>
      </c>
      <c r="AC912" s="13" t="n">
        <f aca="false">(I912-AVERAGE(I$2:I$2001))/STDEV(I$2:I$2001)</f>
        <v>0.686917069130275</v>
      </c>
      <c r="AD912" s="13" t="n">
        <f aca="false">(L912-AVERAGE(L$2:L$2001))/STDEV(L$2:L$2001)</f>
        <v>0.413838214490712</v>
      </c>
      <c r="AE912" s="13" t="n">
        <f aca="false">(M912-AVERAGE(M$2:M$2001))/STDEV(M$2:M$2001)</f>
        <v>-0.245079629371621</v>
      </c>
      <c r="AF912" s="13" t="n">
        <f aca="false">(N912-AVERAGE(N$2:N$2001))/STDEV(N$2:N$2001)</f>
        <v>-0.764576096582064</v>
      </c>
      <c r="AG912" s="13" t="n">
        <f aca="false">(O912-AVERAGE(O$2:O$2001))/STDEV(O$2:O$2001)</f>
        <v>-0.19260035351449</v>
      </c>
      <c r="AH912" s="0" t="str">
        <f aca="false">IF(B912="Company","C3 - Corporate Buyers",IF(AND(H912="Investment",M912&gt;'Segmentation Summary'!$C$1),"C1 - Global Investors",IF(AND(I912&gt;=4,M912&gt;'Segmentation Summary'!$C$1),"C4 - Luxury Investors",IF(AND(D912&lt;'Segmentation Summary'!$C$2,J912=1),"C2 - First-Time Buyers","C5 - Other Individual Buyers"))))</f>
        <v>C5 - Other Individual Buyers</v>
      </c>
    </row>
    <row r="913" customFormat="false" ht="15" hidden="false" customHeight="true" outlineLevel="0" collapsed="false">
      <c r="A913" s="13" t="s">
        <v>1863</v>
      </c>
      <c r="B913" s="13" t="s">
        <v>34</v>
      </c>
      <c r="C913" s="13" t="s">
        <v>1864</v>
      </c>
      <c r="D913" s="13" t="n">
        <v>53</v>
      </c>
      <c r="E913" s="13" t="s">
        <v>90</v>
      </c>
      <c r="F913" s="13" t="s">
        <v>33</v>
      </c>
      <c r="G913" s="13" t="s">
        <v>95</v>
      </c>
      <c r="H913" s="13" t="s">
        <v>43</v>
      </c>
      <c r="I913" s="13" t="n">
        <v>1</v>
      </c>
      <c r="J913" s="13" t="n">
        <v>0</v>
      </c>
      <c r="K913" s="13" t="s">
        <v>85</v>
      </c>
      <c r="L913" s="13" t="n">
        <v>4</v>
      </c>
      <c r="M913" s="13" t="n">
        <v>1289938.64</v>
      </c>
      <c r="N913" s="13" t="n">
        <v>322484.66</v>
      </c>
      <c r="O913" s="13" t="n">
        <v>1146.015</v>
      </c>
      <c r="P913" s="13" t="n">
        <v>2</v>
      </c>
      <c r="Q913" s="13" t="n">
        <v>2</v>
      </c>
      <c r="R913" s="13" t="s">
        <v>111</v>
      </c>
      <c r="S913" s="13" t="s">
        <v>114</v>
      </c>
      <c r="T913" s="13" t="n">
        <v>1</v>
      </c>
      <c r="U913" s="13" t="n">
        <f aca="false">IF(B913="Individual",1,0)</f>
        <v>1</v>
      </c>
      <c r="V913" s="13" t="n">
        <f aca="false">IF(B913="Company",1,0)</f>
        <v>0</v>
      </c>
      <c r="W913" s="13" t="n">
        <f aca="false">IF(H913="Home",1,0)</f>
        <v>0</v>
      </c>
      <c r="X913" s="13" t="n">
        <f aca="false">IF(H913="Investment",1,0)</f>
        <v>1</v>
      </c>
      <c r="Y913" s="13" t="n">
        <f aca="false">IF(K913="Website",1,0)</f>
        <v>1</v>
      </c>
      <c r="Z913" s="13" t="n">
        <f aca="false">IF(K913="Agency",1,0)</f>
        <v>0</v>
      </c>
      <c r="AA913" s="13" t="n">
        <f aca="false">IF(K913="Client",1,0)</f>
        <v>0</v>
      </c>
      <c r="AB913" s="13" t="n">
        <f aca="false">(D913-AVERAGE(D$2:D$2001))/STDEV(D$2:D$2001)</f>
        <v>-0.065562211890028</v>
      </c>
      <c r="AC913" s="13" t="n">
        <f aca="false">(I913-AVERAGE(I$2:I$2001))/STDEV(I$2:I$2001)</f>
        <v>-1.43538077576244</v>
      </c>
      <c r="AD913" s="13" t="n">
        <f aca="false">(L913-AVERAGE(L$2:L$2001))/STDEV(L$2:L$2001)</f>
        <v>0.413838214490712</v>
      </c>
      <c r="AE913" s="13" t="n">
        <f aca="false">(M913-AVERAGE(M$2:M$2001))/STDEV(M$2:M$2001)</f>
        <v>0.0849929651678752</v>
      </c>
      <c r="AF913" s="13" t="n">
        <f aca="false">(N913-AVERAGE(N$2:N$2001))/STDEV(N$2:N$2001)</f>
        <v>-0.352906668657833</v>
      </c>
      <c r="AG913" s="13" t="n">
        <f aca="false">(O913-AVERAGE(O$2:O$2001))/STDEV(O$2:O$2001)</f>
        <v>-0.0066599252698749</v>
      </c>
      <c r="AH913" s="0" t="str">
        <f aca="false">IF(B913="Company","C3 - Corporate Buyers",IF(AND(H913="Investment",M913&gt;'Segmentation Summary'!$C$1),"C1 - Global Investors",IF(AND(I913&gt;=4,M913&gt;'Segmentation Summary'!$C$1),"C4 - Luxury Investors",IF(AND(D913&lt;'Segmentation Summary'!$C$2,J913=1),"C2 - First-Time Buyers","C5 - Other Individual Buyers"))))</f>
        <v>C1 - Global Investors</v>
      </c>
    </row>
    <row r="914" customFormat="false" ht="15" hidden="false" customHeight="true" outlineLevel="0" collapsed="false">
      <c r="A914" s="13" t="s">
        <v>1865</v>
      </c>
      <c r="B914" s="13" t="s">
        <v>34</v>
      </c>
      <c r="C914" s="13" t="s">
        <v>1866</v>
      </c>
      <c r="D914" s="13" t="n">
        <v>29</v>
      </c>
      <c r="E914" s="13" t="s">
        <v>90</v>
      </c>
      <c r="F914" s="13" t="s">
        <v>33</v>
      </c>
      <c r="G914" s="13" t="s">
        <v>95</v>
      </c>
      <c r="H914" s="13" t="s">
        <v>41</v>
      </c>
      <c r="I914" s="13" t="n">
        <v>1</v>
      </c>
      <c r="J914" s="13" t="n">
        <v>0</v>
      </c>
      <c r="K914" s="13" t="s">
        <v>85</v>
      </c>
      <c r="L914" s="13" t="n">
        <v>4</v>
      </c>
      <c r="M914" s="13" t="n">
        <v>1362121.47</v>
      </c>
      <c r="N914" s="13" t="n">
        <v>340530.3675</v>
      </c>
      <c r="O914" s="13" t="n">
        <v>1150.74</v>
      </c>
      <c r="P914" s="13" t="n">
        <v>0</v>
      </c>
      <c r="Q914" s="13" t="n">
        <v>4</v>
      </c>
      <c r="R914" s="13" t="s">
        <v>215</v>
      </c>
      <c r="S914" s="13" t="s">
        <v>114</v>
      </c>
      <c r="T914" s="13" t="n">
        <v>1</v>
      </c>
      <c r="U914" s="13" t="n">
        <f aca="false">IF(B914="Individual",1,0)</f>
        <v>1</v>
      </c>
      <c r="V914" s="13" t="n">
        <f aca="false">IF(B914="Company",1,0)</f>
        <v>0</v>
      </c>
      <c r="W914" s="13" t="n">
        <f aca="false">IF(H914="Home",1,0)</f>
        <v>1</v>
      </c>
      <c r="X914" s="13" t="n">
        <f aca="false">IF(H914="Investment",1,0)</f>
        <v>0</v>
      </c>
      <c r="Y914" s="13" t="n">
        <f aca="false">IF(K914="Website",1,0)</f>
        <v>1</v>
      </c>
      <c r="Z914" s="13" t="n">
        <f aca="false">IF(K914="Agency",1,0)</f>
        <v>0</v>
      </c>
      <c r="AA914" s="13" t="n">
        <f aca="false">IF(K914="Client",1,0)</f>
        <v>0</v>
      </c>
      <c r="AB914" s="13" t="n">
        <f aca="false">(D914-AVERAGE(D$2:D$2001))/STDEV(D$2:D$2001)</f>
        <v>-1.44946114360566</v>
      </c>
      <c r="AC914" s="13" t="n">
        <f aca="false">(I914-AVERAGE(I$2:I$2001))/STDEV(I$2:I$2001)</f>
        <v>-1.43538077576244</v>
      </c>
      <c r="AD914" s="13" t="n">
        <f aca="false">(L914-AVERAGE(L$2:L$2001))/STDEV(L$2:L$2001)</f>
        <v>0.413838214490712</v>
      </c>
      <c r="AE914" s="13" t="n">
        <f aca="false">(M914-AVERAGE(M$2:M$2001))/STDEV(M$2:M$2001)</f>
        <v>0.292515870130279</v>
      </c>
      <c r="AF914" s="13" t="n">
        <f aca="false">(N914-AVERAGE(N$2:N$2001))/STDEV(N$2:N$2001)</f>
        <v>-0.0940822858391483</v>
      </c>
      <c r="AG914" s="13" t="n">
        <f aca="false">(O914-AVERAGE(O$2:O$2001))/STDEV(O$2:O$2001)</f>
        <v>0.0148249074856618</v>
      </c>
      <c r="AH914" s="0" t="str">
        <f aca="false">IF(B914="Company","C3 - Corporate Buyers",IF(AND(H914="Investment",M914&gt;'Segmentation Summary'!$C$1),"C1 - Global Investors",IF(AND(I914&gt;=4,M914&gt;'Segmentation Summary'!$C$1),"C4 - Luxury Investors",IF(AND(D914&lt;'Segmentation Summary'!$C$2,J914=1),"C2 - First-Time Buyers","C5 - Other Individual Buyers"))))</f>
        <v>C5 - Other Individual Buyers</v>
      </c>
    </row>
    <row r="915" customFormat="false" ht="15" hidden="false" customHeight="true" outlineLevel="0" collapsed="false">
      <c r="A915" s="13" t="s">
        <v>1867</v>
      </c>
      <c r="B915" s="13" t="s">
        <v>34</v>
      </c>
      <c r="C915" s="13" t="s">
        <v>1868</v>
      </c>
      <c r="D915" s="13" t="n">
        <v>52</v>
      </c>
      <c r="E915" s="13" t="s">
        <v>90</v>
      </c>
      <c r="F915" s="13" t="s">
        <v>33</v>
      </c>
      <c r="G915" s="13" t="s">
        <v>84</v>
      </c>
      <c r="H915" s="13" t="s">
        <v>43</v>
      </c>
      <c r="I915" s="13" t="n">
        <v>4</v>
      </c>
      <c r="J915" s="13" t="n">
        <v>1</v>
      </c>
      <c r="K915" s="13" t="s">
        <v>116</v>
      </c>
      <c r="L915" s="13" t="n">
        <v>4</v>
      </c>
      <c r="M915" s="13" t="n">
        <v>1372408.9</v>
      </c>
      <c r="N915" s="13" t="n">
        <v>343102.225</v>
      </c>
      <c r="O915" s="13" t="n">
        <v>1151.37</v>
      </c>
      <c r="P915" s="13" t="n">
        <v>0</v>
      </c>
      <c r="Q915" s="13" t="n">
        <v>4</v>
      </c>
      <c r="R915" s="13" t="s">
        <v>128</v>
      </c>
      <c r="S915" s="13" t="s">
        <v>154</v>
      </c>
      <c r="T915" s="13" t="n">
        <v>1</v>
      </c>
      <c r="U915" s="13" t="n">
        <f aca="false">IF(B915="Individual",1,0)</f>
        <v>1</v>
      </c>
      <c r="V915" s="13" t="n">
        <f aca="false">IF(B915="Company",1,0)</f>
        <v>0</v>
      </c>
      <c r="W915" s="13" t="n">
        <f aca="false">IF(H915="Home",1,0)</f>
        <v>0</v>
      </c>
      <c r="X915" s="13" t="n">
        <f aca="false">IF(H915="Investment",1,0)</f>
        <v>1</v>
      </c>
      <c r="Y915" s="13" t="n">
        <f aca="false">IF(K915="Website",1,0)</f>
        <v>0</v>
      </c>
      <c r="Z915" s="13" t="n">
        <f aca="false">IF(K915="Agency",1,0)</f>
        <v>0</v>
      </c>
      <c r="AA915" s="13" t="n">
        <f aca="false">IF(K915="Client",1,0)</f>
        <v>1</v>
      </c>
      <c r="AB915" s="13" t="n">
        <f aca="false">(D915-AVERAGE(D$2:D$2001))/STDEV(D$2:D$2001)</f>
        <v>-0.123224667378179</v>
      </c>
      <c r="AC915" s="13" t="n">
        <f aca="false">(I915-AVERAGE(I$2:I$2001))/STDEV(I$2:I$2001)</f>
        <v>0.686917069130275</v>
      </c>
      <c r="AD915" s="13" t="n">
        <f aca="false">(L915-AVERAGE(L$2:L$2001))/STDEV(L$2:L$2001)</f>
        <v>0.413838214490712</v>
      </c>
      <c r="AE915" s="13" t="n">
        <f aca="false">(M915-AVERAGE(M$2:M$2001))/STDEV(M$2:M$2001)</f>
        <v>0.322091842119703</v>
      </c>
      <c r="AF915" s="13" t="n">
        <f aca="false">(N915-AVERAGE(N$2:N$2001))/STDEV(N$2:N$2001)</f>
        <v>-0.0571948747949926</v>
      </c>
      <c r="AG915" s="13" t="n">
        <f aca="false">(O915-AVERAGE(O$2:O$2001))/STDEV(O$2:O$2001)</f>
        <v>0.0176895518530662</v>
      </c>
      <c r="AH915" s="0" t="str">
        <f aca="false">IF(B915="Company","C3 - Corporate Buyers",IF(AND(H915="Investment",M915&gt;'Segmentation Summary'!$C$1),"C1 - Global Investors",IF(AND(I915&gt;=4,M915&gt;'Segmentation Summary'!$C$1),"C4 - Luxury Investors",IF(AND(D915&lt;'Segmentation Summary'!$C$2,J915=1),"C2 - First-Time Buyers","C5 - Other Individual Buyers"))))</f>
        <v>C1 - Global Investors</v>
      </c>
    </row>
    <row r="916" customFormat="false" ht="15" hidden="false" customHeight="true" outlineLevel="0" collapsed="false">
      <c r="A916" s="13" t="s">
        <v>1869</v>
      </c>
      <c r="B916" s="13" t="s">
        <v>34</v>
      </c>
      <c r="C916" s="13" t="s">
        <v>1870</v>
      </c>
      <c r="D916" s="13" t="n">
        <v>39</v>
      </c>
      <c r="E916" s="13" t="s">
        <v>90</v>
      </c>
      <c r="F916" s="13" t="s">
        <v>33</v>
      </c>
      <c r="G916" s="13" t="s">
        <v>157</v>
      </c>
      <c r="H916" s="13" t="s">
        <v>41</v>
      </c>
      <c r="I916" s="13" t="n">
        <v>4</v>
      </c>
      <c r="J916" s="13" t="n">
        <v>1</v>
      </c>
      <c r="K916" s="13" t="s">
        <v>91</v>
      </c>
      <c r="L916" s="13" t="n">
        <v>4</v>
      </c>
      <c r="M916" s="13" t="n">
        <v>1402023.24</v>
      </c>
      <c r="N916" s="13" t="n">
        <v>350505.81</v>
      </c>
      <c r="O916" s="13" t="n">
        <v>1150.3275</v>
      </c>
      <c r="P916" s="13" t="n">
        <v>1</v>
      </c>
      <c r="Q916" s="13" t="n">
        <v>3</v>
      </c>
      <c r="R916" s="13" t="s">
        <v>92</v>
      </c>
      <c r="S916" s="13" t="s">
        <v>87</v>
      </c>
      <c r="T916" s="13" t="n">
        <v>1</v>
      </c>
      <c r="U916" s="13" t="n">
        <f aca="false">IF(B916="Individual",1,0)</f>
        <v>1</v>
      </c>
      <c r="V916" s="13" t="n">
        <f aca="false">IF(B916="Company",1,0)</f>
        <v>0</v>
      </c>
      <c r="W916" s="13" t="n">
        <f aca="false">IF(H916="Home",1,0)</f>
        <v>1</v>
      </c>
      <c r="X916" s="13" t="n">
        <f aca="false">IF(H916="Investment",1,0)</f>
        <v>0</v>
      </c>
      <c r="Y916" s="13" t="n">
        <f aca="false">IF(K916="Website",1,0)</f>
        <v>0</v>
      </c>
      <c r="Z916" s="13" t="n">
        <f aca="false">IF(K916="Agency",1,0)</f>
        <v>1</v>
      </c>
      <c r="AA916" s="13" t="n">
        <f aca="false">IF(K916="Client",1,0)</f>
        <v>0</v>
      </c>
      <c r="AB916" s="13" t="n">
        <f aca="false">(D916-AVERAGE(D$2:D$2001))/STDEV(D$2:D$2001)</f>
        <v>-0.872836588724145</v>
      </c>
      <c r="AC916" s="13" t="n">
        <f aca="false">(I916-AVERAGE(I$2:I$2001))/STDEV(I$2:I$2001)</f>
        <v>0.686917069130275</v>
      </c>
      <c r="AD916" s="13" t="n">
        <f aca="false">(L916-AVERAGE(L$2:L$2001))/STDEV(L$2:L$2001)</f>
        <v>0.413838214490712</v>
      </c>
      <c r="AE916" s="13" t="n">
        <f aca="false">(M916-AVERAGE(M$2:M$2001))/STDEV(M$2:M$2001)</f>
        <v>0.407231949058491</v>
      </c>
      <c r="AF916" s="13" t="n">
        <f aca="false">(N916-AVERAGE(N$2:N$2001))/STDEV(N$2:N$2001)</f>
        <v>0.0489926115238828</v>
      </c>
      <c r="AG916" s="13" t="n">
        <f aca="false">(O916-AVERAGE(O$2:O$2001))/STDEV(O$2:O$2001)</f>
        <v>0.0129492474831947</v>
      </c>
      <c r="AH916" s="0" t="str">
        <f aca="false">IF(B916="Company","C3 - Corporate Buyers",IF(AND(H916="Investment",M916&gt;'Segmentation Summary'!$C$1),"C1 - Global Investors",IF(AND(I916&gt;=4,M916&gt;'Segmentation Summary'!$C$1),"C4 - Luxury Investors",IF(AND(D916&lt;'Segmentation Summary'!$C$2,J916=1),"C2 - First-Time Buyers","C5 - Other Individual Buyers"))))</f>
        <v>C4 - Luxury Investors</v>
      </c>
    </row>
    <row r="917" customFormat="false" ht="15" hidden="false" customHeight="true" outlineLevel="0" collapsed="false">
      <c r="A917" s="13" t="s">
        <v>1871</v>
      </c>
      <c r="B917" s="13" t="s">
        <v>34</v>
      </c>
      <c r="C917" s="13" t="s">
        <v>1872</v>
      </c>
      <c r="D917" s="13" t="n">
        <v>35</v>
      </c>
      <c r="E917" s="13" t="s">
        <v>90</v>
      </c>
      <c r="F917" s="13" t="s">
        <v>33</v>
      </c>
      <c r="G917" s="13" t="s">
        <v>265</v>
      </c>
      <c r="H917" s="13" t="s">
        <v>43</v>
      </c>
      <c r="I917" s="13" t="n">
        <v>3</v>
      </c>
      <c r="J917" s="13" t="n">
        <v>0</v>
      </c>
      <c r="K917" s="13" t="s">
        <v>85</v>
      </c>
      <c r="L917" s="13" t="n">
        <v>4</v>
      </c>
      <c r="M917" s="13" t="n">
        <v>1313240.67</v>
      </c>
      <c r="N917" s="13" t="n">
        <v>328310.1675</v>
      </c>
      <c r="O917" s="13" t="n">
        <v>1114.105</v>
      </c>
      <c r="P917" s="13" t="n">
        <v>1</v>
      </c>
      <c r="Q917" s="13" t="n">
        <v>3</v>
      </c>
      <c r="R917" s="13" t="s">
        <v>117</v>
      </c>
      <c r="S917" s="13" t="s">
        <v>164</v>
      </c>
      <c r="T917" s="13" t="n">
        <v>1</v>
      </c>
      <c r="U917" s="13" t="n">
        <f aca="false">IF(B917="Individual",1,0)</f>
        <v>1</v>
      </c>
      <c r="V917" s="13" t="n">
        <f aca="false">IF(B917="Company",1,0)</f>
        <v>0</v>
      </c>
      <c r="W917" s="13" t="n">
        <f aca="false">IF(H917="Home",1,0)</f>
        <v>0</v>
      </c>
      <c r="X917" s="13" t="n">
        <f aca="false">IF(H917="Investment",1,0)</f>
        <v>1</v>
      </c>
      <c r="Y917" s="13" t="n">
        <f aca="false">IF(K917="Website",1,0)</f>
        <v>1</v>
      </c>
      <c r="Z917" s="13" t="n">
        <f aca="false">IF(K917="Agency",1,0)</f>
        <v>0</v>
      </c>
      <c r="AA917" s="13" t="n">
        <f aca="false">IF(K917="Client",1,0)</f>
        <v>0</v>
      </c>
      <c r="AB917" s="13" t="n">
        <f aca="false">(D917-AVERAGE(D$2:D$2001))/STDEV(D$2:D$2001)</f>
        <v>-1.10348641067675</v>
      </c>
      <c r="AC917" s="13" t="n">
        <f aca="false">(I917-AVERAGE(I$2:I$2001))/STDEV(I$2:I$2001)</f>
        <v>-0.0205155458339628</v>
      </c>
      <c r="AD917" s="13" t="n">
        <f aca="false">(L917-AVERAGE(L$2:L$2001))/STDEV(L$2:L$2001)</f>
        <v>0.413838214490712</v>
      </c>
      <c r="AE917" s="13" t="n">
        <f aca="false">(M917-AVERAGE(M$2:M$2001))/STDEV(M$2:M$2001)</f>
        <v>0.151985419704793</v>
      </c>
      <c r="AF917" s="13" t="n">
        <f aca="false">(N917-AVERAGE(N$2:N$2001))/STDEV(N$2:N$2001)</f>
        <v>-0.269353093199896</v>
      </c>
      <c r="AG917" s="13" t="n">
        <f aca="false">(O917-AVERAGE(O$2:O$2001))/STDEV(O$2:O$2001)</f>
        <v>-0.151756436006212</v>
      </c>
      <c r="AH917" s="0" t="str">
        <f aca="false">IF(B917="Company","C3 - Corporate Buyers",IF(AND(H917="Investment",M917&gt;'Segmentation Summary'!$C$1),"C1 - Global Investors",IF(AND(I917&gt;=4,M917&gt;'Segmentation Summary'!$C$1),"C4 - Luxury Investors",IF(AND(D917&lt;'Segmentation Summary'!$C$2,J917=1),"C2 - First-Time Buyers","C5 - Other Individual Buyers"))))</f>
        <v>C1 - Global Investors</v>
      </c>
    </row>
    <row r="918" customFormat="false" ht="15" hidden="false" customHeight="true" outlineLevel="0" collapsed="false">
      <c r="A918" s="13" t="s">
        <v>1873</v>
      </c>
      <c r="B918" s="13" t="s">
        <v>34</v>
      </c>
      <c r="C918" s="13" t="s">
        <v>1874</v>
      </c>
      <c r="D918" s="13" t="n">
        <v>48</v>
      </c>
      <c r="E918" s="13" t="s">
        <v>90</v>
      </c>
      <c r="F918" s="13" t="s">
        <v>33</v>
      </c>
      <c r="G918" s="13" t="s">
        <v>110</v>
      </c>
      <c r="H918" s="13" t="s">
        <v>41</v>
      </c>
      <c r="I918" s="13" t="n">
        <v>5</v>
      </c>
      <c r="J918" s="13" t="n">
        <v>0</v>
      </c>
      <c r="K918" s="13" t="s">
        <v>85</v>
      </c>
      <c r="L918" s="13" t="n">
        <v>3</v>
      </c>
      <c r="M918" s="13" t="n">
        <v>463611.95</v>
      </c>
      <c r="N918" s="13" t="n">
        <v>154537.316666667</v>
      </c>
      <c r="O918" s="13" t="n">
        <v>564.01</v>
      </c>
      <c r="P918" s="13" t="n">
        <v>0</v>
      </c>
      <c r="Q918" s="13" t="n">
        <v>3</v>
      </c>
      <c r="R918" s="13" t="s">
        <v>124</v>
      </c>
      <c r="S918" s="13" t="s">
        <v>152</v>
      </c>
      <c r="T918" s="13" t="n">
        <v>1</v>
      </c>
      <c r="U918" s="13" t="n">
        <f aca="false">IF(B918="Individual",1,0)</f>
        <v>1</v>
      </c>
      <c r="V918" s="13" t="n">
        <f aca="false">IF(B918="Company",1,0)</f>
        <v>0</v>
      </c>
      <c r="W918" s="13" t="n">
        <f aca="false">IF(H918="Home",1,0)</f>
        <v>1</v>
      </c>
      <c r="X918" s="13" t="n">
        <f aca="false">IF(H918="Investment",1,0)</f>
        <v>0</v>
      </c>
      <c r="Y918" s="13" t="n">
        <f aca="false">IF(K918="Website",1,0)</f>
        <v>1</v>
      </c>
      <c r="Z918" s="13" t="n">
        <f aca="false">IF(K918="Agency",1,0)</f>
        <v>0</v>
      </c>
      <c r="AA918" s="13" t="n">
        <f aca="false">IF(K918="Client",1,0)</f>
        <v>0</v>
      </c>
      <c r="AB918" s="13" t="n">
        <f aca="false">(D918-AVERAGE(D$2:D$2001))/STDEV(D$2:D$2001)</f>
        <v>-0.353874489330784</v>
      </c>
      <c r="AC918" s="13" t="n">
        <f aca="false">(I918-AVERAGE(I$2:I$2001))/STDEV(I$2:I$2001)</f>
        <v>1.39434968409451</v>
      </c>
      <c r="AD918" s="13" t="n">
        <f aca="false">(L918-AVERAGE(L$2:L$2001))/STDEV(L$2:L$2001)</f>
        <v>-0.777063122173208</v>
      </c>
      <c r="AE918" s="13" t="n">
        <f aca="false">(M918-AVERAGE(M$2:M$2001))/STDEV(M$2:M$2001)</f>
        <v>-2.29066500164733</v>
      </c>
      <c r="AF918" s="13" t="n">
        <f aca="false">(N918-AVERAGE(N$2:N$2001))/STDEV(N$2:N$2001)</f>
        <v>-2.76172702021721</v>
      </c>
      <c r="AG918" s="13" t="n">
        <f aca="false">(O918-AVERAGE(O$2:O$2001))/STDEV(O$2:O$2001)</f>
        <v>-2.65306840947863</v>
      </c>
      <c r="AH918" s="0" t="str">
        <f aca="false">IF(B918="Company","C3 - Corporate Buyers",IF(AND(H918="Investment",M918&gt;'Segmentation Summary'!$C$1),"C1 - Global Investors",IF(AND(I918&gt;=4,M918&gt;'Segmentation Summary'!$C$1),"C4 - Luxury Investors",IF(AND(D918&lt;'Segmentation Summary'!$C$2,J918=1),"C2 - First-Time Buyers","C5 - Other Individual Buyers"))))</f>
        <v>C5 - Other Individual Buyers</v>
      </c>
    </row>
    <row r="919" customFormat="false" ht="15" hidden="false" customHeight="true" outlineLevel="0" collapsed="false">
      <c r="A919" s="13" t="s">
        <v>1875</v>
      </c>
      <c r="B919" s="13" t="s">
        <v>34</v>
      </c>
      <c r="C919" s="13" t="s">
        <v>1874</v>
      </c>
      <c r="D919" s="13" t="n">
        <v>60</v>
      </c>
      <c r="E919" s="13" t="s">
        <v>90</v>
      </c>
      <c r="F919" s="13" t="s">
        <v>33</v>
      </c>
      <c r="G919" s="13" t="s">
        <v>145</v>
      </c>
      <c r="H919" s="13" t="s">
        <v>41</v>
      </c>
      <c r="I919" s="13" t="n">
        <v>5</v>
      </c>
      <c r="J919" s="13" t="n">
        <v>1</v>
      </c>
      <c r="K919" s="13" t="s">
        <v>85</v>
      </c>
      <c r="L919" s="13" t="n">
        <v>4</v>
      </c>
      <c r="M919" s="13" t="n">
        <v>1565508.99</v>
      </c>
      <c r="N919" s="13" t="n">
        <v>391377.2475</v>
      </c>
      <c r="O919" s="13" t="n">
        <v>1226.185</v>
      </c>
      <c r="P919" s="13" t="n">
        <v>0</v>
      </c>
      <c r="Q919" s="13" t="n">
        <v>4</v>
      </c>
      <c r="R919" s="13" t="s">
        <v>117</v>
      </c>
      <c r="S919" s="13" t="s">
        <v>107</v>
      </c>
      <c r="T919" s="13" t="n">
        <v>1</v>
      </c>
      <c r="U919" s="13" t="n">
        <f aca="false">IF(B919="Individual",1,0)</f>
        <v>1</v>
      </c>
      <c r="V919" s="13" t="n">
        <f aca="false">IF(B919="Company",1,0)</f>
        <v>0</v>
      </c>
      <c r="W919" s="13" t="n">
        <f aca="false">IF(H919="Home",1,0)</f>
        <v>1</v>
      </c>
      <c r="X919" s="13" t="n">
        <f aca="false">IF(H919="Investment",1,0)</f>
        <v>0</v>
      </c>
      <c r="Y919" s="13" t="n">
        <f aca="false">IF(K919="Website",1,0)</f>
        <v>1</v>
      </c>
      <c r="Z919" s="13" t="n">
        <f aca="false">IF(K919="Agency",1,0)</f>
        <v>0</v>
      </c>
      <c r="AA919" s="13" t="n">
        <f aca="false">IF(K919="Client",1,0)</f>
        <v>0</v>
      </c>
      <c r="AB919" s="13" t="n">
        <f aca="false">(D919-AVERAGE(D$2:D$2001))/STDEV(D$2:D$2001)</f>
        <v>0.338074976527031</v>
      </c>
      <c r="AC919" s="13" t="n">
        <f aca="false">(I919-AVERAGE(I$2:I$2001))/STDEV(I$2:I$2001)</f>
        <v>1.39434968409451</v>
      </c>
      <c r="AD919" s="13" t="n">
        <f aca="false">(L919-AVERAGE(L$2:L$2001))/STDEV(L$2:L$2001)</f>
        <v>0.413838214490712</v>
      </c>
      <c r="AE919" s="13" t="n">
        <f aca="false">(M919-AVERAGE(M$2:M$2001))/STDEV(M$2:M$2001)</f>
        <v>0.877247294258412</v>
      </c>
      <c r="AF919" s="13" t="n">
        <f aca="false">(N919-AVERAGE(N$2:N$2001))/STDEV(N$2:N$2001)</f>
        <v>0.63519986251972</v>
      </c>
      <c r="AG919" s="13" t="n">
        <f aca="false">(O919-AVERAGE(O$2:O$2001))/STDEV(O$2:O$2001)</f>
        <v>0.357877438118783</v>
      </c>
      <c r="AH919" s="0" t="str">
        <f aca="false">IF(B919="Company","C3 - Corporate Buyers",IF(AND(H919="Investment",M919&gt;'Segmentation Summary'!$C$1),"C1 - Global Investors",IF(AND(I919&gt;=4,M919&gt;'Segmentation Summary'!$C$1),"C4 - Luxury Investors",IF(AND(D919&lt;'Segmentation Summary'!$C$2,J919=1),"C2 - First-Time Buyers","C5 - Other Individual Buyers"))))</f>
        <v>C4 - Luxury Investors</v>
      </c>
    </row>
    <row r="920" customFormat="false" ht="15" hidden="false" customHeight="true" outlineLevel="0" collapsed="false">
      <c r="A920" s="13" t="s">
        <v>1876</v>
      </c>
      <c r="B920" s="13" t="s">
        <v>34</v>
      </c>
      <c r="C920" s="13" t="s">
        <v>1877</v>
      </c>
      <c r="D920" s="13" t="n">
        <v>79</v>
      </c>
      <c r="E920" s="13" t="s">
        <v>90</v>
      </c>
      <c r="F920" s="13" t="s">
        <v>33</v>
      </c>
      <c r="G920" s="13" t="s">
        <v>207</v>
      </c>
      <c r="H920" s="13" t="s">
        <v>41</v>
      </c>
      <c r="I920" s="13" t="n">
        <v>3</v>
      </c>
      <c r="J920" s="13" t="n">
        <v>0</v>
      </c>
      <c r="K920" s="13" t="s">
        <v>91</v>
      </c>
      <c r="L920" s="13" t="n">
        <v>4</v>
      </c>
      <c r="M920" s="13" t="n">
        <v>1479050.94</v>
      </c>
      <c r="N920" s="13" t="n">
        <v>369762.735</v>
      </c>
      <c r="O920" s="13" t="n">
        <v>1185.59</v>
      </c>
      <c r="P920" s="13" t="n">
        <v>2</v>
      </c>
      <c r="Q920" s="13" t="n">
        <v>2</v>
      </c>
      <c r="R920" s="13" t="s">
        <v>92</v>
      </c>
      <c r="S920" s="13" t="s">
        <v>135</v>
      </c>
      <c r="T920" s="13" t="n">
        <v>1</v>
      </c>
      <c r="U920" s="13" t="n">
        <f aca="false">IF(B920="Individual",1,0)</f>
        <v>1</v>
      </c>
      <c r="V920" s="13" t="n">
        <f aca="false">IF(B920="Company",1,0)</f>
        <v>0</v>
      </c>
      <c r="W920" s="13" t="n">
        <f aca="false">IF(H920="Home",1,0)</f>
        <v>1</v>
      </c>
      <c r="X920" s="13" t="n">
        <f aca="false">IF(H920="Investment",1,0)</f>
        <v>0</v>
      </c>
      <c r="Y920" s="13" t="n">
        <f aca="false">IF(K920="Website",1,0)</f>
        <v>0</v>
      </c>
      <c r="Z920" s="13" t="n">
        <f aca="false">IF(K920="Agency",1,0)</f>
        <v>1</v>
      </c>
      <c r="AA920" s="13" t="n">
        <f aca="false">IF(K920="Client",1,0)</f>
        <v>0</v>
      </c>
      <c r="AB920" s="13" t="n">
        <f aca="false">(D920-AVERAGE(D$2:D$2001))/STDEV(D$2:D$2001)</f>
        <v>1.4336616308019</v>
      </c>
      <c r="AC920" s="13" t="n">
        <f aca="false">(I920-AVERAGE(I$2:I$2001))/STDEV(I$2:I$2001)</f>
        <v>-0.0205155458339628</v>
      </c>
      <c r="AD920" s="13" t="n">
        <f aca="false">(L920-AVERAGE(L$2:L$2001))/STDEV(L$2:L$2001)</f>
        <v>0.413838214490712</v>
      </c>
      <c r="AE920" s="13" t="n">
        <f aca="false">(M920-AVERAGE(M$2:M$2001))/STDEV(M$2:M$2001)</f>
        <v>0.628683671948443</v>
      </c>
      <c r="AF920" s="13" t="n">
        <f aca="false">(N920-AVERAGE(N$2:N$2001))/STDEV(N$2:N$2001)</f>
        <v>0.325189137933873</v>
      </c>
      <c r="AG920" s="13" t="n">
        <f aca="false">(O920-AVERAGE(O$2:O$2001))/STDEV(O$2:O$2001)</f>
        <v>0.173289758603221</v>
      </c>
      <c r="AH920" s="0" t="str">
        <f aca="false">IF(B920="Company","C3 - Corporate Buyers",IF(AND(H920="Investment",M920&gt;'Segmentation Summary'!$C$1),"C1 - Global Investors",IF(AND(I920&gt;=4,M920&gt;'Segmentation Summary'!$C$1),"C4 - Luxury Investors",IF(AND(D920&lt;'Segmentation Summary'!$C$2,J920=1),"C2 - First-Time Buyers","C5 - Other Individual Buyers"))))</f>
        <v>C5 - Other Individual Buyers</v>
      </c>
    </row>
    <row r="921" customFormat="false" ht="15" hidden="false" customHeight="true" outlineLevel="0" collapsed="false">
      <c r="A921" s="13" t="s">
        <v>1878</v>
      </c>
      <c r="B921" s="13" t="s">
        <v>34</v>
      </c>
      <c r="C921" s="13" t="s">
        <v>1879</v>
      </c>
      <c r="D921" s="13" t="n">
        <v>59</v>
      </c>
      <c r="E921" s="13" t="s">
        <v>90</v>
      </c>
      <c r="F921" s="13" t="s">
        <v>33</v>
      </c>
      <c r="G921" s="13" t="s">
        <v>95</v>
      </c>
      <c r="H921" s="13" t="s">
        <v>41</v>
      </c>
      <c r="I921" s="13" t="n">
        <v>4</v>
      </c>
      <c r="J921" s="13" t="n">
        <v>0</v>
      </c>
      <c r="K921" s="13" t="s">
        <v>85</v>
      </c>
      <c r="L921" s="13" t="n">
        <v>3</v>
      </c>
      <c r="M921" s="13" t="n">
        <v>870503.9</v>
      </c>
      <c r="N921" s="13" t="n">
        <v>290167.966666667</v>
      </c>
      <c r="O921" s="13" t="n">
        <v>1012.96</v>
      </c>
      <c r="P921" s="13" t="n">
        <v>0</v>
      </c>
      <c r="Q921" s="13" t="n">
        <v>3</v>
      </c>
      <c r="R921" s="13" t="s">
        <v>150</v>
      </c>
      <c r="S921" s="13" t="s">
        <v>125</v>
      </c>
      <c r="T921" s="13" t="n">
        <v>1</v>
      </c>
      <c r="U921" s="13" t="n">
        <f aca="false">IF(B921="Individual",1,0)</f>
        <v>1</v>
      </c>
      <c r="V921" s="13" t="n">
        <f aca="false">IF(B921="Company",1,0)</f>
        <v>0</v>
      </c>
      <c r="W921" s="13" t="n">
        <f aca="false">IF(H921="Home",1,0)</f>
        <v>1</v>
      </c>
      <c r="X921" s="13" t="n">
        <f aca="false">IF(H921="Investment",1,0)</f>
        <v>0</v>
      </c>
      <c r="Y921" s="13" t="n">
        <f aca="false">IF(K921="Website",1,0)</f>
        <v>1</v>
      </c>
      <c r="Z921" s="13" t="n">
        <f aca="false">IF(K921="Agency",1,0)</f>
        <v>0</v>
      </c>
      <c r="AA921" s="13" t="n">
        <f aca="false">IF(K921="Client",1,0)</f>
        <v>0</v>
      </c>
      <c r="AB921" s="13" t="n">
        <f aca="false">(D921-AVERAGE(D$2:D$2001))/STDEV(D$2:D$2001)</f>
        <v>0.280412521038879</v>
      </c>
      <c r="AC921" s="13" t="n">
        <f aca="false">(I921-AVERAGE(I$2:I$2001))/STDEV(I$2:I$2001)</f>
        <v>0.686917069130275</v>
      </c>
      <c r="AD921" s="13" t="n">
        <f aca="false">(L921-AVERAGE(L$2:L$2001))/STDEV(L$2:L$2001)</f>
        <v>-0.777063122173208</v>
      </c>
      <c r="AE921" s="13" t="n">
        <f aca="false">(M921-AVERAGE(M$2:M$2001))/STDEV(M$2:M$2001)</f>
        <v>-1.12086604156476</v>
      </c>
      <c r="AF921" s="13" t="n">
        <f aca="false">(N921-AVERAGE(N$2:N$2001))/STDEV(N$2:N$2001)</f>
        <v>-0.816415689112732</v>
      </c>
      <c r="AG921" s="13" t="n">
        <f aca="false">(O921-AVERAGE(O$2:O$2001))/STDEV(O$2:O$2001)</f>
        <v>-0.611668268611249</v>
      </c>
      <c r="AH921" s="0" t="str">
        <f aca="false">IF(B921="Company","C3 - Corporate Buyers",IF(AND(H921="Investment",M921&gt;'Segmentation Summary'!$C$1),"C1 - Global Investors",IF(AND(I921&gt;=4,M921&gt;'Segmentation Summary'!$C$1),"C4 - Luxury Investors",IF(AND(D921&lt;'Segmentation Summary'!$C$2,J921=1),"C2 - First-Time Buyers","C5 - Other Individual Buyers"))))</f>
        <v>C5 - Other Individual Buyers</v>
      </c>
    </row>
    <row r="922" customFormat="false" ht="15" hidden="false" customHeight="true" outlineLevel="0" collapsed="false">
      <c r="A922" s="13" t="s">
        <v>1880</v>
      </c>
      <c r="B922" s="13" t="s">
        <v>34</v>
      </c>
      <c r="C922" s="13" t="s">
        <v>1881</v>
      </c>
      <c r="D922" s="13" t="n">
        <v>24</v>
      </c>
      <c r="E922" s="13" t="s">
        <v>90</v>
      </c>
      <c r="F922" s="13" t="s">
        <v>33</v>
      </c>
      <c r="G922" s="13" t="s">
        <v>157</v>
      </c>
      <c r="H922" s="13" t="s">
        <v>43</v>
      </c>
      <c r="I922" s="13" t="n">
        <v>4</v>
      </c>
      <c r="J922" s="13" t="n">
        <v>1</v>
      </c>
      <c r="K922" s="13" t="s">
        <v>91</v>
      </c>
      <c r="L922" s="13" t="n">
        <v>4</v>
      </c>
      <c r="M922" s="13" t="n">
        <v>1167701.9</v>
      </c>
      <c r="N922" s="13" t="n">
        <v>291925.475</v>
      </c>
      <c r="O922" s="13" t="n">
        <v>965.295</v>
      </c>
      <c r="P922" s="13" t="n">
        <v>0</v>
      </c>
      <c r="Q922" s="13" t="n">
        <v>4</v>
      </c>
      <c r="R922" s="13" t="s">
        <v>117</v>
      </c>
      <c r="S922" s="13" t="s">
        <v>154</v>
      </c>
      <c r="T922" s="13" t="n">
        <v>1</v>
      </c>
      <c r="U922" s="13" t="n">
        <f aca="false">IF(B922="Individual",1,0)</f>
        <v>1</v>
      </c>
      <c r="V922" s="13" t="n">
        <f aca="false">IF(B922="Company",1,0)</f>
        <v>0</v>
      </c>
      <c r="W922" s="13" t="n">
        <f aca="false">IF(H922="Home",1,0)</f>
        <v>0</v>
      </c>
      <c r="X922" s="13" t="n">
        <f aca="false">IF(H922="Investment",1,0)</f>
        <v>1</v>
      </c>
      <c r="Y922" s="13" t="n">
        <f aca="false">IF(K922="Website",1,0)</f>
        <v>0</v>
      </c>
      <c r="Z922" s="13" t="n">
        <f aca="false">IF(K922="Agency",1,0)</f>
        <v>1</v>
      </c>
      <c r="AA922" s="13" t="n">
        <f aca="false">IF(K922="Client",1,0)</f>
        <v>0</v>
      </c>
      <c r="AB922" s="13" t="n">
        <f aca="false">(D922-AVERAGE(D$2:D$2001))/STDEV(D$2:D$2001)</f>
        <v>-1.73777342104641</v>
      </c>
      <c r="AC922" s="13" t="n">
        <f aca="false">(I922-AVERAGE(I$2:I$2001))/STDEV(I$2:I$2001)</f>
        <v>0.686917069130275</v>
      </c>
      <c r="AD922" s="13" t="n">
        <f aca="false">(L922-AVERAGE(L$2:L$2001))/STDEV(L$2:L$2001)</f>
        <v>0.413838214490712</v>
      </c>
      <c r="AE922" s="13" t="n">
        <f aca="false">(M922-AVERAGE(M$2:M$2001))/STDEV(M$2:M$2001)</f>
        <v>-0.26643303708133</v>
      </c>
      <c r="AF922" s="13" t="n">
        <f aca="false">(N922-AVERAGE(N$2:N$2001))/STDEV(N$2:N$2001)</f>
        <v>-0.791208253512127</v>
      </c>
      <c r="AG922" s="13" t="n">
        <f aca="false">(O922-AVERAGE(O$2:O$2001))/STDEV(O$2:O$2001)</f>
        <v>-0.828403623805466</v>
      </c>
      <c r="AH922" s="0" t="str">
        <f aca="false">IF(B922="Company","C3 - Corporate Buyers",IF(AND(H922="Investment",M922&gt;'Segmentation Summary'!$C$1),"C1 - Global Investors",IF(AND(I922&gt;=4,M922&gt;'Segmentation Summary'!$C$1),"C4 - Luxury Investors",IF(AND(D922&lt;'Segmentation Summary'!$C$2,J922=1),"C2 - First-Time Buyers","C5 - Other Individual Buyers"))))</f>
        <v>C2 - First-Time Buyers</v>
      </c>
    </row>
    <row r="923" customFormat="false" ht="15" hidden="false" customHeight="true" outlineLevel="0" collapsed="false">
      <c r="A923" s="13" t="s">
        <v>1882</v>
      </c>
      <c r="B923" s="13" t="s">
        <v>34</v>
      </c>
      <c r="C923" s="13" t="s">
        <v>1883</v>
      </c>
      <c r="D923" s="13" t="n">
        <v>36</v>
      </c>
      <c r="E923" s="13" t="s">
        <v>90</v>
      </c>
      <c r="F923" s="13" t="s">
        <v>45</v>
      </c>
      <c r="G923" s="13" t="s">
        <v>1735</v>
      </c>
      <c r="H923" s="13" t="s">
        <v>41</v>
      </c>
      <c r="I923" s="13" t="n">
        <v>3</v>
      </c>
      <c r="J923" s="13" t="n">
        <v>0</v>
      </c>
      <c r="K923" s="13" t="s">
        <v>85</v>
      </c>
      <c r="L923" s="13" t="n">
        <v>3</v>
      </c>
      <c r="M923" s="13" t="n">
        <v>1433718.12</v>
      </c>
      <c r="N923" s="13" t="n">
        <v>477906.04</v>
      </c>
      <c r="O923" s="13" t="n">
        <v>1500.72</v>
      </c>
      <c r="P923" s="13" t="n">
        <v>1</v>
      </c>
      <c r="Q923" s="13" t="n">
        <v>2</v>
      </c>
      <c r="R923" s="13" t="s">
        <v>92</v>
      </c>
      <c r="S923" s="13" t="s">
        <v>125</v>
      </c>
      <c r="T923" s="13" t="n">
        <v>1</v>
      </c>
      <c r="U923" s="13" t="n">
        <f aca="false">IF(B923="Individual",1,0)</f>
        <v>1</v>
      </c>
      <c r="V923" s="13" t="n">
        <f aca="false">IF(B923="Company",1,0)</f>
        <v>0</v>
      </c>
      <c r="W923" s="13" t="n">
        <f aca="false">IF(H923="Home",1,0)</f>
        <v>1</v>
      </c>
      <c r="X923" s="13" t="n">
        <f aca="false">IF(H923="Investment",1,0)</f>
        <v>0</v>
      </c>
      <c r="Y923" s="13" t="n">
        <f aca="false">IF(K923="Website",1,0)</f>
        <v>1</v>
      </c>
      <c r="Z923" s="13" t="n">
        <f aca="false">IF(K923="Agency",1,0)</f>
        <v>0</v>
      </c>
      <c r="AA923" s="13" t="n">
        <f aca="false">IF(K923="Client",1,0)</f>
        <v>0</v>
      </c>
      <c r="AB923" s="13" t="n">
        <f aca="false">(D923-AVERAGE(D$2:D$2001))/STDEV(D$2:D$2001)</f>
        <v>-1.0458239551886</v>
      </c>
      <c r="AC923" s="13" t="n">
        <f aca="false">(I923-AVERAGE(I$2:I$2001))/STDEV(I$2:I$2001)</f>
        <v>-0.0205155458339628</v>
      </c>
      <c r="AD923" s="13" t="n">
        <f aca="false">(L923-AVERAGE(L$2:L$2001))/STDEV(L$2:L$2001)</f>
        <v>-0.777063122173208</v>
      </c>
      <c r="AE923" s="13" t="n">
        <f aca="false">(M923-AVERAGE(M$2:M$2001))/STDEV(M$2:M$2001)</f>
        <v>0.498353529772835</v>
      </c>
      <c r="AF923" s="13" t="n">
        <f aca="false">(N923-AVERAGE(N$2:N$2001))/STDEV(N$2:N$2001)</f>
        <v>1.87625740015622</v>
      </c>
      <c r="AG923" s="13" t="n">
        <f aca="false">(O923-AVERAGE(O$2:O$2001))/STDEV(O$2:O$2001)</f>
        <v>1.60620305939738</v>
      </c>
      <c r="AH923" s="0" t="str">
        <f aca="false">IF(B923="Company","C3 - Corporate Buyers",IF(AND(H923="Investment",M923&gt;'Segmentation Summary'!$C$1),"C1 - Global Investors",IF(AND(I923&gt;=4,M923&gt;'Segmentation Summary'!$C$1),"C4 - Luxury Investors",IF(AND(D923&lt;'Segmentation Summary'!$C$2,J923=1),"C2 - First-Time Buyers","C5 - Other Individual Buyers"))))</f>
        <v>C5 - Other Individual Buyers</v>
      </c>
    </row>
    <row r="924" customFormat="false" ht="15" hidden="false" customHeight="true" outlineLevel="0" collapsed="false">
      <c r="A924" s="13" t="s">
        <v>1884</v>
      </c>
      <c r="B924" s="13" t="s">
        <v>34</v>
      </c>
      <c r="C924" s="13" t="s">
        <v>1885</v>
      </c>
      <c r="D924" s="13" t="n">
        <v>48</v>
      </c>
      <c r="E924" s="13" t="s">
        <v>90</v>
      </c>
      <c r="F924" s="13" t="s">
        <v>33</v>
      </c>
      <c r="G924" s="13" t="s">
        <v>84</v>
      </c>
      <c r="H924" s="13" t="s">
        <v>43</v>
      </c>
      <c r="I924" s="13" t="n">
        <v>1</v>
      </c>
      <c r="J924" s="13" t="n">
        <v>0</v>
      </c>
      <c r="K924" s="13" t="s">
        <v>91</v>
      </c>
      <c r="L924" s="13" t="n">
        <v>3</v>
      </c>
      <c r="M924" s="13" t="n">
        <v>887696.78</v>
      </c>
      <c r="N924" s="13" t="n">
        <v>295898.926666667</v>
      </c>
      <c r="O924" s="13" t="n">
        <v>964.266666666667</v>
      </c>
      <c r="P924" s="13" t="n">
        <v>1</v>
      </c>
      <c r="Q924" s="13" t="n">
        <v>2</v>
      </c>
      <c r="R924" s="13" t="s">
        <v>117</v>
      </c>
      <c r="S924" s="13" t="s">
        <v>93</v>
      </c>
      <c r="T924" s="13" t="n">
        <v>1</v>
      </c>
      <c r="U924" s="13" t="n">
        <f aca="false">IF(B924="Individual",1,0)</f>
        <v>1</v>
      </c>
      <c r="V924" s="13" t="n">
        <f aca="false">IF(B924="Company",1,0)</f>
        <v>0</v>
      </c>
      <c r="W924" s="13" t="n">
        <f aca="false">IF(H924="Home",1,0)</f>
        <v>0</v>
      </c>
      <c r="X924" s="13" t="n">
        <f aca="false">IF(H924="Investment",1,0)</f>
        <v>1</v>
      </c>
      <c r="Y924" s="13" t="n">
        <f aca="false">IF(K924="Website",1,0)</f>
        <v>0</v>
      </c>
      <c r="Z924" s="13" t="n">
        <f aca="false">IF(K924="Agency",1,0)</f>
        <v>1</v>
      </c>
      <c r="AA924" s="13" t="n">
        <f aca="false">IF(K924="Client",1,0)</f>
        <v>0</v>
      </c>
      <c r="AB924" s="13" t="n">
        <f aca="false">(D924-AVERAGE(D$2:D$2001))/STDEV(D$2:D$2001)</f>
        <v>-0.353874489330784</v>
      </c>
      <c r="AC924" s="13" t="n">
        <f aca="false">(I924-AVERAGE(I$2:I$2001))/STDEV(I$2:I$2001)</f>
        <v>-1.43538077576244</v>
      </c>
      <c r="AD924" s="13" t="n">
        <f aca="false">(L924-AVERAGE(L$2:L$2001))/STDEV(L$2:L$2001)</f>
        <v>-0.777063122173208</v>
      </c>
      <c r="AE924" s="13" t="n">
        <f aca="false">(M924-AVERAGE(M$2:M$2001))/STDEV(M$2:M$2001)</f>
        <v>-1.07143716211697</v>
      </c>
      <c r="AF924" s="13" t="n">
        <f aca="false">(N924-AVERAGE(N$2:N$2001))/STDEV(N$2:N$2001)</f>
        <v>-0.73421818120352</v>
      </c>
      <c r="AG924" s="13" t="n">
        <f aca="false">(O924-AVERAGE(O$2:O$2001))/STDEV(O$2:O$2001)</f>
        <v>-0.833079511569192</v>
      </c>
      <c r="AH924" s="0" t="str">
        <f aca="false">IF(B924="Company","C3 - Corporate Buyers",IF(AND(H924="Investment",M924&gt;'Segmentation Summary'!$C$1),"C1 - Global Investors",IF(AND(I924&gt;=4,M924&gt;'Segmentation Summary'!$C$1),"C4 - Luxury Investors",IF(AND(D924&lt;'Segmentation Summary'!$C$2,J924=1),"C2 - First-Time Buyers","C5 - Other Individual Buyers"))))</f>
        <v>C5 - Other Individual Buyers</v>
      </c>
    </row>
    <row r="925" customFormat="false" ht="15" hidden="false" customHeight="true" outlineLevel="0" collapsed="false">
      <c r="A925" s="13" t="s">
        <v>1886</v>
      </c>
      <c r="B925" s="13" t="s">
        <v>34</v>
      </c>
      <c r="C925" s="13" t="s">
        <v>1885</v>
      </c>
      <c r="D925" s="13" t="n">
        <v>81</v>
      </c>
      <c r="E925" s="13" t="s">
        <v>90</v>
      </c>
      <c r="F925" s="13" t="s">
        <v>33</v>
      </c>
      <c r="G925" s="13" t="s">
        <v>162</v>
      </c>
      <c r="H925" s="13" t="s">
        <v>41</v>
      </c>
      <c r="I925" s="13" t="n">
        <v>2</v>
      </c>
      <c r="J925" s="13" t="n">
        <v>0</v>
      </c>
      <c r="K925" s="13" t="s">
        <v>85</v>
      </c>
      <c r="L925" s="13" t="n">
        <v>4</v>
      </c>
      <c r="M925" s="13" t="n">
        <v>1346156.55</v>
      </c>
      <c r="N925" s="13" t="n">
        <v>336539.1375</v>
      </c>
      <c r="O925" s="13" t="n">
        <v>1135.53</v>
      </c>
      <c r="P925" s="13" t="n">
        <v>0</v>
      </c>
      <c r="Q925" s="13" t="n">
        <v>4</v>
      </c>
      <c r="R925" s="13" t="s">
        <v>98</v>
      </c>
      <c r="S925" s="13" t="s">
        <v>114</v>
      </c>
      <c r="T925" s="13" t="n">
        <v>1</v>
      </c>
      <c r="U925" s="13" t="n">
        <f aca="false">IF(B925="Individual",1,0)</f>
        <v>1</v>
      </c>
      <c r="V925" s="13" t="n">
        <f aca="false">IF(B925="Company",1,0)</f>
        <v>0</v>
      </c>
      <c r="W925" s="13" t="n">
        <f aca="false">IF(H925="Home",1,0)</f>
        <v>1</v>
      </c>
      <c r="X925" s="13" t="n">
        <f aca="false">IF(H925="Investment",1,0)</f>
        <v>0</v>
      </c>
      <c r="Y925" s="13" t="n">
        <f aca="false">IF(K925="Website",1,0)</f>
        <v>1</v>
      </c>
      <c r="Z925" s="13" t="n">
        <f aca="false">IF(K925="Agency",1,0)</f>
        <v>0</v>
      </c>
      <c r="AA925" s="13" t="n">
        <f aca="false">IF(K925="Client",1,0)</f>
        <v>0</v>
      </c>
      <c r="AB925" s="13" t="n">
        <f aca="false">(D925-AVERAGE(D$2:D$2001))/STDEV(D$2:D$2001)</f>
        <v>1.54898654177821</v>
      </c>
      <c r="AC925" s="13" t="n">
        <f aca="false">(I925-AVERAGE(I$2:I$2001))/STDEV(I$2:I$2001)</f>
        <v>-0.727948160798201</v>
      </c>
      <c r="AD925" s="13" t="n">
        <f aca="false">(L925-AVERAGE(L$2:L$2001))/STDEV(L$2:L$2001)</f>
        <v>0.413838214490712</v>
      </c>
      <c r="AE925" s="13" t="n">
        <f aca="false">(M925-AVERAGE(M$2:M$2001))/STDEV(M$2:M$2001)</f>
        <v>0.24661732921837</v>
      </c>
      <c r="AF925" s="13" t="n">
        <f aca="false">(N925-AVERAGE(N$2:N$2001))/STDEV(N$2:N$2001)</f>
        <v>-0.151327347659939</v>
      </c>
      <c r="AG925" s="13" t="n">
        <f aca="false">(O925-AVERAGE(O$2:O$2001))/STDEV(O$2:O$2001)</f>
        <v>-0.0543357922416864</v>
      </c>
      <c r="AH925" s="0" t="str">
        <f aca="false">IF(B925="Company","C3 - Corporate Buyers",IF(AND(H925="Investment",M925&gt;'Segmentation Summary'!$C$1),"C1 - Global Investors",IF(AND(I925&gt;=4,M925&gt;'Segmentation Summary'!$C$1),"C4 - Luxury Investors",IF(AND(D925&lt;'Segmentation Summary'!$C$2,J925=1),"C2 - First-Time Buyers","C5 - Other Individual Buyers"))))</f>
        <v>C5 - Other Individual Buyers</v>
      </c>
    </row>
    <row r="926" customFormat="false" ht="15" hidden="false" customHeight="true" outlineLevel="0" collapsed="false">
      <c r="A926" s="13" t="s">
        <v>1887</v>
      </c>
      <c r="B926" s="13" t="s">
        <v>34</v>
      </c>
      <c r="C926" s="13" t="s">
        <v>1888</v>
      </c>
      <c r="D926" s="13" t="n">
        <v>74</v>
      </c>
      <c r="E926" s="13" t="s">
        <v>90</v>
      </c>
      <c r="F926" s="13" t="s">
        <v>46</v>
      </c>
      <c r="G926" s="13" t="s">
        <v>414</v>
      </c>
      <c r="H926" s="13" t="s">
        <v>41</v>
      </c>
      <c r="I926" s="13" t="n">
        <v>3</v>
      </c>
      <c r="J926" s="13" t="n">
        <v>0</v>
      </c>
      <c r="K926" s="13" t="s">
        <v>85</v>
      </c>
      <c r="L926" s="13" t="n">
        <v>4</v>
      </c>
      <c r="M926" s="13" t="n">
        <v>1004720.27</v>
      </c>
      <c r="N926" s="13" t="n">
        <v>251180.0675</v>
      </c>
      <c r="O926" s="13" t="n">
        <v>972.335</v>
      </c>
      <c r="P926" s="13" t="n">
        <v>0</v>
      </c>
      <c r="Q926" s="13" t="n">
        <v>4</v>
      </c>
      <c r="R926" s="13" t="s">
        <v>101</v>
      </c>
      <c r="S926" s="13" t="s">
        <v>114</v>
      </c>
      <c r="T926" s="13" t="n">
        <v>1</v>
      </c>
      <c r="U926" s="13" t="n">
        <f aca="false">IF(B926="Individual",1,0)</f>
        <v>1</v>
      </c>
      <c r="V926" s="13" t="n">
        <f aca="false">IF(B926="Company",1,0)</f>
        <v>0</v>
      </c>
      <c r="W926" s="13" t="n">
        <f aca="false">IF(H926="Home",1,0)</f>
        <v>1</v>
      </c>
      <c r="X926" s="13" t="n">
        <f aca="false">IF(H926="Investment",1,0)</f>
        <v>0</v>
      </c>
      <c r="Y926" s="13" t="n">
        <f aca="false">IF(K926="Website",1,0)</f>
        <v>1</v>
      </c>
      <c r="Z926" s="13" t="n">
        <f aca="false">IF(K926="Agency",1,0)</f>
        <v>0</v>
      </c>
      <c r="AA926" s="13" t="n">
        <f aca="false">IF(K926="Client",1,0)</f>
        <v>0</v>
      </c>
      <c r="AB926" s="13" t="n">
        <f aca="false">(D926-AVERAGE(D$2:D$2001))/STDEV(D$2:D$2001)</f>
        <v>1.14534935336115</v>
      </c>
      <c r="AC926" s="13" t="n">
        <f aca="false">(I926-AVERAGE(I$2:I$2001))/STDEV(I$2:I$2001)</f>
        <v>-0.0205155458339628</v>
      </c>
      <c r="AD926" s="13" t="n">
        <f aca="false">(L926-AVERAGE(L$2:L$2001))/STDEV(L$2:L$2001)</f>
        <v>0.413838214490712</v>
      </c>
      <c r="AE926" s="13" t="n">
        <f aca="false">(M926-AVERAGE(M$2:M$2001))/STDEV(M$2:M$2001)</f>
        <v>-0.734999056356379</v>
      </c>
      <c r="AF926" s="13" t="n">
        <f aca="false">(N926-AVERAGE(N$2:N$2001))/STDEV(N$2:N$2001)</f>
        <v>-1.37560789253339</v>
      </c>
      <c r="AG926" s="13" t="n">
        <f aca="false">(O926-AVERAGE(O$2:O$2001))/STDEV(O$2:O$2001)</f>
        <v>-0.796392359763353</v>
      </c>
      <c r="AH926" s="0" t="str">
        <f aca="false">IF(B926="Company","C3 - Corporate Buyers",IF(AND(H926="Investment",M926&gt;'Segmentation Summary'!$C$1),"C1 - Global Investors",IF(AND(I926&gt;=4,M926&gt;'Segmentation Summary'!$C$1),"C4 - Luxury Investors",IF(AND(D926&lt;'Segmentation Summary'!$C$2,J926=1),"C2 - First-Time Buyers","C5 - Other Individual Buyers"))))</f>
        <v>C5 - Other Individual Buyers</v>
      </c>
    </row>
    <row r="927" customFormat="false" ht="15" hidden="false" customHeight="true" outlineLevel="0" collapsed="false">
      <c r="A927" s="13" t="s">
        <v>1889</v>
      </c>
      <c r="B927" s="13" t="s">
        <v>34</v>
      </c>
      <c r="C927" s="13" t="s">
        <v>1890</v>
      </c>
      <c r="D927" s="13" t="n">
        <v>42</v>
      </c>
      <c r="E927" s="13" t="s">
        <v>90</v>
      </c>
      <c r="F927" s="13" t="s">
        <v>33</v>
      </c>
      <c r="G927" s="13" t="s">
        <v>95</v>
      </c>
      <c r="H927" s="13" t="s">
        <v>41</v>
      </c>
      <c r="I927" s="13" t="n">
        <v>5</v>
      </c>
      <c r="J927" s="13" t="n">
        <v>0</v>
      </c>
      <c r="K927" s="13" t="s">
        <v>85</v>
      </c>
      <c r="L927" s="13" t="n">
        <v>3</v>
      </c>
      <c r="M927" s="13" t="n">
        <v>1135691.62</v>
      </c>
      <c r="N927" s="13" t="n">
        <v>378563.873333333</v>
      </c>
      <c r="O927" s="13" t="n">
        <v>1350.97333333333</v>
      </c>
      <c r="P927" s="13" t="n">
        <v>0</v>
      </c>
      <c r="Q927" s="13" t="n">
        <v>3</v>
      </c>
      <c r="R927" s="13" t="s">
        <v>93</v>
      </c>
      <c r="S927" s="13" t="s">
        <v>152</v>
      </c>
      <c r="T927" s="13" t="n">
        <v>1</v>
      </c>
      <c r="U927" s="13" t="n">
        <f aca="false">IF(B927="Individual",1,0)</f>
        <v>1</v>
      </c>
      <c r="V927" s="13" t="n">
        <f aca="false">IF(B927="Company",1,0)</f>
        <v>0</v>
      </c>
      <c r="W927" s="13" t="n">
        <f aca="false">IF(H927="Home",1,0)</f>
        <v>1</v>
      </c>
      <c r="X927" s="13" t="n">
        <f aca="false">IF(H927="Investment",1,0)</f>
        <v>0</v>
      </c>
      <c r="Y927" s="13" t="n">
        <f aca="false">IF(K927="Website",1,0)</f>
        <v>1</v>
      </c>
      <c r="Z927" s="13" t="n">
        <f aca="false">IF(K927="Agency",1,0)</f>
        <v>0</v>
      </c>
      <c r="AA927" s="13" t="n">
        <f aca="false">IF(K927="Client",1,0)</f>
        <v>0</v>
      </c>
      <c r="AB927" s="13" t="n">
        <f aca="false">(D927-AVERAGE(D$2:D$2001))/STDEV(D$2:D$2001)</f>
        <v>-0.699849222259691</v>
      </c>
      <c r="AC927" s="13" t="n">
        <f aca="false">(I927-AVERAGE(I$2:I$2001))/STDEV(I$2:I$2001)</f>
        <v>1.39434968409451</v>
      </c>
      <c r="AD927" s="13" t="n">
        <f aca="false">(L927-AVERAGE(L$2:L$2001))/STDEV(L$2:L$2001)</f>
        <v>-0.777063122173208</v>
      </c>
      <c r="AE927" s="13" t="n">
        <f aca="false">(M927-AVERAGE(M$2:M$2001))/STDEV(M$2:M$2001)</f>
        <v>-0.358461380861422</v>
      </c>
      <c r="AF927" s="13" t="n">
        <f aca="false">(N927-AVERAGE(N$2:N$2001))/STDEV(N$2:N$2001)</f>
        <v>0.451421329009051</v>
      </c>
      <c r="AG927" s="13" t="n">
        <f aca="false">(O927-AVERAGE(O$2:O$2001))/STDEV(O$2:O$2001)</f>
        <v>0.925296797168266</v>
      </c>
      <c r="AH927" s="0" t="str">
        <f aca="false">IF(B927="Company","C3 - Corporate Buyers",IF(AND(H927="Investment",M927&gt;'Segmentation Summary'!$C$1),"C1 - Global Investors",IF(AND(I927&gt;=4,M927&gt;'Segmentation Summary'!$C$1),"C4 - Luxury Investors",IF(AND(D927&lt;'Segmentation Summary'!$C$2,J927=1),"C2 - First-Time Buyers","C5 - Other Individual Buyers"))))</f>
        <v>C5 - Other Individual Buyers</v>
      </c>
    </row>
    <row r="928" customFormat="false" ht="15" hidden="false" customHeight="true" outlineLevel="0" collapsed="false">
      <c r="A928" s="13" t="s">
        <v>1891</v>
      </c>
      <c r="B928" s="13" t="s">
        <v>34</v>
      </c>
      <c r="C928" s="13" t="s">
        <v>1892</v>
      </c>
      <c r="D928" s="13" t="n">
        <v>35</v>
      </c>
      <c r="E928" s="13" t="s">
        <v>90</v>
      </c>
      <c r="F928" s="13" t="s">
        <v>33</v>
      </c>
      <c r="G928" s="13" t="s">
        <v>145</v>
      </c>
      <c r="H928" s="13" t="s">
        <v>41</v>
      </c>
      <c r="I928" s="13" t="n">
        <v>2</v>
      </c>
      <c r="J928" s="13" t="n">
        <v>0</v>
      </c>
      <c r="K928" s="13" t="s">
        <v>85</v>
      </c>
      <c r="L928" s="13" t="n">
        <v>4</v>
      </c>
      <c r="M928" s="13" t="n">
        <v>1495976.14</v>
      </c>
      <c r="N928" s="13" t="n">
        <v>373994.035</v>
      </c>
      <c r="O928" s="13" t="n">
        <v>1271.345</v>
      </c>
      <c r="P928" s="13" t="n">
        <v>0</v>
      </c>
      <c r="Q928" s="13" t="n">
        <v>4</v>
      </c>
      <c r="R928" s="13" t="s">
        <v>92</v>
      </c>
      <c r="S928" s="13" t="s">
        <v>164</v>
      </c>
      <c r="T928" s="13" t="n">
        <v>1</v>
      </c>
      <c r="U928" s="13" t="n">
        <f aca="false">IF(B928="Individual",1,0)</f>
        <v>1</v>
      </c>
      <c r="V928" s="13" t="n">
        <f aca="false">IF(B928="Company",1,0)</f>
        <v>0</v>
      </c>
      <c r="W928" s="13" t="n">
        <f aca="false">IF(H928="Home",1,0)</f>
        <v>1</v>
      </c>
      <c r="X928" s="13" t="n">
        <f aca="false">IF(H928="Investment",1,0)</f>
        <v>0</v>
      </c>
      <c r="Y928" s="13" t="n">
        <f aca="false">IF(K928="Website",1,0)</f>
        <v>1</v>
      </c>
      <c r="Z928" s="13" t="n">
        <f aca="false">IF(K928="Agency",1,0)</f>
        <v>0</v>
      </c>
      <c r="AA928" s="13" t="n">
        <f aca="false">IF(K928="Client",1,0)</f>
        <v>0</v>
      </c>
      <c r="AB928" s="13" t="n">
        <f aca="false">(D928-AVERAGE(D$2:D$2001))/STDEV(D$2:D$2001)</f>
        <v>-1.10348641067675</v>
      </c>
      <c r="AC928" s="13" t="n">
        <f aca="false">(I928-AVERAGE(I$2:I$2001))/STDEV(I$2:I$2001)</f>
        <v>-0.727948160798201</v>
      </c>
      <c r="AD928" s="13" t="n">
        <f aca="false">(L928-AVERAGE(L$2:L$2001))/STDEV(L$2:L$2001)</f>
        <v>0.413838214490712</v>
      </c>
      <c r="AE928" s="13" t="n">
        <f aca="false">(M928-AVERAGE(M$2:M$2001))/STDEV(M$2:M$2001)</f>
        <v>0.677342981524829</v>
      </c>
      <c r="AF928" s="13" t="n">
        <f aca="false">(N928-AVERAGE(N$2:N$2001))/STDEV(N$2:N$2001)</f>
        <v>0.385877454588717</v>
      </c>
      <c r="AG928" s="13" t="n">
        <f aca="false">(O928-AVERAGE(O$2:O$2001))/STDEV(O$2:O$2001)</f>
        <v>0.563222421661652</v>
      </c>
      <c r="AH928" s="0" t="str">
        <f aca="false">IF(B928="Company","C3 - Corporate Buyers",IF(AND(H928="Investment",M928&gt;'Segmentation Summary'!$C$1),"C1 - Global Investors",IF(AND(I928&gt;=4,M928&gt;'Segmentation Summary'!$C$1),"C4 - Luxury Investors",IF(AND(D928&lt;'Segmentation Summary'!$C$2,J928=1),"C2 - First-Time Buyers","C5 - Other Individual Buyers"))))</f>
        <v>C5 - Other Individual Buyers</v>
      </c>
    </row>
    <row r="929" customFormat="false" ht="15" hidden="false" customHeight="true" outlineLevel="0" collapsed="false">
      <c r="A929" s="13" t="s">
        <v>1893</v>
      </c>
      <c r="B929" s="13" t="s">
        <v>34</v>
      </c>
      <c r="C929" s="13" t="s">
        <v>1894</v>
      </c>
      <c r="D929" s="13" t="n">
        <v>42</v>
      </c>
      <c r="E929" s="13" t="s">
        <v>90</v>
      </c>
      <c r="F929" s="13" t="s">
        <v>33</v>
      </c>
      <c r="G929" s="13" t="s">
        <v>110</v>
      </c>
      <c r="H929" s="13" t="s">
        <v>41</v>
      </c>
      <c r="I929" s="13" t="n">
        <v>3</v>
      </c>
      <c r="J929" s="13" t="n">
        <v>0</v>
      </c>
      <c r="K929" s="13" t="s">
        <v>85</v>
      </c>
      <c r="L929" s="13" t="n">
        <v>3</v>
      </c>
      <c r="M929" s="13" t="n">
        <v>1151372.75</v>
      </c>
      <c r="N929" s="13" t="n">
        <v>383790.916666667</v>
      </c>
      <c r="O929" s="13" t="n">
        <v>1340.76666666667</v>
      </c>
      <c r="P929" s="13" t="n">
        <v>1</v>
      </c>
      <c r="Q929" s="13" t="n">
        <v>2</v>
      </c>
      <c r="R929" s="13" t="s">
        <v>92</v>
      </c>
      <c r="S929" s="13" t="s">
        <v>103</v>
      </c>
      <c r="T929" s="13" t="n">
        <v>1</v>
      </c>
      <c r="U929" s="13" t="n">
        <f aca="false">IF(B929="Individual",1,0)</f>
        <v>1</v>
      </c>
      <c r="V929" s="13" t="n">
        <f aca="false">IF(B929="Company",1,0)</f>
        <v>0</v>
      </c>
      <c r="W929" s="13" t="n">
        <f aca="false">IF(H929="Home",1,0)</f>
        <v>1</v>
      </c>
      <c r="X929" s="13" t="n">
        <f aca="false">IF(H929="Investment",1,0)</f>
        <v>0</v>
      </c>
      <c r="Y929" s="13" t="n">
        <f aca="false">IF(K929="Website",1,0)</f>
        <v>1</v>
      </c>
      <c r="Z929" s="13" t="n">
        <f aca="false">IF(K929="Agency",1,0)</f>
        <v>0</v>
      </c>
      <c r="AA929" s="13" t="n">
        <f aca="false">IF(K929="Client",1,0)</f>
        <v>0</v>
      </c>
      <c r="AB929" s="13" t="n">
        <f aca="false">(D929-AVERAGE(D$2:D$2001))/STDEV(D$2:D$2001)</f>
        <v>-0.699849222259691</v>
      </c>
      <c r="AC929" s="13" t="n">
        <f aca="false">(I929-AVERAGE(I$2:I$2001))/STDEV(I$2:I$2001)</f>
        <v>-0.0205155458339628</v>
      </c>
      <c r="AD929" s="13" t="n">
        <f aca="false">(L929-AVERAGE(L$2:L$2001))/STDEV(L$2:L$2001)</f>
        <v>-0.777063122173208</v>
      </c>
      <c r="AE929" s="13" t="n">
        <f aca="false">(M929-AVERAGE(M$2:M$2001))/STDEV(M$2:M$2001)</f>
        <v>-0.313378725461335</v>
      </c>
      <c r="AF929" s="13" t="n">
        <f aca="false">(N929-AVERAGE(N$2:N$2001))/STDEV(N$2:N$2001)</f>
        <v>0.526391305371391</v>
      </c>
      <c r="AG929" s="13" t="n">
        <f aca="false">(O929-AVERAGE(O$2:O$2001))/STDEV(O$2:O$2001)</f>
        <v>0.878886527046636</v>
      </c>
      <c r="AH929" s="0" t="str">
        <f aca="false">IF(B929="Company","C3 - Corporate Buyers",IF(AND(H929="Investment",M929&gt;'Segmentation Summary'!$C$1),"C1 - Global Investors",IF(AND(I929&gt;=4,M929&gt;'Segmentation Summary'!$C$1),"C4 - Luxury Investors",IF(AND(D929&lt;'Segmentation Summary'!$C$2,J929=1),"C2 - First-Time Buyers","C5 - Other Individual Buyers"))))</f>
        <v>C5 - Other Individual Buyers</v>
      </c>
    </row>
    <row r="930" customFormat="false" ht="15" hidden="false" customHeight="true" outlineLevel="0" collapsed="false">
      <c r="A930" s="13" t="s">
        <v>1895</v>
      </c>
      <c r="B930" s="13" t="s">
        <v>34</v>
      </c>
      <c r="C930" s="13" t="s">
        <v>1896</v>
      </c>
      <c r="D930" s="13" t="n">
        <v>72</v>
      </c>
      <c r="E930" s="13" t="s">
        <v>83</v>
      </c>
      <c r="F930" s="13" t="s">
        <v>42</v>
      </c>
      <c r="G930" s="13" t="s">
        <v>288</v>
      </c>
      <c r="H930" s="13" t="s">
        <v>41</v>
      </c>
      <c r="I930" s="13" t="n">
        <v>2</v>
      </c>
      <c r="J930" s="13" t="n">
        <v>0</v>
      </c>
      <c r="K930" s="13" t="s">
        <v>85</v>
      </c>
      <c r="L930" s="13" t="n">
        <v>4</v>
      </c>
      <c r="M930" s="13" t="n">
        <v>1390206.46</v>
      </c>
      <c r="N930" s="13" t="n">
        <v>347551.615</v>
      </c>
      <c r="O930" s="13" t="n">
        <v>1164.015</v>
      </c>
      <c r="P930" s="13" t="n">
        <v>2</v>
      </c>
      <c r="Q930" s="13" t="n">
        <v>2</v>
      </c>
      <c r="R930" s="13" t="s">
        <v>117</v>
      </c>
      <c r="S930" s="13" t="s">
        <v>125</v>
      </c>
      <c r="T930" s="13" t="n">
        <v>1</v>
      </c>
      <c r="U930" s="13" t="n">
        <f aca="false">IF(B930="Individual",1,0)</f>
        <v>1</v>
      </c>
      <c r="V930" s="13" t="n">
        <f aca="false">IF(B930="Company",1,0)</f>
        <v>0</v>
      </c>
      <c r="W930" s="13" t="n">
        <f aca="false">IF(H930="Home",1,0)</f>
        <v>1</v>
      </c>
      <c r="X930" s="13" t="n">
        <f aca="false">IF(H930="Investment",1,0)</f>
        <v>0</v>
      </c>
      <c r="Y930" s="13" t="n">
        <f aca="false">IF(K930="Website",1,0)</f>
        <v>1</v>
      </c>
      <c r="Z930" s="13" t="n">
        <f aca="false">IF(K930="Agency",1,0)</f>
        <v>0</v>
      </c>
      <c r="AA930" s="13" t="n">
        <f aca="false">IF(K930="Client",1,0)</f>
        <v>0</v>
      </c>
      <c r="AB930" s="13" t="n">
        <f aca="false">(D930-AVERAGE(D$2:D$2001))/STDEV(D$2:D$2001)</f>
        <v>1.03002444238485</v>
      </c>
      <c r="AC930" s="13" t="n">
        <f aca="false">(I930-AVERAGE(I$2:I$2001))/STDEV(I$2:I$2001)</f>
        <v>-0.727948160798201</v>
      </c>
      <c r="AD930" s="13" t="n">
        <f aca="false">(L930-AVERAGE(L$2:L$2001))/STDEV(L$2:L$2001)</f>
        <v>0.413838214490712</v>
      </c>
      <c r="AE930" s="13" t="n">
        <f aca="false">(M930-AVERAGE(M$2:M$2001))/STDEV(M$2:M$2001)</f>
        <v>0.373259153687325</v>
      </c>
      <c r="AF930" s="13" t="n">
        <f aca="false">(N930-AVERAGE(N$2:N$2001))/STDEV(N$2:N$2001)</f>
        <v>0.00662144388742156</v>
      </c>
      <c r="AG930" s="13" t="n">
        <f aca="false">(O930-AVERAGE(O$2:O$2001))/STDEV(O$2:O$2001)</f>
        <v>0.0751870566559807</v>
      </c>
      <c r="AH930" s="0" t="str">
        <f aca="false">IF(B930="Company","C3 - Corporate Buyers",IF(AND(H930="Investment",M930&gt;'Segmentation Summary'!$C$1),"C1 - Global Investors",IF(AND(I930&gt;=4,M930&gt;'Segmentation Summary'!$C$1),"C4 - Luxury Investors",IF(AND(D930&lt;'Segmentation Summary'!$C$2,J930=1),"C2 - First-Time Buyers","C5 - Other Individual Buyers"))))</f>
        <v>C5 - Other Individual Buyers</v>
      </c>
    </row>
    <row r="931" customFormat="false" ht="15" hidden="false" customHeight="true" outlineLevel="0" collapsed="false">
      <c r="A931" s="13" t="s">
        <v>1897</v>
      </c>
      <c r="B931" s="13" t="s">
        <v>34</v>
      </c>
      <c r="C931" s="13" t="s">
        <v>1898</v>
      </c>
      <c r="D931" s="13" t="n">
        <v>30</v>
      </c>
      <c r="E931" s="13" t="s">
        <v>83</v>
      </c>
      <c r="F931" s="13" t="s">
        <v>33</v>
      </c>
      <c r="G931" s="13" t="s">
        <v>100</v>
      </c>
      <c r="H931" s="13" t="s">
        <v>41</v>
      </c>
      <c r="I931" s="13" t="n">
        <v>1</v>
      </c>
      <c r="J931" s="13" t="n">
        <v>0</v>
      </c>
      <c r="K931" s="13" t="s">
        <v>85</v>
      </c>
      <c r="L931" s="13" t="n">
        <v>4</v>
      </c>
      <c r="M931" s="13" t="n">
        <v>2001430.43</v>
      </c>
      <c r="N931" s="13" t="n">
        <v>500357.6075</v>
      </c>
      <c r="O931" s="13" t="n">
        <v>1577.2325</v>
      </c>
      <c r="P931" s="13" t="n">
        <v>1</v>
      </c>
      <c r="Q931" s="13" t="n">
        <v>3</v>
      </c>
      <c r="R931" s="13" t="s">
        <v>92</v>
      </c>
      <c r="S931" s="13" t="s">
        <v>164</v>
      </c>
      <c r="T931" s="13" t="n">
        <v>1</v>
      </c>
      <c r="U931" s="13" t="n">
        <f aca="false">IF(B931="Individual",1,0)</f>
        <v>1</v>
      </c>
      <c r="V931" s="13" t="n">
        <f aca="false">IF(B931="Company",1,0)</f>
        <v>0</v>
      </c>
      <c r="W931" s="13" t="n">
        <f aca="false">IF(H931="Home",1,0)</f>
        <v>1</v>
      </c>
      <c r="X931" s="13" t="n">
        <f aca="false">IF(H931="Investment",1,0)</f>
        <v>0</v>
      </c>
      <c r="Y931" s="13" t="n">
        <f aca="false">IF(K931="Website",1,0)</f>
        <v>1</v>
      </c>
      <c r="Z931" s="13" t="n">
        <f aca="false">IF(K931="Agency",1,0)</f>
        <v>0</v>
      </c>
      <c r="AA931" s="13" t="n">
        <f aca="false">IF(K931="Client",1,0)</f>
        <v>0</v>
      </c>
      <c r="AB931" s="13" t="n">
        <f aca="false">(D931-AVERAGE(D$2:D$2001))/STDEV(D$2:D$2001)</f>
        <v>-1.39179868811751</v>
      </c>
      <c r="AC931" s="13" t="n">
        <f aca="false">(I931-AVERAGE(I$2:I$2001))/STDEV(I$2:I$2001)</f>
        <v>-1.43538077576244</v>
      </c>
      <c r="AD931" s="13" t="n">
        <f aca="false">(L931-AVERAGE(L$2:L$2001))/STDEV(L$2:L$2001)</f>
        <v>0.413838214490712</v>
      </c>
      <c r="AE931" s="13" t="n">
        <f aca="false">(M931-AVERAGE(M$2:M$2001))/STDEV(M$2:M$2001)</f>
        <v>2.1305049396596</v>
      </c>
      <c r="AF931" s="13" t="n">
        <f aca="false">(N931-AVERAGE(N$2:N$2001))/STDEV(N$2:N$2001)</f>
        <v>2.19827376341045</v>
      </c>
      <c r="AG931" s="13" t="n">
        <f aca="false">(O931-AVERAGE(O$2:O$2001))/STDEV(O$2:O$2001)</f>
        <v>1.95410957076416</v>
      </c>
      <c r="AH931" s="0" t="str">
        <f aca="false">IF(B931="Company","C3 - Corporate Buyers",IF(AND(H931="Investment",M931&gt;'Segmentation Summary'!$C$1),"C1 - Global Investors",IF(AND(I931&gt;=4,M931&gt;'Segmentation Summary'!$C$1),"C4 - Luxury Investors",IF(AND(D931&lt;'Segmentation Summary'!$C$2,J931=1),"C2 - First-Time Buyers","C5 - Other Individual Buyers"))))</f>
        <v>C5 - Other Individual Buyers</v>
      </c>
    </row>
    <row r="932" customFormat="false" ht="15" hidden="false" customHeight="true" outlineLevel="0" collapsed="false">
      <c r="A932" s="13" t="s">
        <v>1899</v>
      </c>
      <c r="B932" s="13" t="s">
        <v>34</v>
      </c>
      <c r="C932" s="13" t="s">
        <v>1900</v>
      </c>
      <c r="D932" s="13" t="n">
        <v>33</v>
      </c>
      <c r="E932" s="13" t="s">
        <v>83</v>
      </c>
      <c r="F932" s="13" t="s">
        <v>33</v>
      </c>
      <c r="G932" s="13" t="s">
        <v>95</v>
      </c>
      <c r="H932" s="13" t="s">
        <v>41</v>
      </c>
      <c r="I932" s="13" t="n">
        <v>2</v>
      </c>
      <c r="J932" s="13" t="n">
        <v>0</v>
      </c>
      <c r="K932" s="13" t="s">
        <v>91</v>
      </c>
      <c r="L932" s="13" t="n">
        <v>3</v>
      </c>
      <c r="M932" s="13" t="n">
        <v>767162.22</v>
      </c>
      <c r="N932" s="13" t="n">
        <v>255720.74</v>
      </c>
      <c r="O932" s="13" t="n">
        <v>814.353333333333</v>
      </c>
      <c r="P932" s="13" t="n">
        <v>1</v>
      </c>
      <c r="Q932" s="13" t="n">
        <v>2</v>
      </c>
      <c r="R932" s="13" t="s">
        <v>86</v>
      </c>
      <c r="S932" s="13" t="s">
        <v>103</v>
      </c>
      <c r="T932" s="13" t="n">
        <v>1</v>
      </c>
      <c r="U932" s="13" t="n">
        <f aca="false">IF(B932="Individual",1,0)</f>
        <v>1</v>
      </c>
      <c r="V932" s="13" t="n">
        <f aca="false">IF(B932="Company",1,0)</f>
        <v>0</v>
      </c>
      <c r="W932" s="13" t="n">
        <f aca="false">IF(H932="Home",1,0)</f>
        <v>1</v>
      </c>
      <c r="X932" s="13" t="n">
        <f aca="false">IF(H932="Investment",1,0)</f>
        <v>0</v>
      </c>
      <c r="Y932" s="13" t="n">
        <f aca="false">IF(K932="Website",1,0)</f>
        <v>0</v>
      </c>
      <c r="Z932" s="13" t="n">
        <f aca="false">IF(K932="Agency",1,0)</f>
        <v>1</v>
      </c>
      <c r="AA932" s="13" t="n">
        <f aca="false">IF(K932="Client",1,0)</f>
        <v>0</v>
      </c>
      <c r="AB932" s="13" t="n">
        <f aca="false">(D932-AVERAGE(D$2:D$2001))/STDEV(D$2:D$2001)</f>
        <v>-1.21881132165305</v>
      </c>
      <c r="AC932" s="13" t="n">
        <f aca="false">(I932-AVERAGE(I$2:I$2001))/STDEV(I$2:I$2001)</f>
        <v>-0.727948160798201</v>
      </c>
      <c r="AD932" s="13" t="n">
        <f aca="false">(L932-AVERAGE(L$2:L$2001))/STDEV(L$2:L$2001)</f>
        <v>-0.777063122173208</v>
      </c>
      <c r="AE932" s="13" t="n">
        <f aca="false">(M932-AVERAGE(M$2:M$2001))/STDEV(M$2:M$2001)</f>
        <v>-1.41796946127406</v>
      </c>
      <c r="AF932" s="13" t="n">
        <f aca="false">(N932-AVERAGE(N$2:N$2001))/STDEV(N$2:N$2001)</f>
        <v>-1.31048233525644</v>
      </c>
      <c r="AG932" s="13" t="n">
        <f aca="false">(O932-AVERAGE(O$2:O$2001))/STDEV(O$2:O$2001)</f>
        <v>-1.51474361622353</v>
      </c>
      <c r="AH932" s="0" t="str">
        <f aca="false">IF(B932="Company","C3 - Corporate Buyers",IF(AND(H932="Investment",M932&gt;'Segmentation Summary'!$C$1),"C1 - Global Investors",IF(AND(I932&gt;=4,M932&gt;'Segmentation Summary'!$C$1),"C4 - Luxury Investors",IF(AND(D932&lt;'Segmentation Summary'!$C$2,J932=1),"C2 - First-Time Buyers","C5 - Other Individual Buyers"))))</f>
        <v>C5 - Other Individual Buyers</v>
      </c>
    </row>
    <row r="933" customFormat="false" ht="15" hidden="false" customHeight="true" outlineLevel="0" collapsed="false">
      <c r="A933" s="13" t="s">
        <v>1901</v>
      </c>
      <c r="B933" s="13" t="s">
        <v>34</v>
      </c>
      <c r="C933" s="13" t="s">
        <v>1902</v>
      </c>
      <c r="D933" s="13" t="n">
        <v>48</v>
      </c>
      <c r="E933" s="13" t="s">
        <v>83</v>
      </c>
      <c r="F933" s="13" t="s">
        <v>33</v>
      </c>
      <c r="G933" s="13" t="s">
        <v>145</v>
      </c>
      <c r="H933" s="13" t="s">
        <v>43</v>
      </c>
      <c r="I933" s="13" t="n">
        <v>5</v>
      </c>
      <c r="J933" s="13" t="n">
        <v>0</v>
      </c>
      <c r="K933" s="13" t="s">
        <v>91</v>
      </c>
      <c r="L933" s="13" t="n">
        <v>3</v>
      </c>
      <c r="M933" s="13" t="n">
        <v>809691.13</v>
      </c>
      <c r="N933" s="13" t="n">
        <v>269897.043333333</v>
      </c>
      <c r="O933" s="13" t="n">
        <v>897.31</v>
      </c>
      <c r="P933" s="13" t="n">
        <v>1</v>
      </c>
      <c r="Q933" s="13" t="n">
        <v>2</v>
      </c>
      <c r="R933" s="13" t="s">
        <v>86</v>
      </c>
      <c r="S933" s="13" t="s">
        <v>133</v>
      </c>
      <c r="T933" s="13" t="n">
        <v>1</v>
      </c>
      <c r="U933" s="13" t="n">
        <f aca="false">IF(B933="Individual",1,0)</f>
        <v>1</v>
      </c>
      <c r="V933" s="13" t="n">
        <f aca="false">IF(B933="Company",1,0)</f>
        <v>0</v>
      </c>
      <c r="W933" s="13" t="n">
        <f aca="false">IF(H933="Home",1,0)</f>
        <v>0</v>
      </c>
      <c r="X933" s="13" t="n">
        <f aca="false">IF(H933="Investment",1,0)</f>
        <v>1</v>
      </c>
      <c r="Y933" s="13" t="n">
        <f aca="false">IF(K933="Website",1,0)</f>
        <v>0</v>
      </c>
      <c r="Z933" s="13" t="n">
        <f aca="false">IF(K933="Agency",1,0)</f>
        <v>1</v>
      </c>
      <c r="AA933" s="13" t="n">
        <f aca="false">IF(K933="Client",1,0)</f>
        <v>0</v>
      </c>
      <c r="AB933" s="13" t="n">
        <f aca="false">(D933-AVERAGE(D$2:D$2001))/STDEV(D$2:D$2001)</f>
        <v>-0.353874489330784</v>
      </c>
      <c r="AC933" s="13" t="n">
        <f aca="false">(I933-AVERAGE(I$2:I$2001))/STDEV(I$2:I$2001)</f>
        <v>1.39434968409451</v>
      </c>
      <c r="AD933" s="13" t="n">
        <f aca="false">(L933-AVERAGE(L$2:L$2001))/STDEV(L$2:L$2001)</f>
        <v>-0.777063122173208</v>
      </c>
      <c r="AE933" s="13" t="n">
        <f aca="false">(M933-AVERAGE(M$2:M$2001))/STDEV(M$2:M$2001)</f>
        <v>-1.29570045425279</v>
      </c>
      <c r="AF933" s="13" t="n">
        <f aca="false">(N933-AVERAGE(N$2:N$2001))/STDEV(N$2:N$2001)</f>
        <v>-1.10715570143506</v>
      </c>
      <c r="AG933" s="13" t="n">
        <f aca="false">(O933-AVERAGE(O$2:O$2001))/STDEV(O$2:O$2001)</f>
        <v>-1.13753512748487</v>
      </c>
      <c r="AH933" s="0" t="str">
        <f aca="false">IF(B933="Company","C3 - Corporate Buyers",IF(AND(H933="Investment",M933&gt;'Segmentation Summary'!$C$1),"C1 - Global Investors",IF(AND(I933&gt;=4,M933&gt;'Segmentation Summary'!$C$1),"C4 - Luxury Investors",IF(AND(D933&lt;'Segmentation Summary'!$C$2,J933=1),"C2 - First-Time Buyers","C5 - Other Individual Buyers"))))</f>
        <v>C5 - Other Individual Buyers</v>
      </c>
    </row>
    <row r="934" customFormat="false" ht="15" hidden="false" customHeight="true" outlineLevel="0" collapsed="false">
      <c r="A934" s="13" t="s">
        <v>1903</v>
      </c>
      <c r="B934" s="13" t="s">
        <v>34</v>
      </c>
      <c r="C934" s="13" t="s">
        <v>1904</v>
      </c>
      <c r="D934" s="13" t="n">
        <v>31</v>
      </c>
      <c r="E934" s="13" t="s">
        <v>83</v>
      </c>
      <c r="F934" s="13" t="s">
        <v>33</v>
      </c>
      <c r="G934" s="13" t="s">
        <v>157</v>
      </c>
      <c r="H934" s="13" t="s">
        <v>43</v>
      </c>
      <c r="I934" s="13" t="n">
        <v>3</v>
      </c>
      <c r="J934" s="13" t="n">
        <v>0</v>
      </c>
      <c r="K934" s="13" t="s">
        <v>85</v>
      </c>
      <c r="L934" s="13" t="n">
        <v>4</v>
      </c>
      <c r="M934" s="13" t="n">
        <v>1427019.92</v>
      </c>
      <c r="N934" s="13" t="n">
        <v>356754.98</v>
      </c>
      <c r="O934" s="13" t="n">
        <v>1210.7375</v>
      </c>
      <c r="P934" s="13" t="n">
        <v>0</v>
      </c>
      <c r="Q934" s="13" t="n">
        <v>4</v>
      </c>
      <c r="R934" s="13" t="s">
        <v>111</v>
      </c>
      <c r="S934" s="13" t="s">
        <v>125</v>
      </c>
      <c r="T934" s="13" t="n">
        <v>1</v>
      </c>
      <c r="U934" s="13" t="n">
        <f aca="false">IF(B934="Individual",1,0)</f>
        <v>1</v>
      </c>
      <c r="V934" s="13" t="n">
        <f aca="false">IF(B934="Company",1,0)</f>
        <v>0</v>
      </c>
      <c r="W934" s="13" t="n">
        <f aca="false">IF(H934="Home",1,0)</f>
        <v>0</v>
      </c>
      <c r="X934" s="13" t="n">
        <f aca="false">IF(H934="Investment",1,0)</f>
        <v>1</v>
      </c>
      <c r="Y934" s="13" t="n">
        <f aca="false">IF(K934="Website",1,0)</f>
        <v>1</v>
      </c>
      <c r="Z934" s="13" t="n">
        <f aca="false">IF(K934="Agency",1,0)</f>
        <v>0</v>
      </c>
      <c r="AA934" s="13" t="n">
        <f aca="false">IF(K934="Client",1,0)</f>
        <v>0</v>
      </c>
      <c r="AB934" s="13" t="n">
        <f aca="false">(D934-AVERAGE(D$2:D$2001))/STDEV(D$2:D$2001)</f>
        <v>-1.33413623262935</v>
      </c>
      <c r="AC934" s="13" t="n">
        <f aca="false">(I934-AVERAGE(I$2:I$2001))/STDEV(I$2:I$2001)</f>
        <v>-0.0205155458339628</v>
      </c>
      <c r="AD934" s="13" t="n">
        <f aca="false">(L934-AVERAGE(L$2:L$2001))/STDEV(L$2:L$2001)</f>
        <v>0.413838214490712</v>
      </c>
      <c r="AE934" s="13" t="n">
        <f aca="false">(M934-AVERAGE(M$2:M$2001))/STDEV(M$2:M$2001)</f>
        <v>0.479096458222451</v>
      </c>
      <c r="AF934" s="13" t="n">
        <f aca="false">(N934-AVERAGE(N$2:N$2001))/STDEV(N$2:N$2001)</f>
        <v>0.138622656141365</v>
      </c>
      <c r="AG934" s="13" t="n">
        <f aca="false">(O934-AVERAGE(O$2:O$2001))/STDEV(O$2:O$2001)</f>
        <v>0.287636812935468</v>
      </c>
      <c r="AH934" s="0" t="str">
        <f aca="false">IF(B934="Company","C3 - Corporate Buyers",IF(AND(H934="Investment",M934&gt;'Segmentation Summary'!$C$1),"C1 - Global Investors",IF(AND(I934&gt;=4,M934&gt;'Segmentation Summary'!$C$1),"C4 - Luxury Investors",IF(AND(D934&lt;'Segmentation Summary'!$C$2,J934=1),"C2 - First-Time Buyers","C5 - Other Individual Buyers"))))</f>
        <v>C1 - Global Investors</v>
      </c>
    </row>
    <row r="935" customFormat="false" ht="15" hidden="false" customHeight="true" outlineLevel="0" collapsed="false">
      <c r="A935" s="13" t="s">
        <v>1905</v>
      </c>
      <c r="B935" s="13" t="s">
        <v>34</v>
      </c>
      <c r="C935" s="13" t="s">
        <v>1906</v>
      </c>
      <c r="D935" s="13" t="n">
        <v>33</v>
      </c>
      <c r="E935" s="13" t="s">
        <v>83</v>
      </c>
      <c r="F935" s="13" t="s">
        <v>47</v>
      </c>
      <c r="G935" s="13" t="s">
        <v>356</v>
      </c>
      <c r="H935" s="13" t="s">
        <v>41</v>
      </c>
      <c r="I935" s="13" t="n">
        <v>1</v>
      </c>
      <c r="J935" s="13" t="n">
        <v>0</v>
      </c>
      <c r="K935" s="13" t="s">
        <v>85</v>
      </c>
      <c r="L935" s="13" t="n">
        <v>4</v>
      </c>
      <c r="M935" s="13" t="n">
        <v>2059292.68</v>
      </c>
      <c r="N935" s="13" t="n">
        <v>514823.17</v>
      </c>
      <c r="O935" s="13" t="n">
        <v>1591.4725</v>
      </c>
      <c r="P935" s="13" t="n">
        <v>1</v>
      </c>
      <c r="Q935" s="13" t="n">
        <v>3</v>
      </c>
      <c r="R935" s="13" t="s">
        <v>117</v>
      </c>
      <c r="S935" s="13" t="s">
        <v>133</v>
      </c>
      <c r="T935" s="13" t="n">
        <v>1</v>
      </c>
      <c r="U935" s="13" t="n">
        <f aca="false">IF(B935="Individual",1,0)</f>
        <v>1</v>
      </c>
      <c r="V935" s="13" t="n">
        <f aca="false">IF(B935="Company",1,0)</f>
        <v>0</v>
      </c>
      <c r="W935" s="13" t="n">
        <f aca="false">IF(H935="Home",1,0)</f>
        <v>1</v>
      </c>
      <c r="X935" s="13" t="n">
        <f aca="false">IF(H935="Investment",1,0)</f>
        <v>0</v>
      </c>
      <c r="Y935" s="13" t="n">
        <f aca="false">IF(K935="Website",1,0)</f>
        <v>1</v>
      </c>
      <c r="Z935" s="13" t="n">
        <f aca="false">IF(K935="Agency",1,0)</f>
        <v>0</v>
      </c>
      <c r="AA935" s="13" t="n">
        <f aca="false">IF(K935="Client",1,0)</f>
        <v>0</v>
      </c>
      <c r="AB935" s="13" t="n">
        <f aca="false">(D935-AVERAGE(D$2:D$2001))/STDEV(D$2:D$2001)</f>
        <v>-1.21881132165305</v>
      </c>
      <c r="AC935" s="13" t="n">
        <f aca="false">(I935-AVERAGE(I$2:I$2001))/STDEV(I$2:I$2001)</f>
        <v>-1.43538077576244</v>
      </c>
      <c r="AD935" s="13" t="n">
        <f aca="false">(L935-AVERAGE(L$2:L$2001))/STDEV(L$2:L$2001)</f>
        <v>0.413838214490712</v>
      </c>
      <c r="AE935" s="13" t="n">
        <f aca="false">(M935-AVERAGE(M$2:M$2001))/STDEV(M$2:M$2001)</f>
        <v>2.29685671899079</v>
      </c>
      <c r="AF935" s="13" t="n">
        <f aca="false">(N935-AVERAGE(N$2:N$2001))/STDEV(N$2:N$2001)</f>
        <v>2.40574915810958</v>
      </c>
      <c r="AG935" s="13" t="n">
        <f aca="false">(O935-AVERAGE(O$2:O$2001))/STDEV(O$2:O$2001)</f>
        <v>2.01885962757662</v>
      </c>
      <c r="AH935" s="0" t="str">
        <f aca="false">IF(B935="Company","C3 - Corporate Buyers",IF(AND(H935="Investment",M935&gt;'Segmentation Summary'!$C$1),"C1 - Global Investors",IF(AND(I935&gt;=4,M935&gt;'Segmentation Summary'!$C$1),"C4 - Luxury Investors",IF(AND(D935&lt;'Segmentation Summary'!$C$2,J935=1),"C2 - First-Time Buyers","C5 - Other Individual Buyers"))))</f>
        <v>C5 - Other Individual Buyers</v>
      </c>
    </row>
    <row r="936" customFormat="false" ht="15" hidden="false" customHeight="true" outlineLevel="0" collapsed="false">
      <c r="A936" s="13" t="s">
        <v>1907</v>
      </c>
      <c r="B936" s="13" t="s">
        <v>34</v>
      </c>
      <c r="C936" s="13" t="s">
        <v>1908</v>
      </c>
      <c r="D936" s="13" t="n">
        <v>53</v>
      </c>
      <c r="E936" s="13" t="s">
        <v>83</v>
      </c>
      <c r="F936" s="13" t="s">
        <v>33</v>
      </c>
      <c r="G936" s="13" t="s">
        <v>95</v>
      </c>
      <c r="H936" s="13" t="s">
        <v>41</v>
      </c>
      <c r="I936" s="13" t="n">
        <v>3</v>
      </c>
      <c r="J936" s="13" t="n">
        <v>1</v>
      </c>
      <c r="K936" s="13" t="s">
        <v>91</v>
      </c>
      <c r="L936" s="13" t="n">
        <v>3</v>
      </c>
      <c r="M936" s="13" t="n">
        <v>896046.43</v>
      </c>
      <c r="N936" s="13" t="n">
        <v>298682.143333333</v>
      </c>
      <c r="O936" s="13" t="n">
        <v>934.873333333333</v>
      </c>
      <c r="P936" s="13" t="n">
        <v>1</v>
      </c>
      <c r="Q936" s="13" t="n">
        <v>2</v>
      </c>
      <c r="R936" s="13" t="s">
        <v>92</v>
      </c>
      <c r="S936" s="13" t="s">
        <v>150</v>
      </c>
      <c r="T936" s="13" t="n">
        <v>1</v>
      </c>
      <c r="U936" s="13" t="n">
        <f aca="false">IF(B936="Individual",1,0)</f>
        <v>1</v>
      </c>
      <c r="V936" s="13" t="n">
        <f aca="false">IF(B936="Company",1,0)</f>
        <v>0</v>
      </c>
      <c r="W936" s="13" t="n">
        <f aca="false">IF(H936="Home",1,0)</f>
        <v>1</v>
      </c>
      <c r="X936" s="13" t="n">
        <f aca="false">IF(H936="Investment",1,0)</f>
        <v>0</v>
      </c>
      <c r="Y936" s="13" t="n">
        <f aca="false">IF(K936="Website",1,0)</f>
        <v>0</v>
      </c>
      <c r="Z936" s="13" t="n">
        <f aca="false">IF(K936="Agency",1,0)</f>
        <v>1</v>
      </c>
      <c r="AA936" s="13" t="n">
        <f aca="false">IF(K936="Client",1,0)</f>
        <v>0</v>
      </c>
      <c r="AB936" s="13" t="n">
        <f aca="false">(D936-AVERAGE(D$2:D$2001))/STDEV(D$2:D$2001)</f>
        <v>-0.065562211890028</v>
      </c>
      <c r="AC936" s="13" t="n">
        <f aca="false">(I936-AVERAGE(I$2:I$2001))/STDEV(I$2:I$2001)</f>
        <v>-0.0205155458339628</v>
      </c>
      <c r="AD936" s="13" t="n">
        <f aca="false">(L936-AVERAGE(L$2:L$2001))/STDEV(L$2:L$2001)</f>
        <v>-0.777063122173208</v>
      </c>
      <c r="AE936" s="13" t="n">
        <f aca="false">(M936-AVERAGE(M$2:M$2001))/STDEV(M$2:M$2001)</f>
        <v>-1.04743223430492</v>
      </c>
      <c r="AF936" s="13" t="n">
        <f aca="false">(N936-AVERAGE(N$2:N$2001))/STDEV(N$2:N$2001)</f>
        <v>-0.694299306534821</v>
      </c>
      <c r="AG936" s="13" t="n">
        <f aca="false">(O936-AVERAGE(O$2:O$2001))/STDEV(O$2:O$2001)</f>
        <v>-0.966732601684416</v>
      </c>
      <c r="AH936" s="0" t="str">
        <f aca="false">IF(B936="Company","C3 - Corporate Buyers",IF(AND(H936="Investment",M936&gt;'Segmentation Summary'!$C$1),"C1 - Global Investors",IF(AND(I936&gt;=4,M936&gt;'Segmentation Summary'!$C$1),"C4 - Luxury Investors",IF(AND(D936&lt;'Segmentation Summary'!$C$2,J936=1),"C2 - First-Time Buyers","C5 - Other Individual Buyers"))))</f>
        <v>C2 - First-Time Buyers</v>
      </c>
    </row>
    <row r="937" customFormat="false" ht="15" hidden="false" customHeight="true" outlineLevel="0" collapsed="false">
      <c r="A937" s="13" t="s">
        <v>1909</v>
      </c>
      <c r="B937" s="13" t="s">
        <v>34</v>
      </c>
      <c r="C937" s="13" t="s">
        <v>1910</v>
      </c>
      <c r="D937" s="13" t="n">
        <v>50</v>
      </c>
      <c r="E937" s="13" t="s">
        <v>83</v>
      </c>
      <c r="F937" s="13" t="s">
        <v>33</v>
      </c>
      <c r="G937" s="13" t="s">
        <v>95</v>
      </c>
      <c r="H937" s="13" t="s">
        <v>43</v>
      </c>
      <c r="I937" s="13" t="n">
        <v>2</v>
      </c>
      <c r="J937" s="13" t="n">
        <v>1</v>
      </c>
      <c r="K937" s="13" t="s">
        <v>91</v>
      </c>
      <c r="L937" s="13" t="n">
        <v>3</v>
      </c>
      <c r="M937" s="13" t="n">
        <v>912916.77</v>
      </c>
      <c r="N937" s="13" t="n">
        <v>304305.59</v>
      </c>
      <c r="O937" s="13" t="n">
        <v>1023.88</v>
      </c>
      <c r="P937" s="13" t="n">
        <v>0</v>
      </c>
      <c r="Q937" s="13" t="n">
        <v>3</v>
      </c>
      <c r="R937" s="13" t="s">
        <v>117</v>
      </c>
      <c r="S937" s="13" t="s">
        <v>87</v>
      </c>
      <c r="T937" s="13" t="n">
        <v>1</v>
      </c>
      <c r="U937" s="13" t="n">
        <f aca="false">IF(B937="Individual",1,0)</f>
        <v>1</v>
      </c>
      <c r="V937" s="13" t="n">
        <f aca="false">IF(B937="Company",1,0)</f>
        <v>0</v>
      </c>
      <c r="W937" s="13" t="n">
        <f aca="false">IF(H937="Home",1,0)</f>
        <v>0</v>
      </c>
      <c r="X937" s="13" t="n">
        <f aca="false">IF(H937="Investment",1,0)</f>
        <v>1</v>
      </c>
      <c r="Y937" s="13" t="n">
        <f aca="false">IF(K937="Website",1,0)</f>
        <v>0</v>
      </c>
      <c r="Z937" s="13" t="n">
        <f aca="false">IF(K937="Agency",1,0)</f>
        <v>1</v>
      </c>
      <c r="AA937" s="13" t="n">
        <f aca="false">IF(K937="Client",1,0)</f>
        <v>0</v>
      </c>
      <c r="AB937" s="13" t="n">
        <f aca="false">(D937-AVERAGE(D$2:D$2001))/STDEV(D$2:D$2001)</f>
        <v>-0.238549578354482</v>
      </c>
      <c r="AC937" s="13" t="n">
        <f aca="false">(I937-AVERAGE(I$2:I$2001))/STDEV(I$2:I$2001)</f>
        <v>-0.727948160798201</v>
      </c>
      <c r="AD937" s="13" t="n">
        <f aca="false">(L937-AVERAGE(L$2:L$2001))/STDEV(L$2:L$2001)</f>
        <v>-0.777063122173208</v>
      </c>
      <c r="AE937" s="13" t="n">
        <f aca="false">(M937-AVERAGE(M$2:M$2001))/STDEV(M$2:M$2001)</f>
        <v>-0.998930645152718</v>
      </c>
      <c r="AF937" s="13" t="n">
        <f aca="false">(N937-AVERAGE(N$2:N$2001))/STDEV(N$2:N$2001)</f>
        <v>-0.613643831385737</v>
      </c>
      <c r="AG937" s="13" t="n">
        <f aca="false">(O937-AVERAGE(O$2:O$2001))/STDEV(O$2:O$2001)</f>
        <v>-0.562014432909563</v>
      </c>
      <c r="AH937" s="0" t="str">
        <f aca="false">IF(B937="Company","C3 - Corporate Buyers",IF(AND(H937="Investment",M937&gt;'Segmentation Summary'!$C$1),"C1 - Global Investors",IF(AND(I937&gt;=4,M937&gt;'Segmentation Summary'!$C$1),"C4 - Luxury Investors",IF(AND(D937&lt;'Segmentation Summary'!$C$2,J937=1),"C2 - First-Time Buyers","C5 - Other Individual Buyers"))))</f>
        <v>C2 - First-Time Buyers</v>
      </c>
    </row>
    <row r="938" customFormat="false" ht="15" hidden="false" customHeight="true" outlineLevel="0" collapsed="false">
      <c r="A938" s="13" t="s">
        <v>1911</v>
      </c>
      <c r="B938" s="13" t="s">
        <v>34</v>
      </c>
      <c r="C938" s="13" t="s">
        <v>1912</v>
      </c>
      <c r="D938" s="13" t="n">
        <v>49</v>
      </c>
      <c r="E938" s="13" t="s">
        <v>83</v>
      </c>
      <c r="F938" s="13" t="s">
        <v>33</v>
      </c>
      <c r="G938" s="13" t="s">
        <v>123</v>
      </c>
      <c r="H938" s="13" t="s">
        <v>41</v>
      </c>
      <c r="I938" s="13" t="n">
        <v>5</v>
      </c>
      <c r="J938" s="13" t="n">
        <v>1</v>
      </c>
      <c r="K938" s="13" t="s">
        <v>85</v>
      </c>
      <c r="L938" s="13" t="n">
        <v>4</v>
      </c>
      <c r="M938" s="13" t="n">
        <v>1347045.42</v>
      </c>
      <c r="N938" s="13" t="n">
        <v>336761.355</v>
      </c>
      <c r="O938" s="13" t="n">
        <v>1204.4975</v>
      </c>
      <c r="P938" s="13" t="n">
        <v>1</v>
      </c>
      <c r="Q938" s="13" t="n">
        <v>3</v>
      </c>
      <c r="R938" s="13" t="s">
        <v>98</v>
      </c>
      <c r="S938" s="13" t="s">
        <v>107</v>
      </c>
      <c r="T938" s="13" t="n">
        <v>1</v>
      </c>
      <c r="U938" s="13" t="n">
        <f aca="false">IF(B938="Individual",1,0)</f>
        <v>1</v>
      </c>
      <c r="V938" s="13" t="n">
        <f aca="false">IF(B938="Company",1,0)</f>
        <v>0</v>
      </c>
      <c r="W938" s="13" t="n">
        <f aca="false">IF(H938="Home",1,0)</f>
        <v>1</v>
      </c>
      <c r="X938" s="13" t="n">
        <f aca="false">IF(H938="Investment",1,0)</f>
        <v>0</v>
      </c>
      <c r="Y938" s="13" t="n">
        <f aca="false">IF(K938="Website",1,0)</f>
        <v>1</v>
      </c>
      <c r="Z938" s="13" t="n">
        <f aca="false">IF(K938="Agency",1,0)</f>
        <v>0</v>
      </c>
      <c r="AA938" s="13" t="n">
        <f aca="false">IF(K938="Client",1,0)</f>
        <v>0</v>
      </c>
      <c r="AB938" s="13" t="n">
        <f aca="false">(D938-AVERAGE(D$2:D$2001))/STDEV(D$2:D$2001)</f>
        <v>-0.296212033842633</v>
      </c>
      <c r="AC938" s="13" t="n">
        <f aca="false">(I938-AVERAGE(I$2:I$2001))/STDEV(I$2:I$2001)</f>
        <v>1.39434968409451</v>
      </c>
      <c r="AD938" s="13" t="n">
        <f aca="false">(L938-AVERAGE(L$2:L$2001))/STDEV(L$2:L$2001)</f>
        <v>0.413838214490712</v>
      </c>
      <c r="AE938" s="13" t="n">
        <f aca="false">(M938-AVERAGE(M$2:M$2001))/STDEV(M$2:M$2001)</f>
        <v>0.249172796834892</v>
      </c>
      <c r="AF938" s="13" t="n">
        <f aca="false">(N938-AVERAGE(N$2:N$2001))/STDEV(N$2:N$2001)</f>
        <v>-0.148140146089206</v>
      </c>
      <c r="AG938" s="13" t="n">
        <f aca="false">(O938-AVERAGE(O$2:O$2001))/STDEV(O$2:O$2001)</f>
        <v>0.259263192534505</v>
      </c>
      <c r="AH938" s="0" t="str">
        <f aca="false">IF(B938="Company","C3 - Corporate Buyers",IF(AND(H938="Investment",M938&gt;'Segmentation Summary'!$C$1),"C1 - Global Investors",IF(AND(I938&gt;=4,M938&gt;'Segmentation Summary'!$C$1),"C4 - Luxury Investors",IF(AND(D938&lt;'Segmentation Summary'!$C$2,J938=1),"C2 - First-Time Buyers","C5 - Other Individual Buyers"))))</f>
        <v>C4 - Luxury Investors</v>
      </c>
    </row>
    <row r="939" customFormat="false" ht="15" hidden="false" customHeight="true" outlineLevel="0" collapsed="false">
      <c r="A939" s="13" t="s">
        <v>1913</v>
      </c>
      <c r="B939" s="13" t="s">
        <v>34</v>
      </c>
      <c r="C939" s="13" t="s">
        <v>1914</v>
      </c>
      <c r="D939" s="13" t="n">
        <v>50</v>
      </c>
      <c r="E939" s="13" t="s">
        <v>83</v>
      </c>
      <c r="F939" s="13" t="s">
        <v>33</v>
      </c>
      <c r="G939" s="13" t="s">
        <v>95</v>
      </c>
      <c r="H939" s="13" t="s">
        <v>43</v>
      </c>
      <c r="I939" s="13" t="n">
        <v>5</v>
      </c>
      <c r="J939" s="13" t="n">
        <v>0</v>
      </c>
      <c r="K939" s="13" t="s">
        <v>116</v>
      </c>
      <c r="L939" s="13" t="n">
        <v>3</v>
      </c>
      <c r="M939" s="13" t="n">
        <v>784629.95</v>
      </c>
      <c r="N939" s="13" t="n">
        <v>261543.316666667</v>
      </c>
      <c r="O939" s="13" t="n">
        <v>900.46</v>
      </c>
      <c r="P939" s="13" t="n">
        <v>0</v>
      </c>
      <c r="Q939" s="13" t="n">
        <v>3</v>
      </c>
      <c r="R939" s="13" t="s">
        <v>117</v>
      </c>
      <c r="S939" s="13" t="s">
        <v>141</v>
      </c>
      <c r="T939" s="13" t="n">
        <v>1</v>
      </c>
      <c r="U939" s="13" t="n">
        <f aca="false">IF(B939="Individual",1,0)</f>
        <v>1</v>
      </c>
      <c r="V939" s="13" t="n">
        <f aca="false">IF(B939="Company",1,0)</f>
        <v>0</v>
      </c>
      <c r="W939" s="13" t="n">
        <f aca="false">IF(H939="Home",1,0)</f>
        <v>0</v>
      </c>
      <c r="X939" s="13" t="n">
        <f aca="false">IF(H939="Investment",1,0)</f>
        <v>1</v>
      </c>
      <c r="Y939" s="13" t="n">
        <f aca="false">IF(K939="Website",1,0)</f>
        <v>0</v>
      </c>
      <c r="Z939" s="13" t="n">
        <f aca="false">IF(K939="Agency",1,0)</f>
        <v>0</v>
      </c>
      <c r="AA939" s="13" t="n">
        <f aca="false">IF(K939="Client",1,0)</f>
        <v>1</v>
      </c>
      <c r="AB939" s="13" t="n">
        <f aca="false">(D939-AVERAGE(D$2:D$2001))/STDEV(D$2:D$2001)</f>
        <v>-0.238549578354482</v>
      </c>
      <c r="AC939" s="13" t="n">
        <f aca="false">(I939-AVERAGE(I$2:I$2001))/STDEV(I$2:I$2001)</f>
        <v>1.39434968409451</v>
      </c>
      <c r="AD939" s="13" t="n">
        <f aca="false">(L939-AVERAGE(L$2:L$2001))/STDEV(L$2:L$2001)</f>
        <v>-0.777063122173208</v>
      </c>
      <c r="AE939" s="13" t="n">
        <f aca="false">(M939-AVERAGE(M$2:M$2001))/STDEV(M$2:M$2001)</f>
        <v>-1.36775039847617</v>
      </c>
      <c r="AF939" s="13" t="n">
        <f aca="false">(N939-AVERAGE(N$2:N$2001))/STDEV(N$2:N$2001)</f>
        <v>-1.22697079589648</v>
      </c>
      <c r="AG939" s="13" t="n">
        <f aca="false">(O939-AVERAGE(O$2:O$2001))/STDEV(O$2:O$2001)</f>
        <v>-1.12321190564785</v>
      </c>
      <c r="AH939" s="0" t="str">
        <f aca="false">IF(B939="Company","C3 - Corporate Buyers",IF(AND(H939="Investment",M939&gt;'Segmentation Summary'!$C$1),"C1 - Global Investors",IF(AND(I939&gt;=4,M939&gt;'Segmentation Summary'!$C$1),"C4 - Luxury Investors",IF(AND(D939&lt;'Segmentation Summary'!$C$2,J939=1),"C2 - First-Time Buyers","C5 - Other Individual Buyers"))))</f>
        <v>C5 - Other Individual Buyers</v>
      </c>
    </row>
    <row r="940" customFormat="false" ht="15" hidden="false" customHeight="true" outlineLevel="0" collapsed="false">
      <c r="A940" s="13" t="s">
        <v>1915</v>
      </c>
      <c r="B940" s="13" t="s">
        <v>34</v>
      </c>
      <c r="C940" s="13" t="s">
        <v>1916</v>
      </c>
      <c r="D940" s="13" t="n">
        <v>84</v>
      </c>
      <c r="E940" s="13" t="s">
        <v>83</v>
      </c>
      <c r="F940" s="13" t="s">
        <v>37</v>
      </c>
      <c r="G940" s="13" t="s">
        <v>676</v>
      </c>
      <c r="H940" s="13" t="s">
        <v>41</v>
      </c>
      <c r="I940" s="13" t="n">
        <v>3</v>
      </c>
      <c r="J940" s="13" t="n">
        <v>0</v>
      </c>
      <c r="K940" s="13" t="s">
        <v>85</v>
      </c>
      <c r="L940" s="13" t="n">
        <v>3</v>
      </c>
      <c r="M940" s="13" t="n">
        <v>1072452.07</v>
      </c>
      <c r="N940" s="13" t="n">
        <v>357484.023333333</v>
      </c>
      <c r="O940" s="13" t="n">
        <v>1185.35333333333</v>
      </c>
      <c r="P940" s="13" t="n">
        <v>2</v>
      </c>
      <c r="Q940" s="13" t="n">
        <v>1</v>
      </c>
      <c r="R940" s="13" t="s">
        <v>101</v>
      </c>
      <c r="S940" s="13" t="s">
        <v>121</v>
      </c>
      <c r="T940" s="13" t="n">
        <v>1</v>
      </c>
      <c r="U940" s="13" t="n">
        <f aca="false">IF(B940="Individual",1,0)</f>
        <v>1</v>
      </c>
      <c r="V940" s="13" t="n">
        <f aca="false">IF(B940="Company",1,0)</f>
        <v>0</v>
      </c>
      <c r="W940" s="13" t="n">
        <f aca="false">IF(H940="Home",1,0)</f>
        <v>1</v>
      </c>
      <c r="X940" s="13" t="n">
        <f aca="false">IF(H940="Investment",1,0)</f>
        <v>0</v>
      </c>
      <c r="Y940" s="13" t="n">
        <f aca="false">IF(K940="Website",1,0)</f>
        <v>1</v>
      </c>
      <c r="Z940" s="13" t="n">
        <f aca="false">IF(K940="Agency",1,0)</f>
        <v>0</v>
      </c>
      <c r="AA940" s="13" t="n">
        <f aca="false">IF(K940="Client",1,0)</f>
        <v>0</v>
      </c>
      <c r="AB940" s="13" t="n">
        <f aca="false">(D940-AVERAGE(D$2:D$2001))/STDEV(D$2:D$2001)</f>
        <v>1.72197390824266</v>
      </c>
      <c r="AC940" s="13" t="n">
        <f aca="false">(I940-AVERAGE(I$2:I$2001))/STDEV(I$2:I$2001)</f>
        <v>-0.0205155458339628</v>
      </c>
      <c r="AD940" s="13" t="n">
        <f aca="false">(L940-AVERAGE(L$2:L$2001))/STDEV(L$2:L$2001)</f>
        <v>-0.777063122173208</v>
      </c>
      <c r="AE940" s="13" t="n">
        <f aca="false">(M940-AVERAGE(M$2:M$2001))/STDEV(M$2:M$2001)</f>
        <v>-0.540272694223826</v>
      </c>
      <c r="AF940" s="13" t="n">
        <f aca="false">(N940-AVERAGE(N$2:N$2001))/STDEV(N$2:N$2001)</f>
        <v>0.149079114598203</v>
      </c>
      <c r="AG940" s="13" t="n">
        <f aca="false">(O940-AVERAGE(O$2:O$2001))/STDEV(O$2:O$2001)</f>
        <v>0.172213622359366</v>
      </c>
      <c r="AH940" s="0" t="str">
        <f aca="false">IF(B940="Company","C3 - Corporate Buyers",IF(AND(H940="Investment",M940&gt;'Segmentation Summary'!$C$1),"C1 - Global Investors",IF(AND(I940&gt;=4,M940&gt;'Segmentation Summary'!$C$1),"C4 - Luxury Investors",IF(AND(D940&lt;'Segmentation Summary'!$C$2,J940=1),"C2 - First-Time Buyers","C5 - Other Individual Buyers"))))</f>
        <v>C5 - Other Individual Buyers</v>
      </c>
    </row>
    <row r="941" customFormat="false" ht="15" hidden="false" customHeight="true" outlineLevel="0" collapsed="false">
      <c r="A941" s="13" t="s">
        <v>1917</v>
      </c>
      <c r="B941" s="13" t="s">
        <v>34</v>
      </c>
      <c r="C941" s="13" t="s">
        <v>1918</v>
      </c>
      <c r="D941" s="13" t="n">
        <v>62</v>
      </c>
      <c r="E941" s="13" t="s">
        <v>83</v>
      </c>
      <c r="F941" s="13" t="s">
        <v>33</v>
      </c>
      <c r="G941" s="13" t="s">
        <v>110</v>
      </c>
      <c r="H941" s="13" t="s">
        <v>41</v>
      </c>
      <c r="I941" s="13" t="n">
        <v>5</v>
      </c>
      <c r="J941" s="13" t="n">
        <v>0</v>
      </c>
      <c r="K941" s="13" t="s">
        <v>91</v>
      </c>
      <c r="L941" s="13" t="n">
        <v>3</v>
      </c>
      <c r="M941" s="13" t="n">
        <v>857125.52</v>
      </c>
      <c r="N941" s="13" t="n">
        <v>285708.506666667</v>
      </c>
      <c r="O941" s="13" t="n">
        <v>903.87</v>
      </c>
      <c r="P941" s="13" t="n">
        <v>0</v>
      </c>
      <c r="Q941" s="13" t="n">
        <v>3</v>
      </c>
      <c r="R941" s="13" t="s">
        <v>92</v>
      </c>
      <c r="S941" s="13" t="s">
        <v>154</v>
      </c>
      <c r="T941" s="13" t="n">
        <v>1</v>
      </c>
      <c r="U941" s="13" t="n">
        <f aca="false">IF(B941="Individual",1,0)</f>
        <v>1</v>
      </c>
      <c r="V941" s="13" t="n">
        <f aca="false">IF(B941="Company",1,0)</f>
        <v>0</v>
      </c>
      <c r="W941" s="13" t="n">
        <f aca="false">IF(H941="Home",1,0)</f>
        <v>1</v>
      </c>
      <c r="X941" s="13" t="n">
        <f aca="false">IF(H941="Investment",1,0)</f>
        <v>0</v>
      </c>
      <c r="Y941" s="13" t="n">
        <f aca="false">IF(K941="Website",1,0)</f>
        <v>0</v>
      </c>
      <c r="Z941" s="13" t="n">
        <f aca="false">IF(K941="Agency",1,0)</f>
        <v>1</v>
      </c>
      <c r="AA941" s="13" t="n">
        <f aca="false">IF(K941="Client",1,0)</f>
        <v>0</v>
      </c>
      <c r="AB941" s="13" t="n">
        <f aca="false">(D941-AVERAGE(D$2:D$2001))/STDEV(D$2:D$2001)</f>
        <v>0.453399887503333</v>
      </c>
      <c r="AC941" s="13" t="n">
        <f aca="false">(I941-AVERAGE(I$2:I$2001))/STDEV(I$2:I$2001)</f>
        <v>1.39434968409451</v>
      </c>
      <c r="AD941" s="13" t="n">
        <f aca="false">(L941-AVERAGE(L$2:L$2001))/STDEV(L$2:L$2001)</f>
        <v>-0.777063122173208</v>
      </c>
      <c r="AE941" s="13" t="n">
        <f aca="false">(M941-AVERAGE(M$2:M$2001))/STDEV(M$2:M$2001)</f>
        <v>-1.15932837784737</v>
      </c>
      <c r="AF941" s="13" t="n">
        <f aca="false">(N941-AVERAGE(N$2:N$2001))/STDEV(N$2:N$2001)</f>
        <v>-0.880376438903485</v>
      </c>
      <c r="AG941" s="13" t="n">
        <f aca="false">(O941-AVERAGE(O$2:O$2001))/STDEV(O$2:O$2001)</f>
        <v>-1.10770644962745</v>
      </c>
      <c r="AH941" s="0" t="str">
        <f aca="false">IF(B941="Company","C3 - Corporate Buyers",IF(AND(H941="Investment",M941&gt;'Segmentation Summary'!$C$1),"C1 - Global Investors",IF(AND(I941&gt;=4,M941&gt;'Segmentation Summary'!$C$1),"C4 - Luxury Investors",IF(AND(D941&lt;'Segmentation Summary'!$C$2,J941=1),"C2 - First-Time Buyers","C5 - Other Individual Buyers"))))</f>
        <v>C5 - Other Individual Buyers</v>
      </c>
    </row>
    <row r="942" customFormat="false" ht="15" hidden="false" customHeight="true" outlineLevel="0" collapsed="false">
      <c r="A942" s="13" t="s">
        <v>1919</v>
      </c>
      <c r="B942" s="13" t="s">
        <v>34</v>
      </c>
      <c r="C942" s="13" t="s">
        <v>1920</v>
      </c>
      <c r="D942" s="13" t="n">
        <v>40</v>
      </c>
      <c r="E942" s="13" t="s">
        <v>83</v>
      </c>
      <c r="F942" s="13" t="s">
        <v>33</v>
      </c>
      <c r="G942" s="13" t="s">
        <v>95</v>
      </c>
      <c r="H942" s="13" t="s">
        <v>41</v>
      </c>
      <c r="I942" s="13" t="n">
        <v>5</v>
      </c>
      <c r="J942" s="13" t="n">
        <v>1</v>
      </c>
      <c r="K942" s="13" t="s">
        <v>85</v>
      </c>
      <c r="L942" s="13" t="n">
        <v>3</v>
      </c>
      <c r="M942" s="13" t="n">
        <v>1392353.31</v>
      </c>
      <c r="N942" s="13" t="n">
        <v>464117.77</v>
      </c>
      <c r="O942" s="13" t="n">
        <v>1630.13666666667</v>
      </c>
      <c r="P942" s="13" t="n">
        <v>0</v>
      </c>
      <c r="Q942" s="13" t="n">
        <v>3</v>
      </c>
      <c r="R942" s="13" t="s">
        <v>111</v>
      </c>
      <c r="S942" s="13" t="s">
        <v>154</v>
      </c>
      <c r="T942" s="13" t="n">
        <v>1</v>
      </c>
      <c r="U942" s="13" t="n">
        <f aca="false">IF(B942="Individual",1,0)</f>
        <v>1</v>
      </c>
      <c r="V942" s="13" t="n">
        <f aca="false">IF(B942="Company",1,0)</f>
        <v>0</v>
      </c>
      <c r="W942" s="13" t="n">
        <f aca="false">IF(H942="Home",1,0)</f>
        <v>1</v>
      </c>
      <c r="X942" s="13" t="n">
        <f aca="false">IF(H942="Investment",1,0)</f>
        <v>0</v>
      </c>
      <c r="Y942" s="13" t="n">
        <f aca="false">IF(K942="Website",1,0)</f>
        <v>1</v>
      </c>
      <c r="Z942" s="13" t="n">
        <f aca="false">IF(K942="Agency",1,0)</f>
        <v>0</v>
      </c>
      <c r="AA942" s="13" t="n">
        <f aca="false">IF(K942="Client",1,0)</f>
        <v>0</v>
      </c>
      <c r="AB942" s="13" t="n">
        <f aca="false">(D942-AVERAGE(D$2:D$2001))/STDEV(D$2:D$2001)</f>
        <v>-0.815174133235994</v>
      </c>
      <c r="AC942" s="13" t="n">
        <f aca="false">(I942-AVERAGE(I$2:I$2001))/STDEV(I$2:I$2001)</f>
        <v>1.39434968409451</v>
      </c>
      <c r="AD942" s="13" t="n">
        <f aca="false">(L942-AVERAGE(L$2:L$2001))/STDEV(L$2:L$2001)</f>
        <v>-0.777063122173208</v>
      </c>
      <c r="AE942" s="13" t="n">
        <f aca="false">(M942-AVERAGE(M$2:M$2001))/STDEV(M$2:M$2001)</f>
        <v>0.379431266203813</v>
      </c>
      <c r="AF942" s="13" t="n">
        <f aca="false">(N942-AVERAGE(N$2:N$2001))/STDEV(N$2:N$2001)</f>
        <v>1.67849621662338</v>
      </c>
      <c r="AG942" s="13" t="n">
        <f aca="false">(O942-AVERAGE(O$2:O$2001))/STDEV(O$2:O$2001)</f>
        <v>2.19466770259579</v>
      </c>
      <c r="AH942" s="0" t="str">
        <f aca="false">IF(B942="Company","C3 - Corporate Buyers",IF(AND(H942="Investment",M942&gt;'Segmentation Summary'!$C$1),"C1 - Global Investors",IF(AND(I942&gt;=4,M942&gt;'Segmentation Summary'!$C$1),"C4 - Luxury Investors",IF(AND(D942&lt;'Segmentation Summary'!$C$2,J942=1),"C2 - First-Time Buyers","C5 - Other Individual Buyers"))))</f>
        <v>C4 - Luxury Investors</v>
      </c>
    </row>
    <row r="943" customFormat="false" ht="15" hidden="false" customHeight="true" outlineLevel="0" collapsed="false">
      <c r="A943" s="13" t="s">
        <v>1921</v>
      </c>
      <c r="B943" s="13" t="s">
        <v>34</v>
      </c>
      <c r="C943" s="13" t="s">
        <v>1922</v>
      </c>
      <c r="D943" s="13" t="n">
        <v>53</v>
      </c>
      <c r="E943" s="13" t="s">
        <v>83</v>
      </c>
      <c r="F943" s="13" t="s">
        <v>38</v>
      </c>
      <c r="G943" s="13" t="s">
        <v>665</v>
      </c>
      <c r="H943" s="13" t="s">
        <v>43</v>
      </c>
      <c r="I943" s="13" t="n">
        <v>4</v>
      </c>
      <c r="J943" s="13" t="n">
        <v>1</v>
      </c>
      <c r="K943" s="13" t="s">
        <v>85</v>
      </c>
      <c r="L943" s="13" t="n">
        <v>4</v>
      </c>
      <c r="M943" s="13" t="n">
        <v>1143605.72</v>
      </c>
      <c r="N943" s="13" t="n">
        <v>285901.43</v>
      </c>
      <c r="O943" s="13" t="n">
        <v>928.745</v>
      </c>
      <c r="P943" s="13" t="n">
        <v>2</v>
      </c>
      <c r="Q943" s="13" t="n">
        <v>2</v>
      </c>
      <c r="R943" s="13" t="s">
        <v>128</v>
      </c>
      <c r="S943" s="13" t="s">
        <v>107</v>
      </c>
      <c r="T943" s="13" t="n">
        <v>1</v>
      </c>
      <c r="U943" s="13" t="n">
        <f aca="false">IF(B943="Individual",1,0)</f>
        <v>1</v>
      </c>
      <c r="V943" s="13" t="n">
        <f aca="false">IF(B943="Company",1,0)</f>
        <v>0</v>
      </c>
      <c r="W943" s="13" t="n">
        <f aca="false">IF(H943="Home",1,0)</f>
        <v>0</v>
      </c>
      <c r="X943" s="13" t="n">
        <f aca="false">IF(H943="Investment",1,0)</f>
        <v>1</v>
      </c>
      <c r="Y943" s="13" t="n">
        <f aca="false">IF(K943="Website",1,0)</f>
        <v>1</v>
      </c>
      <c r="Z943" s="13" t="n">
        <f aca="false">IF(K943="Agency",1,0)</f>
        <v>0</v>
      </c>
      <c r="AA943" s="13" t="n">
        <f aca="false">IF(K943="Client",1,0)</f>
        <v>0</v>
      </c>
      <c r="AB943" s="13" t="n">
        <f aca="false">(D943-AVERAGE(D$2:D$2001))/STDEV(D$2:D$2001)</f>
        <v>-0.065562211890028</v>
      </c>
      <c r="AC943" s="13" t="n">
        <f aca="false">(I943-AVERAGE(I$2:I$2001))/STDEV(I$2:I$2001)</f>
        <v>0.686917069130275</v>
      </c>
      <c r="AD943" s="13" t="n">
        <f aca="false">(L943-AVERAGE(L$2:L$2001))/STDEV(L$2:L$2001)</f>
        <v>0.413838214490712</v>
      </c>
      <c r="AE943" s="13" t="n">
        <f aca="false">(M943-AVERAGE(M$2:M$2001))/STDEV(M$2:M$2001)</f>
        <v>-0.33570864281883</v>
      </c>
      <c r="AF943" s="13" t="n">
        <f aca="false">(N943-AVERAGE(N$2:N$2001))/STDEV(N$2:N$2001)</f>
        <v>-0.877609395124169</v>
      </c>
      <c r="AG943" s="13" t="n">
        <f aca="false">(O943-AVERAGE(O$2:O$2001))/STDEV(O$2:O$2001)</f>
        <v>-0.994598467660467</v>
      </c>
      <c r="AH943" s="0" t="str">
        <f aca="false">IF(B943="Company","C3 - Corporate Buyers",IF(AND(H943="Investment",M943&gt;'Segmentation Summary'!$C$1),"C1 - Global Investors",IF(AND(I943&gt;=4,M943&gt;'Segmentation Summary'!$C$1),"C4 - Luxury Investors",IF(AND(D943&lt;'Segmentation Summary'!$C$2,J943=1),"C2 - First-Time Buyers","C5 - Other Individual Buyers"))))</f>
        <v>C2 - First-Time Buyers</v>
      </c>
    </row>
    <row r="944" customFormat="false" ht="15" hidden="false" customHeight="true" outlineLevel="0" collapsed="false">
      <c r="A944" s="13" t="s">
        <v>1923</v>
      </c>
      <c r="B944" s="13" t="s">
        <v>34</v>
      </c>
      <c r="C944" s="13" t="s">
        <v>1924</v>
      </c>
      <c r="D944" s="13" t="n">
        <v>34</v>
      </c>
      <c r="E944" s="13" t="s">
        <v>83</v>
      </c>
      <c r="F944" s="13" t="s">
        <v>33</v>
      </c>
      <c r="G944" s="13" t="s">
        <v>95</v>
      </c>
      <c r="H944" s="13" t="s">
        <v>41</v>
      </c>
      <c r="I944" s="13" t="n">
        <v>1</v>
      </c>
      <c r="J944" s="13" t="n">
        <v>0</v>
      </c>
      <c r="K944" s="13" t="s">
        <v>91</v>
      </c>
      <c r="L944" s="13" t="n">
        <v>3</v>
      </c>
      <c r="M944" s="13" t="n">
        <v>766554.56</v>
      </c>
      <c r="N944" s="13" t="n">
        <v>255518.186666667</v>
      </c>
      <c r="O944" s="13" t="n">
        <v>839.143333333333</v>
      </c>
      <c r="P944" s="13" t="n">
        <v>0</v>
      </c>
      <c r="Q944" s="13" t="n">
        <v>3</v>
      </c>
      <c r="R944" s="13" t="s">
        <v>98</v>
      </c>
      <c r="S944" s="13" t="s">
        <v>128</v>
      </c>
      <c r="T944" s="13" t="n">
        <v>1</v>
      </c>
      <c r="U944" s="13" t="n">
        <f aca="false">IF(B944="Individual",1,0)</f>
        <v>1</v>
      </c>
      <c r="V944" s="13" t="n">
        <f aca="false">IF(B944="Company",1,0)</f>
        <v>0</v>
      </c>
      <c r="W944" s="13" t="n">
        <f aca="false">IF(H944="Home",1,0)</f>
        <v>1</v>
      </c>
      <c r="X944" s="13" t="n">
        <f aca="false">IF(H944="Investment",1,0)</f>
        <v>0</v>
      </c>
      <c r="Y944" s="13" t="n">
        <f aca="false">IF(K944="Website",1,0)</f>
        <v>0</v>
      </c>
      <c r="Z944" s="13" t="n">
        <f aca="false">IF(K944="Agency",1,0)</f>
        <v>1</v>
      </c>
      <c r="AA944" s="13" t="n">
        <f aca="false">IF(K944="Client",1,0)</f>
        <v>0</v>
      </c>
      <c r="AB944" s="13" t="n">
        <f aca="false">(D944-AVERAGE(D$2:D$2001))/STDEV(D$2:D$2001)</f>
        <v>-1.1611488661649</v>
      </c>
      <c r="AC944" s="13" t="n">
        <f aca="false">(I944-AVERAGE(I$2:I$2001))/STDEV(I$2:I$2001)</f>
        <v>-1.43538077576244</v>
      </c>
      <c r="AD944" s="13" t="n">
        <f aca="false">(L944-AVERAGE(L$2:L$2001))/STDEV(L$2:L$2001)</f>
        <v>-0.777063122173208</v>
      </c>
      <c r="AE944" s="13" t="n">
        <f aca="false">(M944-AVERAGE(M$2:M$2001))/STDEV(M$2:M$2001)</f>
        <v>-1.41971646078113</v>
      </c>
      <c r="AF944" s="13" t="n">
        <f aca="false">(N944-AVERAGE(N$2:N$2001))/STDEV(N$2:N$2001)</f>
        <v>-1.31338749935088</v>
      </c>
      <c r="AG944" s="13" t="n">
        <f aca="false">(O944-AVERAGE(O$2:O$2001))/STDEV(O$2:O$2001)</f>
        <v>-1.40202213389342</v>
      </c>
      <c r="AH944" s="0" t="str">
        <f aca="false">IF(B944="Company","C3 - Corporate Buyers",IF(AND(H944="Investment",M944&gt;'Segmentation Summary'!$C$1),"C1 - Global Investors",IF(AND(I944&gt;=4,M944&gt;'Segmentation Summary'!$C$1),"C4 - Luxury Investors",IF(AND(D944&lt;'Segmentation Summary'!$C$2,J944=1),"C2 - First-Time Buyers","C5 - Other Individual Buyers"))))</f>
        <v>C5 - Other Individual Buyers</v>
      </c>
    </row>
    <row r="945" customFormat="false" ht="15" hidden="false" customHeight="true" outlineLevel="0" collapsed="false">
      <c r="A945" s="13" t="s">
        <v>1925</v>
      </c>
      <c r="B945" s="13" t="s">
        <v>34</v>
      </c>
      <c r="C945" s="13" t="s">
        <v>1926</v>
      </c>
      <c r="D945" s="13" t="n">
        <v>27</v>
      </c>
      <c r="E945" s="13" t="s">
        <v>83</v>
      </c>
      <c r="F945" s="13" t="s">
        <v>33</v>
      </c>
      <c r="G945" s="13" t="s">
        <v>95</v>
      </c>
      <c r="H945" s="13" t="s">
        <v>41</v>
      </c>
      <c r="I945" s="13" t="n">
        <v>2</v>
      </c>
      <c r="J945" s="13" t="n">
        <v>0</v>
      </c>
      <c r="K945" s="13" t="s">
        <v>91</v>
      </c>
      <c r="L945" s="13" t="n">
        <v>4</v>
      </c>
      <c r="M945" s="13" t="n">
        <v>1368767.79</v>
      </c>
      <c r="N945" s="13" t="n">
        <v>342191.9475</v>
      </c>
      <c r="O945" s="13" t="n">
        <v>1164.015</v>
      </c>
      <c r="P945" s="13" t="n">
        <v>0</v>
      </c>
      <c r="Q945" s="13" t="n">
        <v>4</v>
      </c>
      <c r="R945" s="13" t="s">
        <v>101</v>
      </c>
      <c r="S945" s="13" t="s">
        <v>152</v>
      </c>
      <c r="T945" s="13" t="n">
        <v>1</v>
      </c>
      <c r="U945" s="13" t="n">
        <f aca="false">IF(B945="Individual",1,0)</f>
        <v>1</v>
      </c>
      <c r="V945" s="13" t="n">
        <f aca="false">IF(B945="Company",1,0)</f>
        <v>0</v>
      </c>
      <c r="W945" s="13" t="n">
        <f aca="false">IF(H945="Home",1,0)</f>
        <v>1</v>
      </c>
      <c r="X945" s="13" t="n">
        <f aca="false">IF(H945="Investment",1,0)</f>
        <v>0</v>
      </c>
      <c r="Y945" s="13" t="n">
        <f aca="false">IF(K945="Website",1,0)</f>
        <v>0</v>
      </c>
      <c r="Z945" s="13" t="n">
        <f aca="false">IF(K945="Agency",1,0)</f>
        <v>1</v>
      </c>
      <c r="AA945" s="13" t="n">
        <f aca="false">IF(K945="Client",1,0)</f>
        <v>0</v>
      </c>
      <c r="AB945" s="13" t="n">
        <f aca="false">(D945-AVERAGE(D$2:D$2001))/STDEV(D$2:D$2001)</f>
        <v>-1.56478605458196</v>
      </c>
      <c r="AC945" s="13" t="n">
        <f aca="false">(I945-AVERAGE(I$2:I$2001))/STDEV(I$2:I$2001)</f>
        <v>-0.727948160798201</v>
      </c>
      <c r="AD945" s="13" t="n">
        <f aca="false">(L945-AVERAGE(L$2:L$2001))/STDEV(L$2:L$2001)</f>
        <v>0.413838214490712</v>
      </c>
      <c r="AE945" s="13" t="n">
        <f aca="false">(M945-AVERAGE(M$2:M$2001))/STDEV(M$2:M$2001)</f>
        <v>0.311623788643722</v>
      </c>
      <c r="AF945" s="13" t="n">
        <f aca="false">(N945-AVERAGE(N$2:N$2001))/STDEV(N$2:N$2001)</f>
        <v>-0.070250722681878</v>
      </c>
      <c r="AG945" s="13" t="n">
        <f aca="false">(O945-AVERAGE(O$2:O$2001))/STDEV(O$2:O$2001)</f>
        <v>0.0751870566559807</v>
      </c>
      <c r="AH945" s="0" t="str">
        <f aca="false">IF(B945="Company","C3 - Corporate Buyers",IF(AND(H945="Investment",M945&gt;'Segmentation Summary'!$C$1),"C1 - Global Investors",IF(AND(I945&gt;=4,M945&gt;'Segmentation Summary'!$C$1),"C4 - Luxury Investors",IF(AND(D945&lt;'Segmentation Summary'!$C$2,J945=1),"C2 - First-Time Buyers","C5 - Other Individual Buyers"))))</f>
        <v>C5 - Other Individual Buyers</v>
      </c>
    </row>
    <row r="946" customFormat="false" ht="15" hidden="false" customHeight="true" outlineLevel="0" collapsed="false">
      <c r="A946" s="13" t="s">
        <v>1927</v>
      </c>
      <c r="B946" s="13" t="s">
        <v>34</v>
      </c>
      <c r="C946" s="13" t="s">
        <v>1928</v>
      </c>
      <c r="D946" s="13" t="n">
        <v>54</v>
      </c>
      <c r="E946" s="13" t="s">
        <v>83</v>
      </c>
      <c r="F946" s="13" t="s">
        <v>33</v>
      </c>
      <c r="G946" s="13" t="s">
        <v>123</v>
      </c>
      <c r="H946" s="13" t="s">
        <v>43</v>
      </c>
      <c r="I946" s="13" t="n">
        <v>4</v>
      </c>
      <c r="J946" s="13" t="n">
        <v>1</v>
      </c>
      <c r="K946" s="13" t="s">
        <v>85</v>
      </c>
      <c r="L946" s="13" t="n">
        <v>4</v>
      </c>
      <c r="M946" s="13" t="n">
        <v>1255265.82</v>
      </c>
      <c r="N946" s="13" t="n">
        <v>313816.455</v>
      </c>
      <c r="O946" s="13" t="n">
        <v>996.1925</v>
      </c>
      <c r="P946" s="13" t="n">
        <v>1</v>
      </c>
      <c r="Q946" s="13" t="n">
        <v>3</v>
      </c>
      <c r="R946" s="13" t="s">
        <v>124</v>
      </c>
      <c r="S946" s="13" t="s">
        <v>125</v>
      </c>
      <c r="T946" s="13" t="n">
        <v>1</v>
      </c>
      <c r="U946" s="13" t="n">
        <f aca="false">IF(B946="Individual",1,0)</f>
        <v>1</v>
      </c>
      <c r="V946" s="13" t="n">
        <f aca="false">IF(B946="Company",1,0)</f>
        <v>0</v>
      </c>
      <c r="W946" s="13" t="n">
        <f aca="false">IF(H946="Home",1,0)</f>
        <v>0</v>
      </c>
      <c r="X946" s="13" t="n">
        <f aca="false">IF(H946="Investment",1,0)</f>
        <v>1</v>
      </c>
      <c r="Y946" s="13" t="n">
        <f aca="false">IF(K946="Website",1,0)</f>
        <v>1</v>
      </c>
      <c r="Z946" s="13" t="n">
        <f aca="false">IF(K946="Agency",1,0)</f>
        <v>0</v>
      </c>
      <c r="AA946" s="13" t="n">
        <f aca="false">IF(K946="Client",1,0)</f>
        <v>0</v>
      </c>
      <c r="AB946" s="13" t="n">
        <f aca="false">(D946-AVERAGE(D$2:D$2001))/STDEV(D$2:D$2001)</f>
        <v>-0.00789975640187674</v>
      </c>
      <c r="AC946" s="13" t="n">
        <f aca="false">(I946-AVERAGE(I$2:I$2001))/STDEV(I$2:I$2001)</f>
        <v>0.686917069130275</v>
      </c>
      <c r="AD946" s="13" t="n">
        <f aca="false">(L946-AVERAGE(L$2:L$2001))/STDEV(L$2:L$2001)</f>
        <v>0.413838214490712</v>
      </c>
      <c r="AE946" s="13" t="n">
        <f aca="false">(M946-AVERAGE(M$2:M$2001))/STDEV(M$2:M$2001)</f>
        <v>-0.0146900803657855</v>
      </c>
      <c r="AF946" s="13" t="n">
        <f aca="false">(N946-AVERAGE(N$2:N$2001))/STDEV(N$2:N$2001)</f>
        <v>-0.477232235237632</v>
      </c>
      <c r="AG946" s="13" t="n">
        <f aca="false">(O946-AVERAGE(O$2:O$2001))/STDEV(O$2:O$2001)</f>
        <v>-0.687911005802459</v>
      </c>
      <c r="AH946" s="0" t="str">
        <f aca="false">IF(B946="Company","C3 - Corporate Buyers",IF(AND(H946="Investment",M946&gt;'Segmentation Summary'!$C$1),"C1 - Global Investors",IF(AND(I946&gt;=4,M946&gt;'Segmentation Summary'!$C$1),"C4 - Luxury Investors",IF(AND(D946&lt;'Segmentation Summary'!$C$2,J946=1),"C2 - First-Time Buyers","C5 - Other Individual Buyers"))))</f>
        <v>C1 - Global Investors</v>
      </c>
    </row>
    <row r="947" customFormat="false" ht="15" hidden="false" customHeight="true" outlineLevel="0" collapsed="false">
      <c r="A947" s="13" t="s">
        <v>1929</v>
      </c>
      <c r="B947" s="13" t="s">
        <v>34</v>
      </c>
      <c r="C947" s="13" t="s">
        <v>1930</v>
      </c>
      <c r="D947" s="13" t="n">
        <v>47</v>
      </c>
      <c r="E947" s="13" t="s">
        <v>83</v>
      </c>
      <c r="F947" s="13" t="s">
        <v>33</v>
      </c>
      <c r="G947" s="13" t="s">
        <v>97</v>
      </c>
      <c r="H947" s="13" t="s">
        <v>41</v>
      </c>
      <c r="I947" s="13" t="n">
        <v>1</v>
      </c>
      <c r="J947" s="13" t="n">
        <v>0</v>
      </c>
      <c r="K947" s="13" t="s">
        <v>85</v>
      </c>
      <c r="L947" s="13" t="n">
        <v>4</v>
      </c>
      <c r="M947" s="13" t="n">
        <v>1654928.32</v>
      </c>
      <c r="N947" s="13" t="n">
        <v>413732.08</v>
      </c>
      <c r="O947" s="13" t="n">
        <v>1374.585</v>
      </c>
      <c r="P947" s="13" t="n">
        <v>0</v>
      </c>
      <c r="Q947" s="13" t="n">
        <v>4</v>
      </c>
      <c r="R947" s="13" t="s">
        <v>98</v>
      </c>
      <c r="S947" s="13" t="s">
        <v>135</v>
      </c>
      <c r="T947" s="13" t="n">
        <v>1</v>
      </c>
      <c r="U947" s="13" t="n">
        <f aca="false">IF(B947="Individual",1,0)</f>
        <v>1</v>
      </c>
      <c r="V947" s="13" t="n">
        <f aca="false">IF(B947="Company",1,0)</f>
        <v>0</v>
      </c>
      <c r="W947" s="13" t="n">
        <f aca="false">IF(H947="Home",1,0)</f>
        <v>1</v>
      </c>
      <c r="X947" s="13" t="n">
        <f aca="false">IF(H947="Investment",1,0)</f>
        <v>0</v>
      </c>
      <c r="Y947" s="13" t="n">
        <f aca="false">IF(K947="Website",1,0)</f>
        <v>1</v>
      </c>
      <c r="Z947" s="13" t="n">
        <f aca="false">IF(K947="Agency",1,0)</f>
        <v>0</v>
      </c>
      <c r="AA947" s="13" t="n">
        <f aca="false">IF(K947="Client",1,0)</f>
        <v>0</v>
      </c>
      <c r="AB947" s="13" t="n">
        <f aca="false">(D947-AVERAGE(D$2:D$2001))/STDEV(D$2:D$2001)</f>
        <v>-0.411536944818935</v>
      </c>
      <c r="AC947" s="13" t="n">
        <f aca="false">(I947-AVERAGE(I$2:I$2001))/STDEV(I$2:I$2001)</f>
        <v>-1.43538077576244</v>
      </c>
      <c r="AD947" s="13" t="n">
        <f aca="false">(L947-AVERAGE(L$2:L$2001))/STDEV(L$2:L$2001)</f>
        <v>0.413838214490712</v>
      </c>
      <c r="AE947" s="13" t="n">
        <f aca="false">(M947-AVERAGE(M$2:M$2001))/STDEV(M$2:M$2001)</f>
        <v>1.13432448451809</v>
      </c>
      <c r="AF947" s="13" t="n">
        <f aca="false">(N947-AVERAGE(N$2:N$2001))/STDEV(N$2:N$2001)</f>
        <v>0.955828783543048</v>
      </c>
      <c r="AG947" s="13" t="n">
        <f aca="false">(O947-AVERAGE(O$2:O$2001))/STDEV(O$2:O$2001)</f>
        <v>1.03266033355195</v>
      </c>
      <c r="AH947" s="0" t="str">
        <f aca="false">IF(B947="Company","C3 - Corporate Buyers",IF(AND(H947="Investment",M947&gt;'Segmentation Summary'!$C$1),"C1 - Global Investors",IF(AND(I947&gt;=4,M947&gt;'Segmentation Summary'!$C$1),"C4 - Luxury Investors",IF(AND(D947&lt;'Segmentation Summary'!$C$2,J947=1),"C2 - First-Time Buyers","C5 - Other Individual Buyers"))))</f>
        <v>C5 - Other Individual Buyers</v>
      </c>
    </row>
    <row r="948" customFormat="false" ht="15" hidden="false" customHeight="true" outlineLevel="0" collapsed="false">
      <c r="A948" s="13" t="s">
        <v>1931</v>
      </c>
      <c r="B948" s="13" t="s">
        <v>34</v>
      </c>
      <c r="C948" s="13" t="s">
        <v>1932</v>
      </c>
      <c r="D948" s="13" t="n">
        <v>60</v>
      </c>
      <c r="E948" s="13" t="s">
        <v>83</v>
      </c>
      <c r="F948" s="13" t="s">
        <v>33</v>
      </c>
      <c r="G948" s="13" t="s">
        <v>106</v>
      </c>
      <c r="H948" s="13" t="s">
        <v>43</v>
      </c>
      <c r="I948" s="13" t="n">
        <v>5</v>
      </c>
      <c r="J948" s="13" t="n">
        <v>0</v>
      </c>
      <c r="K948" s="13" t="s">
        <v>85</v>
      </c>
      <c r="L948" s="13" t="n">
        <v>3</v>
      </c>
      <c r="M948" s="13" t="n">
        <v>1595925.43</v>
      </c>
      <c r="N948" s="13" t="n">
        <v>531975.143333333</v>
      </c>
      <c r="O948" s="13" t="n">
        <v>1635.62333333333</v>
      </c>
      <c r="P948" s="13" t="n">
        <v>0</v>
      </c>
      <c r="Q948" s="13" t="n">
        <v>3</v>
      </c>
      <c r="R948" s="13" t="s">
        <v>150</v>
      </c>
      <c r="S948" s="13" t="s">
        <v>87</v>
      </c>
      <c r="T948" s="13" t="n">
        <v>1</v>
      </c>
      <c r="U948" s="13" t="n">
        <f aca="false">IF(B948="Individual",1,0)</f>
        <v>1</v>
      </c>
      <c r="V948" s="13" t="n">
        <f aca="false">IF(B948="Company",1,0)</f>
        <v>0</v>
      </c>
      <c r="W948" s="13" t="n">
        <f aca="false">IF(H948="Home",1,0)</f>
        <v>0</v>
      </c>
      <c r="X948" s="13" t="n">
        <f aca="false">IF(H948="Investment",1,0)</f>
        <v>1</v>
      </c>
      <c r="Y948" s="13" t="n">
        <f aca="false">IF(K948="Website",1,0)</f>
        <v>1</v>
      </c>
      <c r="Z948" s="13" t="n">
        <f aca="false">IF(K948="Agency",1,0)</f>
        <v>0</v>
      </c>
      <c r="AA948" s="13" t="n">
        <f aca="false">IF(K948="Client",1,0)</f>
        <v>0</v>
      </c>
      <c r="AB948" s="13" t="n">
        <f aca="false">(D948-AVERAGE(D$2:D$2001))/STDEV(D$2:D$2001)</f>
        <v>0.338074976527031</v>
      </c>
      <c r="AC948" s="13" t="n">
        <f aca="false">(I948-AVERAGE(I$2:I$2001))/STDEV(I$2:I$2001)</f>
        <v>1.39434968409451</v>
      </c>
      <c r="AD948" s="13" t="n">
        <f aca="false">(L948-AVERAGE(L$2:L$2001))/STDEV(L$2:L$2001)</f>
        <v>-0.777063122173208</v>
      </c>
      <c r="AE948" s="13" t="n">
        <f aca="false">(M948-AVERAGE(M$2:M$2001))/STDEV(M$2:M$2001)</f>
        <v>0.964693408346965</v>
      </c>
      <c r="AF948" s="13" t="n">
        <f aca="false">(N948-AVERAGE(N$2:N$2001))/STDEV(N$2:N$2001)</f>
        <v>2.65175496930443</v>
      </c>
      <c r="AG948" s="13" t="n">
        <f aca="false">(O948-AVERAGE(O$2:O$2001))/STDEV(O$2:O$2001)</f>
        <v>2.21961587523464</v>
      </c>
      <c r="AH948" s="0" t="str">
        <f aca="false">IF(B948="Company","C3 - Corporate Buyers",IF(AND(H948="Investment",M948&gt;'Segmentation Summary'!$C$1),"C1 - Global Investors",IF(AND(I948&gt;=4,M948&gt;'Segmentation Summary'!$C$1),"C4 - Luxury Investors",IF(AND(D948&lt;'Segmentation Summary'!$C$2,J948=1),"C2 - First-Time Buyers","C5 - Other Individual Buyers"))))</f>
        <v>C1 - Global Investors</v>
      </c>
    </row>
    <row r="949" customFormat="false" ht="15" hidden="false" customHeight="true" outlineLevel="0" collapsed="false">
      <c r="A949" s="13" t="s">
        <v>1933</v>
      </c>
      <c r="B949" s="13" t="s">
        <v>34</v>
      </c>
      <c r="C949" s="13" t="s">
        <v>1934</v>
      </c>
      <c r="D949" s="13" t="n">
        <v>61</v>
      </c>
      <c r="E949" s="13" t="s">
        <v>90</v>
      </c>
      <c r="F949" s="13" t="s">
        <v>33</v>
      </c>
      <c r="G949" s="13" t="s">
        <v>95</v>
      </c>
      <c r="H949" s="13" t="s">
        <v>41</v>
      </c>
      <c r="I949" s="13" t="n">
        <v>4</v>
      </c>
      <c r="J949" s="13" t="n">
        <v>0</v>
      </c>
      <c r="K949" s="13" t="s">
        <v>91</v>
      </c>
      <c r="L949" s="13" t="n">
        <v>5</v>
      </c>
      <c r="M949" s="13" t="n">
        <v>1613985.08</v>
      </c>
      <c r="N949" s="13" t="n">
        <v>322797.016</v>
      </c>
      <c r="O949" s="13" t="n">
        <v>1184.63</v>
      </c>
      <c r="P949" s="13" t="n">
        <v>1</v>
      </c>
      <c r="Q949" s="13" t="n">
        <v>4</v>
      </c>
      <c r="R949" s="13" t="s">
        <v>117</v>
      </c>
      <c r="S949" s="13" t="s">
        <v>93</v>
      </c>
      <c r="T949" s="13" t="n">
        <v>1</v>
      </c>
      <c r="U949" s="13" t="n">
        <f aca="false">IF(B949="Individual",1,0)</f>
        <v>1</v>
      </c>
      <c r="V949" s="13" t="n">
        <f aca="false">IF(B949="Company",1,0)</f>
        <v>0</v>
      </c>
      <c r="W949" s="13" t="n">
        <f aca="false">IF(H949="Home",1,0)</f>
        <v>1</v>
      </c>
      <c r="X949" s="13" t="n">
        <f aca="false">IF(H949="Investment",1,0)</f>
        <v>0</v>
      </c>
      <c r="Y949" s="13" t="n">
        <f aca="false">IF(K949="Website",1,0)</f>
        <v>0</v>
      </c>
      <c r="Z949" s="13" t="n">
        <f aca="false">IF(K949="Agency",1,0)</f>
        <v>1</v>
      </c>
      <c r="AA949" s="13" t="n">
        <f aca="false">IF(K949="Client",1,0)</f>
        <v>0</v>
      </c>
      <c r="AB949" s="13" t="n">
        <f aca="false">(D949-AVERAGE(D$2:D$2001))/STDEV(D$2:D$2001)</f>
        <v>0.395737432015182</v>
      </c>
      <c r="AC949" s="13" t="n">
        <f aca="false">(I949-AVERAGE(I$2:I$2001))/STDEV(I$2:I$2001)</f>
        <v>0.686917069130275</v>
      </c>
      <c r="AD949" s="13" t="n">
        <f aca="false">(L949-AVERAGE(L$2:L$2001))/STDEV(L$2:L$2001)</f>
        <v>1.60473955115463</v>
      </c>
      <c r="AE949" s="13" t="n">
        <f aca="false">(M949-AVERAGE(M$2:M$2001))/STDEV(M$2:M$2001)</f>
        <v>1.0166142187475</v>
      </c>
      <c r="AF949" s="13" t="n">
        <f aca="false">(N949-AVERAGE(N$2:N$2001))/STDEV(N$2:N$2001)</f>
        <v>-0.348426636554924</v>
      </c>
      <c r="AG949" s="13" t="n">
        <f aca="false">(O949-AVERAGE(O$2:O$2001))/STDEV(O$2:O$2001)</f>
        <v>0.168924586233843</v>
      </c>
      <c r="AH949" s="0" t="str">
        <f aca="false">IF(B949="Company","C3 - Corporate Buyers",IF(AND(H949="Investment",M949&gt;'Segmentation Summary'!$C$1),"C1 - Global Investors",IF(AND(I949&gt;=4,M949&gt;'Segmentation Summary'!$C$1),"C4 - Luxury Investors",IF(AND(D949&lt;'Segmentation Summary'!$C$2,J949=1),"C2 - First-Time Buyers","C5 - Other Individual Buyers"))))</f>
        <v>C4 - Luxury Investors</v>
      </c>
    </row>
    <row r="950" customFormat="false" ht="15" hidden="false" customHeight="true" outlineLevel="0" collapsed="false">
      <c r="A950" s="13" t="s">
        <v>1935</v>
      </c>
      <c r="B950" s="13" t="s">
        <v>34</v>
      </c>
      <c r="C950" s="13" t="s">
        <v>1936</v>
      </c>
      <c r="D950" s="13" t="n">
        <v>83</v>
      </c>
      <c r="E950" s="13" t="s">
        <v>90</v>
      </c>
      <c r="F950" s="13" t="s">
        <v>33</v>
      </c>
      <c r="G950" s="13" t="s">
        <v>95</v>
      </c>
      <c r="H950" s="13" t="s">
        <v>41</v>
      </c>
      <c r="I950" s="13" t="n">
        <v>5</v>
      </c>
      <c r="J950" s="13" t="n">
        <v>0</v>
      </c>
      <c r="K950" s="13" t="s">
        <v>116</v>
      </c>
      <c r="L950" s="13" t="n">
        <v>5</v>
      </c>
      <c r="M950" s="13" t="n">
        <v>1585907.37</v>
      </c>
      <c r="N950" s="13" t="n">
        <v>317181.474</v>
      </c>
      <c r="O950" s="13" t="n">
        <v>1030.764</v>
      </c>
      <c r="P950" s="13" t="n">
        <v>0</v>
      </c>
      <c r="Q950" s="13" t="n">
        <v>5</v>
      </c>
      <c r="R950" s="13" t="s">
        <v>124</v>
      </c>
      <c r="S950" s="13" t="s">
        <v>152</v>
      </c>
      <c r="T950" s="13" t="n">
        <v>1</v>
      </c>
      <c r="U950" s="13" t="n">
        <f aca="false">IF(B950="Individual",1,0)</f>
        <v>1</v>
      </c>
      <c r="V950" s="13" t="n">
        <f aca="false">IF(B950="Company",1,0)</f>
        <v>0</v>
      </c>
      <c r="W950" s="13" t="n">
        <f aca="false">IF(H950="Home",1,0)</f>
        <v>1</v>
      </c>
      <c r="X950" s="13" t="n">
        <f aca="false">IF(H950="Investment",1,0)</f>
        <v>0</v>
      </c>
      <c r="Y950" s="13" t="n">
        <f aca="false">IF(K950="Website",1,0)</f>
        <v>0</v>
      </c>
      <c r="Z950" s="13" t="n">
        <f aca="false">IF(K950="Agency",1,0)</f>
        <v>0</v>
      </c>
      <c r="AA950" s="13" t="n">
        <f aca="false">IF(K950="Client",1,0)</f>
        <v>1</v>
      </c>
      <c r="AB950" s="13" t="n">
        <f aca="false">(D950-AVERAGE(D$2:D$2001))/STDEV(D$2:D$2001)</f>
        <v>1.66431145275451</v>
      </c>
      <c r="AC950" s="13" t="n">
        <f aca="false">(I950-AVERAGE(I$2:I$2001))/STDEV(I$2:I$2001)</f>
        <v>1.39434968409451</v>
      </c>
      <c r="AD950" s="13" t="n">
        <f aca="false">(L950-AVERAGE(L$2:L$2001))/STDEV(L$2:L$2001)</f>
        <v>1.60473955115463</v>
      </c>
      <c r="AE950" s="13" t="n">
        <f aca="false">(M950-AVERAGE(M$2:M$2001))/STDEV(M$2:M$2001)</f>
        <v>0.935891864914994</v>
      </c>
      <c r="AF950" s="13" t="n">
        <f aca="false">(N950-AVERAGE(N$2:N$2001))/STDEV(N$2:N$2001)</f>
        <v>-0.428968737347725</v>
      </c>
      <c r="AG950" s="13" t="n">
        <f aca="false">(O950-AVERAGE(O$2:O$2001))/STDEV(O$2:O$2001)</f>
        <v>-0.530712509377475</v>
      </c>
      <c r="AH950" s="0" t="str">
        <f aca="false">IF(B950="Company","C3 - Corporate Buyers",IF(AND(H950="Investment",M950&gt;'Segmentation Summary'!$C$1),"C1 - Global Investors",IF(AND(I950&gt;=4,M950&gt;'Segmentation Summary'!$C$1),"C4 - Luxury Investors",IF(AND(D950&lt;'Segmentation Summary'!$C$2,J950=1),"C2 - First-Time Buyers","C5 - Other Individual Buyers"))))</f>
        <v>C4 - Luxury Investors</v>
      </c>
    </row>
    <row r="951" customFormat="false" ht="15" hidden="false" customHeight="true" outlineLevel="0" collapsed="false">
      <c r="A951" s="13" t="s">
        <v>1937</v>
      </c>
      <c r="B951" s="13" t="s">
        <v>34</v>
      </c>
      <c r="C951" s="13" t="s">
        <v>1938</v>
      </c>
      <c r="D951" s="13" t="n">
        <v>40</v>
      </c>
      <c r="E951" s="13" t="s">
        <v>83</v>
      </c>
      <c r="F951" s="13" t="s">
        <v>46</v>
      </c>
      <c r="G951" s="13" t="s">
        <v>359</v>
      </c>
      <c r="H951" s="13" t="s">
        <v>41</v>
      </c>
      <c r="I951" s="13" t="n">
        <v>1</v>
      </c>
      <c r="J951" s="13" t="n">
        <v>1</v>
      </c>
      <c r="K951" s="13" t="s">
        <v>91</v>
      </c>
      <c r="L951" s="13" t="n">
        <v>3</v>
      </c>
      <c r="M951" s="13" t="n">
        <v>965899.1</v>
      </c>
      <c r="N951" s="13" t="n">
        <v>321966.366666667</v>
      </c>
      <c r="O951" s="13" t="n">
        <v>992.22</v>
      </c>
      <c r="P951" s="13" t="n">
        <v>0</v>
      </c>
      <c r="Q951" s="13" t="n">
        <v>3</v>
      </c>
      <c r="R951" s="13" t="s">
        <v>111</v>
      </c>
      <c r="S951" s="13" t="s">
        <v>154</v>
      </c>
      <c r="T951" s="13" t="n">
        <v>1</v>
      </c>
      <c r="U951" s="13" t="n">
        <f aca="false">IF(B951="Individual",1,0)</f>
        <v>1</v>
      </c>
      <c r="V951" s="13" t="n">
        <f aca="false">IF(B951="Company",1,0)</f>
        <v>0</v>
      </c>
      <c r="W951" s="13" t="n">
        <f aca="false">IF(H951="Home",1,0)</f>
        <v>1</v>
      </c>
      <c r="X951" s="13" t="n">
        <f aca="false">IF(H951="Investment",1,0)</f>
        <v>0</v>
      </c>
      <c r="Y951" s="13" t="n">
        <f aca="false">IF(K951="Website",1,0)</f>
        <v>0</v>
      </c>
      <c r="Z951" s="13" t="n">
        <f aca="false">IF(K951="Agency",1,0)</f>
        <v>1</v>
      </c>
      <c r="AA951" s="13" t="n">
        <f aca="false">IF(K951="Client",1,0)</f>
        <v>0</v>
      </c>
      <c r="AB951" s="13" t="n">
        <f aca="false">(D951-AVERAGE(D$2:D$2001))/STDEV(D$2:D$2001)</f>
        <v>-0.815174133235994</v>
      </c>
      <c r="AC951" s="13" t="n">
        <f aca="false">(I951-AVERAGE(I$2:I$2001))/STDEV(I$2:I$2001)</f>
        <v>-1.43538077576244</v>
      </c>
      <c r="AD951" s="13" t="n">
        <f aca="false">(L951-AVERAGE(L$2:L$2001))/STDEV(L$2:L$2001)</f>
        <v>-0.777063122173208</v>
      </c>
      <c r="AE951" s="13" t="n">
        <f aca="false">(M951-AVERAGE(M$2:M$2001))/STDEV(M$2:M$2001)</f>
        <v>-0.846608451172838</v>
      </c>
      <c r="AF951" s="13" t="n">
        <f aca="false">(N951-AVERAGE(N$2:N$2001))/STDEV(N$2:N$2001)</f>
        <v>-0.360340400592087</v>
      </c>
      <c r="AG951" s="13" t="n">
        <f aca="false">(O951-AVERAGE(O$2:O$2001))/STDEV(O$2:O$2001)</f>
        <v>-0.70597418000804</v>
      </c>
      <c r="AH951" s="0" t="str">
        <f aca="false">IF(B951="Company","C3 - Corporate Buyers",IF(AND(H951="Investment",M951&gt;'Segmentation Summary'!$C$1),"C1 - Global Investors",IF(AND(I951&gt;=4,M951&gt;'Segmentation Summary'!$C$1),"C4 - Luxury Investors",IF(AND(D951&lt;'Segmentation Summary'!$C$2,J951=1),"C2 - First-Time Buyers","C5 - Other Individual Buyers"))))</f>
        <v>C2 - First-Time Buyers</v>
      </c>
    </row>
    <row r="952" customFormat="false" ht="15" hidden="false" customHeight="true" outlineLevel="0" collapsed="false">
      <c r="A952" s="13" t="s">
        <v>1939</v>
      </c>
      <c r="B952" s="13" t="s">
        <v>34</v>
      </c>
      <c r="C952" s="13" t="s">
        <v>1940</v>
      </c>
      <c r="D952" s="13" t="n">
        <v>50</v>
      </c>
      <c r="E952" s="13" t="s">
        <v>83</v>
      </c>
      <c r="F952" s="13" t="s">
        <v>33</v>
      </c>
      <c r="G952" s="13" t="s">
        <v>95</v>
      </c>
      <c r="H952" s="13" t="s">
        <v>43</v>
      </c>
      <c r="I952" s="13" t="n">
        <v>1</v>
      </c>
      <c r="J952" s="13" t="n">
        <v>0</v>
      </c>
      <c r="K952" s="13" t="s">
        <v>116</v>
      </c>
      <c r="L952" s="13" t="n">
        <v>4</v>
      </c>
      <c r="M952" s="13" t="n">
        <v>1554739.9</v>
      </c>
      <c r="N952" s="13" t="n">
        <v>388684.975</v>
      </c>
      <c r="O952" s="13" t="n">
        <v>1340.7775</v>
      </c>
      <c r="P952" s="13" t="n">
        <v>1</v>
      </c>
      <c r="Q952" s="13" t="n">
        <v>3</v>
      </c>
      <c r="R952" s="13" t="s">
        <v>86</v>
      </c>
      <c r="S952" s="13" t="s">
        <v>215</v>
      </c>
      <c r="T952" s="13" t="n">
        <v>1</v>
      </c>
      <c r="U952" s="13" t="n">
        <f aca="false">IF(B952="Individual",1,0)</f>
        <v>1</v>
      </c>
      <c r="V952" s="13" t="n">
        <f aca="false">IF(B952="Company",1,0)</f>
        <v>0</v>
      </c>
      <c r="W952" s="13" t="n">
        <f aca="false">IF(H952="Home",1,0)</f>
        <v>0</v>
      </c>
      <c r="X952" s="13" t="n">
        <f aca="false">IF(H952="Investment",1,0)</f>
        <v>1</v>
      </c>
      <c r="Y952" s="13" t="n">
        <f aca="false">IF(K952="Website",1,0)</f>
        <v>0</v>
      </c>
      <c r="Z952" s="13" t="n">
        <f aca="false">IF(K952="Agency",1,0)</f>
        <v>0</v>
      </c>
      <c r="AA952" s="13" t="n">
        <f aca="false">IF(K952="Client",1,0)</f>
        <v>1</v>
      </c>
      <c r="AB952" s="13" t="n">
        <f aca="false">(D952-AVERAGE(D$2:D$2001))/STDEV(D$2:D$2001)</f>
        <v>-0.238549578354482</v>
      </c>
      <c r="AC952" s="13" t="n">
        <f aca="false">(I952-AVERAGE(I$2:I$2001))/STDEV(I$2:I$2001)</f>
        <v>-1.43538077576244</v>
      </c>
      <c r="AD952" s="13" t="n">
        <f aca="false">(L952-AVERAGE(L$2:L$2001))/STDEV(L$2:L$2001)</f>
        <v>0.413838214490712</v>
      </c>
      <c r="AE952" s="13" t="n">
        <f aca="false">(M952-AVERAGE(M$2:M$2001))/STDEV(M$2:M$2001)</f>
        <v>0.846286567994263</v>
      </c>
      <c r="AF952" s="13" t="n">
        <f aca="false">(N952-AVERAGE(N$2:N$2001))/STDEV(N$2:N$2001)</f>
        <v>0.596585373828034</v>
      </c>
      <c r="AG952" s="13" t="n">
        <f aca="false">(O952-AVERAGE(O$2:O$2001))/STDEV(O$2:O$2001)</f>
        <v>0.878935786804261</v>
      </c>
      <c r="AH952" s="0" t="str">
        <f aca="false">IF(B952="Company","C3 - Corporate Buyers",IF(AND(H952="Investment",M952&gt;'Segmentation Summary'!$C$1),"C1 - Global Investors",IF(AND(I952&gt;=4,M952&gt;'Segmentation Summary'!$C$1),"C4 - Luxury Investors",IF(AND(D952&lt;'Segmentation Summary'!$C$2,J952=1),"C2 - First-Time Buyers","C5 - Other Individual Buyers"))))</f>
        <v>C1 - Global Investors</v>
      </c>
    </row>
    <row r="953" customFormat="false" ht="15" hidden="false" customHeight="true" outlineLevel="0" collapsed="false">
      <c r="A953" s="13" t="s">
        <v>1941</v>
      </c>
      <c r="B953" s="13" t="s">
        <v>34</v>
      </c>
      <c r="C953" s="13" t="s">
        <v>1942</v>
      </c>
      <c r="D953" s="13" t="n">
        <v>30</v>
      </c>
      <c r="E953" s="13" t="s">
        <v>83</v>
      </c>
      <c r="F953" s="13" t="s">
        <v>33</v>
      </c>
      <c r="G953" s="13" t="s">
        <v>97</v>
      </c>
      <c r="H953" s="13" t="s">
        <v>43</v>
      </c>
      <c r="I953" s="13" t="n">
        <v>4</v>
      </c>
      <c r="J953" s="13" t="n">
        <v>1</v>
      </c>
      <c r="K953" s="13" t="s">
        <v>85</v>
      </c>
      <c r="L953" s="13" t="n">
        <v>3</v>
      </c>
      <c r="M953" s="13" t="n">
        <v>1216664.82</v>
      </c>
      <c r="N953" s="13" t="n">
        <v>405554.94</v>
      </c>
      <c r="O953" s="13" t="n">
        <v>1339.73</v>
      </c>
      <c r="P953" s="13" t="n">
        <v>0</v>
      </c>
      <c r="Q953" s="13" t="n">
        <v>3</v>
      </c>
      <c r="R953" s="13" t="s">
        <v>93</v>
      </c>
      <c r="S953" s="13" t="s">
        <v>164</v>
      </c>
      <c r="T953" s="13" t="n">
        <v>1</v>
      </c>
      <c r="U953" s="13" t="n">
        <f aca="false">IF(B953="Individual",1,0)</f>
        <v>1</v>
      </c>
      <c r="V953" s="13" t="n">
        <f aca="false">IF(B953="Company",1,0)</f>
        <v>0</v>
      </c>
      <c r="W953" s="13" t="n">
        <f aca="false">IF(H953="Home",1,0)</f>
        <v>0</v>
      </c>
      <c r="X953" s="13" t="n">
        <f aca="false">IF(H953="Investment",1,0)</f>
        <v>1</v>
      </c>
      <c r="Y953" s="13" t="n">
        <f aca="false">IF(K953="Website",1,0)</f>
        <v>1</v>
      </c>
      <c r="Z953" s="13" t="n">
        <f aca="false">IF(K953="Agency",1,0)</f>
        <v>0</v>
      </c>
      <c r="AA953" s="13" t="n">
        <f aca="false">IF(K953="Client",1,0)</f>
        <v>0</v>
      </c>
      <c r="AB953" s="13" t="n">
        <f aca="false">(D953-AVERAGE(D$2:D$2001))/STDEV(D$2:D$2001)</f>
        <v>-1.39179868811751</v>
      </c>
      <c r="AC953" s="13" t="n">
        <f aca="false">(I953-AVERAGE(I$2:I$2001))/STDEV(I$2:I$2001)</f>
        <v>0.686917069130275</v>
      </c>
      <c r="AD953" s="13" t="n">
        <f aca="false">(L953-AVERAGE(L$2:L$2001))/STDEV(L$2:L$2001)</f>
        <v>-0.777063122173208</v>
      </c>
      <c r="AE953" s="13" t="n">
        <f aca="false">(M953-AVERAGE(M$2:M$2001))/STDEV(M$2:M$2001)</f>
        <v>-0.125666494763139</v>
      </c>
      <c r="AF953" s="13" t="n">
        <f aca="false">(N953-AVERAGE(N$2:N$2001))/STDEV(N$2:N$2001)</f>
        <v>0.838546420758326</v>
      </c>
      <c r="AG953" s="13" t="n">
        <f aca="false">(O953-AVERAGE(O$2:O$2001))/STDEV(O$2:O$2001)</f>
        <v>0.874172747161632</v>
      </c>
      <c r="AH953" s="0" t="str">
        <f aca="false">IF(B953="Company","C3 - Corporate Buyers",IF(AND(H953="Investment",M953&gt;'Segmentation Summary'!$C$1),"C1 - Global Investors",IF(AND(I953&gt;=4,M953&gt;'Segmentation Summary'!$C$1),"C4 - Luxury Investors",IF(AND(D953&lt;'Segmentation Summary'!$C$2,J953=1),"C2 - First-Time Buyers","C5 - Other Individual Buyers"))))</f>
        <v>C2 - First-Time Buyers</v>
      </c>
    </row>
    <row r="954" customFormat="false" ht="15" hidden="false" customHeight="true" outlineLevel="0" collapsed="false">
      <c r="A954" s="13" t="s">
        <v>1943</v>
      </c>
      <c r="B954" s="13" t="s">
        <v>34</v>
      </c>
      <c r="C954" s="13" t="s">
        <v>1944</v>
      </c>
      <c r="D954" s="13" t="n">
        <v>76</v>
      </c>
      <c r="E954" s="13" t="s">
        <v>83</v>
      </c>
      <c r="F954" s="13" t="s">
        <v>33</v>
      </c>
      <c r="G954" s="13" t="s">
        <v>162</v>
      </c>
      <c r="H954" s="13" t="s">
        <v>41</v>
      </c>
      <c r="I954" s="13" t="n">
        <v>1</v>
      </c>
      <c r="J954" s="13" t="n">
        <v>0</v>
      </c>
      <c r="K954" s="13" t="s">
        <v>85</v>
      </c>
      <c r="L954" s="13" t="n">
        <v>4</v>
      </c>
      <c r="M954" s="13" t="n">
        <v>1419502.04</v>
      </c>
      <c r="N954" s="13" t="n">
        <v>354875.51</v>
      </c>
      <c r="O954" s="13" t="n">
        <v>1246.6175</v>
      </c>
      <c r="P954" s="13" t="n">
        <v>0</v>
      </c>
      <c r="Q954" s="13" t="n">
        <v>4</v>
      </c>
      <c r="R954" s="13" t="s">
        <v>121</v>
      </c>
      <c r="S954" s="13" t="s">
        <v>152</v>
      </c>
      <c r="T954" s="13" t="n">
        <v>1</v>
      </c>
      <c r="U954" s="13" t="n">
        <f aca="false">IF(B954="Individual",1,0)</f>
        <v>1</v>
      </c>
      <c r="V954" s="13" t="n">
        <f aca="false">IF(B954="Company",1,0)</f>
        <v>0</v>
      </c>
      <c r="W954" s="13" t="n">
        <f aca="false">IF(H954="Home",1,0)</f>
        <v>1</v>
      </c>
      <c r="X954" s="13" t="n">
        <f aca="false">IF(H954="Investment",1,0)</f>
        <v>0</v>
      </c>
      <c r="Y954" s="13" t="n">
        <f aca="false">IF(K954="Website",1,0)</f>
        <v>1</v>
      </c>
      <c r="Z954" s="13" t="n">
        <f aca="false">IF(K954="Agency",1,0)</f>
        <v>0</v>
      </c>
      <c r="AA954" s="13" t="n">
        <f aca="false">IF(K954="Client",1,0)</f>
        <v>0</v>
      </c>
      <c r="AB954" s="13" t="n">
        <f aca="false">(D954-AVERAGE(D$2:D$2001))/STDEV(D$2:D$2001)</f>
        <v>1.26067426433745</v>
      </c>
      <c r="AC954" s="13" t="n">
        <f aca="false">(I954-AVERAGE(I$2:I$2001))/STDEV(I$2:I$2001)</f>
        <v>-1.43538077576244</v>
      </c>
      <c r="AD954" s="13" t="n">
        <f aca="false">(L954-AVERAGE(L$2:L$2001))/STDEV(L$2:L$2001)</f>
        <v>0.413838214490712</v>
      </c>
      <c r="AE954" s="13" t="n">
        <f aca="false">(M954-AVERAGE(M$2:M$2001))/STDEV(M$2:M$2001)</f>
        <v>0.457482837687502</v>
      </c>
      <c r="AF954" s="13" t="n">
        <f aca="false">(N954-AVERAGE(N$2:N$2001))/STDEV(N$2:N$2001)</f>
        <v>0.111665959498896</v>
      </c>
      <c r="AG954" s="13" t="n">
        <f aca="false">(O954-AVERAGE(O$2:O$2001))/STDEV(O$2:O$2001)</f>
        <v>0.450785130241008</v>
      </c>
      <c r="AH954" s="0" t="str">
        <f aca="false">IF(B954="Company","C3 - Corporate Buyers",IF(AND(H954="Investment",M954&gt;'Segmentation Summary'!$C$1),"C1 - Global Investors",IF(AND(I954&gt;=4,M954&gt;'Segmentation Summary'!$C$1),"C4 - Luxury Investors",IF(AND(D954&lt;'Segmentation Summary'!$C$2,J954=1),"C2 - First-Time Buyers","C5 - Other Individual Buyers"))))</f>
        <v>C5 - Other Individual Buyers</v>
      </c>
    </row>
    <row r="955" customFormat="false" ht="15" hidden="false" customHeight="true" outlineLevel="0" collapsed="false">
      <c r="A955" s="13" t="s">
        <v>1945</v>
      </c>
      <c r="B955" s="13" t="s">
        <v>34</v>
      </c>
      <c r="C955" s="13" t="s">
        <v>1946</v>
      </c>
      <c r="D955" s="13" t="n">
        <v>52</v>
      </c>
      <c r="E955" s="13" t="s">
        <v>83</v>
      </c>
      <c r="F955" s="13" t="s">
        <v>37</v>
      </c>
      <c r="G955" s="13" t="s">
        <v>676</v>
      </c>
      <c r="H955" s="13" t="s">
        <v>41</v>
      </c>
      <c r="I955" s="13" t="n">
        <v>4</v>
      </c>
      <c r="J955" s="13" t="n">
        <v>0</v>
      </c>
      <c r="K955" s="13" t="s">
        <v>85</v>
      </c>
      <c r="L955" s="13" t="n">
        <v>3</v>
      </c>
      <c r="M955" s="13" t="n">
        <v>1308981.48</v>
      </c>
      <c r="N955" s="13" t="n">
        <v>436327.16</v>
      </c>
      <c r="O955" s="13" t="n">
        <v>1370.55333333333</v>
      </c>
      <c r="P955" s="13" t="n">
        <v>0</v>
      </c>
      <c r="Q955" s="13" t="n">
        <v>3</v>
      </c>
      <c r="R955" s="13" t="s">
        <v>98</v>
      </c>
      <c r="S955" s="13" t="s">
        <v>111</v>
      </c>
      <c r="T955" s="13" t="n">
        <v>1</v>
      </c>
      <c r="U955" s="13" t="n">
        <f aca="false">IF(B955="Individual",1,0)</f>
        <v>1</v>
      </c>
      <c r="V955" s="13" t="n">
        <f aca="false">IF(B955="Company",1,0)</f>
        <v>0</v>
      </c>
      <c r="W955" s="13" t="n">
        <f aca="false">IF(H955="Home",1,0)</f>
        <v>1</v>
      </c>
      <c r="X955" s="13" t="n">
        <f aca="false">IF(H955="Investment",1,0)</f>
        <v>0</v>
      </c>
      <c r="Y955" s="13" t="n">
        <f aca="false">IF(K955="Website",1,0)</f>
        <v>1</v>
      </c>
      <c r="Z955" s="13" t="n">
        <f aca="false">IF(K955="Agency",1,0)</f>
        <v>0</v>
      </c>
      <c r="AA955" s="13" t="n">
        <f aca="false">IF(K955="Client",1,0)</f>
        <v>0</v>
      </c>
      <c r="AB955" s="13" t="n">
        <f aca="false">(D955-AVERAGE(D$2:D$2001))/STDEV(D$2:D$2001)</f>
        <v>-0.123224667378179</v>
      </c>
      <c r="AC955" s="13" t="n">
        <f aca="false">(I955-AVERAGE(I$2:I$2001))/STDEV(I$2:I$2001)</f>
        <v>0.686917069130275</v>
      </c>
      <c r="AD955" s="13" t="n">
        <f aca="false">(L955-AVERAGE(L$2:L$2001))/STDEV(L$2:L$2001)</f>
        <v>-0.777063122173208</v>
      </c>
      <c r="AE955" s="13" t="n">
        <f aca="false">(M955-AVERAGE(M$2:M$2001))/STDEV(M$2:M$2001)</f>
        <v>0.139740409616012</v>
      </c>
      <c r="AF955" s="13" t="n">
        <f aca="false">(N955-AVERAGE(N$2:N$2001))/STDEV(N$2:N$2001)</f>
        <v>1.27990350523178</v>
      </c>
      <c r="AG955" s="13" t="n">
        <f aca="false">(O955-AVERAGE(O$2:O$2001))/STDEV(O$2:O$2001)</f>
        <v>1.01432812528539</v>
      </c>
      <c r="AH955" s="0" t="str">
        <f aca="false">IF(B955="Company","C3 - Corporate Buyers",IF(AND(H955="Investment",M955&gt;'Segmentation Summary'!$C$1),"C1 - Global Investors",IF(AND(I955&gt;=4,M955&gt;'Segmentation Summary'!$C$1),"C4 - Luxury Investors",IF(AND(D955&lt;'Segmentation Summary'!$C$2,J955=1),"C2 - First-Time Buyers","C5 - Other Individual Buyers"))))</f>
        <v>C4 - Luxury Investors</v>
      </c>
    </row>
    <row r="956" customFormat="false" ht="15" hidden="false" customHeight="true" outlineLevel="0" collapsed="false">
      <c r="A956" s="13" t="s">
        <v>1947</v>
      </c>
      <c r="B956" s="13" t="s">
        <v>34</v>
      </c>
      <c r="C956" s="13" t="s">
        <v>1948</v>
      </c>
      <c r="D956" s="13" t="n">
        <v>32</v>
      </c>
      <c r="E956" s="13" t="s">
        <v>83</v>
      </c>
      <c r="F956" s="13" t="s">
        <v>33</v>
      </c>
      <c r="G956" s="13" t="s">
        <v>110</v>
      </c>
      <c r="H956" s="13" t="s">
        <v>41</v>
      </c>
      <c r="I956" s="13" t="n">
        <v>2</v>
      </c>
      <c r="J956" s="13" t="n">
        <v>0</v>
      </c>
      <c r="K956" s="13" t="s">
        <v>85</v>
      </c>
      <c r="L956" s="13" t="n">
        <v>4</v>
      </c>
      <c r="M956" s="13" t="n">
        <v>1367188.58</v>
      </c>
      <c r="N956" s="13" t="n">
        <v>341797.145</v>
      </c>
      <c r="O956" s="13" t="n">
        <v>1108.6075</v>
      </c>
      <c r="P956" s="13" t="n">
        <v>0</v>
      </c>
      <c r="Q956" s="13" t="n">
        <v>4</v>
      </c>
      <c r="R956" s="13" t="s">
        <v>117</v>
      </c>
      <c r="S956" s="13" t="s">
        <v>87</v>
      </c>
      <c r="T956" s="13" t="n">
        <v>1</v>
      </c>
      <c r="U956" s="13" t="n">
        <f aca="false">IF(B956="Individual",1,0)</f>
        <v>1</v>
      </c>
      <c r="V956" s="13" t="n">
        <f aca="false">IF(B956="Company",1,0)</f>
        <v>0</v>
      </c>
      <c r="W956" s="13" t="n">
        <f aca="false">IF(H956="Home",1,0)</f>
        <v>1</v>
      </c>
      <c r="X956" s="13" t="n">
        <f aca="false">IF(H956="Investment",1,0)</f>
        <v>0</v>
      </c>
      <c r="Y956" s="13" t="n">
        <f aca="false">IF(K956="Website",1,0)</f>
        <v>1</v>
      </c>
      <c r="Z956" s="13" t="n">
        <f aca="false">IF(K956="Agency",1,0)</f>
        <v>0</v>
      </c>
      <c r="AA956" s="13" t="n">
        <f aca="false">IF(K956="Client",1,0)</f>
        <v>0</v>
      </c>
      <c r="AB956" s="13" t="n">
        <f aca="false">(D956-AVERAGE(D$2:D$2001))/STDEV(D$2:D$2001)</f>
        <v>-1.2764737771412</v>
      </c>
      <c r="AC956" s="13" t="n">
        <f aca="false">(I956-AVERAGE(I$2:I$2001))/STDEV(I$2:I$2001)</f>
        <v>-0.727948160798201</v>
      </c>
      <c r="AD956" s="13" t="n">
        <f aca="false">(L956-AVERAGE(L$2:L$2001))/STDEV(L$2:L$2001)</f>
        <v>0.413838214490712</v>
      </c>
      <c r="AE956" s="13" t="n">
        <f aca="false">(M956-AVERAGE(M$2:M$2001))/STDEV(M$2:M$2001)</f>
        <v>0.307083619648607</v>
      </c>
      <c r="AF956" s="13" t="n">
        <f aca="false">(N956-AVERAGE(N$2:N$2001))/STDEV(N$2:N$2001)</f>
        <v>-0.0759132611774051</v>
      </c>
      <c r="AG956" s="13" t="n">
        <f aca="false">(O956-AVERAGE(O$2:O$2001))/STDEV(O$2:O$2001)</f>
        <v>-0.176753868402733</v>
      </c>
      <c r="AH956" s="0" t="str">
        <f aca="false">IF(B956="Company","C3 - Corporate Buyers",IF(AND(H956="Investment",M956&gt;'Segmentation Summary'!$C$1),"C1 - Global Investors",IF(AND(I956&gt;=4,M956&gt;'Segmentation Summary'!$C$1),"C4 - Luxury Investors",IF(AND(D956&lt;'Segmentation Summary'!$C$2,J956=1),"C2 - First-Time Buyers","C5 - Other Individual Buyers"))))</f>
        <v>C5 - Other Individual Buyers</v>
      </c>
    </row>
    <row r="957" customFormat="false" ht="15" hidden="false" customHeight="true" outlineLevel="0" collapsed="false">
      <c r="A957" s="13" t="s">
        <v>1949</v>
      </c>
      <c r="B957" s="13" t="s">
        <v>34</v>
      </c>
      <c r="C957" s="13" t="s">
        <v>1948</v>
      </c>
      <c r="D957" s="13" t="n">
        <v>60</v>
      </c>
      <c r="E957" s="13" t="s">
        <v>83</v>
      </c>
      <c r="F957" s="13" t="s">
        <v>44</v>
      </c>
      <c r="G957" s="13" t="s">
        <v>318</v>
      </c>
      <c r="H957" s="13" t="s">
        <v>43</v>
      </c>
      <c r="I957" s="13" t="n">
        <v>5</v>
      </c>
      <c r="J957" s="13" t="n">
        <v>0</v>
      </c>
      <c r="K957" s="13" t="s">
        <v>91</v>
      </c>
      <c r="L957" s="13" t="n">
        <v>3</v>
      </c>
      <c r="M957" s="13" t="n">
        <v>1135294.51</v>
      </c>
      <c r="N957" s="13" t="n">
        <v>378431.503333333</v>
      </c>
      <c r="O957" s="13" t="n">
        <v>1193.77333333333</v>
      </c>
      <c r="P957" s="13" t="n">
        <v>0</v>
      </c>
      <c r="Q957" s="13" t="n">
        <v>3</v>
      </c>
      <c r="R957" s="13" t="s">
        <v>86</v>
      </c>
      <c r="S957" s="13" t="s">
        <v>152</v>
      </c>
      <c r="T957" s="13" t="n">
        <v>1</v>
      </c>
      <c r="U957" s="13" t="n">
        <f aca="false">IF(B957="Individual",1,0)</f>
        <v>1</v>
      </c>
      <c r="V957" s="13" t="n">
        <f aca="false">IF(B957="Company",1,0)</f>
        <v>0</v>
      </c>
      <c r="W957" s="13" t="n">
        <f aca="false">IF(H957="Home",1,0)</f>
        <v>0</v>
      </c>
      <c r="X957" s="13" t="n">
        <f aca="false">IF(H957="Investment",1,0)</f>
        <v>1</v>
      </c>
      <c r="Y957" s="13" t="n">
        <f aca="false">IF(K957="Website",1,0)</f>
        <v>0</v>
      </c>
      <c r="Z957" s="13" t="n">
        <f aca="false">IF(K957="Agency",1,0)</f>
        <v>1</v>
      </c>
      <c r="AA957" s="13" t="n">
        <f aca="false">IF(K957="Client",1,0)</f>
        <v>0</v>
      </c>
      <c r="AB957" s="13" t="n">
        <f aca="false">(D957-AVERAGE(D$2:D$2001))/STDEV(D$2:D$2001)</f>
        <v>0.338074976527031</v>
      </c>
      <c r="AC957" s="13" t="n">
        <f aca="false">(I957-AVERAGE(I$2:I$2001))/STDEV(I$2:I$2001)</f>
        <v>1.39434968409451</v>
      </c>
      <c r="AD957" s="13" t="n">
        <f aca="false">(L957-AVERAGE(L$2:L$2001))/STDEV(L$2:L$2001)</f>
        <v>-0.777063122173208</v>
      </c>
      <c r="AE957" s="13" t="n">
        <f aca="false">(M957-AVERAGE(M$2:M$2001))/STDEV(M$2:M$2001)</f>
        <v>-0.359603057085389</v>
      </c>
      <c r="AF957" s="13" t="n">
        <f aca="false">(N957-AVERAGE(N$2:N$2001))/STDEV(N$2:N$2001)</f>
        <v>0.449522784241344</v>
      </c>
      <c r="AG957" s="13" t="n">
        <f aca="false">(O957-AVERAGE(O$2:O$2001))/STDEV(O$2:O$2001)</f>
        <v>0.21049982168246</v>
      </c>
      <c r="AH957" s="0" t="str">
        <f aca="false">IF(B957="Company","C3 - Corporate Buyers",IF(AND(H957="Investment",M957&gt;'Segmentation Summary'!$C$1),"C1 - Global Investors",IF(AND(I957&gt;=4,M957&gt;'Segmentation Summary'!$C$1),"C4 - Luxury Investors",IF(AND(D957&lt;'Segmentation Summary'!$C$2,J957=1),"C2 - First-Time Buyers","C5 - Other Individual Buyers"))))</f>
        <v>C5 - Other Individual Buyers</v>
      </c>
    </row>
    <row r="958" customFormat="false" ht="15" hidden="false" customHeight="true" outlineLevel="0" collapsed="false">
      <c r="A958" s="13" t="s">
        <v>1950</v>
      </c>
      <c r="B958" s="13" t="s">
        <v>34</v>
      </c>
      <c r="C958" s="13" t="s">
        <v>1951</v>
      </c>
      <c r="D958" s="13" t="n">
        <v>62</v>
      </c>
      <c r="E958" s="13" t="s">
        <v>83</v>
      </c>
      <c r="F958" s="13" t="s">
        <v>33</v>
      </c>
      <c r="G958" s="13" t="s">
        <v>95</v>
      </c>
      <c r="H958" s="13" t="s">
        <v>41</v>
      </c>
      <c r="I958" s="13" t="n">
        <v>3</v>
      </c>
      <c r="J958" s="13" t="n">
        <v>0</v>
      </c>
      <c r="K958" s="13" t="s">
        <v>85</v>
      </c>
      <c r="L958" s="13" t="n">
        <v>4</v>
      </c>
      <c r="M958" s="13" t="n">
        <v>945036.97</v>
      </c>
      <c r="N958" s="13" t="n">
        <v>236259.2425</v>
      </c>
      <c r="O958" s="13" t="n">
        <v>857.7575</v>
      </c>
      <c r="P958" s="13" t="n">
        <v>1</v>
      </c>
      <c r="Q958" s="13" t="n">
        <v>3</v>
      </c>
      <c r="R958" s="13" t="s">
        <v>101</v>
      </c>
      <c r="S958" s="13" t="s">
        <v>114</v>
      </c>
      <c r="T958" s="13" t="n">
        <v>1</v>
      </c>
      <c r="U958" s="13" t="n">
        <f aca="false">IF(B958="Individual",1,0)</f>
        <v>1</v>
      </c>
      <c r="V958" s="13" t="n">
        <f aca="false">IF(B958="Company",1,0)</f>
        <v>0</v>
      </c>
      <c r="W958" s="13" t="n">
        <f aca="false">IF(H958="Home",1,0)</f>
        <v>1</v>
      </c>
      <c r="X958" s="13" t="n">
        <f aca="false">IF(H958="Investment",1,0)</f>
        <v>0</v>
      </c>
      <c r="Y958" s="13" t="n">
        <f aca="false">IF(K958="Website",1,0)</f>
        <v>1</v>
      </c>
      <c r="Z958" s="13" t="n">
        <f aca="false">IF(K958="Agency",1,0)</f>
        <v>0</v>
      </c>
      <c r="AA958" s="13" t="n">
        <f aca="false">IF(K958="Client",1,0)</f>
        <v>0</v>
      </c>
      <c r="AB958" s="13" t="n">
        <f aca="false">(D958-AVERAGE(D$2:D$2001))/STDEV(D$2:D$2001)</f>
        <v>0.453399887503333</v>
      </c>
      <c r="AC958" s="13" t="n">
        <f aca="false">(I958-AVERAGE(I$2:I$2001))/STDEV(I$2:I$2001)</f>
        <v>-0.0205155458339628</v>
      </c>
      <c r="AD958" s="13" t="n">
        <f aca="false">(L958-AVERAGE(L$2:L$2001))/STDEV(L$2:L$2001)</f>
        <v>0.413838214490712</v>
      </c>
      <c r="AE958" s="13" t="n">
        <f aca="false">(M958-AVERAGE(M$2:M$2001))/STDEV(M$2:M$2001)</f>
        <v>-0.906586285531831</v>
      </c>
      <c r="AF958" s="13" t="n">
        <f aca="false">(N958-AVERAGE(N$2:N$2001))/STDEV(N$2:N$2001)</f>
        <v>-1.58961298608656</v>
      </c>
      <c r="AG958" s="13" t="n">
        <f aca="false">(O958-AVERAGE(O$2:O$2001))/STDEV(O$2:O$2001)</f>
        <v>-1.31738250263056</v>
      </c>
      <c r="AH958" s="0" t="str">
        <f aca="false">IF(B958="Company","C3 - Corporate Buyers",IF(AND(H958="Investment",M958&gt;'Segmentation Summary'!$C$1),"C1 - Global Investors",IF(AND(I958&gt;=4,M958&gt;'Segmentation Summary'!$C$1),"C4 - Luxury Investors",IF(AND(D958&lt;'Segmentation Summary'!$C$2,J958=1),"C2 - First-Time Buyers","C5 - Other Individual Buyers"))))</f>
        <v>C5 - Other Individual Buyers</v>
      </c>
    </row>
    <row r="959" customFormat="false" ht="15" hidden="false" customHeight="true" outlineLevel="0" collapsed="false">
      <c r="A959" s="13" t="s">
        <v>1952</v>
      </c>
      <c r="B959" s="13" t="s">
        <v>34</v>
      </c>
      <c r="C959" s="13" t="s">
        <v>1953</v>
      </c>
      <c r="D959" s="13" t="n">
        <v>61</v>
      </c>
      <c r="E959" s="13" t="s">
        <v>83</v>
      </c>
      <c r="F959" s="13" t="s">
        <v>33</v>
      </c>
      <c r="G959" s="13" t="s">
        <v>84</v>
      </c>
      <c r="H959" s="13" t="s">
        <v>43</v>
      </c>
      <c r="I959" s="13" t="n">
        <v>1</v>
      </c>
      <c r="J959" s="13" t="n">
        <v>0</v>
      </c>
      <c r="K959" s="13" t="s">
        <v>91</v>
      </c>
      <c r="L959" s="13" t="n">
        <v>4</v>
      </c>
      <c r="M959" s="13" t="n">
        <v>990028.19</v>
      </c>
      <c r="N959" s="13" t="n">
        <v>247507.0475</v>
      </c>
      <c r="O959" s="13" t="n">
        <v>787.46</v>
      </c>
      <c r="P959" s="13" t="n">
        <v>1</v>
      </c>
      <c r="Q959" s="13" t="n">
        <v>3</v>
      </c>
      <c r="R959" s="13" t="s">
        <v>92</v>
      </c>
      <c r="S959" s="13" t="s">
        <v>133</v>
      </c>
      <c r="T959" s="13" t="n">
        <v>1</v>
      </c>
      <c r="U959" s="13" t="n">
        <f aca="false">IF(B959="Individual",1,0)</f>
        <v>1</v>
      </c>
      <c r="V959" s="13" t="n">
        <f aca="false">IF(B959="Company",1,0)</f>
        <v>0</v>
      </c>
      <c r="W959" s="13" t="n">
        <f aca="false">IF(H959="Home",1,0)</f>
        <v>0</v>
      </c>
      <c r="X959" s="13" t="n">
        <f aca="false">IF(H959="Investment",1,0)</f>
        <v>1</v>
      </c>
      <c r="Y959" s="13" t="n">
        <f aca="false">IF(K959="Website",1,0)</f>
        <v>0</v>
      </c>
      <c r="Z959" s="13" t="n">
        <f aca="false">IF(K959="Agency",1,0)</f>
        <v>1</v>
      </c>
      <c r="AA959" s="13" t="n">
        <f aca="false">IF(K959="Client",1,0)</f>
        <v>0</v>
      </c>
      <c r="AB959" s="13" t="n">
        <f aca="false">(D959-AVERAGE(D$2:D$2001))/STDEV(D$2:D$2001)</f>
        <v>0.395737432015182</v>
      </c>
      <c r="AC959" s="13" t="n">
        <f aca="false">(I959-AVERAGE(I$2:I$2001))/STDEV(I$2:I$2001)</f>
        <v>-1.43538077576244</v>
      </c>
      <c r="AD959" s="13" t="n">
        <f aca="false">(L959-AVERAGE(L$2:L$2001))/STDEV(L$2:L$2001)</f>
        <v>0.413838214490712</v>
      </c>
      <c r="AE959" s="13" t="n">
        <f aca="false">(M959-AVERAGE(M$2:M$2001))/STDEV(M$2:M$2001)</f>
        <v>-0.777238230430603</v>
      </c>
      <c r="AF959" s="13" t="n">
        <f aca="false">(N959-AVERAGE(N$2:N$2001))/STDEV(N$2:N$2001)</f>
        <v>-1.4282889600161</v>
      </c>
      <c r="AG959" s="13" t="n">
        <f aca="false">(O959-AVERAGE(O$2:O$2001))/STDEV(O$2:O$2001)</f>
        <v>-1.63702906996016</v>
      </c>
      <c r="AH959" s="0" t="str">
        <f aca="false">IF(B959="Company","C3 - Corporate Buyers",IF(AND(H959="Investment",M959&gt;'Segmentation Summary'!$C$1),"C1 - Global Investors",IF(AND(I959&gt;=4,M959&gt;'Segmentation Summary'!$C$1),"C4 - Luxury Investors",IF(AND(D959&lt;'Segmentation Summary'!$C$2,J959=1),"C2 - First-Time Buyers","C5 - Other Individual Buyers"))))</f>
        <v>C5 - Other Individual Buyers</v>
      </c>
    </row>
    <row r="960" customFormat="false" ht="15" hidden="false" customHeight="true" outlineLevel="0" collapsed="false">
      <c r="A960" s="13" t="s">
        <v>1954</v>
      </c>
      <c r="B960" s="13" t="s">
        <v>34</v>
      </c>
      <c r="C960" s="13" t="s">
        <v>1955</v>
      </c>
      <c r="D960" s="13" t="n">
        <v>45</v>
      </c>
      <c r="E960" s="13" t="s">
        <v>83</v>
      </c>
      <c r="F960" s="13" t="s">
        <v>44</v>
      </c>
      <c r="G960" s="13" t="s">
        <v>1956</v>
      </c>
      <c r="H960" s="13" t="s">
        <v>43</v>
      </c>
      <c r="I960" s="13" t="n">
        <v>5</v>
      </c>
      <c r="J960" s="13" t="n">
        <v>1</v>
      </c>
      <c r="K960" s="13" t="s">
        <v>91</v>
      </c>
      <c r="L960" s="13" t="n">
        <v>3</v>
      </c>
      <c r="M960" s="13" t="n">
        <v>796432.48</v>
      </c>
      <c r="N960" s="13" t="n">
        <v>265477.493333333</v>
      </c>
      <c r="O960" s="13" t="n">
        <v>922.69</v>
      </c>
      <c r="P960" s="13" t="n">
        <v>1</v>
      </c>
      <c r="Q960" s="13" t="n">
        <v>2</v>
      </c>
      <c r="R960" s="13" t="s">
        <v>93</v>
      </c>
      <c r="S960" s="13" t="s">
        <v>133</v>
      </c>
      <c r="T960" s="13" t="n">
        <v>1</v>
      </c>
      <c r="U960" s="13" t="n">
        <f aca="false">IF(B960="Individual",1,0)</f>
        <v>1</v>
      </c>
      <c r="V960" s="13" t="n">
        <f aca="false">IF(B960="Company",1,0)</f>
        <v>0</v>
      </c>
      <c r="W960" s="13" t="n">
        <f aca="false">IF(H960="Home",1,0)</f>
        <v>0</v>
      </c>
      <c r="X960" s="13" t="n">
        <f aca="false">IF(H960="Investment",1,0)</f>
        <v>1</v>
      </c>
      <c r="Y960" s="13" t="n">
        <f aca="false">IF(K960="Website",1,0)</f>
        <v>0</v>
      </c>
      <c r="Z960" s="13" t="n">
        <f aca="false">IF(K960="Agency",1,0)</f>
        <v>1</v>
      </c>
      <c r="AA960" s="13" t="n">
        <f aca="false">IF(K960="Client",1,0)</f>
        <v>0</v>
      </c>
      <c r="AB960" s="13" t="n">
        <f aca="false">(D960-AVERAGE(D$2:D$2001))/STDEV(D$2:D$2001)</f>
        <v>-0.526861855795238</v>
      </c>
      <c r="AC960" s="13" t="n">
        <f aca="false">(I960-AVERAGE(I$2:I$2001))/STDEV(I$2:I$2001)</f>
        <v>1.39434968409451</v>
      </c>
      <c r="AD960" s="13" t="n">
        <f aca="false">(L960-AVERAGE(L$2:L$2001))/STDEV(L$2:L$2001)</f>
        <v>-0.777063122173208</v>
      </c>
      <c r="AE960" s="13" t="n">
        <f aca="false">(M960-AVERAGE(M$2:M$2001))/STDEV(M$2:M$2001)</f>
        <v>-1.33381857131581</v>
      </c>
      <c r="AF960" s="13" t="n">
        <f aca="false">(N960-AVERAGE(N$2:N$2001))/STDEV(N$2:N$2001)</f>
        <v>-1.17054403359584</v>
      </c>
      <c r="AG960" s="13" t="n">
        <f aca="false">(O960-AVERAGE(O$2:O$2001))/STDEV(O$2:O$2001)</f>
        <v>-1.02213088296941</v>
      </c>
      <c r="AH960" s="0" t="str">
        <f aca="false">IF(B960="Company","C3 - Corporate Buyers",IF(AND(H960="Investment",M960&gt;'Segmentation Summary'!$C$1),"C1 - Global Investors",IF(AND(I960&gt;=4,M960&gt;'Segmentation Summary'!$C$1),"C4 - Luxury Investors",IF(AND(D960&lt;'Segmentation Summary'!$C$2,J960=1),"C2 - First-Time Buyers","C5 - Other Individual Buyers"))))</f>
        <v>C2 - First-Time Buyers</v>
      </c>
    </row>
    <row r="961" customFormat="false" ht="15" hidden="false" customHeight="true" outlineLevel="0" collapsed="false">
      <c r="A961" s="13" t="s">
        <v>1957</v>
      </c>
      <c r="B961" s="13" t="s">
        <v>34</v>
      </c>
      <c r="C961" s="13" t="s">
        <v>1958</v>
      </c>
      <c r="D961" s="13" t="n">
        <v>61</v>
      </c>
      <c r="E961" s="13" t="s">
        <v>90</v>
      </c>
      <c r="F961" s="13" t="s">
        <v>45</v>
      </c>
      <c r="G961" s="13" t="s">
        <v>405</v>
      </c>
      <c r="H961" s="13" t="s">
        <v>41</v>
      </c>
      <c r="I961" s="13" t="n">
        <v>1</v>
      </c>
      <c r="J961" s="13" t="n">
        <v>0</v>
      </c>
      <c r="K961" s="13" t="s">
        <v>85</v>
      </c>
      <c r="L961" s="13" t="n">
        <v>3</v>
      </c>
      <c r="M961" s="13" t="n">
        <v>878792.98</v>
      </c>
      <c r="N961" s="13" t="n">
        <v>292930.993333333</v>
      </c>
      <c r="O961" s="13" t="n">
        <v>1060.97333333333</v>
      </c>
      <c r="P961" s="13" t="n">
        <v>1</v>
      </c>
      <c r="Q961" s="13" t="n">
        <v>2</v>
      </c>
      <c r="R961" s="13" t="s">
        <v>117</v>
      </c>
      <c r="S961" s="13" t="s">
        <v>124</v>
      </c>
      <c r="T961" s="13" t="n">
        <v>1</v>
      </c>
      <c r="U961" s="13" t="n">
        <f aca="false">IF(B961="Individual",1,0)</f>
        <v>1</v>
      </c>
      <c r="V961" s="13" t="n">
        <f aca="false">IF(B961="Company",1,0)</f>
        <v>0</v>
      </c>
      <c r="W961" s="13" t="n">
        <f aca="false">IF(H961="Home",1,0)</f>
        <v>1</v>
      </c>
      <c r="X961" s="13" t="n">
        <f aca="false">IF(H961="Investment",1,0)</f>
        <v>0</v>
      </c>
      <c r="Y961" s="13" t="n">
        <f aca="false">IF(K961="Website",1,0)</f>
        <v>1</v>
      </c>
      <c r="Z961" s="13" t="n">
        <f aca="false">IF(K961="Agency",1,0)</f>
        <v>0</v>
      </c>
      <c r="AA961" s="13" t="n">
        <f aca="false">IF(K961="Client",1,0)</f>
        <v>0</v>
      </c>
      <c r="AB961" s="13" t="n">
        <f aca="false">(D961-AVERAGE(D$2:D$2001))/STDEV(D$2:D$2001)</f>
        <v>0.395737432015182</v>
      </c>
      <c r="AC961" s="13" t="n">
        <f aca="false">(I961-AVERAGE(I$2:I$2001))/STDEV(I$2:I$2001)</f>
        <v>-1.43538077576244</v>
      </c>
      <c r="AD961" s="13" t="n">
        <f aca="false">(L961-AVERAGE(L$2:L$2001))/STDEV(L$2:L$2001)</f>
        <v>-0.777063122173208</v>
      </c>
      <c r="AE961" s="13" t="n">
        <f aca="false">(M961-AVERAGE(M$2:M$2001))/STDEV(M$2:M$2001)</f>
        <v>-1.09703525021083</v>
      </c>
      <c r="AF961" s="13" t="n">
        <f aca="false">(N961-AVERAGE(N$2:N$2001))/STDEV(N$2:N$2001)</f>
        <v>-0.776786393796303</v>
      </c>
      <c r="AG961" s="13" t="n">
        <f aca="false">(O961-AVERAGE(O$2:O$2001))/STDEV(O$2:O$2001)</f>
        <v>-0.393349022748297</v>
      </c>
      <c r="AH961" s="0" t="str">
        <f aca="false">IF(B961="Company","C3 - Corporate Buyers",IF(AND(H961="Investment",M961&gt;'Segmentation Summary'!$C$1),"C1 - Global Investors",IF(AND(I961&gt;=4,M961&gt;'Segmentation Summary'!$C$1),"C4 - Luxury Investors",IF(AND(D961&lt;'Segmentation Summary'!$C$2,J961=1),"C2 - First-Time Buyers","C5 - Other Individual Buyers"))))</f>
        <v>C5 - Other Individual Buyers</v>
      </c>
    </row>
    <row r="962" customFormat="false" ht="15" hidden="false" customHeight="true" outlineLevel="0" collapsed="false">
      <c r="A962" s="13" t="s">
        <v>1959</v>
      </c>
      <c r="B962" s="13" t="s">
        <v>34</v>
      </c>
      <c r="C962" s="13" t="s">
        <v>1960</v>
      </c>
      <c r="D962" s="13" t="n">
        <v>76</v>
      </c>
      <c r="E962" s="13" t="s">
        <v>90</v>
      </c>
      <c r="F962" s="13" t="s">
        <v>33</v>
      </c>
      <c r="G962" s="13" t="s">
        <v>265</v>
      </c>
      <c r="H962" s="13" t="s">
        <v>41</v>
      </c>
      <c r="I962" s="13" t="n">
        <v>1</v>
      </c>
      <c r="J962" s="13" t="n">
        <v>1</v>
      </c>
      <c r="K962" s="13" t="s">
        <v>91</v>
      </c>
      <c r="L962" s="13" t="n">
        <v>4</v>
      </c>
      <c r="M962" s="13" t="n">
        <v>1186693.85</v>
      </c>
      <c r="N962" s="13" t="n">
        <v>296673.4625</v>
      </c>
      <c r="O962" s="13" t="n">
        <v>935.765</v>
      </c>
      <c r="P962" s="13" t="n">
        <v>1</v>
      </c>
      <c r="Q962" s="13" t="n">
        <v>3</v>
      </c>
      <c r="R962" s="13" t="s">
        <v>98</v>
      </c>
      <c r="S962" s="13" t="s">
        <v>124</v>
      </c>
      <c r="T962" s="13" t="n">
        <v>1</v>
      </c>
      <c r="U962" s="13" t="n">
        <f aca="false">IF(B962="Individual",1,0)</f>
        <v>1</v>
      </c>
      <c r="V962" s="13" t="n">
        <f aca="false">IF(B962="Company",1,0)</f>
        <v>0</v>
      </c>
      <c r="W962" s="13" t="n">
        <f aca="false">IF(H962="Home",1,0)</f>
        <v>1</v>
      </c>
      <c r="X962" s="13" t="n">
        <f aca="false">IF(H962="Investment",1,0)</f>
        <v>0</v>
      </c>
      <c r="Y962" s="13" t="n">
        <f aca="false">IF(K962="Website",1,0)</f>
        <v>0</v>
      </c>
      <c r="Z962" s="13" t="n">
        <f aca="false">IF(K962="Agency",1,0)</f>
        <v>1</v>
      </c>
      <c r="AA962" s="13" t="n">
        <f aca="false">IF(K962="Client",1,0)</f>
        <v>0</v>
      </c>
      <c r="AB962" s="13" t="n">
        <f aca="false">(D962-AVERAGE(D$2:D$2001))/STDEV(D$2:D$2001)</f>
        <v>1.26067426433745</v>
      </c>
      <c r="AC962" s="13" t="n">
        <f aca="false">(I962-AVERAGE(I$2:I$2001))/STDEV(I$2:I$2001)</f>
        <v>-1.43538077576244</v>
      </c>
      <c r="AD962" s="13" t="n">
        <f aca="false">(L962-AVERAGE(L$2:L$2001))/STDEV(L$2:L$2001)</f>
        <v>0.413838214490712</v>
      </c>
      <c r="AE962" s="13" t="n">
        <f aca="false">(M962-AVERAGE(M$2:M$2001))/STDEV(M$2:M$2001)</f>
        <v>-0.211831899457594</v>
      </c>
      <c r="AF962" s="13" t="n">
        <f aca="false">(N962-AVERAGE(N$2:N$2001))/STDEV(N$2:N$2001)</f>
        <v>-0.723109236927804</v>
      </c>
      <c r="AG962" s="13" t="n">
        <f aca="false">(O962-AVERAGE(O$2:O$2001))/STDEV(O$2:O$2001)</f>
        <v>-0.962678144709384</v>
      </c>
      <c r="AH962" s="0" t="str">
        <f aca="false">IF(B962="Company","C3 - Corporate Buyers",IF(AND(H962="Investment",M962&gt;'Segmentation Summary'!$C$1),"C1 - Global Investors",IF(AND(I962&gt;=4,M962&gt;'Segmentation Summary'!$C$1),"C4 - Luxury Investors",IF(AND(D962&lt;'Segmentation Summary'!$C$2,J962=1),"C2 - First-Time Buyers","C5 - Other Individual Buyers"))))</f>
        <v>C5 - Other Individual Buyers</v>
      </c>
    </row>
    <row r="963" customFormat="false" ht="15" hidden="false" customHeight="true" outlineLevel="0" collapsed="false">
      <c r="A963" s="13" t="s">
        <v>1961</v>
      </c>
      <c r="B963" s="13" t="s">
        <v>34</v>
      </c>
      <c r="C963" s="13" t="s">
        <v>1962</v>
      </c>
      <c r="D963" s="13" t="n">
        <v>65</v>
      </c>
      <c r="E963" s="13" t="s">
        <v>90</v>
      </c>
      <c r="F963" s="13" t="s">
        <v>42</v>
      </c>
      <c r="G963" s="13" t="s">
        <v>143</v>
      </c>
      <c r="H963" s="13" t="s">
        <v>41</v>
      </c>
      <c r="I963" s="13" t="n">
        <v>3</v>
      </c>
      <c r="J963" s="13" t="n">
        <v>0</v>
      </c>
      <c r="K963" s="13" t="s">
        <v>85</v>
      </c>
      <c r="L963" s="13" t="n">
        <v>3</v>
      </c>
      <c r="M963" s="13" t="n">
        <v>793835.85</v>
      </c>
      <c r="N963" s="13" t="n">
        <v>264611.95</v>
      </c>
      <c r="O963" s="13" t="n">
        <v>874.19</v>
      </c>
      <c r="P963" s="13" t="n">
        <v>0</v>
      </c>
      <c r="Q963" s="13" t="n">
        <v>3</v>
      </c>
      <c r="R963" s="13" t="s">
        <v>92</v>
      </c>
      <c r="S963" s="13" t="s">
        <v>135</v>
      </c>
      <c r="T963" s="13" t="n">
        <v>1</v>
      </c>
      <c r="U963" s="13" t="n">
        <f aca="false">IF(B963="Individual",1,0)</f>
        <v>1</v>
      </c>
      <c r="V963" s="13" t="n">
        <f aca="false">IF(B963="Company",1,0)</f>
        <v>0</v>
      </c>
      <c r="W963" s="13" t="n">
        <f aca="false">IF(H963="Home",1,0)</f>
        <v>1</v>
      </c>
      <c r="X963" s="13" t="n">
        <f aca="false">IF(H963="Investment",1,0)</f>
        <v>0</v>
      </c>
      <c r="Y963" s="13" t="n">
        <f aca="false">IF(K963="Website",1,0)</f>
        <v>1</v>
      </c>
      <c r="Z963" s="13" t="n">
        <f aca="false">IF(K963="Agency",1,0)</f>
        <v>0</v>
      </c>
      <c r="AA963" s="13" t="n">
        <f aca="false">IF(K963="Client",1,0)</f>
        <v>0</v>
      </c>
      <c r="AB963" s="13" t="n">
        <f aca="false">(D963-AVERAGE(D$2:D$2001))/STDEV(D$2:D$2001)</f>
        <v>0.626387253967787</v>
      </c>
      <c r="AC963" s="13" t="n">
        <f aca="false">(I963-AVERAGE(I$2:I$2001))/STDEV(I$2:I$2001)</f>
        <v>-0.0205155458339628</v>
      </c>
      <c r="AD963" s="13" t="n">
        <f aca="false">(L963-AVERAGE(L$2:L$2001))/STDEV(L$2:L$2001)</f>
        <v>-0.777063122173208</v>
      </c>
      <c r="AE963" s="13" t="n">
        <f aca="false">(M963-AVERAGE(M$2:M$2001))/STDEV(M$2:M$2001)</f>
        <v>-1.34128378431331</v>
      </c>
      <c r="AF963" s="13" t="n">
        <f aca="false">(N963-AVERAGE(N$2:N$2001))/STDEV(N$2:N$2001)</f>
        <v>-1.18295827222033</v>
      </c>
      <c r="AG963" s="13" t="n">
        <f aca="false">(O963-AVERAGE(O$2:O$2001))/STDEV(O$2:O$2001)</f>
        <v>-1.24266302871408</v>
      </c>
      <c r="AH963" s="0" t="str">
        <f aca="false">IF(B963="Company","C3 - Corporate Buyers",IF(AND(H963="Investment",M963&gt;'Segmentation Summary'!$C$1),"C1 - Global Investors",IF(AND(I963&gt;=4,M963&gt;'Segmentation Summary'!$C$1),"C4 - Luxury Investors",IF(AND(D963&lt;'Segmentation Summary'!$C$2,J963=1),"C2 - First-Time Buyers","C5 - Other Individual Buyers"))))</f>
        <v>C5 - Other Individual Buyers</v>
      </c>
    </row>
    <row r="964" customFormat="false" ht="15" hidden="false" customHeight="true" outlineLevel="0" collapsed="false">
      <c r="A964" s="13" t="s">
        <v>1963</v>
      </c>
      <c r="B964" s="13" t="s">
        <v>34</v>
      </c>
      <c r="C964" s="13" t="s">
        <v>1964</v>
      </c>
      <c r="D964" s="13" t="n">
        <v>59</v>
      </c>
      <c r="E964" s="13" t="s">
        <v>90</v>
      </c>
      <c r="F964" s="13" t="s">
        <v>33</v>
      </c>
      <c r="G964" s="13" t="s">
        <v>84</v>
      </c>
      <c r="H964" s="13" t="s">
        <v>41</v>
      </c>
      <c r="I964" s="13" t="n">
        <v>2</v>
      </c>
      <c r="J964" s="13" t="n">
        <v>0</v>
      </c>
      <c r="K964" s="13" t="s">
        <v>91</v>
      </c>
      <c r="L964" s="13" t="n">
        <v>4</v>
      </c>
      <c r="M964" s="13" t="n">
        <v>1439196.49</v>
      </c>
      <c r="N964" s="13" t="n">
        <v>359799.1225</v>
      </c>
      <c r="O964" s="13" t="n">
        <v>1164.015</v>
      </c>
      <c r="P964" s="13" t="n">
        <v>0</v>
      </c>
      <c r="Q964" s="13" t="n">
        <v>4</v>
      </c>
      <c r="R964" s="13" t="s">
        <v>101</v>
      </c>
      <c r="S964" s="13" t="s">
        <v>215</v>
      </c>
      <c r="T964" s="13" t="n">
        <v>1</v>
      </c>
      <c r="U964" s="13" t="n">
        <f aca="false">IF(B964="Individual",1,0)</f>
        <v>1</v>
      </c>
      <c r="V964" s="13" t="n">
        <f aca="false">IF(B964="Company",1,0)</f>
        <v>0</v>
      </c>
      <c r="W964" s="13" t="n">
        <f aca="false">IF(H964="Home",1,0)</f>
        <v>1</v>
      </c>
      <c r="X964" s="13" t="n">
        <f aca="false">IF(H964="Investment",1,0)</f>
        <v>0</v>
      </c>
      <c r="Y964" s="13" t="n">
        <f aca="false">IF(K964="Website",1,0)</f>
        <v>0</v>
      </c>
      <c r="Z964" s="13" t="n">
        <f aca="false">IF(K964="Agency",1,0)</f>
        <v>1</v>
      </c>
      <c r="AA964" s="13" t="n">
        <f aca="false">IF(K964="Client",1,0)</f>
        <v>0</v>
      </c>
      <c r="AB964" s="13" t="n">
        <f aca="false">(D964-AVERAGE(D$2:D$2001))/STDEV(D$2:D$2001)</f>
        <v>0.280412521038879</v>
      </c>
      <c r="AC964" s="13" t="n">
        <f aca="false">(I964-AVERAGE(I$2:I$2001))/STDEV(I$2:I$2001)</f>
        <v>-0.727948160798201</v>
      </c>
      <c r="AD964" s="13" t="n">
        <f aca="false">(L964-AVERAGE(L$2:L$2001))/STDEV(L$2:L$2001)</f>
        <v>0.413838214490712</v>
      </c>
      <c r="AE964" s="13" t="n">
        <f aca="false">(M964-AVERAGE(M$2:M$2001))/STDEV(M$2:M$2001)</f>
        <v>0.514103636229715</v>
      </c>
      <c r="AF964" s="13" t="n">
        <f aca="false">(N964-AVERAGE(N$2:N$2001))/STDEV(N$2:N$2001)</f>
        <v>0.182283914852038</v>
      </c>
      <c r="AG964" s="13" t="n">
        <f aca="false">(O964-AVERAGE(O$2:O$2001))/STDEV(O$2:O$2001)</f>
        <v>0.0751870566559807</v>
      </c>
      <c r="AH964" s="0" t="str">
        <f aca="false">IF(B964="Company","C3 - Corporate Buyers",IF(AND(H964="Investment",M964&gt;'Segmentation Summary'!$C$1),"C1 - Global Investors",IF(AND(I964&gt;=4,M964&gt;'Segmentation Summary'!$C$1),"C4 - Luxury Investors",IF(AND(D964&lt;'Segmentation Summary'!$C$2,J964=1),"C2 - First-Time Buyers","C5 - Other Individual Buyers"))))</f>
        <v>C5 - Other Individual Buyers</v>
      </c>
    </row>
    <row r="965" customFormat="false" ht="15" hidden="false" customHeight="true" outlineLevel="0" collapsed="false">
      <c r="A965" s="13" t="s">
        <v>1965</v>
      </c>
      <c r="B965" s="13" t="s">
        <v>34</v>
      </c>
      <c r="C965" s="13" t="s">
        <v>1966</v>
      </c>
      <c r="D965" s="13" t="n">
        <v>32</v>
      </c>
      <c r="E965" s="13" t="s">
        <v>90</v>
      </c>
      <c r="F965" s="13" t="s">
        <v>33</v>
      </c>
      <c r="G965" s="13" t="s">
        <v>95</v>
      </c>
      <c r="H965" s="13" t="s">
        <v>43</v>
      </c>
      <c r="I965" s="13" t="n">
        <v>3</v>
      </c>
      <c r="J965" s="13" t="n">
        <v>0</v>
      </c>
      <c r="K965" s="13" t="s">
        <v>85</v>
      </c>
      <c r="L965" s="13" t="n">
        <v>3</v>
      </c>
      <c r="M965" s="13" t="n">
        <v>1060946.57</v>
      </c>
      <c r="N965" s="13" t="n">
        <v>353648.856666667</v>
      </c>
      <c r="O965" s="13" t="n">
        <v>1090.77333333333</v>
      </c>
      <c r="P965" s="13" t="n">
        <v>0</v>
      </c>
      <c r="Q965" s="13" t="n">
        <v>3</v>
      </c>
      <c r="R965" s="13" t="s">
        <v>150</v>
      </c>
      <c r="S965" s="13" t="s">
        <v>87</v>
      </c>
      <c r="T965" s="13" t="n">
        <v>1</v>
      </c>
      <c r="U965" s="13" t="n">
        <f aca="false">IF(B965="Individual",1,0)</f>
        <v>1</v>
      </c>
      <c r="V965" s="13" t="n">
        <f aca="false">IF(B965="Company",1,0)</f>
        <v>0</v>
      </c>
      <c r="W965" s="13" t="n">
        <f aca="false">IF(H965="Home",1,0)</f>
        <v>0</v>
      </c>
      <c r="X965" s="13" t="n">
        <f aca="false">IF(H965="Investment",1,0)</f>
        <v>1</v>
      </c>
      <c r="Y965" s="13" t="n">
        <f aca="false">IF(K965="Website",1,0)</f>
        <v>1</v>
      </c>
      <c r="Z965" s="13" t="n">
        <f aca="false">IF(K965="Agency",1,0)</f>
        <v>0</v>
      </c>
      <c r="AA965" s="13" t="n">
        <f aca="false">IF(K965="Client",1,0)</f>
        <v>0</v>
      </c>
      <c r="AB965" s="13" t="n">
        <f aca="false">(D965-AVERAGE(D$2:D$2001))/STDEV(D$2:D$2001)</f>
        <v>-1.2764737771412</v>
      </c>
      <c r="AC965" s="13" t="n">
        <f aca="false">(I965-AVERAGE(I$2:I$2001))/STDEV(I$2:I$2001)</f>
        <v>-0.0205155458339628</v>
      </c>
      <c r="AD965" s="13" t="n">
        <f aca="false">(L965-AVERAGE(L$2:L$2001))/STDEV(L$2:L$2001)</f>
        <v>-0.777063122173208</v>
      </c>
      <c r="AE965" s="13" t="n">
        <f aca="false">(M965-AVERAGE(M$2:M$2001))/STDEV(M$2:M$2001)</f>
        <v>-0.57335057137335</v>
      </c>
      <c r="AF965" s="13" t="n">
        <f aca="false">(N965-AVERAGE(N$2:N$2001))/STDEV(N$2:N$2001)</f>
        <v>0.0940724241979166</v>
      </c>
      <c r="AG965" s="13" t="n">
        <f aca="false">(O965-AVERAGE(O$2:O$2001))/STDEV(O$2:O$2001)</f>
        <v>-0.257846797115491</v>
      </c>
      <c r="AH965" s="0" t="str">
        <f aca="false">IF(B965="Company","C3 - Corporate Buyers",IF(AND(H965="Investment",M965&gt;'Segmentation Summary'!$C$1),"C1 - Global Investors",IF(AND(I965&gt;=4,M965&gt;'Segmentation Summary'!$C$1),"C4 - Luxury Investors",IF(AND(D965&lt;'Segmentation Summary'!$C$2,J965=1),"C2 - First-Time Buyers","C5 - Other Individual Buyers"))))</f>
        <v>C5 - Other Individual Buyers</v>
      </c>
    </row>
    <row r="966" customFormat="false" ht="15" hidden="false" customHeight="true" outlineLevel="0" collapsed="false">
      <c r="A966" s="13" t="s">
        <v>1967</v>
      </c>
      <c r="B966" s="13" t="s">
        <v>34</v>
      </c>
      <c r="C966" s="13" t="s">
        <v>1968</v>
      </c>
      <c r="D966" s="13" t="n">
        <v>71</v>
      </c>
      <c r="E966" s="13" t="s">
        <v>90</v>
      </c>
      <c r="F966" s="13" t="s">
        <v>33</v>
      </c>
      <c r="G966" s="13" t="s">
        <v>95</v>
      </c>
      <c r="H966" s="13" t="s">
        <v>43</v>
      </c>
      <c r="I966" s="13" t="n">
        <v>5</v>
      </c>
      <c r="J966" s="13" t="n">
        <v>0</v>
      </c>
      <c r="K966" s="13" t="s">
        <v>85</v>
      </c>
      <c r="L966" s="13" t="n">
        <v>4</v>
      </c>
      <c r="M966" s="13" t="n">
        <v>1310989.71</v>
      </c>
      <c r="N966" s="13" t="n">
        <v>327747.4275</v>
      </c>
      <c r="O966" s="13" t="n">
        <v>1073.905</v>
      </c>
      <c r="P966" s="13" t="n">
        <v>1</v>
      </c>
      <c r="Q966" s="13" t="n">
        <v>3</v>
      </c>
      <c r="R966" s="13" t="s">
        <v>124</v>
      </c>
      <c r="S966" s="13" t="s">
        <v>107</v>
      </c>
      <c r="T966" s="13" t="n">
        <v>1</v>
      </c>
      <c r="U966" s="13" t="n">
        <f aca="false">IF(B966="Individual",1,0)</f>
        <v>1</v>
      </c>
      <c r="V966" s="13" t="n">
        <f aca="false">IF(B966="Company",1,0)</f>
        <v>0</v>
      </c>
      <c r="W966" s="13" t="n">
        <f aca="false">IF(H966="Home",1,0)</f>
        <v>0</v>
      </c>
      <c r="X966" s="13" t="n">
        <f aca="false">IF(H966="Investment",1,0)</f>
        <v>1</v>
      </c>
      <c r="Y966" s="13" t="n">
        <f aca="false">IF(K966="Website",1,0)</f>
        <v>1</v>
      </c>
      <c r="Z966" s="13" t="n">
        <f aca="false">IF(K966="Agency",1,0)</f>
        <v>0</v>
      </c>
      <c r="AA966" s="13" t="n">
        <f aca="false">IF(K966="Client",1,0)</f>
        <v>0</v>
      </c>
      <c r="AB966" s="13" t="n">
        <f aca="false">(D966-AVERAGE(D$2:D$2001))/STDEV(D$2:D$2001)</f>
        <v>0.972361986896694</v>
      </c>
      <c r="AC966" s="13" t="n">
        <f aca="false">(I966-AVERAGE(I$2:I$2001))/STDEV(I$2:I$2001)</f>
        <v>1.39434968409451</v>
      </c>
      <c r="AD966" s="13" t="n">
        <f aca="false">(L966-AVERAGE(L$2:L$2001))/STDEV(L$2:L$2001)</f>
        <v>0.413838214490712</v>
      </c>
      <c r="AE966" s="13" t="n">
        <f aca="false">(M966-AVERAGE(M$2:M$2001))/STDEV(M$2:M$2001)</f>
        <v>0.145513994877668</v>
      </c>
      <c r="AF966" s="13" t="n">
        <f aca="false">(N966-AVERAGE(N$2:N$2001))/STDEV(N$2:N$2001)</f>
        <v>-0.277424310866889</v>
      </c>
      <c r="AG966" s="13" t="n">
        <f aca="false">(O966-AVERAGE(O$2:O$2001))/STDEV(O$2:O$2001)</f>
        <v>-0.334548028973956</v>
      </c>
      <c r="AH966" s="0" t="str">
        <f aca="false">IF(B966="Company","C3 - Corporate Buyers",IF(AND(H966="Investment",M966&gt;'Segmentation Summary'!$C$1),"C1 - Global Investors",IF(AND(I966&gt;=4,M966&gt;'Segmentation Summary'!$C$1),"C4 - Luxury Investors",IF(AND(D966&lt;'Segmentation Summary'!$C$2,J966=1),"C2 - First-Time Buyers","C5 - Other Individual Buyers"))))</f>
        <v>C1 - Global Investors</v>
      </c>
    </row>
    <row r="967" customFormat="false" ht="15" hidden="false" customHeight="true" outlineLevel="0" collapsed="false">
      <c r="A967" s="13" t="s">
        <v>1969</v>
      </c>
      <c r="B967" s="13" t="s">
        <v>34</v>
      </c>
      <c r="C967" s="13" t="s">
        <v>1970</v>
      </c>
      <c r="D967" s="13" t="n">
        <v>83</v>
      </c>
      <c r="E967" s="13" t="s">
        <v>90</v>
      </c>
      <c r="F967" s="13" t="s">
        <v>33</v>
      </c>
      <c r="G967" s="13" t="s">
        <v>95</v>
      </c>
      <c r="H967" s="13" t="s">
        <v>41</v>
      </c>
      <c r="I967" s="13" t="n">
        <v>2</v>
      </c>
      <c r="J967" s="13" t="n">
        <v>0</v>
      </c>
      <c r="K967" s="13" t="s">
        <v>85</v>
      </c>
      <c r="L967" s="13" t="n">
        <v>4</v>
      </c>
      <c r="M967" s="13" t="n">
        <v>1054514.54</v>
      </c>
      <c r="N967" s="13" t="n">
        <v>263628.635</v>
      </c>
      <c r="O967" s="13" t="n">
        <v>943.97</v>
      </c>
      <c r="P967" s="13" t="n">
        <v>1</v>
      </c>
      <c r="Q967" s="13" t="n">
        <v>3</v>
      </c>
      <c r="R967" s="13" t="s">
        <v>128</v>
      </c>
      <c r="S967" s="13" t="s">
        <v>125</v>
      </c>
      <c r="T967" s="13" t="n">
        <v>1</v>
      </c>
      <c r="U967" s="13" t="n">
        <f aca="false">IF(B967="Individual",1,0)</f>
        <v>1</v>
      </c>
      <c r="V967" s="13" t="n">
        <f aca="false">IF(B967="Company",1,0)</f>
        <v>0</v>
      </c>
      <c r="W967" s="13" t="n">
        <f aca="false">IF(H967="Home",1,0)</f>
        <v>1</v>
      </c>
      <c r="X967" s="13" t="n">
        <f aca="false">IF(H967="Investment",1,0)</f>
        <v>0</v>
      </c>
      <c r="Y967" s="13" t="n">
        <f aca="false">IF(K967="Website",1,0)</f>
        <v>1</v>
      </c>
      <c r="Z967" s="13" t="n">
        <f aca="false">IF(K967="Agency",1,0)</f>
        <v>0</v>
      </c>
      <c r="AA967" s="13" t="n">
        <f aca="false">IF(K967="Client",1,0)</f>
        <v>0</v>
      </c>
      <c r="AB967" s="13" t="n">
        <f aca="false">(D967-AVERAGE(D$2:D$2001))/STDEV(D$2:D$2001)</f>
        <v>1.66431145275451</v>
      </c>
      <c r="AC967" s="13" t="n">
        <f aca="false">(I967-AVERAGE(I$2:I$2001))/STDEV(I$2:I$2001)</f>
        <v>-0.727948160798201</v>
      </c>
      <c r="AD967" s="13" t="n">
        <f aca="false">(L967-AVERAGE(L$2:L$2001))/STDEV(L$2:L$2001)</f>
        <v>0.413838214490712</v>
      </c>
      <c r="AE967" s="13" t="n">
        <f aca="false">(M967-AVERAGE(M$2:M$2001))/STDEV(M$2:M$2001)</f>
        <v>-0.591842414245198</v>
      </c>
      <c r="AF967" s="13" t="n">
        <f aca="false">(N967-AVERAGE(N$2:N$2001))/STDEV(N$2:N$2001)</f>
        <v>-1.19706167592403</v>
      </c>
      <c r="AG967" s="13" t="n">
        <f aca="false">(O967-AVERAGE(O$2:O$2001))/STDEV(O$2:O$2001)</f>
        <v>-0.925369562114847</v>
      </c>
      <c r="AH967" s="0" t="str">
        <f aca="false">IF(B967="Company","C3 - Corporate Buyers",IF(AND(H967="Investment",M967&gt;'Segmentation Summary'!$C$1),"C1 - Global Investors",IF(AND(I967&gt;=4,M967&gt;'Segmentation Summary'!$C$1),"C4 - Luxury Investors",IF(AND(D967&lt;'Segmentation Summary'!$C$2,J967=1),"C2 - First-Time Buyers","C5 - Other Individual Buyers"))))</f>
        <v>C5 - Other Individual Buyers</v>
      </c>
    </row>
    <row r="968" customFormat="false" ht="15" hidden="false" customHeight="true" outlineLevel="0" collapsed="false">
      <c r="A968" s="13" t="s">
        <v>1971</v>
      </c>
      <c r="B968" s="13" t="s">
        <v>34</v>
      </c>
      <c r="C968" s="13" t="s">
        <v>1972</v>
      </c>
      <c r="D968" s="13" t="n">
        <v>65</v>
      </c>
      <c r="E968" s="13" t="s">
        <v>90</v>
      </c>
      <c r="F968" s="13" t="s">
        <v>33</v>
      </c>
      <c r="G968" s="13" t="s">
        <v>95</v>
      </c>
      <c r="H968" s="13" t="s">
        <v>41</v>
      </c>
      <c r="I968" s="13" t="n">
        <v>2</v>
      </c>
      <c r="J968" s="13" t="n">
        <v>0</v>
      </c>
      <c r="K968" s="13" t="s">
        <v>91</v>
      </c>
      <c r="L968" s="13" t="n">
        <v>3</v>
      </c>
      <c r="M968" s="13" t="n">
        <v>705599.66</v>
      </c>
      <c r="N968" s="13" t="n">
        <v>235199.886666667</v>
      </c>
      <c r="O968" s="13" t="n">
        <v>879.343333333333</v>
      </c>
      <c r="P968" s="13" t="n">
        <v>1</v>
      </c>
      <c r="Q968" s="13" t="n">
        <v>2</v>
      </c>
      <c r="R968" s="13" t="s">
        <v>128</v>
      </c>
      <c r="S968" s="13" t="s">
        <v>125</v>
      </c>
      <c r="T968" s="13" t="n">
        <v>1</v>
      </c>
      <c r="U968" s="13" t="n">
        <f aca="false">IF(B968="Individual",1,0)</f>
        <v>1</v>
      </c>
      <c r="V968" s="13" t="n">
        <f aca="false">IF(B968="Company",1,0)</f>
        <v>0</v>
      </c>
      <c r="W968" s="13" t="n">
        <f aca="false">IF(H968="Home",1,0)</f>
        <v>1</v>
      </c>
      <c r="X968" s="13" t="n">
        <f aca="false">IF(H968="Investment",1,0)</f>
        <v>0</v>
      </c>
      <c r="Y968" s="13" t="n">
        <f aca="false">IF(K968="Website",1,0)</f>
        <v>0</v>
      </c>
      <c r="Z968" s="13" t="n">
        <f aca="false">IF(K968="Agency",1,0)</f>
        <v>1</v>
      </c>
      <c r="AA968" s="13" t="n">
        <f aca="false">IF(K968="Client",1,0)</f>
        <v>0</v>
      </c>
      <c r="AB968" s="13" t="n">
        <f aca="false">(D968-AVERAGE(D$2:D$2001))/STDEV(D$2:D$2001)</f>
        <v>0.626387253967787</v>
      </c>
      <c r="AC968" s="13" t="n">
        <f aca="false">(I968-AVERAGE(I$2:I$2001))/STDEV(I$2:I$2001)</f>
        <v>-0.727948160798201</v>
      </c>
      <c r="AD968" s="13" t="n">
        <f aca="false">(L968-AVERAGE(L$2:L$2001))/STDEV(L$2:L$2001)</f>
        <v>-0.777063122173208</v>
      </c>
      <c r="AE968" s="13" t="n">
        <f aca="false">(M968-AVERAGE(M$2:M$2001))/STDEV(M$2:M$2001)</f>
        <v>-1.59495949184119</v>
      </c>
      <c r="AF968" s="13" t="n">
        <f aca="false">(N968-AVERAGE(N$2:N$2001))/STDEV(N$2:N$2001)</f>
        <v>-1.60480702155166</v>
      </c>
      <c r="AG968" s="13" t="n">
        <f aca="false">(O968-AVERAGE(O$2:O$2001))/STDEV(O$2:O$2001)</f>
        <v>-1.21923054092568</v>
      </c>
      <c r="AH968" s="0" t="str">
        <f aca="false">IF(B968="Company","C3 - Corporate Buyers",IF(AND(H968="Investment",M968&gt;'Segmentation Summary'!$C$1),"C1 - Global Investors",IF(AND(I968&gt;=4,M968&gt;'Segmentation Summary'!$C$1),"C4 - Luxury Investors",IF(AND(D968&lt;'Segmentation Summary'!$C$2,J968=1),"C2 - First-Time Buyers","C5 - Other Individual Buyers"))))</f>
        <v>C5 - Other Individual Buyers</v>
      </c>
    </row>
    <row r="969" customFormat="false" ht="15" hidden="false" customHeight="true" outlineLevel="0" collapsed="false">
      <c r="A969" s="13" t="s">
        <v>1973</v>
      </c>
      <c r="B969" s="13" t="s">
        <v>34</v>
      </c>
      <c r="C969" s="13" t="s">
        <v>1974</v>
      </c>
      <c r="D969" s="13" t="n">
        <v>54</v>
      </c>
      <c r="E969" s="13" t="s">
        <v>90</v>
      </c>
      <c r="F969" s="13" t="s">
        <v>40</v>
      </c>
      <c r="G969" s="13" t="s">
        <v>528</v>
      </c>
      <c r="H969" s="13" t="s">
        <v>41</v>
      </c>
      <c r="I969" s="13" t="n">
        <v>2</v>
      </c>
      <c r="J969" s="13" t="n">
        <v>1</v>
      </c>
      <c r="K969" s="13" t="s">
        <v>85</v>
      </c>
      <c r="L969" s="13" t="n">
        <v>3</v>
      </c>
      <c r="M969" s="13" t="n">
        <v>1225657.22</v>
      </c>
      <c r="N969" s="13" t="n">
        <v>408552.406666667</v>
      </c>
      <c r="O969" s="13" t="n">
        <v>1464.84666666667</v>
      </c>
      <c r="P969" s="13" t="n">
        <v>0</v>
      </c>
      <c r="Q969" s="13" t="n">
        <v>3</v>
      </c>
      <c r="R969" s="13" t="s">
        <v>111</v>
      </c>
      <c r="S969" s="13" t="s">
        <v>93</v>
      </c>
      <c r="T969" s="13" t="n">
        <v>1</v>
      </c>
      <c r="U969" s="13" t="n">
        <f aca="false">IF(B969="Individual",1,0)</f>
        <v>1</v>
      </c>
      <c r="V969" s="13" t="n">
        <f aca="false">IF(B969="Company",1,0)</f>
        <v>0</v>
      </c>
      <c r="W969" s="13" t="n">
        <f aca="false">IF(H969="Home",1,0)</f>
        <v>1</v>
      </c>
      <c r="X969" s="13" t="n">
        <f aca="false">IF(H969="Investment",1,0)</f>
        <v>0</v>
      </c>
      <c r="Y969" s="13" t="n">
        <f aca="false">IF(K969="Website",1,0)</f>
        <v>1</v>
      </c>
      <c r="Z969" s="13" t="n">
        <f aca="false">IF(K969="Agency",1,0)</f>
        <v>0</v>
      </c>
      <c r="AA969" s="13" t="n">
        <f aca="false">IF(K969="Client",1,0)</f>
        <v>0</v>
      </c>
      <c r="AB969" s="13" t="n">
        <f aca="false">(D969-AVERAGE(D$2:D$2001))/STDEV(D$2:D$2001)</f>
        <v>-0.00789975640187674</v>
      </c>
      <c r="AC969" s="13" t="n">
        <f aca="false">(I969-AVERAGE(I$2:I$2001))/STDEV(I$2:I$2001)</f>
        <v>-0.727948160798201</v>
      </c>
      <c r="AD969" s="13" t="n">
        <f aca="false">(L969-AVERAGE(L$2:L$2001))/STDEV(L$2:L$2001)</f>
        <v>-0.777063122173208</v>
      </c>
      <c r="AE969" s="13" t="n">
        <f aca="false">(M969-AVERAGE(M$2:M$2001))/STDEV(M$2:M$2001)</f>
        <v>-0.0998136850217659</v>
      </c>
      <c r="AF969" s="13" t="n">
        <f aca="false">(N969-AVERAGE(N$2:N$2001))/STDEV(N$2:N$2001)</f>
        <v>0.881538221441101</v>
      </c>
      <c r="AG969" s="13" t="n">
        <f aca="false">(O969-AVERAGE(O$2:O$2001))/STDEV(O$2:O$2001)</f>
        <v>1.44308505578887</v>
      </c>
      <c r="AH969" s="0" t="str">
        <f aca="false">IF(B969="Company","C3 - Corporate Buyers",IF(AND(H969="Investment",M969&gt;'Segmentation Summary'!$C$1),"C1 - Global Investors",IF(AND(I969&gt;=4,M969&gt;'Segmentation Summary'!$C$1),"C4 - Luxury Investors",IF(AND(D969&lt;'Segmentation Summary'!$C$2,J969=1),"C2 - First-Time Buyers","C5 - Other Individual Buyers"))))</f>
        <v>C2 - First-Time Buyers</v>
      </c>
    </row>
    <row r="970" customFormat="false" ht="15" hidden="false" customHeight="true" outlineLevel="0" collapsed="false">
      <c r="A970" s="13" t="s">
        <v>1975</v>
      </c>
      <c r="B970" s="13" t="s">
        <v>34</v>
      </c>
      <c r="C970" s="13" t="s">
        <v>1976</v>
      </c>
      <c r="D970" s="13" t="n">
        <v>75</v>
      </c>
      <c r="E970" s="13" t="s">
        <v>90</v>
      </c>
      <c r="F970" s="13" t="s">
        <v>33</v>
      </c>
      <c r="G970" s="13" t="s">
        <v>100</v>
      </c>
      <c r="H970" s="13" t="s">
        <v>43</v>
      </c>
      <c r="I970" s="13" t="n">
        <v>4</v>
      </c>
      <c r="J970" s="13" t="n">
        <v>0</v>
      </c>
      <c r="K970" s="13" t="s">
        <v>85</v>
      </c>
      <c r="L970" s="13" t="n">
        <v>4</v>
      </c>
      <c r="M970" s="13" t="n">
        <v>1207329.15</v>
      </c>
      <c r="N970" s="13" t="n">
        <v>301832.2875</v>
      </c>
      <c r="O970" s="13" t="n">
        <v>1012.5575</v>
      </c>
      <c r="P970" s="13" t="n">
        <v>0</v>
      </c>
      <c r="Q970" s="13" t="n">
        <v>4</v>
      </c>
      <c r="R970" s="13" t="s">
        <v>101</v>
      </c>
      <c r="S970" s="13" t="s">
        <v>154</v>
      </c>
      <c r="T970" s="13" t="n">
        <v>1</v>
      </c>
      <c r="U970" s="13" t="n">
        <f aca="false">IF(B970="Individual",1,0)</f>
        <v>1</v>
      </c>
      <c r="V970" s="13" t="n">
        <f aca="false">IF(B970="Company",1,0)</f>
        <v>0</v>
      </c>
      <c r="W970" s="13" t="n">
        <f aca="false">IF(H970="Home",1,0)</f>
        <v>0</v>
      </c>
      <c r="X970" s="13" t="n">
        <f aca="false">IF(H970="Investment",1,0)</f>
        <v>1</v>
      </c>
      <c r="Y970" s="13" t="n">
        <f aca="false">IF(K970="Website",1,0)</f>
        <v>1</v>
      </c>
      <c r="Z970" s="13" t="n">
        <f aca="false">IF(K970="Agency",1,0)</f>
        <v>0</v>
      </c>
      <c r="AA970" s="13" t="n">
        <f aca="false">IF(K970="Client",1,0)</f>
        <v>0</v>
      </c>
      <c r="AB970" s="13" t="n">
        <f aca="false">(D970-AVERAGE(D$2:D$2001))/STDEV(D$2:D$2001)</f>
        <v>1.2030118088493</v>
      </c>
      <c r="AC970" s="13" t="n">
        <f aca="false">(I970-AVERAGE(I$2:I$2001))/STDEV(I$2:I$2001)</f>
        <v>0.686917069130275</v>
      </c>
      <c r="AD970" s="13" t="n">
        <f aca="false">(L970-AVERAGE(L$2:L$2001))/STDEV(L$2:L$2001)</f>
        <v>0.413838214490712</v>
      </c>
      <c r="AE970" s="13" t="n">
        <f aca="false">(M970-AVERAGE(M$2:M$2001))/STDEV(M$2:M$2001)</f>
        <v>-0.152506192765703</v>
      </c>
      <c r="AF970" s="13" t="n">
        <f aca="false">(N970-AVERAGE(N$2:N$2001))/STDEV(N$2:N$2001)</f>
        <v>-0.649117696463425</v>
      </c>
      <c r="AG970" s="13" t="n">
        <f aca="false">(O970-AVERAGE(O$2:O$2001))/STDEV(O$2:O$2001)</f>
        <v>-0.613498458068202</v>
      </c>
      <c r="AH970" s="0" t="str">
        <f aca="false">IF(B970="Company","C3 - Corporate Buyers",IF(AND(H970="Investment",M970&gt;'Segmentation Summary'!$C$1),"C1 - Global Investors",IF(AND(I970&gt;=4,M970&gt;'Segmentation Summary'!$C$1),"C4 - Luxury Investors",IF(AND(D970&lt;'Segmentation Summary'!$C$2,J970=1),"C2 - First-Time Buyers","C5 - Other Individual Buyers"))))</f>
        <v>C5 - Other Individual Buyers</v>
      </c>
    </row>
    <row r="971" customFormat="false" ht="15" hidden="false" customHeight="true" outlineLevel="0" collapsed="false">
      <c r="A971" s="13" t="s">
        <v>1977</v>
      </c>
      <c r="B971" s="13" t="s">
        <v>34</v>
      </c>
      <c r="C971" s="13" t="s">
        <v>1978</v>
      </c>
      <c r="D971" s="13" t="n">
        <v>24</v>
      </c>
      <c r="E971" s="13" t="s">
        <v>90</v>
      </c>
      <c r="F971" s="13" t="s">
        <v>33</v>
      </c>
      <c r="G971" s="13" t="s">
        <v>145</v>
      </c>
      <c r="H971" s="13" t="s">
        <v>41</v>
      </c>
      <c r="I971" s="13" t="n">
        <v>1</v>
      </c>
      <c r="J971" s="13" t="n">
        <v>0</v>
      </c>
      <c r="K971" s="13" t="s">
        <v>91</v>
      </c>
      <c r="L971" s="13" t="n">
        <v>4</v>
      </c>
      <c r="M971" s="13" t="n">
        <v>1725018.41</v>
      </c>
      <c r="N971" s="13" t="n">
        <v>431254.6025</v>
      </c>
      <c r="O971" s="13" t="n">
        <v>1446.1125</v>
      </c>
      <c r="P971" s="13" t="n">
        <v>0</v>
      </c>
      <c r="Q971" s="13" t="n">
        <v>4</v>
      </c>
      <c r="R971" s="13" t="s">
        <v>124</v>
      </c>
      <c r="S971" s="13" t="s">
        <v>125</v>
      </c>
      <c r="T971" s="13" t="n">
        <v>1</v>
      </c>
      <c r="U971" s="13" t="n">
        <f aca="false">IF(B971="Individual",1,0)</f>
        <v>1</v>
      </c>
      <c r="V971" s="13" t="n">
        <f aca="false">IF(B971="Company",1,0)</f>
        <v>0</v>
      </c>
      <c r="W971" s="13" t="n">
        <f aca="false">IF(H971="Home",1,0)</f>
        <v>1</v>
      </c>
      <c r="X971" s="13" t="n">
        <f aca="false">IF(H971="Investment",1,0)</f>
        <v>0</v>
      </c>
      <c r="Y971" s="13" t="n">
        <f aca="false">IF(K971="Website",1,0)</f>
        <v>0</v>
      </c>
      <c r="Z971" s="13" t="n">
        <f aca="false">IF(K971="Agency",1,0)</f>
        <v>1</v>
      </c>
      <c r="AA971" s="13" t="n">
        <f aca="false">IF(K971="Client",1,0)</f>
        <v>0</v>
      </c>
      <c r="AB971" s="13" t="n">
        <f aca="false">(D971-AVERAGE(D$2:D$2001))/STDEV(D$2:D$2001)</f>
        <v>-1.73777342104641</v>
      </c>
      <c r="AC971" s="13" t="n">
        <f aca="false">(I971-AVERAGE(I$2:I$2001))/STDEV(I$2:I$2001)</f>
        <v>-1.43538077576244</v>
      </c>
      <c r="AD971" s="13" t="n">
        <f aca="false">(L971-AVERAGE(L$2:L$2001))/STDEV(L$2:L$2001)</f>
        <v>0.413838214490712</v>
      </c>
      <c r="AE971" s="13" t="n">
        <f aca="false">(M971-AVERAGE(M$2:M$2001))/STDEV(M$2:M$2001)</f>
        <v>1.33583084116656</v>
      </c>
      <c r="AF971" s="13" t="n">
        <f aca="false">(N971-AVERAGE(N$2:N$2001))/STDEV(N$2:N$2001)</f>
        <v>1.207149274662</v>
      </c>
      <c r="AG971" s="13" t="n">
        <f aca="false">(O971-AVERAGE(O$2:O$2001))/STDEV(O$2:O$2001)</f>
        <v>1.35789977797982</v>
      </c>
      <c r="AH971" s="0" t="str">
        <f aca="false">IF(B971="Company","C3 - Corporate Buyers",IF(AND(H971="Investment",M971&gt;'Segmentation Summary'!$C$1),"C1 - Global Investors",IF(AND(I971&gt;=4,M971&gt;'Segmentation Summary'!$C$1),"C4 - Luxury Investors",IF(AND(D971&lt;'Segmentation Summary'!$C$2,J971=1),"C2 - First-Time Buyers","C5 - Other Individual Buyers"))))</f>
        <v>C5 - Other Individual Buyers</v>
      </c>
    </row>
    <row r="972" customFormat="false" ht="15" hidden="false" customHeight="true" outlineLevel="0" collapsed="false">
      <c r="A972" s="13" t="s">
        <v>1979</v>
      </c>
      <c r="B972" s="13" t="s">
        <v>34</v>
      </c>
      <c r="C972" s="13" t="s">
        <v>1980</v>
      </c>
      <c r="D972" s="13" t="n">
        <v>56</v>
      </c>
      <c r="E972" s="13" t="s">
        <v>90</v>
      </c>
      <c r="F972" s="13" t="s">
        <v>42</v>
      </c>
      <c r="G972" s="13" t="s">
        <v>288</v>
      </c>
      <c r="H972" s="13" t="s">
        <v>41</v>
      </c>
      <c r="I972" s="13" t="n">
        <v>5</v>
      </c>
      <c r="J972" s="13" t="n">
        <v>0</v>
      </c>
      <c r="K972" s="13" t="s">
        <v>85</v>
      </c>
      <c r="L972" s="13" t="n">
        <v>4</v>
      </c>
      <c r="M972" s="13" t="n">
        <v>1237164.36</v>
      </c>
      <c r="N972" s="13" t="n">
        <v>309291.09</v>
      </c>
      <c r="O972" s="13" t="n">
        <v>984.6475</v>
      </c>
      <c r="P972" s="13" t="n">
        <v>0</v>
      </c>
      <c r="Q972" s="13" t="n">
        <v>4</v>
      </c>
      <c r="R972" s="13" t="s">
        <v>121</v>
      </c>
      <c r="S972" s="13" t="s">
        <v>107</v>
      </c>
      <c r="T972" s="13" t="n">
        <v>1</v>
      </c>
      <c r="U972" s="13" t="n">
        <f aca="false">IF(B972="Individual",1,0)</f>
        <v>1</v>
      </c>
      <c r="V972" s="13" t="n">
        <f aca="false">IF(B972="Company",1,0)</f>
        <v>0</v>
      </c>
      <c r="W972" s="13" t="n">
        <f aca="false">IF(H972="Home",1,0)</f>
        <v>1</v>
      </c>
      <c r="X972" s="13" t="n">
        <f aca="false">IF(H972="Investment",1,0)</f>
        <v>0</v>
      </c>
      <c r="Y972" s="13" t="n">
        <f aca="false">IF(K972="Website",1,0)</f>
        <v>1</v>
      </c>
      <c r="Z972" s="13" t="n">
        <f aca="false">IF(K972="Agency",1,0)</f>
        <v>0</v>
      </c>
      <c r="AA972" s="13" t="n">
        <f aca="false">IF(K972="Client",1,0)</f>
        <v>0</v>
      </c>
      <c r="AB972" s="13" t="n">
        <f aca="false">(D972-AVERAGE(D$2:D$2001))/STDEV(D$2:D$2001)</f>
        <v>0.107425154574426</v>
      </c>
      <c r="AC972" s="13" t="n">
        <f aca="false">(I972-AVERAGE(I$2:I$2001))/STDEV(I$2:I$2001)</f>
        <v>1.39434968409451</v>
      </c>
      <c r="AD972" s="13" t="n">
        <f aca="false">(L972-AVERAGE(L$2:L$2001))/STDEV(L$2:L$2001)</f>
        <v>0.413838214490712</v>
      </c>
      <c r="AE972" s="13" t="n">
        <f aca="false">(M972-AVERAGE(M$2:M$2001))/STDEV(M$2:M$2001)</f>
        <v>-0.0667310929342972</v>
      </c>
      <c r="AF972" s="13" t="n">
        <f aca="false">(N972-AVERAGE(N$2:N$2001))/STDEV(N$2:N$2001)</f>
        <v>-0.542138241452921</v>
      </c>
      <c r="AG972" s="13" t="n">
        <f aca="false">(O972-AVERAGE(O$2:O$2001))/STDEV(O$2:O$2001)</f>
        <v>-0.740406750598792</v>
      </c>
      <c r="AH972" s="0" t="str">
        <f aca="false">IF(B972="Company","C3 - Corporate Buyers",IF(AND(H972="Investment",M972&gt;'Segmentation Summary'!$C$1),"C1 - Global Investors",IF(AND(I972&gt;=4,M972&gt;'Segmentation Summary'!$C$1),"C4 - Luxury Investors",IF(AND(D972&lt;'Segmentation Summary'!$C$2,J972=1),"C2 - First-Time Buyers","C5 - Other Individual Buyers"))))</f>
        <v>C4 - Luxury Investors</v>
      </c>
    </row>
    <row r="973" customFormat="false" ht="15" hidden="false" customHeight="true" outlineLevel="0" collapsed="false">
      <c r="A973" s="13" t="s">
        <v>1981</v>
      </c>
      <c r="B973" s="13" t="s">
        <v>34</v>
      </c>
      <c r="C973" s="13" t="s">
        <v>1982</v>
      </c>
      <c r="D973" s="13" t="n">
        <v>73</v>
      </c>
      <c r="E973" s="13" t="s">
        <v>90</v>
      </c>
      <c r="F973" s="13" t="s">
        <v>33</v>
      </c>
      <c r="G973" s="13" t="s">
        <v>95</v>
      </c>
      <c r="H973" s="13" t="s">
        <v>41</v>
      </c>
      <c r="I973" s="13" t="n">
        <v>4</v>
      </c>
      <c r="J973" s="13" t="n">
        <v>1</v>
      </c>
      <c r="K973" s="13" t="s">
        <v>85</v>
      </c>
      <c r="L973" s="13" t="n">
        <v>4</v>
      </c>
      <c r="M973" s="13" t="n">
        <v>1943363.94</v>
      </c>
      <c r="N973" s="13" t="n">
        <v>485840.985</v>
      </c>
      <c r="O973" s="13" t="n">
        <v>1602.67</v>
      </c>
      <c r="P973" s="13" t="n">
        <v>0</v>
      </c>
      <c r="Q973" s="13" t="n">
        <v>4</v>
      </c>
      <c r="R973" s="13" t="s">
        <v>98</v>
      </c>
      <c r="S973" s="13" t="s">
        <v>125</v>
      </c>
      <c r="T973" s="13" t="n">
        <v>1</v>
      </c>
      <c r="U973" s="13" t="n">
        <f aca="false">IF(B973="Individual",1,0)</f>
        <v>1</v>
      </c>
      <c r="V973" s="13" t="n">
        <f aca="false">IF(B973="Company",1,0)</f>
        <v>0</v>
      </c>
      <c r="W973" s="13" t="n">
        <f aca="false">IF(H973="Home",1,0)</f>
        <v>1</v>
      </c>
      <c r="X973" s="13" t="n">
        <f aca="false">IF(H973="Investment",1,0)</f>
        <v>0</v>
      </c>
      <c r="Y973" s="13" t="n">
        <f aca="false">IF(K973="Website",1,0)</f>
        <v>1</v>
      </c>
      <c r="Z973" s="13" t="n">
        <f aca="false">IF(K973="Agency",1,0)</f>
        <v>0</v>
      </c>
      <c r="AA973" s="13" t="n">
        <f aca="false">IF(K973="Client",1,0)</f>
        <v>0</v>
      </c>
      <c r="AB973" s="13" t="n">
        <f aca="false">(D973-AVERAGE(D$2:D$2001))/STDEV(D$2:D$2001)</f>
        <v>1.087686897873</v>
      </c>
      <c r="AC973" s="13" t="n">
        <f aca="false">(I973-AVERAGE(I$2:I$2001))/STDEV(I$2:I$2001)</f>
        <v>0.686917069130275</v>
      </c>
      <c r="AD973" s="13" t="n">
        <f aca="false">(L973-AVERAGE(L$2:L$2001))/STDEV(L$2:L$2001)</f>
        <v>0.413838214490712</v>
      </c>
      <c r="AE973" s="13" t="n">
        <f aca="false">(M973-AVERAGE(M$2:M$2001))/STDEV(M$2:M$2001)</f>
        <v>1.96356597805654</v>
      </c>
      <c r="AF973" s="13" t="n">
        <f aca="false">(N973-AVERAGE(N$2:N$2001))/STDEV(N$2:N$2001)</f>
        <v>1.99006602984421</v>
      </c>
      <c r="AG973" s="13" t="n">
        <f aca="false">(O973-AVERAGE(O$2:O$2001))/STDEV(O$2:O$2001)</f>
        <v>2.06977527091633</v>
      </c>
      <c r="AH973" s="0" t="str">
        <f aca="false">IF(B973="Company","C3 - Corporate Buyers",IF(AND(H973="Investment",M973&gt;'Segmentation Summary'!$C$1),"C1 - Global Investors",IF(AND(I973&gt;=4,M973&gt;'Segmentation Summary'!$C$1),"C4 - Luxury Investors",IF(AND(D973&lt;'Segmentation Summary'!$C$2,J973=1),"C2 - First-Time Buyers","C5 - Other Individual Buyers"))))</f>
        <v>C4 - Luxury Investors</v>
      </c>
    </row>
    <row r="974" customFormat="false" ht="15" hidden="false" customHeight="true" outlineLevel="0" collapsed="false">
      <c r="A974" s="13" t="s">
        <v>1983</v>
      </c>
      <c r="B974" s="13" t="s">
        <v>34</v>
      </c>
      <c r="C974" s="13" t="s">
        <v>1984</v>
      </c>
      <c r="D974" s="13" t="n">
        <v>26</v>
      </c>
      <c r="E974" s="13" t="s">
        <v>90</v>
      </c>
      <c r="F974" s="13" t="s">
        <v>37</v>
      </c>
      <c r="G974" s="13" t="s">
        <v>169</v>
      </c>
      <c r="H974" s="13" t="s">
        <v>41</v>
      </c>
      <c r="I974" s="13" t="n">
        <v>2</v>
      </c>
      <c r="J974" s="13" t="n">
        <v>0</v>
      </c>
      <c r="K974" s="13" t="s">
        <v>91</v>
      </c>
      <c r="L974" s="13" t="n">
        <v>3</v>
      </c>
      <c r="M974" s="13" t="n">
        <v>1162815.78</v>
      </c>
      <c r="N974" s="13" t="n">
        <v>387605.26</v>
      </c>
      <c r="O974" s="13" t="n">
        <v>1354.08666666667</v>
      </c>
      <c r="P974" s="13" t="n">
        <v>0</v>
      </c>
      <c r="Q974" s="13" t="n">
        <v>3</v>
      </c>
      <c r="R974" s="13" t="s">
        <v>117</v>
      </c>
      <c r="S974" s="13" t="s">
        <v>152</v>
      </c>
      <c r="T974" s="13" t="n">
        <v>1</v>
      </c>
      <c r="U974" s="13" t="n">
        <f aca="false">IF(B974="Individual",1,0)</f>
        <v>1</v>
      </c>
      <c r="V974" s="13" t="n">
        <f aca="false">IF(B974="Company",1,0)</f>
        <v>0</v>
      </c>
      <c r="W974" s="13" t="n">
        <f aca="false">IF(H974="Home",1,0)</f>
        <v>1</v>
      </c>
      <c r="X974" s="13" t="n">
        <f aca="false">IF(H974="Investment",1,0)</f>
        <v>0</v>
      </c>
      <c r="Y974" s="13" t="n">
        <f aca="false">IF(K974="Website",1,0)</f>
        <v>0</v>
      </c>
      <c r="Z974" s="13" t="n">
        <f aca="false">IF(K974="Agency",1,0)</f>
        <v>1</v>
      </c>
      <c r="AA974" s="13" t="n">
        <f aca="false">IF(K974="Client",1,0)</f>
        <v>0</v>
      </c>
      <c r="AB974" s="13" t="n">
        <f aca="false">(D974-AVERAGE(D$2:D$2001))/STDEV(D$2:D$2001)</f>
        <v>-1.62244851007011</v>
      </c>
      <c r="AC974" s="13" t="n">
        <f aca="false">(I974-AVERAGE(I$2:I$2001))/STDEV(I$2:I$2001)</f>
        <v>-0.727948160798201</v>
      </c>
      <c r="AD974" s="13" t="n">
        <f aca="false">(L974-AVERAGE(L$2:L$2001))/STDEV(L$2:L$2001)</f>
        <v>-0.777063122173208</v>
      </c>
      <c r="AE974" s="13" t="n">
        <f aca="false">(M974-AVERAGE(M$2:M$2001))/STDEV(M$2:M$2001)</f>
        <v>-0.280480447198042</v>
      </c>
      <c r="AF974" s="13" t="n">
        <f aca="false">(N974-AVERAGE(N$2:N$2001))/STDEV(N$2:N$2001)</f>
        <v>0.581099332701906</v>
      </c>
      <c r="AG974" s="13" t="n">
        <f aca="false">(O974-AVERAGE(O$2:O$2001))/STDEV(O$2:O$2001)</f>
        <v>0.939453293671769</v>
      </c>
      <c r="AH974" s="0" t="str">
        <f aca="false">IF(B974="Company","C3 - Corporate Buyers",IF(AND(H974="Investment",M974&gt;'Segmentation Summary'!$C$1),"C1 - Global Investors",IF(AND(I974&gt;=4,M974&gt;'Segmentation Summary'!$C$1),"C4 - Luxury Investors",IF(AND(D974&lt;'Segmentation Summary'!$C$2,J974=1),"C2 - First-Time Buyers","C5 - Other Individual Buyers"))))</f>
        <v>C5 - Other Individual Buyers</v>
      </c>
    </row>
    <row r="975" customFormat="false" ht="15" hidden="false" customHeight="true" outlineLevel="0" collapsed="false">
      <c r="A975" s="13" t="s">
        <v>1985</v>
      </c>
      <c r="B975" s="13" t="s">
        <v>34</v>
      </c>
      <c r="C975" s="13" t="s">
        <v>1986</v>
      </c>
      <c r="D975" s="13" t="n">
        <v>27</v>
      </c>
      <c r="E975" s="13" t="s">
        <v>90</v>
      </c>
      <c r="F975" s="13" t="s">
        <v>38</v>
      </c>
      <c r="G975" s="13" t="s">
        <v>665</v>
      </c>
      <c r="H975" s="13" t="s">
        <v>41</v>
      </c>
      <c r="I975" s="13" t="n">
        <v>1</v>
      </c>
      <c r="J975" s="13" t="n">
        <v>1</v>
      </c>
      <c r="K975" s="13" t="s">
        <v>85</v>
      </c>
      <c r="L975" s="13" t="n">
        <v>3</v>
      </c>
      <c r="M975" s="13" t="n">
        <v>1058452.68</v>
      </c>
      <c r="N975" s="13" t="n">
        <v>352817.56</v>
      </c>
      <c r="O975" s="13" t="n">
        <v>1125.17</v>
      </c>
      <c r="P975" s="13" t="n">
        <v>1</v>
      </c>
      <c r="Q975" s="13" t="n">
        <v>2</v>
      </c>
      <c r="R975" s="13" t="s">
        <v>150</v>
      </c>
      <c r="S975" s="13" t="s">
        <v>87</v>
      </c>
      <c r="T975" s="13" t="n">
        <v>1</v>
      </c>
      <c r="U975" s="13" t="n">
        <f aca="false">IF(B975="Individual",1,0)</f>
        <v>1</v>
      </c>
      <c r="V975" s="13" t="n">
        <f aca="false">IF(B975="Company",1,0)</f>
        <v>0</v>
      </c>
      <c r="W975" s="13" t="n">
        <f aca="false">IF(H975="Home",1,0)</f>
        <v>1</v>
      </c>
      <c r="X975" s="13" t="n">
        <f aca="false">IF(H975="Investment",1,0)</f>
        <v>0</v>
      </c>
      <c r="Y975" s="13" t="n">
        <f aca="false">IF(K975="Website",1,0)</f>
        <v>1</v>
      </c>
      <c r="Z975" s="13" t="n">
        <f aca="false">IF(K975="Agency",1,0)</f>
        <v>0</v>
      </c>
      <c r="AA975" s="13" t="n">
        <f aca="false">IF(K975="Client",1,0)</f>
        <v>0</v>
      </c>
      <c r="AB975" s="13" t="n">
        <f aca="false">(D975-AVERAGE(D$2:D$2001))/STDEV(D$2:D$2001)</f>
        <v>-1.56478605458196</v>
      </c>
      <c r="AC975" s="13" t="n">
        <f aca="false">(I975-AVERAGE(I$2:I$2001))/STDEV(I$2:I$2001)</f>
        <v>-1.43538077576244</v>
      </c>
      <c r="AD975" s="13" t="n">
        <f aca="false">(L975-AVERAGE(L$2:L$2001))/STDEV(L$2:L$2001)</f>
        <v>-0.777063122173208</v>
      </c>
      <c r="AE975" s="13" t="n">
        <f aca="false">(M975-AVERAGE(M$2:M$2001))/STDEV(M$2:M$2001)</f>
        <v>-0.580520410758377</v>
      </c>
      <c r="AF975" s="13" t="n">
        <f aca="false">(N975-AVERAGE(N$2:N$2001))/STDEV(N$2:N$2001)</f>
        <v>0.0821493756452726</v>
      </c>
      <c r="AG975" s="13" t="n">
        <f aca="false">(O975-AVERAGE(O$2:O$2001))/STDEV(O$2:O$2001)</f>
        <v>-0.101443277394567</v>
      </c>
      <c r="AH975" s="0" t="str">
        <f aca="false">IF(B975="Company","C3 - Corporate Buyers",IF(AND(H975="Investment",M975&gt;'Segmentation Summary'!$C$1),"C1 - Global Investors",IF(AND(I975&gt;=4,M975&gt;'Segmentation Summary'!$C$1),"C4 - Luxury Investors",IF(AND(D975&lt;'Segmentation Summary'!$C$2,J975=1),"C2 - First-Time Buyers","C5 - Other Individual Buyers"))))</f>
        <v>C2 - First-Time Buyers</v>
      </c>
    </row>
    <row r="976" customFormat="false" ht="15" hidden="false" customHeight="true" outlineLevel="0" collapsed="false">
      <c r="A976" s="13" t="s">
        <v>1987</v>
      </c>
      <c r="B976" s="13" t="s">
        <v>34</v>
      </c>
      <c r="C976" s="13" t="s">
        <v>1986</v>
      </c>
      <c r="D976" s="13" t="n">
        <v>76</v>
      </c>
      <c r="E976" s="13" t="s">
        <v>90</v>
      </c>
      <c r="F976" s="13" t="s">
        <v>33</v>
      </c>
      <c r="G976" s="13" t="s">
        <v>120</v>
      </c>
      <c r="H976" s="13" t="s">
        <v>43</v>
      </c>
      <c r="I976" s="13" t="n">
        <v>1</v>
      </c>
      <c r="J976" s="13" t="n">
        <v>1</v>
      </c>
      <c r="K976" s="13" t="s">
        <v>85</v>
      </c>
      <c r="L976" s="13" t="n">
        <v>3</v>
      </c>
      <c r="M976" s="13" t="n">
        <v>1132086.83</v>
      </c>
      <c r="N976" s="13" t="n">
        <v>377362.276666667</v>
      </c>
      <c r="O976" s="13" t="n">
        <v>1357.19333333333</v>
      </c>
      <c r="P976" s="13" t="n">
        <v>0</v>
      </c>
      <c r="Q976" s="13" t="n">
        <v>3</v>
      </c>
      <c r="R976" s="13" t="s">
        <v>128</v>
      </c>
      <c r="S976" s="13" t="s">
        <v>87</v>
      </c>
      <c r="T976" s="13" t="n">
        <v>1</v>
      </c>
      <c r="U976" s="13" t="n">
        <f aca="false">IF(B976="Individual",1,0)</f>
        <v>1</v>
      </c>
      <c r="V976" s="13" t="n">
        <f aca="false">IF(B976="Company",1,0)</f>
        <v>0</v>
      </c>
      <c r="W976" s="13" t="n">
        <f aca="false">IF(H976="Home",1,0)</f>
        <v>0</v>
      </c>
      <c r="X976" s="13" t="n">
        <f aca="false">IF(H976="Investment",1,0)</f>
        <v>1</v>
      </c>
      <c r="Y976" s="13" t="n">
        <f aca="false">IF(K976="Website",1,0)</f>
        <v>1</v>
      </c>
      <c r="Z976" s="13" t="n">
        <f aca="false">IF(K976="Agency",1,0)</f>
        <v>0</v>
      </c>
      <c r="AA976" s="13" t="n">
        <f aca="false">IF(K976="Client",1,0)</f>
        <v>0</v>
      </c>
      <c r="AB976" s="13" t="n">
        <f aca="false">(D976-AVERAGE(D$2:D$2001))/STDEV(D$2:D$2001)</f>
        <v>1.26067426433745</v>
      </c>
      <c r="AC976" s="13" t="n">
        <f aca="false">(I976-AVERAGE(I$2:I$2001))/STDEV(I$2:I$2001)</f>
        <v>-1.43538077576244</v>
      </c>
      <c r="AD976" s="13" t="n">
        <f aca="false">(L976-AVERAGE(L$2:L$2001))/STDEV(L$2:L$2001)</f>
        <v>-0.777063122173208</v>
      </c>
      <c r="AE976" s="13" t="n">
        <f aca="false">(M976-AVERAGE(M$2:M$2001))/STDEV(M$2:M$2001)</f>
        <v>-0.368825015711696</v>
      </c>
      <c r="AF976" s="13" t="n">
        <f aca="false">(N976-AVERAGE(N$2:N$2001))/STDEV(N$2:N$2001)</f>
        <v>0.434187174258022</v>
      </c>
      <c r="AG976" s="13" t="n">
        <f aca="false">(O976-AVERAGE(O$2:O$2001))/STDEV(O$2:O$2001)</f>
        <v>0.953579476478201</v>
      </c>
      <c r="AH976" s="0" t="str">
        <f aca="false">IF(B976="Company","C3 - Corporate Buyers",IF(AND(H976="Investment",M976&gt;'Segmentation Summary'!$C$1),"C1 - Global Investors",IF(AND(I976&gt;=4,M976&gt;'Segmentation Summary'!$C$1),"C4 - Luxury Investors",IF(AND(D976&lt;'Segmentation Summary'!$C$2,J976=1),"C2 - First-Time Buyers","C5 - Other Individual Buyers"))))</f>
        <v>C5 - Other Individual Buyers</v>
      </c>
    </row>
    <row r="977" customFormat="false" ht="15" hidden="false" customHeight="true" outlineLevel="0" collapsed="false">
      <c r="A977" s="13" t="s">
        <v>1988</v>
      </c>
      <c r="B977" s="13" t="s">
        <v>34</v>
      </c>
      <c r="C977" s="13" t="s">
        <v>1986</v>
      </c>
      <c r="D977" s="13" t="n">
        <v>26</v>
      </c>
      <c r="E977" s="13" t="s">
        <v>90</v>
      </c>
      <c r="F977" s="13" t="s">
        <v>33</v>
      </c>
      <c r="G977" s="13" t="s">
        <v>110</v>
      </c>
      <c r="H977" s="13" t="s">
        <v>43</v>
      </c>
      <c r="I977" s="13" t="n">
        <v>2</v>
      </c>
      <c r="J977" s="13" t="n">
        <v>1</v>
      </c>
      <c r="K977" s="13" t="s">
        <v>91</v>
      </c>
      <c r="L977" s="13" t="n">
        <v>3</v>
      </c>
      <c r="M977" s="13" t="n">
        <v>1407650.4</v>
      </c>
      <c r="N977" s="13" t="n">
        <v>469216.8</v>
      </c>
      <c r="O977" s="13" t="n">
        <v>1493.24333333333</v>
      </c>
      <c r="P977" s="13" t="n">
        <v>1</v>
      </c>
      <c r="Q977" s="13" t="n">
        <v>2</v>
      </c>
      <c r="R977" s="13" t="s">
        <v>135</v>
      </c>
      <c r="S977" s="13" t="s">
        <v>154</v>
      </c>
      <c r="T977" s="13" t="n">
        <v>1</v>
      </c>
      <c r="U977" s="13" t="n">
        <f aca="false">IF(B977="Individual",1,0)</f>
        <v>1</v>
      </c>
      <c r="V977" s="13" t="n">
        <f aca="false">IF(B977="Company",1,0)</f>
        <v>0</v>
      </c>
      <c r="W977" s="13" t="n">
        <f aca="false">IF(H977="Home",1,0)</f>
        <v>0</v>
      </c>
      <c r="X977" s="13" t="n">
        <f aca="false">IF(H977="Investment",1,0)</f>
        <v>1</v>
      </c>
      <c r="Y977" s="13" t="n">
        <f aca="false">IF(K977="Website",1,0)</f>
        <v>0</v>
      </c>
      <c r="Z977" s="13" t="n">
        <f aca="false">IF(K977="Agency",1,0)</f>
        <v>1</v>
      </c>
      <c r="AA977" s="13" t="n">
        <f aca="false">IF(K977="Client",1,0)</f>
        <v>0</v>
      </c>
      <c r="AB977" s="13" t="n">
        <f aca="false">(D977-AVERAGE(D$2:D$2001))/STDEV(D$2:D$2001)</f>
        <v>-1.62244851007011</v>
      </c>
      <c r="AC977" s="13" t="n">
        <f aca="false">(I977-AVERAGE(I$2:I$2001))/STDEV(I$2:I$2001)</f>
        <v>-0.727948160798201</v>
      </c>
      <c r="AD977" s="13" t="n">
        <f aca="false">(L977-AVERAGE(L$2:L$2001))/STDEV(L$2:L$2001)</f>
        <v>-0.777063122173208</v>
      </c>
      <c r="AE977" s="13" t="n">
        <f aca="false">(M977-AVERAGE(M$2:M$2001))/STDEV(M$2:M$2001)</f>
        <v>0.423409821135385</v>
      </c>
      <c r="AF977" s="13" t="n">
        <f aca="false">(N977-AVERAGE(N$2:N$2001))/STDEV(N$2:N$2001)</f>
        <v>1.75163013463264</v>
      </c>
      <c r="AG977" s="13" t="n">
        <f aca="false">(O977-AVERAGE(O$2:O$2001))/STDEV(O$2:O$2001)</f>
        <v>1.57220624820113</v>
      </c>
      <c r="AH977" s="0" t="str">
        <f aca="false">IF(B977="Company","C3 - Corporate Buyers",IF(AND(H977="Investment",M977&gt;'Segmentation Summary'!$C$1),"C1 - Global Investors",IF(AND(I977&gt;=4,M977&gt;'Segmentation Summary'!$C$1),"C4 - Luxury Investors",IF(AND(D977&lt;'Segmentation Summary'!$C$2,J977=1),"C2 - First-Time Buyers","C5 - Other Individual Buyers"))))</f>
        <v>C1 - Global Investors</v>
      </c>
    </row>
    <row r="978" customFormat="false" ht="15" hidden="false" customHeight="true" outlineLevel="0" collapsed="false">
      <c r="A978" s="13" t="s">
        <v>1989</v>
      </c>
      <c r="B978" s="13" t="s">
        <v>34</v>
      </c>
      <c r="C978" s="13" t="s">
        <v>1990</v>
      </c>
      <c r="D978" s="13" t="n">
        <v>30</v>
      </c>
      <c r="E978" s="13" t="s">
        <v>83</v>
      </c>
      <c r="F978" s="13" t="s">
        <v>35</v>
      </c>
      <c r="G978" s="13" t="s">
        <v>374</v>
      </c>
      <c r="H978" s="13" t="s">
        <v>43</v>
      </c>
      <c r="I978" s="13" t="n">
        <v>3</v>
      </c>
      <c r="J978" s="13" t="n">
        <v>0</v>
      </c>
      <c r="K978" s="13" t="s">
        <v>91</v>
      </c>
      <c r="L978" s="13" t="n">
        <v>4</v>
      </c>
      <c r="M978" s="13" t="n">
        <v>1967005.46</v>
      </c>
      <c r="N978" s="13" t="n">
        <v>491751.365</v>
      </c>
      <c r="O978" s="13" t="n">
        <v>1591.4725</v>
      </c>
      <c r="P978" s="13" t="n">
        <v>0</v>
      </c>
      <c r="Q978" s="13" t="n">
        <v>4</v>
      </c>
      <c r="R978" s="13" t="s">
        <v>111</v>
      </c>
      <c r="S978" s="13" t="s">
        <v>154</v>
      </c>
      <c r="T978" s="13" t="n">
        <v>1</v>
      </c>
      <c r="U978" s="13" t="n">
        <f aca="false">IF(B978="Individual",1,0)</f>
        <v>1</v>
      </c>
      <c r="V978" s="13" t="n">
        <f aca="false">IF(B978="Company",1,0)</f>
        <v>0</v>
      </c>
      <c r="W978" s="13" t="n">
        <f aca="false">IF(H978="Home",1,0)</f>
        <v>0</v>
      </c>
      <c r="X978" s="13" t="n">
        <f aca="false">IF(H978="Investment",1,0)</f>
        <v>1</v>
      </c>
      <c r="Y978" s="13" t="n">
        <f aca="false">IF(K978="Website",1,0)</f>
        <v>0</v>
      </c>
      <c r="Z978" s="13" t="n">
        <f aca="false">IF(K978="Agency",1,0)</f>
        <v>1</v>
      </c>
      <c r="AA978" s="13" t="n">
        <f aca="false">IF(K978="Client",1,0)</f>
        <v>0</v>
      </c>
      <c r="AB978" s="13" t="n">
        <f aca="false">(D978-AVERAGE(D$2:D$2001))/STDEV(D$2:D$2001)</f>
        <v>-1.39179868811751</v>
      </c>
      <c r="AC978" s="13" t="n">
        <f aca="false">(I978-AVERAGE(I$2:I$2001))/STDEV(I$2:I$2001)</f>
        <v>-0.0205155458339628</v>
      </c>
      <c r="AD978" s="13" t="n">
        <f aca="false">(L978-AVERAGE(L$2:L$2001))/STDEV(L$2:L$2001)</f>
        <v>0.413838214490712</v>
      </c>
      <c r="AE978" s="13" t="n">
        <f aca="false">(M978-AVERAGE(M$2:M$2001))/STDEV(M$2:M$2001)</f>
        <v>2.03153445349767</v>
      </c>
      <c r="AF978" s="13" t="n">
        <f aca="false">(N978-AVERAGE(N$2:N$2001))/STDEV(N$2:N$2001)</f>
        <v>2.07483690711371</v>
      </c>
      <c r="AG978" s="13" t="n">
        <f aca="false">(O978-AVERAGE(O$2:O$2001))/STDEV(O$2:O$2001)</f>
        <v>2.01885962757662</v>
      </c>
      <c r="AH978" s="0" t="str">
        <f aca="false">IF(B978="Company","C3 - Corporate Buyers",IF(AND(H978="Investment",M978&gt;'Segmentation Summary'!$C$1),"C1 - Global Investors",IF(AND(I978&gt;=4,M978&gt;'Segmentation Summary'!$C$1),"C4 - Luxury Investors",IF(AND(D978&lt;'Segmentation Summary'!$C$2,J978=1),"C2 - First-Time Buyers","C5 - Other Individual Buyers"))))</f>
        <v>C1 - Global Investors</v>
      </c>
    </row>
    <row r="979" customFormat="false" ht="15" hidden="false" customHeight="true" outlineLevel="0" collapsed="false">
      <c r="A979" s="13" t="s">
        <v>1991</v>
      </c>
      <c r="B979" s="13" t="s">
        <v>34</v>
      </c>
      <c r="C979" s="13" t="s">
        <v>1992</v>
      </c>
      <c r="D979" s="13" t="n">
        <v>68</v>
      </c>
      <c r="E979" s="13" t="s">
        <v>83</v>
      </c>
      <c r="F979" s="13" t="s">
        <v>33</v>
      </c>
      <c r="G979" s="13" t="s">
        <v>95</v>
      </c>
      <c r="H979" s="13" t="s">
        <v>41</v>
      </c>
      <c r="I979" s="13" t="n">
        <v>4</v>
      </c>
      <c r="J979" s="13" t="n">
        <v>0</v>
      </c>
      <c r="K979" s="13" t="s">
        <v>91</v>
      </c>
      <c r="L979" s="13" t="n">
        <v>4</v>
      </c>
      <c r="M979" s="13" t="n">
        <v>1201411.56</v>
      </c>
      <c r="N979" s="13" t="n">
        <v>300352.89</v>
      </c>
      <c r="O979" s="13" t="n">
        <v>1018.5225</v>
      </c>
      <c r="P979" s="13" t="n">
        <v>1</v>
      </c>
      <c r="Q979" s="13" t="n">
        <v>3</v>
      </c>
      <c r="R979" s="13" t="s">
        <v>117</v>
      </c>
      <c r="S979" s="13" t="s">
        <v>121</v>
      </c>
      <c r="T979" s="13" t="n">
        <v>1</v>
      </c>
      <c r="U979" s="13" t="n">
        <f aca="false">IF(B979="Individual",1,0)</f>
        <v>1</v>
      </c>
      <c r="V979" s="13" t="n">
        <f aca="false">IF(B979="Company",1,0)</f>
        <v>0</v>
      </c>
      <c r="W979" s="13" t="n">
        <f aca="false">IF(H979="Home",1,0)</f>
        <v>1</v>
      </c>
      <c r="X979" s="13" t="n">
        <f aca="false">IF(H979="Investment",1,0)</f>
        <v>0</v>
      </c>
      <c r="Y979" s="13" t="n">
        <f aca="false">IF(K979="Website",1,0)</f>
        <v>0</v>
      </c>
      <c r="Z979" s="13" t="n">
        <f aca="false">IF(K979="Agency",1,0)</f>
        <v>1</v>
      </c>
      <c r="AA979" s="13" t="n">
        <f aca="false">IF(K979="Client",1,0)</f>
        <v>0</v>
      </c>
      <c r="AB979" s="13" t="n">
        <f aca="false">(D979-AVERAGE(D$2:D$2001))/STDEV(D$2:D$2001)</f>
        <v>0.79937462043224</v>
      </c>
      <c r="AC979" s="13" t="n">
        <f aca="false">(I979-AVERAGE(I$2:I$2001))/STDEV(I$2:I$2001)</f>
        <v>0.686917069130275</v>
      </c>
      <c r="AD979" s="13" t="n">
        <f aca="false">(L979-AVERAGE(L$2:L$2001))/STDEV(L$2:L$2001)</f>
        <v>0.413838214490712</v>
      </c>
      <c r="AE979" s="13" t="n">
        <f aca="false">(M979-AVERAGE(M$2:M$2001))/STDEV(M$2:M$2001)</f>
        <v>-0.169519040103171</v>
      </c>
      <c r="AF979" s="13" t="n">
        <f aca="false">(N979-AVERAGE(N$2:N$2001))/STDEV(N$2:N$2001)</f>
        <v>-0.670336268518913</v>
      </c>
      <c r="AG979" s="13" t="n">
        <f aca="false">(O979-AVERAGE(O$2:O$2001))/STDEV(O$2:O$2001)</f>
        <v>-0.586375277668883</v>
      </c>
      <c r="AH979" s="0" t="str">
        <f aca="false">IF(B979="Company","C3 - Corporate Buyers",IF(AND(H979="Investment",M979&gt;'Segmentation Summary'!$C$1),"C1 - Global Investors",IF(AND(I979&gt;=4,M979&gt;'Segmentation Summary'!$C$1),"C4 - Luxury Investors",IF(AND(D979&lt;'Segmentation Summary'!$C$2,J979=1),"C2 - First-Time Buyers","C5 - Other Individual Buyers"))))</f>
        <v>C5 - Other Individual Buyers</v>
      </c>
    </row>
    <row r="980" customFormat="false" ht="15" hidden="false" customHeight="true" outlineLevel="0" collapsed="false">
      <c r="A980" s="13" t="s">
        <v>1993</v>
      </c>
      <c r="B980" s="13" t="s">
        <v>34</v>
      </c>
      <c r="C980" s="13" t="s">
        <v>1994</v>
      </c>
      <c r="D980" s="13" t="n">
        <v>28</v>
      </c>
      <c r="E980" s="13" t="s">
        <v>83</v>
      </c>
      <c r="F980" s="13" t="s">
        <v>33</v>
      </c>
      <c r="G980" s="13" t="s">
        <v>120</v>
      </c>
      <c r="H980" s="13" t="s">
        <v>43</v>
      </c>
      <c r="I980" s="13" t="n">
        <v>5</v>
      </c>
      <c r="J980" s="13" t="n">
        <v>0</v>
      </c>
      <c r="K980" s="13" t="s">
        <v>85</v>
      </c>
      <c r="L980" s="13" t="n">
        <v>4</v>
      </c>
      <c r="M980" s="13" t="n">
        <v>1709532.6</v>
      </c>
      <c r="N980" s="13" t="n">
        <v>427383.15</v>
      </c>
      <c r="O980" s="13" t="n">
        <v>1486.3275</v>
      </c>
      <c r="P980" s="13" t="n">
        <v>1</v>
      </c>
      <c r="Q980" s="13" t="n">
        <v>3</v>
      </c>
      <c r="R980" s="13" t="s">
        <v>121</v>
      </c>
      <c r="S980" s="13" t="s">
        <v>128</v>
      </c>
      <c r="T980" s="13" t="n">
        <v>1</v>
      </c>
      <c r="U980" s="13" t="n">
        <f aca="false">IF(B980="Individual",1,0)</f>
        <v>1</v>
      </c>
      <c r="V980" s="13" t="n">
        <f aca="false">IF(B980="Company",1,0)</f>
        <v>0</v>
      </c>
      <c r="W980" s="13" t="n">
        <f aca="false">IF(H980="Home",1,0)</f>
        <v>0</v>
      </c>
      <c r="X980" s="13" t="n">
        <f aca="false">IF(H980="Investment",1,0)</f>
        <v>1</v>
      </c>
      <c r="Y980" s="13" t="n">
        <f aca="false">IF(K980="Website",1,0)</f>
        <v>1</v>
      </c>
      <c r="Z980" s="13" t="n">
        <f aca="false">IF(K980="Agency",1,0)</f>
        <v>0</v>
      </c>
      <c r="AA980" s="13" t="n">
        <f aca="false">IF(K980="Client",1,0)</f>
        <v>0</v>
      </c>
      <c r="AB980" s="13" t="n">
        <f aca="false">(D980-AVERAGE(D$2:D$2001))/STDEV(D$2:D$2001)</f>
        <v>-1.50712359909381</v>
      </c>
      <c r="AC980" s="13" t="n">
        <f aca="false">(I980-AVERAGE(I$2:I$2001))/STDEV(I$2:I$2001)</f>
        <v>1.39434968409451</v>
      </c>
      <c r="AD980" s="13" t="n">
        <f aca="false">(L980-AVERAGE(L$2:L$2001))/STDEV(L$2:L$2001)</f>
        <v>0.413838214490712</v>
      </c>
      <c r="AE980" s="13" t="n">
        <f aca="false">(M980-AVERAGE(M$2:M$2001))/STDEV(M$2:M$2001)</f>
        <v>1.29130972337587</v>
      </c>
      <c r="AF980" s="13" t="n">
        <f aca="false">(N980-AVERAGE(N$2:N$2001))/STDEV(N$2:N$2001)</f>
        <v>1.15162214700994</v>
      </c>
      <c r="AG980" s="13" t="n">
        <f aca="false">(O980-AVERAGE(O$2:O$2001))/STDEV(O$2:O$2001)</f>
        <v>1.54075957676583</v>
      </c>
      <c r="AH980" s="0" t="str">
        <f aca="false">IF(B980="Company","C3 - Corporate Buyers",IF(AND(H980="Investment",M980&gt;'Segmentation Summary'!$C$1),"C1 - Global Investors",IF(AND(I980&gt;=4,M980&gt;'Segmentation Summary'!$C$1),"C4 - Luxury Investors",IF(AND(D980&lt;'Segmentation Summary'!$C$2,J980=1),"C2 - First-Time Buyers","C5 - Other Individual Buyers"))))</f>
        <v>C1 - Global Investors</v>
      </c>
    </row>
    <row r="981" customFormat="false" ht="15" hidden="false" customHeight="true" outlineLevel="0" collapsed="false">
      <c r="A981" s="13" t="s">
        <v>1995</v>
      </c>
      <c r="B981" s="13" t="s">
        <v>34</v>
      </c>
      <c r="C981" s="13" t="s">
        <v>1996</v>
      </c>
      <c r="D981" s="13" t="n">
        <v>68</v>
      </c>
      <c r="E981" s="13" t="s">
        <v>83</v>
      </c>
      <c r="F981" s="13" t="s">
        <v>33</v>
      </c>
      <c r="G981" s="13" t="s">
        <v>110</v>
      </c>
      <c r="H981" s="13" t="s">
        <v>41</v>
      </c>
      <c r="I981" s="13" t="n">
        <v>5</v>
      </c>
      <c r="J981" s="13" t="n">
        <v>1</v>
      </c>
      <c r="K981" s="13" t="s">
        <v>91</v>
      </c>
      <c r="L981" s="13" t="n">
        <v>4</v>
      </c>
      <c r="M981" s="13" t="n">
        <v>1373889.96</v>
      </c>
      <c r="N981" s="13" t="n">
        <v>343472.49</v>
      </c>
      <c r="O981" s="13" t="n">
        <v>1135.325</v>
      </c>
      <c r="P981" s="13" t="n">
        <v>0</v>
      </c>
      <c r="Q981" s="13" t="n">
        <v>4</v>
      </c>
      <c r="R981" s="13" t="s">
        <v>117</v>
      </c>
      <c r="S981" s="13" t="s">
        <v>114</v>
      </c>
      <c r="T981" s="13" t="n">
        <v>1</v>
      </c>
      <c r="U981" s="13" t="n">
        <f aca="false">IF(B981="Individual",1,0)</f>
        <v>1</v>
      </c>
      <c r="V981" s="13" t="n">
        <f aca="false">IF(B981="Company",1,0)</f>
        <v>0</v>
      </c>
      <c r="W981" s="13" t="n">
        <f aca="false">IF(H981="Home",1,0)</f>
        <v>1</v>
      </c>
      <c r="X981" s="13" t="n">
        <f aca="false">IF(H981="Investment",1,0)</f>
        <v>0</v>
      </c>
      <c r="Y981" s="13" t="n">
        <f aca="false">IF(K981="Website",1,0)</f>
        <v>0</v>
      </c>
      <c r="Z981" s="13" t="n">
        <f aca="false">IF(K981="Agency",1,0)</f>
        <v>1</v>
      </c>
      <c r="AA981" s="13" t="n">
        <f aca="false">IF(K981="Client",1,0)</f>
        <v>0</v>
      </c>
      <c r="AB981" s="13" t="n">
        <f aca="false">(D981-AVERAGE(D$2:D$2001))/STDEV(D$2:D$2001)</f>
        <v>0.79937462043224</v>
      </c>
      <c r="AC981" s="13" t="n">
        <f aca="false">(I981-AVERAGE(I$2:I$2001))/STDEV(I$2:I$2001)</f>
        <v>1.39434968409451</v>
      </c>
      <c r="AD981" s="13" t="n">
        <f aca="false">(L981-AVERAGE(L$2:L$2001))/STDEV(L$2:L$2001)</f>
        <v>0.413838214490712</v>
      </c>
      <c r="AE981" s="13" t="n">
        <f aca="false">(M981-AVERAGE(M$2:M$2001))/STDEV(M$2:M$2001)</f>
        <v>0.326349833578664</v>
      </c>
      <c r="AF981" s="13" t="n">
        <f aca="false">(N981-AVERAGE(N$2:N$2001))/STDEV(N$2:N$2001)</f>
        <v>-0.0518842705915075</v>
      </c>
      <c r="AG981" s="13" t="n">
        <f aca="false">(O981-AVERAGE(O$2:O$2001))/STDEV(O$2:O$2001)</f>
        <v>-0.0552679384247305</v>
      </c>
      <c r="AH981" s="0" t="str">
        <f aca="false">IF(B981="Company","C3 - Corporate Buyers",IF(AND(H981="Investment",M981&gt;'Segmentation Summary'!$C$1),"C1 - Global Investors",IF(AND(I981&gt;=4,M981&gt;'Segmentation Summary'!$C$1),"C4 - Luxury Investors",IF(AND(D981&lt;'Segmentation Summary'!$C$2,J981=1),"C2 - First-Time Buyers","C5 - Other Individual Buyers"))))</f>
        <v>C4 - Luxury Investors</v>
      </c>
    </row>
    <row r="982" customFormat="false" ht="15" hidden="false" customHeight="true" outlineLevel="0" collapsed="false">
      <c r="A982" s="13" t="s">
        <v>1997</v>
      </c>
      <c r="B982" s="13" t="s">
        <v>34</v>
      </c>
      <c r="C982" s="13" t="s">
        <v>1998</v>
      </c>
      <c r="D982" s="13" t="n">
        <v>70</v>
      </c>
      <c r="E982" s="13" t="s">
        <v>83</v>
      </c>
      <c r="F982" s="13" t="s">
        <v>33</v>
      </c>
      <c r="G982" s="13" t="s">
        <v>95</v>
      </c>
      <c r="H982" s="13" t="s">
        <v>43</v>
      </c>
      <c r="I982" s="13" t="n">
        <v>5</v>
      </c>
      <c r="J982" s="13" t="n">
        <v>0</v>
      </c>
      <c r="K982" s="13" t="s">
        <v>116</v>
      </c>
      <c r="L982" s="13" t="n">
        <v>4</v>
      </c>
      <c r="M982" s="13" t="n">
        <v>1246742.44</v>
      </c>
      <c r="N982" s="13" t="n">
        <v>311685.61</v>
      </c>
      <c r="O982" s="13" t="n">
        <v>984.9525</v>
      </c>
      <c r="P982" s="13" t="n">
        <v>0</v>
      </c>
      <c r="Q982" s="13" t="n">
        <v>4</v>
      </c>
      <c r="R982" s="13" t="s">
        <v>92</v>
      </c>
      <c r="S982" s="13" t="s">
        <v>87</v>
      </c>
      <c r="T982" s="13" t="n">
        <v>1</v>
      </c>
      <c r="U982" s="13" t="n">
        <f aca="false">IF(B982="Individual",1,0)</f>
        <v>1</v>
      </c>
      <c r="V982" s="13" t="n">
        <f aca="false">IF(B982="Company",1,0)</f>
        <v>0</v>
      </c>
      <c r="W982" s="13" t="n">
        <f aca="false">IF(H982="Home",1,0)</f>
        <v>0</v>
      </c>
      <c r="X982" s="13" t="n">
        <f aca="false">IF(H982="Investment",1,0)</f>
        <v>1</v>
      </c>
      <c r="Y982" s="13" t="n">
        <f aca="false">IF(K982="Website",1,0)</f>
        <v>0</v>
      </c>
      <c r="Z982" s="13" t="n">
        <f aca="false">IF(K982="Agency",1,0)</f>
        <v>0</v>
      </c>
      <c r="AA982" s="13" t="n">
        <f aca="false">IF(K982="Client",1,0)</f>
        <v>1</v>
      </c>
      <c r="AB982" s="13" t="n">
        <f aca="false">(D982-AVERAGE(D$2:D$2001))/STDEV(D$2:D$2001)</f>
        <v>0.914699531408543</v>
      </c>
      <c r="AC982" s="13" t="n">
        <f aca="false">(I982-AVERAGE(I$2:I$2001))/STDEV(I$2:I$2001)</f>
        <v>1.39434968409451</v>
      </c>
      <c r="AD982" s="13" t="n">
        <f aca="false">(L982-AVERAGE(L$2:L$2001))/STDEV(L$2:L$2001)</f>
        <v>0.413838214490712</v>
      </c>
      <c r="AE982" s="13" t="n">
        <f aca="false">(M982-AVERAGE(M$2:M$2001))/STDEV(M$2:M$2001)</f>
        <v>-0.0391944753541571</v>
      </c>
      <c r="AF982" s="13" t="n">
        <f aca="false">(N982-AVERAGE(N$2:N$2001))/STDEV(N$2:N$2001)</f>
        <v>-0.50779433107163</v>
      </c>
      <c r="AG982" s="13" t="n">
        <f aca="false">(O982-AVERAGE(O$2:O$2001))/STDEV(O$2:O$2001)</f>
        <v>-0.739019898960604</v>
      </c>
      <c r="AH982" s="0" t="str">
        <f aca="false">IF(B982="Company","C3 - Corporate Buyers",IF(AND(H982="Investment",M982&gt;'Segmentation Summary'!$C$1),"C1 - Global Investors",IF(AND(I982&gt;=4,M982&gt;'Segmentation Summary'!$C$1),"C4 - Luxury Investors",IF(AND(D982&lt;'Segmentation Summary'!$C$2,J982=1),"C2 - First-Time Buyers","C5 - Other Individual Buyers"))))</f>
        <v>C1 - Global Investors</v>
      </c>
    </row>
    <row r="983" customFormat="false" ht="15" hidden="false" customHeight="true" outlineLevel="0" collapsed="false">
      <c r="A983" s="13" t="s">
        <v>1999</v>
      </c>
      <c r="B983" s="13" t="s">
        <v>34</v>
      </c>
      <c r="C983" s="13" t="s">
        <v>2000</v>
      </c>
      <c r="D983" s="13" t="n">
        <v>43</v>
      </c>
      <c r="E983" s="13" t="s">
        <v>83</v>
      </c>
      <c r="F983" s="13" t="s">
        <v>33</v>
      </c>
      <c r="G983" s="13" t="s">
        <v>120</v>
      </c>
      <c r="H983" s="13" t="s">
        <v>43</v>
      </c>
      <c r="I983" s="13" t="n">
        <v>2</v>
      </c>
      <c r="J983" s="13" t="n">
        <v>0</v>
      </c>
      <c r="K983" s="13" t="s">
        <v>91</v>
      </c>
      <c r="L983" s="13" t="n">
        <v>4</v>
      </c>
      <c r="M983" s="13" t="n">
        <v>1217015.11</v>
      </c>
      <c r="N983" s="13" t="n">
        <v>304253.7775</v>
      </c>
      <c r="O983" s="13" t="n">
        <v>1024.3375</v>
      </c>
      <c r="P983" s="13" t="n">
        <v>1</v>
      </c>
      <c r="Q983" s="13" t="n">
        <v>3</v>
      </c>
      <c r="R983" s="13" t="s">
        <v>98</v>
      </c>
      <c r="S983" s="13" t="s">
        <v>133</v>
      </c>
      <c r="T983" s="13" t="n">
        <v>1</v>
      </c>
      <c r="U983" s="13" t="n">
        <f aca="false">IF(B983="Individual",1,0)</f>
        <v>1</v>
      </c>
      <c r="V983" s="13" t="n">
        <f aca="false">IF(B983="Company",1,0)</f>
        <v>0</v>
      </c>
      <c r="W983" s="13" t="n">
        <f aca="false">IF(H983="Home",1,0)</f>
        <v>0</v>
      </c>
      <c r="X983" s="13" t="n">
        <f aca="false">IF(H983="Investment",1,0)</f>
        <v>1</v>
      </c>
      <c r="Y983" s="13" t="n">
        <f aca="false">IF(K983="Website",1,0)</f>
        <v>0</v>
      </c>
      <c r="Z983" s="13" t="n">
        <f aca="false">IF(K983="Agency",1,0)</f>
        <v>1</v>
      </c>
      <c r="AA983" s="13" t="n">
        <f aca="false">IF(K983="Client",1,0)</f>
        <v>0</v>
      </c>
      <c r="AB983" s="13" t="n">
        <f aca="false">(D983-AVERAGE(D$2:D$2001))/STDEV(D$2:D$2001)</f>
        <v>-0.64218676677154</v>
      </c>
      <c r="AC983" s="13" t="n">
        <f aca="false">(I983-AVERAGE(I$2:I$2001))/STDEV(I$2:I$2001)</f>
        <v>-0.727948160798201</v>
      </c>
      <c r="AD983" s="13" t="n">
        <f aca="false">(L983-AVERAGE(L$2:L$2001))/STDEV(L$2:L$2001)</f>
        <v>0.413838214490712</v>
      </c>
      <c r="AE983" s="13" t="n">
        <f aca="false">(M983-AVERAGE(M$2:M$2001))/STDEV(M$2:M$2001)</f>
        <v>-0.124659424267576</v>
      </c>
      <c r="AF983" s="13" t="n">
        <f aca="false">(N983-AVERAGE(N$2:N$2001))/STDEV(N$2:N$2001)</f>
        <v>-0.614386963143514</v>
      </c>
      <c r="AG983" s="13" t="n">
        <f aca="false">(O983-AVERAGE(O$2:O$2001))/STDEV(O$2:O$2001)</f>
        <v>-0.55993415545228</v>
      </c>
      <c r="AH983" s="0" t="str">
        <f aca="false">IF(B983="Company","C3 - Corporate Buyers",IF(AND(H983="Investment",M983&gt;'Segmentation Summary'!$C$1),"C1 - Global Investors",IF(AND(I983&gt;=4,M983&gt;'Segmentation Summary'!$C$1),"C4 - Luxury Investors",IF(AND(D983&lt;'Segmentation Summary'!$C$2,J983=1),"C2 - First-Time Buyers","C5 - Other Individual Buyers"))))</f>
        <v>C5 - Other Individual Buyers</v>
      </c>
    </row>
    <row r="984" customFormat="false" ht="15" hidden="false" customHeight="true" outlineLevel="0" collapsed="false">
      <c r="A984" s="13" t="s">
        <v>2001</v>
      </c>
      <c r="B984" s="13" t="s">
        <v>34</v>
      </c>
      <c r="C984" s="13" t="s">
        <v>2002</v>
      </c>
      <c r="D984" s="13" t="n">
        <v>83</v>
      </c>
      <c r="E984" s="13" t="s">
        <v>83</v>
      </c>
      <c r="F984" s="13" t="s">
        <v>33</v>
      </c>
      <c r="G984" s="13" t="s">
        <v>162</v>
      </c>
      <c r="H984" s="13" t="s">
        <v>41</v>
      </c>
      <c r="I984" s="13" t="n">
        <v>4</v>
      </c>
      <c r="J984" s="13" t="n">
        <v>1</v>
      </c>
      <c r="K984" s="13" t="s">
        <v>116</v>
      </c>
      <c r="L984" s="13" t="n">
        <v>3</v>
      </c>
      <c r="M984" s="13" t="n">
        <v>759678.12</v>
      </c>
      <c r="N984" s="13" t="n">
        <v>253226.04</v>
      </c>
      <c r="O984" s="13" t="n">
        <v>849.636666666667</v>
      </c>
      <c r="P984" s="13" t="n">
        <v>0</v>
      </c>
      <c r="Q984" s="13" t="n">
        <v>3</v>
      </c>
      <c r="R984" s="13" t="s">
        <v>107</v>
      </c>
      <c r="S984" s="13" t="s">
        <v>154</v>
      </c>
      <c r="T984" s="13" t="n">
        <v>1</v>
      </c>
      <c r="U984" s="13" t="n">
        <f aca="false">IF(B984="Individual",1,0)</f>
        <v>1</v>
      </c>
      <c r="V984" s="13" t="n">
        <f aca="false">IF(B984="Company",1,0)</f>
        <v>0</v>
      </c>
      <c r="W984" s="13" t="n">
        <f aca="false">IF(H984="Home",1,0)</f>
        <v>1</v>
      </c>
      <c r="X984" s="13" t="n">
        <f aca="false">IF(H984="Investment",1,0)</f>
        <v>0</v>
      </c>
      <c r="Y984" s="13" t="n">
        <f aca="false">IF(K984="Website",1,0)</f>
        <v>0</v>
      </c>
      <c r="Z984" s="13" t="n">
        <f aca="false">IF(K984="Agency",1,0)</f>
        <v>0</v>
      </c>
      <c r="AA984" s="13" t="n">
        <f aca="false">IF(K984="Client",1,0)</f>
        <v>1</v>
      </c>
      <c r="AB984" s="13" t="n">
        <f aca="false">(D984-AVERAGE(D$2:D$2001))/STDEV(D$2:D$2001)</f>
        <v>1.66431145275451</v>
      </c>
      <c r="AC984" s="13" t="n">
        <f aca="false">(I984-AVERAGE(I$2:I$2001))/STDEV(I$2:I$2001)</f>
        <v>0.686917069130275</v>
      </c>
      <c r="AD984" s="13" t="n">
        <f aca="false">(L984-AVERAGE(L$2:L$2001))/STDEV(L$2:L$2001)</f>
        <v>-0.777063122173208</v>
      </c>
      <c r="AE984" s="13" t="n">
        <f aca="false">(M984-AVERAGE(M$2:M$2001))/STDEV(M$2:M$2001)</f>
        <v>-1.43948596558719</v>
      </c>
      <c r="AF984" s="13" t="n">
        <f aca="false">(N984-AVERAGE(N$2:N$2001))/STDEV(N$2:N$2001)</f>
        <v>-1.34626309851096</v>
      </c>
      <c r="AG984" s="13" t="n">
        <f aca="false">(O984-AVERAGE(O$2:O$2001))/STDEV(O$2:O$2001)</f>
        <v>-1.35430837480035</v>
      </c>
      <c r="AH984" s="0" t="str">
        <f aca="false">IF(B984="Company","C3 - Corporate Buyers",IF(AND(H984="Investment",M984&gt;'Segmentation Summary'!$C$1),"C1 - Global Investors",IF(AND(I984&gt;=4,M984&gt;'Segmentation Summary'!$C$1),"C4 - Luxury Investors",IF(AND(D984&lt;'Segmentation Summary'!$C$2,J984=1),"C2 - First-Time Buyers","C5 - Other Individual Buyers"))))</f>
        <v>C5 - Other Individual Buyers</v>
      </c>
    </row>
    <row r="985" customFormat="false" ht="15" hidden="false" customHeight="true" outlineLevel="0" collapsed="false">
      <c r="A985" s="13" t="s">
        <v>2003</v>
      </c>
      <c r="B985" s="13" t="s">
        <v>34</v>
      </c>
      <c r="C985" s="13" t="s">
        <v>2004</v>
      </c>
      <c r="D985" s="13" t="n">
        <v>67</v>
      </c>
      <c r="E985" s="13" t="s">
        <v>83</v>
      </c>
      <c r="F985" s="13" t="s">
        <v>33</v>
      </c>
      <c r="G985" s="13" t="s">
        <v>95</v>
      </c>
      <c r="H985" s="13" t="s">
        <v>43</v>
      </c>
      <c r="I985" s="13" t="n">
        <v>5</v>
      </c>
      <c r="J985" s="13" t="n">
        <v>1</v>
      </c>
      <c r="K985" s="13" t="s">
        <v>91</v>
      </c>
      <c r="L985" s="13" t="n">
        <v>4</v>
      </c>
      <c r="M985" s="13" t="n">
        <v>1831502.92</v>
      </c>
      <c r="N985" s="13" t="n">
        <v>457875.73</v>
      </c>
      <c r="O985" s="13" t="n">
        <v>1498.6825</v>
      </c>
      <c r="P985" s="13" t="n">
        <v>1</v>
      </c>
      <c r="Q985" s="13" t="n">
        <v>3</v>
      </c>
      <c r="R985" s="13" t="s">
        <v>92</v>
      </c>
      <c r="S985" s="13" t="s">
        <v>215</v>
      </c>
      <c r="T985" s="13" t="n">
        <v>1</v>
      </c>
      <c r="U985" s="13" t="n">
        <f aca="false">IF(B985="Individual",1,0)</f>
        <v>1</v>
      </c>
      <c r="V985" s="13" t="n">
        <f aca="false">IF(B985="Company",1,0)</f>
        <v>0</v>
      </c>
      <c r="W985" s="13" t="n">
        <f aca="false">IF(H985="Home",1,0)</f>
        <v>0</v>
      </c>
      <c r="X985" s="13" t="n">
        <f aca="false">IF(H985="Investment",1,0)</f>
        <v>1</v>
      </c>
      <c r="Y985" s="13" t="n">
        <f aca="false">IF(K985="Website",1,0)</f>
        <v>0</v>
      </c>
      <c r="Z985" s="13" t="n">
        <f aca="false">IF(K985="Agency",1,0)</f>
        <v>1</v>
      </c>
      <c r="AA985" s="13" t="n">
        <f aca="false">IF(K985="Client",1,0)</f>
        <v>0</v>
      </c>
      <c r="AB985" s="13" t="n">
        <f aca="false">(D985-AVERAGE(D$2:D$2001))/STDEV(D$2:D$2001)</f>
        <v>0.741712164944089</v>
      </c>
      <c r="AC985" s="13" t="n">
        <f aca="false">(I985-AVERAGE(I$2:I$2001))/STDEV(I$2:I$2001)</f>
        <v>1.39434968409451</v>
      </c>
      <c r="AD985" s="13" t="n">
        <f aca="false">(L985-AVERAGE(L$2:L$2001))/STDEV(L$2:L$2001)</f>
        <v>0.413838214490712</v>
      </c>
      <c r="AE985" s="13" t="n">
        <f aca="false">(M985-AVERAGE(M$2:M$2001))/STDEV(M$2:M$2001)</f>
        <v>1.641969778206</v>
      </c>
      <c r="AF985" s="13" t="n">
        <f aca="false">(N985-AVERAGE(N$2:N$2001))/STDEV(N$2:N$2001)</f>
        <v>1.5889684355414</v>
      </c>
      <c r="AG985" s="13" t="n">
        <f aca="false">(O985-AVERAGE(O$2:O$2001))/STDEV(O$2:O$2001)</f>
        <v>1.59693843574883</v>
      </c>
      <c r="AH985" s="0" t="str">
        <f aca="false">IF(B985="Company","C3 - Corporate Buyers",IF(AND(H985="Investment",M985&gt;'Segmentation Summary'!$C$1),"C1 - Global Investors",IF(AND(I985&gt;=4,M985&gt;'Segmentation Summary'!$C$1),"C4 - Luxury Investors",IF(AND(D985&lt;'Segmentation Summary'!$C$2,J985=1),"C2 - First-Time Buyers","C5 - Other Individual Buyers"))))</f>
        <v>C1 - Global Investors</v>
      </c>
    </row>
    <row r="986" customFormat="false" ht="15" hidden="false" customHeight="true" outlineLevel="0" collapsed="false">
      <c r="A986" s="13" t="s">
        <v>2005</v>
      </c>
      <c r="B986" s="13" t="s">
        <v>34</v>
      </c>
      <c r="C986" s="13" t="s">
        <v>2006</v>
      </c>
      <c r="D986" s="13" t="n">
        <v>32</v>
      </c>
      <c r="E986" s="13" t="s">
        <v>83</v>
      </c>
      <c r="F986" s="13" t="s">
        <v>33</v>
      </c>
      <c r="G986" s="13" t="s">
        <v>95</v>
      </c>
      <c r="H986" s="13" t="s">
        <v>43</v>
      </c>
      <c r="I986" s="13" t="n">
        <v>2</v>
      </c>
      <c r="J986" s="13" t="n">
        <v>0</v>
      </c>
      <c r="K986" s="13" t="s">
        <v>91</v>
      </c>
      <c r="L986" s="13" t="n">
        <v>4</v>
      </c>
      <c r="M986" s="13" t="n">
        <v>1701753.71</v>
      </c>
      <c r="N986" s="13" t="n">
        <v>425438.4275</v>
      </c>
      <c r="O986" s="13" t="n">
        <v>1321.76</v>
      </c>
      <c r="P986" s="13" t="n">
        <v>0</v>
      </c>
      <c r="Q986" s="13" t="n">
        <v>4</v>
      </c>
      <c r="R986" s="13" t="s">
        <v>98</v>
      </c>
      <c r="S986" s="13" t="s">
        <v>141</v>
      </c>
      <c r="T986" s="13" t="n">
        <v>1</v>
      </c>
      <c r="U986" s="13" t="n">
        <f aca="false">IF(B986="Individual",1,0)</f>
        <v>1</v>
      </c>
      <c r="V986" s="13" t="n">
        <f aca="false">IF(B986="Company",1,0)</f>
        <v>0</v>
      </c>
      <c r="W986" s="13" t="n">
        <f aca="false">IF(H986="Home",1,0)</f>
        <v>0</v>
      </c>
      <c r="X986" s="13" t="n">
        <f aca="false">IF(H986="Investment",1,0)</f>
        <v>1</v>
      </c>
      <c r="Y986" s="13" t="n">
        <f aca="false">IF(K986="Website",1,0)</f>
        <v>0</v>
      </c>
      <c r="Z986" s="13" t="n">
        <f aca="false">IF(K986="Agency",1,0)</f>
        <v>1</v>
      </c>
      <c r="AA986" s="13" t="n">
        <f aca="false">IF(K986="Client",1,0)</f>
        <v>0</v>
      </c>
      <c r="AB986" s="13" t="n">
        <f aca="false">(D986-AVERAGE(D$2:D$2001))/STDEV(D$2:D$2001)</f>
        <v>-1.2764737771412</v>
      </c>
      <c r="AC986" s="13" t="n">
        <f aca="false">(I986-AVERAGE(I$2:I$2001))/STDEV(I$2:I$2001)</f>
        <v>-0.727948160798201</v>
      </c>
      <c r="AD986" s="13" t="n">
        <f aca="false">(L986-AVERAGE(L$2:L$2001))/STDEV(L$2:L$2001)</f>
        <v>0.413838214490712</v>
      </c>
      <c r="AE986" s="13" t="n">
        <f aca="false">(M986-AVERAGE(M$2:M$2001))/STDEV(M$2:M$2001)</f>
        <v>1.26894570896714</v>
      </c>
      <c r="AF986" s="13" t="n">
        <f aca="false">(N986-AVERAGE(N$2:N$2001))/STDEV(N$2:N$2001)</f>
        <v>1.12372955256241</v>
      </c>
      <c r="AG986" s="13" t="n">
        <f aca="false">(O986-AVERAGE(O$2:O$2001))/STDEV(O$2:O$2001)</f>
        <v>0.792462176872319</v>
      </c>
      <c r="AH986" s="0" t="str">
        <f aca="false">IF(B986="Company","C3 - Corporate Buyers",IF(AND(H986="Investment",M986&gt;'Segmentation Summary'!$C$1),"C1 - Global Investors",IF(AND(I986&gt;=4,M986&gt;'Segmentation Summary'!$C$1),"C4 - Luxury Investors",IF(AND(D986&lt;'Segmentation Summary'!$C$2,J986=1),"C2 - First-Time Buyers","C5 - Other Individual Buyers"))))</f>
        <v>C1 - Global Investors</v>
      </c>
    </row>
    <row r="987" customFormat="false" ht="15" hidden="false" customHeight="true" outlineLevel="0" collapsed="false">
      <c r="A987" s="13" t="s">
        <v>2007</v>
      </c>
      <c r="B987" s="13" t="s">
        <v>34</v>
      </c>
      <c r="C987" s="13" t="s">
        <v>2008</v>
      </c>
      <c r="D987" s="13" t="n">
        <v>30</v>
      </c>
      <c r="E987" s="13" t="s">
        <v>83</v>
      </c>
      <c r="F987" s="13" t="s">
        <v>33</v>
      </c>
      <c r="G987" s="13" t="s">
        <v>84</v>
      </c>
      <c r="H987" s="13" t="s">
        <v>43</v>
      </c>
      <c r="I987" s="13" t="n">
        <v>5</v>
      </c>
      <c r="J987" s="13" t="n">
        <v>0</v>
      </c>
      <c r="K987" s="13" t="s">
        <v>85</v>
      </c>
      <c r="L987" s="13" t="n">
        <v>4</v>
      </c>
      <c r="M987" s="13" t="n">
        <v>1430593.53</v>
      </c>
      <c r="N987" s="13" t="n">
        <v>357648.3825</v>
      </c>
      <c r="O987" s="13" t="n">
        <v>1301.4</v>
      </c>
      <c r="P987" s="13" t="n">
        <v>0</v>
      </c>
      <c r="Q987" s="13" t="n">
        <v>4</v>
      </c>
      <c r="R987" s="13" t="s">
        <v>98</v>
      </c>
      <c r="S987" s="13" t="s">
        <v>107</v>
      </c>
      <c r="T987" s="13" t="n">
        <v>1</v>
      </c>
      <c r="U987" s="13" t="n">
        <f aca="false">IF(B987="Individual",1,0)</f>
        <v>1</v>
      </c>
      <c r="V987" s="13" t="n">
        <f aca="false">IF(B987="Company",1,0)</f>
        <v>0</v>
      </c>
      <c r="W987" s="13" t="n">
        <f aca="false">IF(H987="Home",1,0)</f>
        <v>0</v>
      </c>
      <c r="X987" s="13" t="n">
        <f aca="false">IF(H987="Investment",1,0)</f>
        <v>1</v>
      </c>
      <c r="Y987" s="13" t="n">
        <f aca="false">IF(K987="Website",1,0)</f>
        <v>1</v>
      </c>
      <c r="Z987" s="13" t="n">
        <f aca="false">IF(K987="Agency",1,0)</f>
        <v>0</v>
      </c>
      <c r="AA987" s="13" t="n">
        <f aca="false">IF(K987="Client",1,0)</f>
        <v>0</v>
      </c>
      <c r="AB987" s="13" t="n">
        <f aca="false">(D987-AVERAGE(D$2:D$2001))/STDEV(D$2:D$2001)</f>
        <v>-1.39179868811751</v>
      </c>
      <c r="AC987" s="13" t="n">
        <f aca="false">(I987-AVERAGE(I$2:I$2001))/STDEV(I$2:I$2001)</f>
        <v>1.39434968409451</v>
      </c>
      <c r="AD987" s="13" t="n">
        <f aca="false">(L987-AVERAGE(L$2:L$2001))/STDEV(L$2:L$2001)</f>
        <v>0.413838214490712</v>
      </c>
      <c r="AE987" s="13" t="n">
        <f aca="false">(M987-AVERAGE(M$2:M$2001))/STDEV(M$2:M$2001)</f>
        <v>0.489370451752529</v>
      </c>
      <c r="AF987" s="13" t="n">
        <f aca="false">(N987-AVERAGE(N$2:N$2001))/STDEV(N$2:N$2001)</f>
        <v>0.151436470765767</v>
      </c>
      <c r="AG987" s="13" t="n">
        <f aca="false">(O987-AVERAGE(O$2:O$2001))/STDEV(O$2:O$2001)</f>
        <v>0.699884146205074</v>
      </c>
      <c r="AH987" s="0" t="str">
        <f aca="false">IF(B987="Company","C3 - Corporate Buyers",IF(AND(H987="Investment",M987&gt;'Segmentation Summary'!$C$1),"C1 - Global Investors",IF(AND(I987&gt;=4,M987&gt;'Segmentation Summary'!$C$1),"C4 - Luxury Investors",IF(AND(D987&lt;'Segmentation Summary'!$C$2,J987=1),"C2 - First-Time Buyers","C5 - Other Individual Buyers"))))</f>
        <v>C1 - Global Investors</v>
      </c>
    </row>
    <row r="988" customFormat="false" ht="15" hidden="false" customHeight="true" outlineLevel="0" collapsed="false">
      <c r="A988" s="13" t="s">
        <v>2009</v>
      </c>
      <c r="B988" s="13" t="s">
        <v>34</v>
      </c>
      <c r="C988" s="13" t="s">
        <v>2010</v>
      </c>
      <c r="D988" s="13" t="n">
        <v>31</v>
      </c>
      <c r="E988" s="13" t="s">
        <v>83</v>
      </c>
      <c r="F988" s="13" t="s">
        <v>33</v>
      </c>
      <c r="G988" s="13" t="s">
        <v>162</v>
      </c>
      <c r="H988" s="13" t="s">
        <v>43</v>
      </c>
      <c r="I988" s="13" t="n">
        <v>2</v>
      </c>
      <c r="J988" s="13" t="n">
        <v>1</v>
      </c>
      <c r="K988" s="13" t="s">
        <v>91</v>
      </c>
      <c r="L988" s="13" t="n">
        <v>4</v>
      </c>
      <c r="M988" s="13" t="n">
        <v>1030940.43</v>
      </c>
      <c r="N988" s="13" t="n">
        <v>257735.1075</v>
      </c>
      <c r="O988" s="13" t="n">
        <v>854.58</v>
      </c>
      <c r="P988" s="13" t="n">
        <v>1</v>
      </c>
      <c r="Q988" s="13" t="n">
        <v>3</v>
      </c>
      <c r="R988" s="13" t="s">
        <v>92</v>
      </c>
      <c r="S988" s="13" t="s">
        <v>114</v>
      </c>
      <c r="T988" s="13" t="n">
        <v>1</v>
      </c>
      <c r="U988" s="13" t="n">
        <f aca="false">IF(B988="Individual",1,0)</f>
        <v>1</v>
      </c>
      <c r="V988" s="13" t="n">
        <f aca="false">IF(B988="Company",1,0)</f>
        <v>0</v>
      </c>
      <c r="W988" s="13" t="n">
        <f aca="false">IF(H988="Home",1,0)</f>
        <v>0</v>
      </c>
      <c r="X988" s="13" t="n">
        <f aca="false">IF(H988="Investment",1,0)</f>
        <v>1</v>
      </c>
      <c r="Y988" s="13" t="n">
        <f aca="false">IF(K988="Website",1,0)</f>
        <v>0</v>
      </c>
      <c r="Z988" s="13" t="n">
        <f aca="false">IF(K988="Agency",1,0)</f>
        <v>1</v>
      </c>
      <c r="AA988" s="13" t="n">
        <f aca="false">IF(K988="Client",1,0)</f>
        <v>0</v>
      </c>
      <c r="AB988" s="13" t="n">
        <f aca="false">(D988-AVERAGE(D$2:D$2001))/STDEV(D$2:D$2001)</f>
        <v>-1.33413623262935</v>
      </c>
      <c r="AC988" s="13" t="n">
        <f aca="false">(I988-AVERAGE(I$2:I$2001))/STDEV(I$2:I$2001)</f>
        <v>-0.727948160798201</v>
      </c>
      <c r="AD988" s="13" t="n">
        <f aca="false">(L988-AVERAGE(L$2:L$2001))/STDEV(L$2:L$2001)</f>
        <v>0.413838214490712</v>
      </c>
      <c r="AE988" s="13" t="n">
        <f aca="false">(M988-AVERAGE(M$2:M$2001))/STDEV(M$2:M$2001)</f>
        <v>-0.659617088487026</v>
      </c>
      <c r="AF988" s="13" t="n">
        <f aca="false">(N988-AVERAGE(N$2:N$2001))/STDEV(N$2:N$2001)</f>
        <v>-1.28159084264206</v>
      </c>
      <c r="AG988" s="13" t="n">
        <f aca="false">(O988-AVERAGE(O$2:O$2001))/STDEV(O$2:O$2001)</f>
        <v>-1.33183076846775</v>
      </c>
      <c r="AH988" s="0" t="str">
        <f aca="false">IF(B988="Company","C3 - Corporate Buyers",IF(AND(H988="Investment",M988&gt;'Segmentation Summary'!$C$1),"C1 - Global Investors",IF(AND(I988&gt;=4,M988&gt;'Segmentation Summary'!$C$1),"C4 - Luxury Investors",IF(AND(D988&lt;'Segmentation Summary'!$C$2,J988=1),"C2 - First-Time Buyers","C5 - Other Individual Buyers"))))</f>
        <v>C2 - First-Time Buyers</v>
      </c>
    </row>
    <row r="989" customFormat="false" ht="15" hidden="false" customHeight="true" outlineLevel="0" collapsed="false">
      <c r="A989" s="13" t="s">
        <v>2011</v>
      </c>
      <c r="B989" s="13" t="s">
        <v>34</v>
      </c>
      <c r="C989" s="13" t="s">
        <v>2012</v>
      </c>
      <c r="D989" s="13" t="n">
        <v>34</v>
      </c>
      <c r="E989" s="13" t="s">
        <v>83</v>
      </c>
      <c r="F989" s="13" t="s">
        <v>33</v>
      </c>
      <c r="G989" s="13" t="s">
        <v>84</v>
      </c>
      <c r="H989" s="13" t="s">
        <v>43</v>
      </c>
      <c r="I989" s="13" t="n">
        <v>5</v>
      </c>
      <c r="J989" s="13" t="n">
        <v>0</v>
      </c>
      <c r="K989" s="13" t="s">
        <v>91</v>
      </c>
      <c r="L989" s="13" t="n">
        <v>4</v>
      </c>
      <c r="M989" s="13" t="n">
        <v>1697550.01</v>
      </c>
      <c r="N989" s="13" t="n">
        <v>424387.5025</v>
      </c>
      <c r="O989" s="13" t="n">
        <v>1421.465</v>
      </c>
      <c r="P989" s="13" t="n">
        <v>2</v>
      </c>
      <c r="Q989" s="13" t="n">
        <v>2</v>
      </c>
      <c r="R989" s="13" t="s">
        <v>86</v>
      </c>
      <c r="S989" s="13" t="s">
        <v>111</v>
      </c>
      <c r="T989" s="13" t="n">
        <v>1</v>
      </c>
      <c r="U989" s="13" t="n">
        <f aca="false">IF(B989="Individual",1,0)</f>
        <v>1</v>
      </c>
      <c r="V989" s="13" t="n">
        <f aca="false">IF(B989="Company",1,0)</f>
        <v>0</v>
      </c>
      <c r="W989" s="13" t="n">
        <f aca="false">IF(H989="Home",1,0)</f>
        <v>0</v>
      </c>
      <c r="X989" s="13" t="n">
        <f aca="false">IF(H989="Investment",1,0)</f>
        <v>1</v>
      </c>
      <c r="Y989" s="13" t="n">
        <f aca="false">IF(K989="Website",1,0)</f>
        <v>0</v>
      </c>
      <c r="Z989" s="13" t="n">
        <f aca="false">IF(K989="Agency",1,0)</f>
        <v>1</v>
      </c>
      <c r="AA989" s="13" t="n">
        <f aca="false">IF(K989="Client",1,0)</f>
        <v>0</v>
      </c>
      <c r="AB989" s="13" t="n">
        <f aca="false">(D989-AVERAGE(D$2:D$2001))/STDEV(D$2:D$2001)</f>
        <v>-1.1611488661649</v>
      </c>
      <c r="AC989" s="13" t="n">
        <f aca="false">(I989-AVERAGE(I$2:I$2001))/STDEV(I$2:I$2001)</f>
        <v>1.39434968409451</v>
      </c>
      <c r="AD989" s="13" t="n">
        <f aca="false">(L989-AVERAGE(L$2:L$2001))/STDEV(L$2:L$2001)</f>
        <v>0.413838214490712</v>
      </c>
      <c r="AE989" s="13" t="n">
        <f aca="false">(M989-AVERAGE(M$2:M$2001))/STDEV(M$2:M$2001)</f>
        <v>1.2568602305287</v>
      </c>
      <c r="AF989" s="13" t="n">
        <f aca="false">(N989-AVERAGE(N$2:N$2001))/STDEV(N$2:N$2001)</f>
        <v>1.10865643811047</v>
      </c>
      <c r="AG989" s="13" t="n">
        <f aca="false">(O989-AVERAGE(O$2:O$2001))/STDEV(O$2:O$2001)</f>
        <v>1.24582625092329</v>
      </c>
      <c r="AH989" s="0" t="str">
        <f aca="false">IF(B989="Company","C3 - Corporate Buyers",IF(AND(H989="Investment",M989&gt;'Segmentation Summary'!$C$1),"C1 - Global Investors",IF(AND(I989&gt;=4,M989&gt;'Segmentation Summary'!$C$1),"C4 - Luxury Investors",IF(AND(D989&lt;'Segmentation Summary'!$C$2,J989=1),"C2 - First-Time Buyers","C5 - Other Individual Buyers"))))</f>
        <v>C1 - Global Investors</v>
      </c>
    </row>
    <row r="990" customFormat="false" ht="15" hidden="false" customHeight="true" outlineLevel="0" collapsed="false">
      <c r="A990" s="13" t="s">
        <v>2013</v>
      </c>
      <c r="B990" s="13" t="s">
        <v>34</v>
      </c>
      <c r="C990" s="13" t="s">
        <v>2014</v>
      </c>
      <c r="D990" s="13" t="n">
        <v>41</v>
      </c>
      <c r="E990" s="13" t="s">
        <v>83</v>
      </c>
      <c r="F990" s="13" t="s">
        <v>33</v>
      </c>
      <c r="G990" s="13" t="s">
        <v>95</v>
      </c>
      <c r="H990" s="13" t="s">
        <v>43</v>
      </c>
      <c r="I990" s="13" t="n">
        <v>4</v>
      </c>
      <c r="J990" s="13" t="n">
        <v>1</v>
      </c>
      <c r="K990" s="13" t="s">
        <v>85</v>
      </c>
      <c r="L990" s="13" t="n">
        <v>3</v>
      </c>
      <c r="M990" s="13" t="n">
        <v>1535114.88</v>
      </c>
      <c r="N990" s="13" t="n">
        <v>511704.96</v>
      </c>
      <c r="O990" s="13" t="n">
        <v>1452.26333333333</v>
      </c>
      <c r="P990" s="13" t="n">
        <v>1</v>
      </c>
      <c r="Q990" s="13" t="n">
        <v>2</v>
      </c>
      <c r="R990" s="13" t="s">
        <v>121</v>
      </c>
      <c r="S990" s="13" t="s">
        <v>133</v>
      </c>
      <c r="T990" s="13" t="n">
        <v>1</v>
      </c>
      <c r="U990" s="13" t="n">
        <f aca="false">IF(B990="Individual",1,0)</f>
        <v>1</v>
      </c>
      <c r="V990" s="13" t="n">
        <f aca="false">IF(B990="Company",1,0)</f>
        <v>0</v>
      </c>
      <c r="W990" s="13" t="n">
        <f aca="false">IF(H990="Home",1,0)</f>
        <v>0</v>
      </c>
      <c r="X990" s="13" t="n">
        <f aca="false">IF(H990="Investment",1,0)</f>
        <v>1</v>
      </c>
      <c r="Y990" s="13" t="n">
        <f aca="false">IF(K990="Website",1,0)</f>
        <v>1</v>
      </c>
      <c r="Z990" s="13" t="n">
        <f aca="false">IF(K990="Agency",1,0)</f>
        <v>0</v>
      </c>
      <c r="AA990" s="13" t="n">
        <f aca="false">IF(K990="Client",1,0)</f>
        <v>0</v>
      </c>
      <c r="AB990" s="13" t="n">
        <f aca="false">(D990-AVERAGE(D$2:D$2001))/STDEV(D$2:D$2001)</f>
        <v>-0.757511677747842</v>
      </c>
      <c r="AC990" s="13" t="n">
        <f aca="false">(I990-AVERAGE(I$2:I$2001))/STDEV(I$2:I$2001)</f>
        <v>0.686917069130275</v>
      </c>
      <c r="AD990" s="13" t="n">
        <f aca="false">(L990-AVERAGE(L$2:L$2001))/STDEV(L$2:L$2001)</f>
        <v>-0.777063122173208</v>
      </c>
      <c r="AE990" s="13" t="n">
        <f aca="false">(M990-AVERAGE(M$2:M$2001))/STDEV(M$2:M$2001)</f>
        <v>0.789865378074926</v>
      </c>
      <c r="AF990" s="13" t="n">
        <f aca="false">(N990-AVERAGE(N$2:N$2001))/STDEV(N$2:N$2001)</f>
        <v>2.36102557058889</v>
      </c>
      <c r="AG990" s="13" t="n">
        <f aca="false">(O990-AVERAGE(O$2:O$2001))/STDEV(O$2:O$2001)</f>
        <v>1.38586795268326</v>
      </c>
      <c r="AH990" s="0" t="str">
        <f aca="false">IF(B990="Company","C3 - Corporate Buyers",IF(AND(H990="Investment",M990&gt;'Segmentation Summary'!$C$1),"C1 - Global Investors",IF(AND(I990&gt;=4,M990&gt;'Segmentation Summary'!$C$1),"C4 - Luxury Investors",IF(AND(D990&lt;'Segmentation Summary'!$C$2,J990=1),"C2 - First-Time Buyers","C5 - Other Individual Buyers"))))</f>
        <v>C1 - Global Investors</v>
      </c>
    </row>
    <row r="991" customFormat="false" ht="15" hidden="false" customHeight="true" outlineLevel="0" collapsed="false">
      <c r="A991" s="13" t="s">
        <v>2015</v>
      </c>
      <c r="B991" s="13" t="s">
        <v>34</v>
      </c>
      <c r="C991" s="13" t="s">
        <v>2016</v>
      </c>
      <c r="D991" s="13" t="n">
        <v>68</v>
      </c>
      <c r="E991" s="13" t="s">
        <v>83</v>
      </c>
      <c r="F991" s="13" t="s">
        <v>33</v>
      </c>
      <c r="G991" s="13" t="s">
        <v>95</v>
      </c>
      <c r="H991" s="13" t="s">
        <v>41</v>
      </c>
      <c r="I991" s="13" t="n">
        <v>4</v>
      </c>
      <c r="J991" s="13" t="n">
        <v>0</v>
      </c>
      <c r="K991" s="13" t="s">
        <v>85</v>
      </c>
      <c r="L991" s="13" t="n">
        <v>3</v>
      </c>
      <c r="M991" s="13" t="n">
        <v>846287.21</v>
      </c>
      <c r="N991" s="13" t="n">
        <v>282095.736666667</v>
      </c>
      <c r="O991" s="13" t="n">
        <v>994.52</v>
      </c>
      <c r="P991" s="13" t="n">
        <v>0</v>
      </c>
      <c r="Q991" s="13" t="n">
        <v>3</v>
      </c>
      <c r="R991" s="13" t="s">
        <v>92</v>
      </c>
      <c r="S991" s="13" t="s">
        <v>150</v>
      </c>
      <c r="T991" s="13" t="n">
        <v>1</v>
      </c>
      <c r="U991" s="13" t="n">
        <f aca="false">IF(B991="Individual",1,0)</f>
        <v>1</v>
      </c>
      <c r="V991" s="13" t="n">
        <f aca="false">IF(B991="Company",1,0)</f>
        <v>0</v>
      </c>
      <c r="W991" s="13" t="n">
        <f aca="false">IF(H991="Home",1,0)</f>
        <v>1</v>
      </c>
      <c r="X991" s="13" t="n">
        <f aca="false">IF(H991="Investment",1,0)</f>
        <v>0</v>
      </c>
      <c r="Y991" s="13" t="n">
        <f aca="false">IF(K991="Website",1,0)</f>
        <v>1</v>
      </c>
      <c r="Z991" s="13" t="n">
        <f aca="false">IF(K991="Agency",1,0)</f>
        <v>0</v>
      </c>
      <c r="AA991" s="13" t="n">
        <f aca="false">IF(K991="Client",1,0)</f>
        <v>0</v>
      </c>
      <c r="AB991" s="13" t="n">
        <f aca="false">(D991-AVERAGE(D$2:D$2001))/STDEV(D$2:D$2001)</f>
        <v>0.79937462043224</v>
      </c>
      <c r="AC991" s="13" t="n">
        <f aca="false">(I991-AVERAGE(I$2:I$2001))/STDEV(I$2:I$2001)</f>
        <v>0.686917069130275</v>
      </c>
      <c r="AD991" s="13" t="n">
        <f aca="false">(L991-AVERAGE(L$2:L$2001))/STDEV(L$2:L$2001)</f>
        <v>-0.777063122173208</v>
      </c>
      <c r="AE991" s="13" t="n">
        <f aca="false">(M991-AVERAGE(M$2:M$2001))/STDEV(M$2:M$2001)</f>
        <v>-1.19048810899234</v>
      </c>
      <c r="AF991" s="13" t="n">
        <f aca="false">(N991-AVERAGE(N$2:N$2001))/STDEV(N$2:N$2001)</f>
        <v>-0.932193357997173</v>
      </c>
      <c r="AG991" s="13" t="n">
        <f aca="false">(O991-AVERAGE(O$2:O$2001))/STDEV(O$2:O$2001)</f>
        <v>-0.695515954539737</v>
      </c>
      <c r="AH991" s="0" t="str">
        <f aca="false">IF(B991="Company","C3 - Corporate Buyers",IF(AND(H991="Investment",M991&gt;'Segmentation Summary'!$C$1),"C1 - Global Investors",IF(AND(I991&gt;=4,M991&gt;'Segmentation Summary'!$C$1),"C4 - Luxury Investors",IF(AND(D991&lt;'Segmentation Summary'!$C$2,J991=1),"C2 - First-Time Buyers","C5 - Other Individual Buyers"))))</f>
        <v>C5 - Other Individual Buyers</v>
      </c>
    </row>
    <row r="992" customFormat="false" ht="15" hidden="false" customHeight="true" outlineLevel="0" collapsed="false">
      <c r="A992" s="13" t="s">
        <v>2017</v>
      </c>
      <c r="B992" s="13" t="s">
        <v>34</v>
      </c>
      <c r="C992" s="13" t="s">
        <v>2018</v>
      </c>
      <c r="D992" s="13" t="n">
        <v>36</v>
      </c>
      <c r="E992" s="13" t="s">
        <v>90</v>
      </c>
      <c r="F992" s="13" t="s">
        <v>33</v>
      </c>
      <c r="G992" s="13" t="s">
        <v>95</v>
      </c>
      <c r="H992" s="13" t="s">
        <v>41</v>
      </c>
      <c r="I992" s="13" t="n">
        <v>1</v>
      </c>
      <c r="J992" s="13" t="n">
        <v>0</v>
      </c>
      <c r="K992" s="13" t="s">
        <v>91</v>
      </c>
      <c r="L992" s="13" t="n">
        <v>3</v>
      </c>
      <c r="M992" s="13" t="n">
        <v>1549836.17</v>
      </c>
      <c r="N992" s="13" t="n">
        <v>516612.056666667</v>
      </c>
      <c r="O992" s="13" t="n">
        <v>1592.12333333333</v>
      </c>
      <c r="P992" s="13" t="n">
        <v>0</v>
      </c>
      <c r="Q992" s="13" t="n">
        <v>3</v>
      </c>
      <c r="R992" s="13" t="s">
        <v>101</v>
      </c>
      <c r="S992" s="13" t="s">
        <v>215</v>
      </c>
      <c r="T992" s="13" t="n">
        <v>1</v>
      </c>
      <c r="U992" s="13" t="n">
        <f aca="false">IF(B992="Individual",1,0)</f>
        <v>1</v>
      </c>
      <c r="V992" s="13" t="n">
        <f aca="false">IF(B992="Company",1,0)</f>
        <v>0</v>
      </c>
      <c r="W992" s="13" t="n">
        <f aca="false">IF(H992="Home",1,0)</f>
        <v>1</v>
      </c>
      <c r="X992" s="13" t="n">
        <f aca="false">IF(H992="Investment",1,0)</f>
        <v>0</v>
      </c>
      <c r="Y992" s="13" t="n">
        <f aca="false">IF(K992="Website",1,0)</f>
        <v>0</v>
      </c>
      <c r="Z992" s="13" t="n">
        <f aca="false">IF(K992="Agency",1,0)</f>
        <v>1</v>
      </c>
      <c r="AA992" s="13" t="n">
        <f aca="false">IF(K992="Client",1,0)</f>
        <v>0</v>
      </c>
      <c r="AB992" s="13" t="n">
        <f aca="false">(D992-AVERAGE(D$2:D$2001))/STDEV(D$2:D$2001)</f>
        <v>-1.0458239551886</v>
      </c>
      <c r="AC992" s="13" t="n">
        <f aca="false">(I992-AVERAGE(I$2:I$2001))/STDEV(I$2:I$2001)</f>
        <v>-1.43538077576244</v>
      </c>
      <c r="AD992" s="13" t="n">
        <f aca="false">(L992-AVERAGE(L$2:L$2001))/STDEV(L$2:L$2001)</f>
        <v>-0.777063122173208</v>
      </c>
      <c r="AE992" s="13" t="n">
        <f aca="false">(M992-AVERAGE(M$2:M$2001))/STDEV(M$2:M$2001)</f>
        <v>0.832188529793887</v>
      </c>
      <c r="AF992" s="13" t="n">
        <f aca="false">(N992-AVERAGE(N$2:N$2001))/STDEV(N$2:N$2001)</f>
        <v>2.43140664410356</v>
      </c>
      <c r="AG992" s="13" t="n">
        <f aca="false">(O992-AVERAGE(O$2:O$2001))/STDEV(O$2:O$2001)</f>
        <v>2.02181900224716</v>
      </c>
      <c r="AH992" s="0" t="str">
        <f aca="false">IF(B992="Company","C3 - Corporate Buyers",IF(AND(H992="Investment",M992&gt;'Segmentation Summary'!$C$1),"C1 - Global Investors",IF(AND(I992&gt;=4,M992&gt;'Segmentation Summary'!$C$1),"C4 - Luxury Investors",IF(AND(D992&lt;'Segmentation Summary'!$C$2,J992=1),"C2 - First-Time Buyers","C5 - Other Individual Buyers"))))</f>
        <v>C5 - Other Individual Buyers</v>
      </c>
    </row>
    <row r="993" customFormat="false" ht="15" hidden="false" customHeight="true" outlineLevel="0" collapsed="false">
      <c r="A993" s="13" t="s">
        <v>2019</v>
      </c>
      <c r="B993" s="13" t="s">
        <v>34</v>
      </c>
      <c r="C993" s="13" t="s">
        <v>2020</v>
      </c>
      <c r="D993" s="13" t="n">
        <v>77</v>
      </c>
      <c r="E993" s="13" t="s">
        <v>90</v>
      </c>
      <c r="F993" s="13" t="s">
        <v>33</v>
      </c>
      <c r="G993" s="13" t="s">
        <v>95</v>
      </c>
      <c r="H993" s="13" t="s">
        <v>43</v>
      </c>
      <c r="I993" s="13" t="n">
        <v>5</v>
      </c>
      <c r="J993" s="13" t="n">
        <v>0</v>
      </c>
      <c r="K993" s="13" t="s">
        <v>85</v>
      </c>
      <c r="L993" s="13" t="n">
        <v>3</v>
      </c>
      <c r="M993" s="13" t="n">
        <v>775544.78</v>
      </c>
      <c r="N993" s="13" t="n">
        <v>258514.926666667</v>
      </c>
      <c r="O993" s="13" t="n">
        <v>941.38</v>
      </c>
      <c r="P993" s="13" t="n">
        <v>1</v>
      </c>
      <c r="Q993" s="13" t="n">
        <v>2</v>
      </c>
      <c r="R993" s="13" t="s">
        <v>86</v>
      </c>
      <c r="S993" s="13" t="s">
        <v>154</v>
      </c>
      <c r="T993" s="13" t="n">
        <v>1</v>
      </c>
      <c r="U993" s="13" t="n">
        <f aca="false">IF(B993="Individual",1,0)</f>
        <v>1</v>
      </c>
      <c r="V993" s="13" t="n">
        <f aca="false">IF(B993="Company",1,0)</f>
        <v>0</v>
      </c>
      <c r="W993" s="13" t="n">
        <f aca="false">IF(H993="Home",1,0)</f>
        <v>0</v>
      </c>
      <c r="X993" s="13" t="n">
        <f aca="false">IF(H993="Investment",1,0)</f>
        <v>1</v>
      </c>
      <c r="Y993" s="13" t="n">
        <f aca="false">IF(K993="Website",1,0)</f>
        <v>1</v>
      </c>
      <c r="Z993" s="13" t="n">
        <f aca="false">IF(K993="Agency",1,0)</f>
        <v>0</v>
      </c>
      <c r="AA993" s="13" t="n">
        <f aca="false">IF(K993="Client",1,0)</f>
        <v>0</v>
      </c>
      <c r="AB993" s="13" t="n">
        <f aca="false">(D993-AVERAGE(D$2:D$2001))/STDEV(D$2:D$2001)</f>
        <v>1.3183367198256</v>
      </c>
      <c r="AC993" s="13" t="n">
        <f aca="false">(I993-AVERAGE(I$2:I$2001))/STDEV(I$2:I$2001)</f>
        <v>1.39434968409451</v>
      </c>
      <c r="AD993" s="13" t="n">
        <f aca="false">(L993-AVERAGE(L$2:L$2001))/STDEV(L$2:L$2001)</f>
        <v>-0.777063122173208</v>
      </c>
      <c r="AE993" s="13" t="n">
        <f aca="false">(M993-AVERAGE(M$2:M$2001))/STDEV(M$2:M$2001)</f>
        <v>-1.39386991845727</v>
      </c>
      <c r="AF993" s="13" t="n">
        <f aca="false">(N993-AVERAGE(N$2:N$2001))/STDEV(N$2:N$2001)</f>
        <v>-1.27040612103873</v>
      </c>
      <c r="AG993" s="13" t="n">
        <f aca="false">(O993-AVERAGE(O$2:O$2001))/STDEV(O$2:O$2001)</f>
        <v>-0.937146433403068</v>
      </c>
      <c r="AH993" s="0" t="str">
        <f aca="false">IF(B993="Company","C3 - Corporate Buyers",IF(AND(H993="Investment",M993&gt;'Segmentation Summary'!$C$1),"C1 - Global Investors",IF(AND(I993&gt;=4,M993&gt;'Segmentation Summary'!$C$1),"C4 - Luxury Investors",IF(AND(D993&lt;'Segmentation Summary'!$C$2,J993=1),"C2 - First-Time Buyers","C5 - Other Individual Buyers"))))</f>
        <v>C5 - Other Individual Buyers</v>
      </c>
    </row>
    <row r="994" customFormat="false" ht="15" hidden="false" customHeight="true" outlineLevel="0" collapsed="false">
      <c r="A994" s="13" t="s">
        <v>2021</v>
      </c>
      <c r="B994" s="13" t="s">
        <v>34</v>
      </c>
      <c r="C994" s="13" t="s">
        <v>2022</v>
      </c>
      <c r="D994" s="13" t="n">
        <v>50</v>
      </c>
      <c r="E994" s="13" t="s">
        <v>90</v>
      </c>
      <c r="F994" s="13" t="s">
        <v>33</v>
      </c>
      <c r="G994" s="13" t="s">
        <v>95</v>
      </c>
      <c r="H994" s="13" t="s">
        <v>41</v>
      </c>
      <c r="I994" s="13" t="n">
        <v>2</v>
      </c>
      <c r="J994" s="13" t="n">
        <v>1</v>
      </c>
      <c r="K994" s="13" t="s">
        <v>85</v>
      </c>
      <c r="L994" s="13" t="n">
        <v>4</v>
      </c>
      <c r="M994" s="13" t="n">
        <v>1992983.55</v>
      </c>
      <c r="N994" s="13" t="n">
        <v>498245.8875</v>
      </c>
      <c r="O994" s="13" t="n">
        <v>1555.2975</v>
      </c>
      <c r="P994" s="13" t="n">
        <v>0</v>
      </c>
      <c r="Q994" s="13" t="n">
        <v>4</v>
      </c>
      <c r="R994" s="13" t="s">
        <v>117</v>
      </c>
      <c r="S994" s="13" t="s">
        <v>154</v>
      </c>
      <c r="T994" s="13" t="n">
        <v>1</v>
      </c>
      <c r="U994" s="13" t="n">
        <f aca="false">IF(B994="Individual",1,0)</f>
        <v>1</v>
      </c>
      <c r="V994" s="13" t="n">
        <f aca="false">IF(B994="Company",1,0)</f>
        <v>0</v>
      </c>
      <c r="W994" s="13" t="n">
        <f aca="false">IF(H994="Home",1,0)</f>
        <v>1</v>
      </c>
      <c r="X994" s="13" t="n">
        <f aca="false">IF(H994="Investment",1,0)</f>
        <v>0</v>
      </c>
      <c r="Y994" s="13" t="n">
        <f aca="false">IF(K994="Website",1,0)</f>
        <v>1</v>
      </c>
      <c r="Z994" s="13" t="n">
        <f aca="false">IF(K994="Agency",1,0)</f>
        <v>0</v>
      </c>
      <c r="AA994" s="13" t="n">
        <f aca="false">IF(K994="Client",1,0)</f>
        <v>0</v>
      </c>
      <c r="AB994" s="13" t="n">
        <f aca="false">(D994-AVERAGE(D$2:D$2001))/STDEV(D$2:D$2001)</f>
        <v>-0.238549578354482</v>
      </c>
      <c r="AC994" s="13" t="n">
        <f aca="false">(I994-AVERAGE(I$2:I$2001))/STDEV(I$2:I$2001)</f>
        <v>-0.727948160798201</v>
      </c>
      <c r="AD994" s="13" t="n">
        <f aca="false">(L994-AVERAGE(L$2:L$2001))/STDEV(L$2:L$2001)</f>
        <v>0.413838214490712</v>
      </c>
      <c r="AE994" s="13" t="n">
        <f aca="false">(M994-AVERAGE(M$2:M$2001))/STDEV(M$2:M$2001)</f>
        <v>2.10622047927658</v>
      </c>
      <c r="AF994" s="13" t="n">
        <f aca="false">(N994-AVERAGE(N$2:N$2001))/STDEV(N$2:N$2001)</f>
        <v>2.1679859719406</v>
      </c>
      <c r="AG994" s="13" t="n">
        <f aca="false">(O994-AVERAGE(O$2:O$2001))/STDEV(O$2:O$2001)</f>
        <v>1.8543699291784</v>
      </c>
      <c r="AH994" s="0" t="str">
        <f aca="false">IF(B994="Company","C3 - Corporate Buyers",IF(AND(H994="Investment",M994&gt;'Segmentation Summary'!$C$1),"C1 - Global Investors",IF(AND(I994&gt;=4,M994&gt;'Segmentation Summary'!$C$1),"C4 - Luxury Investors",IF(AND(D994&lt;'Segmentation Summary'!$C$2,J994=1),"C2 - First-Time Buyers","C5 - Other Individual Buyers"))))</f>
        <v>C2 - First-Time Buyers</v>
      </c>
    </row>
    <row r="995" customFormat="false" ht="15" hidden="false" customHeight="true" outlineLevel="0" collapsed="false">
      <c r="A995" s="13" t="s">
        <v>2023</v>
      </c>
      <c r="B995" s="13" t="s">
        <v>34</v>
      </c>
      <c r="C995" s="13" t="s">
        <v>2024</v>
      </c>
      <c r="D995" s="13" t="n">
        <v>61</v>
      </c>
      <c r="E995" s="13" t="s">
        <v>90</v>
      </c>
      <c r="F995" s="13" t="s">
        <v>33</v>
      </c>
      <c r="G995" s="13" t="s">
        <v>110</v>
      </c>
      <c r="H995" s="13" t="s">
        <v>41</v>
      </c>
      <c r="I995" s="13" t="n">
        <v>5</v>
      </c>
      <c r="J995" s="13" t="n">
        <v>1</v>
      </c>
      <c r="K995" s="13" t="s">
        <v>85</v>
      </c>
      <c r="L995" s="13" t="n">
        <v>3</v>
      </c>
      <c r="M995" s="13" t="n">
        <v>785768.09</v>
      </c>
      <c r="N995" s="13" t="n">
        <v>261922.696666667</v>
      </c>
      <c r="O995" s="13" t="n">
        <v>934.873333333333</v>
      </c>
      <c r="P995" s="13" t="n">
        <v>0</v>
      </c>
      <c r="Q995" s="13" t="n">
        <v>3</v>
      </c>
      <c r="R995" s="13" t="s">
        <v>135</v>
      </c>
      <c r="S995" s="13" t="s">
        <v>114</v>
      </c>
      <c r="T995" s="13" t="n">
        <v>1</v>
      </c>
      <c r="U995" s="13" t="n">
        <f aca="false">IF(B995="Individual",1,0)</f>
        <v>1</v>
      </c>
      <c r="V995" s="13" t="n">
        <f aca="false">IF(B995="Company",1,0)</f>
        <v>0</v>
      </c>
      <c r="W995" s="13" t="n">
        <f aca="false">IF(H995="Home",1,0)</f>
        <v>1</v>
      </c>
      <c r="X995" s="13" t="n">
        <f aca="false">IF(H995="Investment",1,0)</f>
        <v>0</v>
      </c>
      <c r="Y995" s="13" t="n">
        <f aca="false">IF(K995="Website",1,0)</f>
        <v>1</v>
      </c>
      <c r="Z995" s="13" t="n">
        <f aca="false">IF(K995="Agency",1,0)</f>
        <v>0</v>
      </c>
      <c r="AA995" s="13" t="n">
        <f aca="false">IF(K995="Client",1,0)</f>
        <v>0</v>
      </c>
      <c r="AB995" s="13" t="n">
        <f aca="false">(D995-AVERAGE(D$2:D$2001))/STDEV(D$2:D$2001)</f>
        <v>0.395737432015182</v>
      </c>
      <c r="AC995" s="13" t="n">
        <f aca="false">(I995-AVERAGE(I$2:I$2001))/STDEV(I$2:I$2001)</f>
        <v>1.39434968409451</v>
      </c>
      <c r="AD995" s="13" t="n">
        <f aca="false">(L995-AVERAGE(L$2:L$2001))/STDEV(L$2:L$2001)</f>
        <v>-0.777063122173208</v>
      </c>
      <c r="AE995" s="13" t="n">
        <f aca="false">(M995-AVERAGE(M$2:M$2001))/STDEV(M$2:M$2001)</f>
        <v>-1.36447828904165</v>
      </c>
      <c r="AF995" s="13" t="n">
        <f aca="false">(N995-AVERAGE(N$2:N$2001))/STDEV(N$2:N$2001)</f>
        <v>-1.22152945787448</v>
      </c>
      <c r="AG995" s="13" t="n">
        <f aca="false">(O995-AVERAGE(O$2:O$2001))/STDEV(O$2:O$2001)</f>
        <v>-0.966732601684416</v>
      </c>
      <c r="AH995" s="0" t="str">
        <f aca="false">IF(B995="Company","C3 - Corporate Buyers",IF(AND(H995="Investment",M995&gt;'Segmentation Summary'!$C$1),"C1 - Global Investors",IF(AND(I995&gt;=4,M995&gt;'Segmentation Summary'!$C$1),"C4 - Luxury Investors",IF(AND(D995&lt;'Segmentation Summary'!$C$2,J995=1),"C2 - First-Time Buyers","C5 - Other Individual Buyers"))))</f>
        <v>C5 - Other Individual Buyers</v>
      </c>
    </row>
    <row r="996" customFormat="false" ht="15" hidden="false" customHeight="true" outlineLevel="0" collapsed="false">
      <c r="A996" s="13" t="s">
        <v>2025</v>
      </c>
      <c r="B996" s="13" t="s">
        <v>34</v>
      </c>
      <c r="C996" s="13" t="s">
        <v>2026</v>
      </c>
      <c r="D996" s="13" t="n">
        <v>74</v>
      </c>
      <c r="E996" s="13" t="s">
        <v>90</v>
      </c>
      <c r="F996" s="13" t="s">
        <v>33</v>
      </c>
      <c r="G996" s="13" t="s">
        <v>95</v>
      </c>
      <c r="H996" s="13" t="s">
        <v>41</v>
      </c>
      <c r="I996" s="13" t="n">
        <v>1</v>
      </c>
      <c r="J996" s="13" t="n">
        <v>0</v>
      </c>
      <c r="K996" s="13" t="s">
        <v>91</v>
      </c>
      <c r="L996" s="13" t="n">
        <v>3</v>
      </c>
      <c r="M996" s="13" t="n">
        <v>744651.07</v>
      </c>
      <c r="N996" s="13" t="n">
        <v>248217.023333333</v>
      </c>
      <c r="O996" s="13" t="n">
        <v>801.46</v>
      </c>
      <c r="P996" s="13" t="n">
        <v>0</v>
      </c>
      <c r="Q996" s="13" t="n">
        <v>3</v>
      </c>
      <c r="R996" s="13" t="s">
        <v>86</v>
      </c>
      <c r="S996" s="13" t="s">
        <v>103</v>
      </c>
      <c r="T996" s="13" t="n">
        <v>1</v>
      </c>
      <c r="U996" s="13" t="n">
        <f aca="false">IF(B996="Individual",1,0)</f>
        <v>1</v>
      </c>
      <c r="V996" s="13" t="n">
        <f aca="false">IF(B996="Company",1,0)</f>
        <v>0</v>
      </c>
      <c r="W996" s="13" t="n">
        <f aca="false">IF(H996="Home",1,0)</f>
        <v>1</v>
      </c>
      <c r="X996" s="13" t="n">
        <f aca="false">IF(H996="Investment",1,0)</f>
        <v>0</v>
      </c>
      <c r="Y996" s="13" t="n">
        <f aca="false">IF(K996="Website",1,0)</f>
        <v>0</v>
      </c>
      <c r="Z996" s="13" t="n">
        <f aca="false">IF(K996="Agency",1,0)</f>
        <v>1</v>
      </c>
      <c r="AA996" s="13" t="n">
        <f aca="false">IF(K996="Client",1,0)</f>
        <v>0</v>
      </c>
      <c r="AB996" s="13" t="n">
        <f aca="false">(D996-AVERAGE(D$2:D$2001))/STDEV(D$2:D$2001)</f>
        <v>1.14534935336115</v>
      </c>
      <c r="AC996" s="13" t="n">
        <f aca="false">(I996-AVERAGE(I$2:I$2001))/STDEV(I$2:I$2001)</f>
        <v>-1.43538077576244</v>
      </c>
      <c r="AD996" s="13" t="n">
        <f aca="false">(L996-AVERAGE(L$2:L$2001))/STDEV(L$2:L$2001)</f>
        <v>-0.777063122173208</v>
      </c>
      <c r="AE996" s="13" t="n">
        <f aca="false">(M996-AVERAGE(M$2:M$2001))/STDEV(M$2:M$2001)</f>
        <v>-1.48268816573666</v>
      </c>
      <c r="AF996" s="13" t="n">
        <f aca="false">(N996-AVERAGE(N$2:N$2001))/STDEV(N$2:N$2001)</f>
        <v>-1.41810598121748</v>
      </c>
      <c r="AG996" s="13" t="n">
        <f aca="false">(O996-AVERAGE(O$2:O$2001))/STDEV(O$2:O$2001)</f>
        <v>-1.57337030624005</v>
      </c>
      <c r="AH996" s="0" t="str">
        <f aca="false">IF(B996="Company","C3 - Corporate Buyers",IF(AND(H996="Investment",M996&gt;'Segmentation Summary'!$C$1),"C1 - Global Investors",IF(AND(I996&gt;=4,M996&gt;'Segmentation Summary'!$C$1),"C4 - Luxury Investors",IF(AND(D996&lt;'Segmentation Summary'!$C$2,J996=1),"C2 - First-Time Buyers","C5 - Other Individual Buyers"))))</f>
        <v>C5 - Other Individual Buyers</v>
      </c>
    </row>
    <row r="997" customFormat="false" ht="15" hidden="false" customHeight="true" outlineLevel="0" collapsed="false">
      <c r="A997" s="13" t="s">
        <v>2027</v>
      </c>
      <c r="B997" s="13" t="s">
        <v>34</v>
      </c>
      <c r="C997" s="13" t="s">
        <v>2028</v>
      </c>
      <c r="D997" s="13" t="n">
        <v>55</v>
      </c>
      <c r="E997" s="13" t="s">
        <v>90</v>
      </c>
      <c r="F997" s="13" t="s">
        <v>33</v>
      </c>
      <c r="G997" s="13" t="s">
        <v>97</v>
      </c>
      <c r="H997" s="13" t="s">
        <v>43</v>
      </c>
      <c r="I997" s="13" t="n">
        <v>1</v>
      </c>
      <c r="J997" s="13" t="n">
        <v>0</v>
      </c>
      <c r="K997" s="13" t="s">
        <v>85</v>
      </c>
      <c r="L997" s="13" t="n">
        <v>4</v>
      </c>
      <c r="M997" s="13" t="n">
        <v>1737593</v>
      </c>
      <c r="N997" s="13" t="n">
        <v>434398.25</v>
      </c>
      <c r="O997" s="13" t="n">
        <v>1312.8225</v>
      </c>
      <c r="P997" s="13" t="n">
        <v>1</v>
      </c>
      <c r="Q997" s="13" t="n">
        <v>3</v>
      </c>
      <c r="R997" s="13" t="s">
        <v>92</v>
      </c>
      <c r="S997" s="13" t="s">
        <v>114</v>
      </c>
      <c r="T997" s="13" t="n">
        <v>1</v>
      </c>
      <c r="U997" s="13" t="n">
        <f aca="false">IF(B997="Individual",1,0)</f>
        <v>1</v>
      </c>
      <c r="V997" s="13" t="n">
        <f aca="false">IF(B997="Company",1,0)</f>
        <v>0</v>
      </c>
      <c r="W997" s="13" t="n">
        <f aca="false">IF(H997="Home",1,0)</f>
        <v>0</v>
      </c>
      <c r="X997" s="13" t="n">
        <f aca="false">IF(H997="Investment",1,0)</f>
        <v>1</v>
      </c>
      <c r="Y997" s="13" t="n">
        <f aca="false">IF(K997="Website",1,0)</f>
        <v>1</v>
      </c>
      <c r="Z997" s="13" t="n">
        <f aca="false">IF(K997="Agency",1,0)</f>
        <v>0</v>
      </c>
      <c r="AA997" s="13" t="n">
        <f aca="false">IF(K997="Client",1,0)</f>
        <v>0</v>
      </c>
      <c r="AB997" s="13" t="n">
        <f aca="false">(D997-AVERAGE(D$2:D$2001))/STDEV(D$2:D$2001)</f>
        <v>0.0497626990862745</v>
      </c>
      <c r="AC997" s="13" t="n">
        <f aca="false">(I997-AVERAGE(I$2:I$2001))/STDEV(I$2:I$2001)</f>
        <v>-1.43538077576244</v>
      </c>
      <c r="AD997" s="13" t="n">
        <f aca="false">(L997-AVERAGE(L$2:L$2001))/STDEV(L$2:L$2001)</f>
        <v>0.413838214490712</v>
      </c>
      <c r="AE997" s="13" t="n">
        <f aca="false">(M997-AVERAGE(M$2:M$2001))/STDEV(M$2:M$2001)</f>
        <v>1.37198231161336</v>
      </c>
      <c r="AF997" s="13" t="n">
        <f aca="false">(N997-AVERAGE(N$2:N$2001))/STDEV(N$2:N$2001)</f>
        <v>1.2522377049154</v>
      </c>
      <c r="AG997" s="13" t="n">
        <f aca="false">(O997-AVERAGE(O$2:O$2001))/STDEV(O$2:O$2001)</f>
        <v>0.751822876818856</v>
      </c>
      <c r="AH997" s="0" t="str">
        <f aca="false">IF(B997="Company","C3 - Corporate Buyers",IF(AND(H997="Investment",M997&gt;'Segmentation Summary'!$C$1),"C1 - Global Investors",IF(AND(I997&gt;=4,M997&gt;'Segmentation Summary'!$C$1),"C4 - Luxury Investors",IF(AND(D997&lt;'Segmentation Summary'!$C$2,J997=1),"C2 - First-Time Buyers","C5 - Other Individual Buyers"))))</f>
        <v>C1 - Global Investors</v>
      </c>
    </row>
    <row r="998" customFormat="false" ht="15" hidden="false" customHeight="true" outlineLevel="0" collapsed="false">
      <c r="A998" s="13" t="s">
        <v>2029</v>
      </c>
      <c r="B998" s="13" t="s">
        <v>34</v>
      </c>
      <c r="C998" s="13" t="s">
        <v>2030</v>
      </c>
      <c r="D998" s="13" t="n">
        <v>63</v>
      </c>
      <c r="E998" s="13" t="s">
        <v>90</v>
      </c>
      <c r="F998" s="13" t="s">
        <v>33</v>
      </c>
      <c r="G998" s="13" t="s">
        <v>95</v>
      </c>
      <c r="H998" s="13" t="s">
        <v>43</v>
      </c>
      <c r="I998" s="13" t="n">
        <v>1</v>
      </c>
      <c r="J998" s="13" t="n">
        <v>0</v>
      </c>
      <c r="K998" s="13" t="s">
        <v>85</v>
      </c>
      <c r="L998" s="13" t="n">
        <v>4</v>
      </c>
      <c r="M998" s="13" t="n">
        <v>2048324.19</v>
      </c>
      <c r="N998" s="13" t="n">
        <v>512081.0475</v>
      </c>
      <c r="O998" s="13" t="n">
        <v>1555.2975</v>
      </c>
      <c r="P998" s="13" t="n">
        <v>1</v>
      </c>
      <c r="Q998" s="13" t="n">
        <v>3</v>
      </c>
      <c r="R998" s="13" t="s">
        <v>101</v>
      </c>
      <c r="S998" s="13" t="s">
        <v>152</v>
      </c>
      <c r="T998" s="13" t="n">
        <v>1</v>
      </c>
      <c r="U998" s="13" t="n">
        <f aca="false">IF(B998="Individual",1,0)</f>
        <v>1</v>
      </c>
      <c r="V998" s="13" t="n">
        <f aca="false">IF(B998="Company",1,0)</f>
        <v>0</v>
      </c>
      <c r="W998" s="13" t="n">
        <f aca="false">IF(H998="Home",1,0)</f>
        <v>0</v>
      </c>
      <c r="X998" s="13" t="n">
        <f aca="false">IF(H998="Investment",1,0)</f>
        <v>1</v>
      </c>
      <c r="Y998" s="13" t="n">
        <f aca="false">IF(K998="Website",1,0)</f>
        <v>1</v>
      </c>
      <c r="Z998" s="13" t="n">
        <f aca="false">IF(K998="Agency",1,0)</f>
        <v>0</v>
      </c>
      <c r="AA998" s="13" t="n">
        <f aca="false">IF(K998="Client",1,0)</f>
        <v>0</v>
      </c>
      <c r="AB998" s="13" t="n">
        <f aca="false">(D998-AVERAGE(D$2:D$2001))/STDEV(D$2:D$2001)</f>
        <v>0.511062342991484</v>
      </c>
      <c r="AC998" s="13" t="n">
        <f aca="false">(I998-AVERAGE(I$2:I$2001))/STDEV(I$2:I$2001)</f>
        <v>-1.43538077576244</v>
      </c>
      <c r="AD998" s="13" t="n">
        <f aca="false">(L998-AVERAGE(L$2:L$2001))/STDEV(L$2:L$2001)</f>
        <v>0.413838214490712</v>
      </c>
      <c r="AE998" s="13" t="n">
        <f aca="false">(M998-AVERAGE(M$2:M$2001))/STDEV(M$2:M$2001)</f>
        <v>2.26532272527163</v>
      </c>
      <c r="AF998" s="13" t="n">
        <f aca="false">(N998-AVERAGE(N$2:N$2001))/STDEV(N$2:N$2001)</f>
        <v>2.36641968523213</v>
      </c>
      <c r="AG998" s="13" t="n">
        <f aca="false">(O998-AVERAGE(O$2:O$2001))/STDEV(O$2:O$2001)</f>
        <v>1.8543699291784</v>
      </c>
      <c r="AH998" s="0" t="str">
        <f aca="false">IF(B998="Company","C3 - Corporate Buyers",IF(AND(H998="Investment",M998&gt;'Segmentation Summary'!$C$1),"C1 - Global Investors",IF(AND(I998&gt;=4,M998&gt;'Segmentation Summary'!$C$1),"C4 - Luxury Investors",IF(AND(D998&lt;'Segmentation Summary'!$C$2,J998=1),"C2 - First-Time Buyers","C5 - Other Individual Buyers"))))</f>
        <v>C1 - Global Investors</v>
      </c>
    </row>
    <row r="999" customFormat="false" ht="15" hidden="false" customHeight="true" outlineLevel="0" collapsed="false">
      <c r="A999" s="13" t="s">
        <v>2031</v>
      </c>
      <c r="B999" s="13" t="s">
        <v>34</v>
      </c>
      <c r="C999" s="13" t="s">
        <v>2032</v>
      </c>
      <c r="D999" s="13" t="n">
        <v>65</v>
      </c>
      <c r="E999" s="13" t="s">
        <v>90</v>
      </c>
      <c r="F999" s="13" t="s">
        <v>33</v>
      </c>
      <c r="G999" s="13" t="s">
        <v>95</v>
      </c>
      <c r="H999" s="13" t="s">
        <v>43</v>
      </c>
      <c r="I999" s="13" t="n">
        <v>3</v>
      </c>
      <c r="J999" s="13" t="n">
        <v>1</v>
      </c>
      <c r="K999" s="13" t="s">
        <v>85</v>
      </c>
      <c r="L999" s="13" t="n">
        <v>3</v>
      </c>
      <c r="M999" s="13" t="n">
        <v>1407630.29</v>
      </c>
      <c r="N999" s="13" t="n">
        <v>469210.096666667</v>
      </c>
      <c r="O999" s="13" t="n">
        <v>1563.97333333333</v>
      </c>
      <c r="P999" s="13" t="n">
        <v>1</v>
      </c>
      <c r="Q999" s="13" t="n">
        <v>2</v>
      </c>
      <c r="R999" s="13" t="s">
        <v>92</v>
      </c>
      <c r="S999" s="13" t="s">
        <v>124</v>
      </c>
      <c r="T999" s="13" t="n">
        <v>1</v>
      </c>
      <c r="U999" s="13" t="n">
        <f aca="false">IF(B999="Individual",1,0)</f>
        <v>1</v>
      </c>
      <c r="V999" s="13" t="n">
        <f aca="false">IF(B999="Company",1,0)</f>
        <v>0</v>
      </c>
      <c r="W999" s="13" t="n">
        <f aca="false">IF(H999="Home",1,0)</f>
        <v>0</v>
      </c>
      <c r="X999" s="13" t="n">
        <f aca="false">IF(H999="Investment",1,0)</f>
        <v>1</v>
      </c>
      <c r="Y999" s="13" t="n">
        <f aca="false">IF(K999="Website",1,0)</f>
        <v>1</v>
      </c>
      <c r="Z999" s="13" t="n">
        <f aca="false">IF(K999="Agency",1,0)</f>
        <v>0</v>
      </c>
      <c r="AA999" s="13" t="n">
        <f aca="false">IF(K999="Client",1,0)</f>
        <v>0</v>
      </c>
      <c r="AB999" s="13" t="n">
        <f aca="false">(D999-AVERAGE(D$2:D$2001))/STDEV(D$2:D$2001)</f>
        <v>0.626387253967787</v>
      </c>
      <c r="AC999" s="13" t="n">
        <f aca="false">(I999-AVERAGE(I$2:I$2001))/STDEV(I$2:I$2001)</f>
        <v>-0.0205155458339628</v>
      </c>
      <c r="AD999" s="13" t="n">
        <f aca="false">(L999-AVERAGE(L$2:L$2001))/STDEV(L$2:L$2001)</f>
        <v>-0.777063122173208</v>
      </c>
      <c r="AE999" s="13" t="n">
        <f aca="false">(M999-AVERAGE(M$2:M$2001))/STDEV(M$2:M$2001)</f>
        <v>0.423352005646317</v>
      </c>
      <c r="AF999" s="13" t="n">
        <f aca="false">(N999-AVERAGE(N$2:N$2001))/STDEV(N$2:N$2001)</f>
        <v>1.7515339906542</v>
      </c>
      <c r="AG999" s="13" t="n">
        <f aca="false">(O999-AVERAGE(O$2:O$2001))/STDEV(O$2:O$2001)</f>
        <v>1.89381941662422</v>
      </c>
      <c r="AH999" s="0" t="str">
        <f aca="false">IF(B999="Company","C3 - Corporate Buyers",IF(AND(H999="Investment",M999&gt;'Segmentation Summary'!$C$1),"C1 - Global Investors",IF(AND(I999&gt;=4,M999&gt;'Segmentation Summary'!$C$1),"C4 - Luxury Investors",IF(AND(D999&lt;'Segmentation Summary'!$C$2,J999=1),"C2 - First-Time Buyers","C5 - Other Individual Buyers"))))</f>
        <v>C1 - Global Investors</v>
      </c>
    </row>
    <row r="1000" customFormat="false" ht="15" hidden="false" customHeight="true" outlineLevel="0" collapsed="false">
      <c r="A1000" s="13" t="s">
        <v>2033</v>
      </c>
      <c r="B1000" s="13" t="s">
        <v>34</v>
      </c>
      <c r="C1000" s="13" t="s">
        <v>2034</v>
      </c>
      <c r="D1000" s="13" t="n">
        <v>33</v>
      </c>
      <c r="E1000" s="13" t="s">
        <v>90</v>
      </c>
      <c r="F1000" s="13" t="s">
        <v>33</v>
      </c>
      <c r="G1000" s="13" t="s">
        <v>106</v>
      </c>
      <c r="H1000" s="13" t="s">
        <v>41</v>
      </c>
      <c r="I1000" s="13" t="n">
        <v>5</v>
      </c>
      <c r="J1000" s="13" t="n">
        <v>0</v>
      </c>
      <c r="K1000" s="13" t="s">
        <v>85</v>
      </c>
      <c r="L1000" s="13" t="n">
        <v>4</v>
      </c>
      <c r="M1000" s="13" t="n">
        <v>1576272.71</v>
      </c>
      <c r="N1000" s="13" t="n">
        <v>394068.1775</v>
      </c>
      <c r="O1000" s="13" t="n">
        <v>1295.0975</v>
      </c>
      <c r="P1000" s="13" t="n">
        <v>1</v>
      </c>
      <c r="Q1000" s="13" t="n">
        <v>3</v>
      </c>
      <c r="R1000" s="13" t="s">
        <v>111</v>
      </c>
      <c r="S1000" s="13" t="s">
        <v>164</v>
      </c>
      <c r="T1000" s="13" t="n">
        <v>1</v>
      </c>
      <c r="U1000" s="13" t="n">
        <f aca="false">IF(B1000="Individual",1,0)</f>
        <v>1</v>
      </c>
      <c r="V1000" s="13" t="n">
        <f aca="false">IF(B1000="Company",1,0)</f>
        <v>0</v>
      </c>
      <c r="W1000" s="13" t="n">
        <f aca="false">IF(H1000="Home",1,0)</f>
        <v>1</v>
      </c>
      <c r="X1000" s="13" t="n">
        <f aca="false">IF(H1000="Investment",1,0)</f>
        <v>0</v>
      </c>
      <c r="Y1000" s="13" t="n">
        <f aca="false">IF(K1000="Website",1,0)</f>
        <v>1</v>
      </c>
      <c r="Z1000" s="13" t="n">
        <f aca="false">IF(K1000="Agency",1,0)</f>
        <v>0</v>
      </c>
      <c r="AA1000" s="13" t="n">
        <f aca="false">IF(K1000="Client",1,0)</f>
        <v>0</v>
      </c>
      <c r="AB1000" s="13" t="n">
        <f aca="false">(D1000-AVERAGE(D$2:D$2001))/STDEV(D$2:D$2001)</f>
        <v>-1.21881132165305</v>
      </c>
      <c r="AC1000" s="13" t="n">
        <f aca="false">(I1000-AVERAGE(I$2:I$2001))/STDEV(I$2:I$2001)</f>
        <v>1.39434968409451</v>
      </c>
      <c r="AD1000" s="13" t="n">
        <f aca="false">(L1000-AVERAGE(L$2:L$2001))/STDEV(L$2:L$2001)</f>
        <v>0.413838214490712</v>
      </c>
      <c r="AE1000" s="13" t="n">
        <f aca="false">(M1000-AVERAGE(M$2:M$2001))/STDEV(M$2:M$2001)</f>
        <v>0.908192581975753</v>
      </c>
      <c r="AF1000" s="13" t="n">
        <f aca="false">(N1000-AVERAGE(N$2:N$2001))/STDEV(N$2:N$2001)</f>
        <v>0.673795096120745</v>
      </c>
      <c r="AG1000" s="13" t="n">
        <f aca="false">(O1000-AVERAGE(O$2:O$2001))/STDEV(O$2:O$2001)</f>
        <v>0.671226334894646</v>
      </c>
      <c r="AH1000" s="0" t="str">
        <f aca="false">IF(B1000="Company","C3 - Corporate Buyers",IF(AND(H1000="Investment",M1000&gt;'Segmentation Summary'!$C$1),"C1 - Global Investors",IF(AND(I1000&gt;=4,M1000&gt;'Segmentation Summary'!$C$1),"C4 - Luxury Investors",IF(AND(D1000&lt;'Segmentation Summary'!$C$2,J1000=1),"C2 - First-Time Buyers","C5 - Other Individual Buyers"))))</f>
        <v>C4 - Luxury Investors</v>
      </c>
    </row>
    <row r="1001" customFormat="false" ht="15" hidden="false" customHeight="true" outlineLevel="0" collapsed="false">
      <c r="A1001" s="13" t="s">
        <v>2035</v>
      </c>
      <c r="B1001" s="13" t="s">
        <v>34</v>
      </c>
      <c r="C1001" s="13" t="s">
        <v>2036</v>
      </c>
      <c r="D1001" s="13" t="n">
        <v>86</v>
      </c>
      <c r="E1001" s="13" t="s">
        <v>83</v>
      </c>
      <c r="F1001" s="13" t="s">
        <v>33</v>
      </c>
      <c r="G1001" s="13" t="s">
        <v>157</v>
      </c>
      <c r="H1001" s="13" t="s">
        <v>43</v>
      </c>
      <c r="I1001" s="13" t="n">
        <v>3</v>
      </c>
      <c r="J1001" s="13" t="n">
        <v>0</v>
      </c>
      <c r="K1001" s="13" t="s">
        <v>85</v>
      </c>
      <c r="L1001" s="13" t="n">
        <v>6</v>
      </c>
      <c r="M1001" s="13" t="n">
        <v>1928172.72</v>
      </c>
      <c r="N1001" s="13" t="n">
        <v>321362.12</v>
      </c>
      <c r="O1001" s="13" t="n">
        <v>1028.86</v>
      </c>
      <c r="P1001" s="13" t="n">
        <v>0</v>
      </c>
      <c r="Q1001" s="13" t="n">
        <v>6</v>
      </c>
      <c r="R1001" s="13" t="s">
        <v>117</v>
      </c>
      <c r="S1001" s="13" t="s">
        <v>152</v>
      </c>
      <c r="T1001" s="13" t="n">
        <v>1</v>
      </c>
      <c r="U1001" s="13" t="n">
        <f aca="false">IF(B1001="Individual",1,0)</f>
        <v>1</v>
      </c>
      <c r="V1001" s="13" t="n">
        <f aca="false">IF(B1001="Company",1,0)</f>
        <v>0</v>
      </c>
      <c r="W1001" s="13" t="n">
        <f aca="false">IF(H1001="Home",1,0)</f>
        <v>0</v>
      </c>
      <c r="X1001" s="13" t="n">
        <f aca="false">IF(H1001="Investment",1,0)</f>
        <v>1</v>
      </c>
      <c r="Y1001" s="13" t="n">
        <f aca="false">IF(K1001="Website",1,0)</f>
        <v>1</v>
      </c>
      <c r="Z1001" s="13" t="n">
        <f aca="false">IF(K1001="Agency",1,0)</f>
        <v>0</v>
      </c>
      <c r="AA1001" s="13" t="n">
        <f aca="false">IF(K1001="Client",1,0)</f>
        <v>0</v>
      </c>
      <c r="AB1001" s="13" t="n">
        <f aca="false">(D1001-AVERAGE(D$2:D$2001))/STDEV(D$2:D$2001)</f>
        <v>1.83729881921896</v>
      </c>
      <c r="AC1001" s="13" t="n">
        <f aca="false">(I1001-AVERAGE(I$2:I$2001))/STDEV(I$2:I$2001)</f>
        <v>-0.0205155458339628</v>
      </c>
      <c r="AD1001" s="13" t="n">
        <f aca="false">(L1001-AVERAGE(L$2:L$2001))/STDEV(L$2:L$2001)</f>
        <v>2.79564088781855</v>
      </c>
      <c r="AE1001" s="13" t="n">
        <f aca="false">(M1001-AVERAGE(M$2:M$2001))/STDEV(M$2:M$2001)</f>
        <v>1.91989179536901</v>
      </c>
      <c r="AF1001" s="13" t="n">
        <f aca="false">(N1001-AVERAGE(N$2:N$2001))/STDEV(N$2:N$2001)</f>
        <v>-0.369006936418977</v>
      </c>
      <c r="AG1001" s="13" t="n">
        <f aca="false">(O1001-AVERAGE(O$2:O$2001))/STDEV(O$2:O$2001)</f>
        <v>-0.53937010124341</v>
      </c>
      <c r="AH1001" s="0" t="str">
        <f aca="false">IF(B1001="Company","C3 - Corporate Buyers",IF(AND(H1001="Investment",M1001&gt;'Segmentation Summary'!$C$1),"C1 - Global Investors",IF(AND(I1001&gt;=4,M1001&gt;'Segmentation Summary'!$C$1),"C4 - Luxury Investors",IF(AND(D1001&lt;'Segmentation Summary'!$C$2,J1001=1),"C2 - First-Time Buyers","C5 - Other Individual Buyers"))))</f>
        <v>C1 - Global Investors</v>
      </c>
    </row>
    <row r="1002" customFormat="false" ht="15" hidden="false" customHeight="true" outlineLevel="0" collapsed="false">
      <c r="A1002" s="13" t="s">
        <v>2037</v>
      </c>
      <c r="B1002" s="13" t="s">
        <v>34</v>
      </c>
      <c r="C1002" s="13" t="s">
        <v>2038</v>
      </c>
      <c r="D1002" s="13" t="n">
        <v>61</v>
      </c>
      <c r="E1002" s="13" t="s">
        <v>90</v>
      </c>
      <c r="F1002" s="13" t="s">
        <v>33</v>
      </c>
      <c r="G1002" s="13" t="s">
        <v>157</v>
      </c>
      <c r="H1002" s="13" t="s">
        <v>41</v>
      </c>
      <c r="I1002" s="13" t="n">
        <v>1</v>
      </c>
      <c r="J1002" s="13" t="n">
        <v>0</v>
      </c>
      <c r="K1002" s="13" t="s">
        <v>91</v>
      </c>
      <c r="L1002" s="13" t="n">
        <v>3</v>
      </c>
      <c r="M1002" s="13" t="n">
        <v>862552.54</v>
      </c>
      <c r="N1002" s="13" t="n">
        <v>287517.513333333</v>
      </c>
      <c r="O1002" s="13" t="n">
        <v>883.746666666667</v>
      </c>
      <c r="P1002" s="13" t="n">
        <v>0</v>
      </c>
      <c r="Q1002" s="13" t="n">
        <v>3</v>
      </c>
      <c r="R1002" s="13" t="s">
        <v>117</v>
      </c>
      <c r="S1002" s="13" t="s">
        <v>93</v>
      </c>
      <c r="T1002" s="13" t="n">
        <v>1</v>
      </c>
      <c r="U1002" s="13" t="n">
        <f aca="false">IF(B1002="Individual",1,0)</f>
        <v>1</v>
      </c>
      <c r="V1002" s="13" t="n">
        <f aca="false">IF(B1002="Company",1,0)</f>
        <v>0</v>
      </c>
      <c r="W1002" s="13" t="n">
        <f aca="false">IF(H1002="Home",1,0)</f>
        <v>1</v>
      </c>
      <c r="X1002" s="13" t="n">
        <f aca="false">IF(H1002="Investment",1,0)</f>
        <v>0</v>
      </c>
      <c r="Y1002" s="13" t="n">
        <f aca="false">IF(K1002="Website",1,0)</f>
        <v>0</v>
      </c>
      <c r="Z1002" s="13" t="n">
        <f aca="false">IF(K1002="Agency",1,0)</f>
        <v>1</v>
      </c>
      <c r="AA1002" s="13" t="n">
        <f aca="false">IF(K1002="Client",1,0)</f>
        <v>0</v>
      </c>
      <c r="AB1002" s="13" t="n">
        <f aca="false">(D1002-AVERAGE(D$2:D$2001))/STDEV(D$2:D$2001)</f>
        <v>0.395737432015182</v>
      </c>
      <c r="AC1002" s="13" t="n">
        <f aca="false">(I1002-AVERAGE(I$2:I$2001))/STDEV(I$2:I$2001)</f>
        <v>-1.43538077576244</v>
      </c>
      <c r="AD1002" s="13" t="n">
        <f aca="false">(L1002-AVERAGE(L$2:L$2001))/STDEV(L$2:L$2001)</f>
        <v>-0.777063122173208</v>
      </c>
      <c r="AE1002" s="13" t="n">
        <f aca="false">(M1002-AVERAGE(M$2:M$2001))/STDEV(M$2:M$2001)</f>
        <v>-1.14372590069749</v>
      </c>
      <c r="AF1002" s="13" t="n">
        <f aca="false">(N1002-AVERAGE(N$2:N$2001))/STDEV(N$2:N$2001)</f>
        <v>-0.854430377547081</v>
      </c>
      <c r="AG1002" s="13" t="n">
        <f aca="false">(O1002-AVERAGE(O$2:O$2001))/STDEV(O$2:O$2001)</f>
        <v>-1.19920834405085</v>
      </c>
      <c r="AH1002" s="0" t="str">
        <f aca="false">IF(B1002="Company","C3 - Corporate Buyers",IF(AND(H1002="Investment",M1002&gt;'Segmentation Summary'!$C$1),"C1 - Global Investors",IF(AND(I1002&gt;=4,M1002&gt;'Segmentation Summary'!$C$1),"C4 - Luxury Investors",IF(AND(D1002&lt;'Segmentation Summary'!$C$2,J1002=1),"C2 - First-Time Buyers","C5 - Other Individual Buyers"))))</f>
        <v>C5 - Other Individual Buyers</v>
      </c>
    </row>
    <row r="1003" customFormat="false" ht="15" hidden="false" customHeight="true" outlineLevel="0" collapsed="false">
      <c r="A1003" s="13" t="s">
        <v>2039</v>
      </c>
      <c r="B1003" s="13" t="s">
        <v>34</v>
      </c>
      <c r="C1003" s="13" t="s">
        <v>2040</v>
      </c>
      <c r="D1003" s="13" t="n">
        <v>34</v>
      </c>
      <c r="E1003" s="13" t="s">
        <v>90</v>
      </c>
      <c r="F1003" s="13" t="s">
        <v>45</v>
      </c>
      <c r="G1003" s="13" t="s">
        <v>405</v>
      </c>
      <c r="H1003" s="13" t="s">
        <v>41</v>
      </c>
      <c r="I1003" s="13" t="n">
        <v>5</v>
      </c>
      <c r="J1003" s="13" t="n">
        <v>0</v>
      </c>
      <c r="K1003" s="13" t="s">
        <v>85</v>
      </c>
      <c r="L1003" s="13" t="n">
        <v>3</v>
      </c>
      <c r="M1003" s="13" t="n">
        <v>1171265.03</v>
      </c>
      <c r="N1003" s="13" t="n">
        <v>390421.676666667</v>
      </c>
      <c r="O1003" s="13" t="n">
        <v>1205.96333333333</v>
      </c>
      <c r="P1003" s="13" t="n">
        <v>1</v>
      </c>
      <c r="Q1003" s="13" t="n">
        <v>2</v>
      </c>
      <c r="R1003" s="13" t="s">
        <v>128</v>
      </c>
      <c r="S1003" s="13" t="s">
        <v>133</v>
      </c>
      <c r="T1003" s="13" t="n">
        <v>1</v>
      </c>
      <c r="U1003" s="13" t="n">
        <f aca="false">IF(B1003="Individual",1,0)</f>
        <v>1</v>
      </c>
      <c r="V1003" s="13" t="n">
        <f aca="false">IF(B1003="Company",1,0)</f>
        <v>0</v>
      </c>
      <c r="W1003" s="13" t="n">
        <f aca="false">IF(H1003="Home",1,0)</f>
        <v>1</v>
      </c>
      <c r="X1003" s="13" t="n">
        <f aca="false">IF(H1003="Investment",1,0)</f>
        <v>0</v>
      </c>
      <c r="Y1003" s="13" t="n">
        <f aca="false">IF(K1003="Website",1,0)</f>
        <v>1</v>
      </c>
      <c r="Z1003" s="13" t="n">
        <f aca="false">IF(K1003="Agency",1,0)</f>
        <v>0</v>
      </c>
      <c r="AA1003" s="13" t="n">
        <f aca="false">IF(K1003="Client",1,0)</f>
        <v>0</v>
      </c>
      <c r="AB1003" s="13" t="n">
        <f aca="false">(D1003-AVERAGE(D$2:D$2001))/STDEV(D$2:D$2001)</f>
        <v>-1.1611488661649</v>
      </c>
      <c r="AC1003" s="13" t="n">
        <f aca="false">(I1003-AVERAGE(I$2:I$2001))/STDEV(I$2:I$2001)</f>
        <v>1.39434968409451</v>
      </c>
      <c r="AD1003" s="13" t="n">
        <f aca="false">(L1003-AVERAGE(L$2:L$2001))/STDEV(L$2:L$2001)</f>
        <v>-0.777063122173208</v>
      </c>
      <c r="AE1003" s="13" t="n">
        <f aca="false">(M1003-AVERAGE(M$2:M$2001))/STDEV(M$2:M$2001)</f>
        <v>-0.256189173154705</v>
      </c>
      <c r="AF1003" s="13" t="n">
        <f aca="false">(N1003-AVERAGE(N$2:N$2001))/STDEV(N$2:N$2001)</f>
        <v>0.62149438540407</v>
      </c>
      <c r="AG1003" s="13" t="n">
        <f aca="false">(O1003-AVERAGE(O$2:O$2001))/STDEV(O$2:O$2001)</f>
        <v>0.265928416664471</v>
      </c>
      <c r="AH1003" s="0" t="str">
        <f aca="false">IF(B1003="Company","C3 - Corporate Buyers",IF(AND(H1003="Investment",M1003&gt;'Segmentation Summary'!$C$1),"C1 - Global Investors",IF(AND(I1003&gt;=4,M1003&gt;'Segmentation Summary'!$C$1),"C4 - Luxury Investors",IF(AND(D1003&lt;'Segmentation Summary'!$C$2,J1003=1),"C2 - First-Time Buyers","C5 - Other Individual Buyers"))))</f>
        <v>C5 - Other Individual Buyers</v>
      </c>
    </row>
    <row r="1004" customFormat="false" ht="15" hidden="false" customHeight="true" outlineLevel="0" collapsed="false">
      <c r="A1004" s="13" t="s">
        <v>2041</v>
      </c>
      <c r="B1004" s="13" t="s">
        <v>34</v>
      </c>
      <c r="C1004" s="13" t="s">
        <v>2042</v>
      </c>
      <c r="D1004" s="13" t="n">
        <v>31</v>
      </c>
      <c r="E1004" s="13" t="s">
        <v>90</v>
      </c>
      <c r="F1004" s="13" t="s">
        <v>33</v>
      </c>
      <c r="G1004" s="13" t="s">
        <v>95</v>
      </c>
      <c r="H1004" s="13" t="s">
        <v>41</v>
      </c>
      <c r="I1004" s="13" t="n">
        <v>3</v>
      </c>
      <c r="J1004" s="13" t="n">
        <v>0</v>
      </c>
      <c r="K1004" s="13" t="s">
        <v>91</v>
      </c>
      <c r="L1004" s="13" t="n">
        <v>4</v>
      </c>
      <c r="M1004" s="13" t="n">
        <v>1247287.09</v>
      </c>
      <c r="N1004" s="13" t="n">
        <v>311821.7725</v>
      </c>
      <c r="O1004" s="13" t="n">
        <v>1012.5575</v>
      </c>
      <c r="P1004" s="13" t="n">
        <v>1</v>
      </c>
      <c r="Q1004" s="13" t="n">
        <v>3</v>
      </c>
      <c r="R1004" s="13" t="s">
        <v>98</v>
      </c>
      <c r="S1004" s="13" t="s">
        <v>133</v>
      </c>
      <c r="T1004" s="13" t="n">
        <v>1</v>
      </c>
      <c r="U1004" s="13" t="n">
        <f aca="false">IF(B1004="Individual",1,0)</f>
        <v>1</v>
      </c>
      <c r="V1004" s="13" t="n">
        <f aca="false">IF(B1004="Company",1,0)</f>
        <v>0</v>
      </c>
      <c r="W1004" s="13" t="n">
        <f aca="false">IF(H1004="Home",1,0)</f>
        <v>1</v>
      </c>
      <c r="X1004" s="13" t="n">
        <f aca="false">IF(H1004="Investment",1,0)</f>
        <v>0</v>
      </c>
      <c r="Y1004" s="13" t="n">
        <f aca="false">IF(K1004="Website",1,0)</f>
        <v>0</v>
      </c>
      <c r="Z1004" s="13" t="n">
        <f aca="false">IF(K1004="Agency",1,0)</f>
        <v>1</v>
      </c>
      <c r="AA1004" s="13" t="n">
        <f aca="false">IF(K1004="Client",1,0)</f>
        <v>0</v>
      </c>
      <c r="AB1004" s="13" t="n">
        <f aca="false">(D1004-AVERAGE(D$2:D$2001))/STDEV(D$2:D$2001)</f>
        <v>-1.33413623262935</v>
      </c>
      <c r="AC1004" s="13" t="n">
        <f aca="false">(I1004-AVERAGE(I$2:I$2001))/STDEV(I$2:I$2001)</f>
        <v>-0.0205155458339628</v>
      </c>
      <c r="AD1004" s="13" t="n">
        <f aca="false">(L1004-AVERAGE(L$2:L$2001))/STDEV(L$2:L$2001)</f>
        <v>0.413838214490712</v>
      </c>
      <c r="AE1004" s="13" t="n">
        <f aca="false">(M1004-AVERAGE(M$2:M$2001))/STDEV(M$2:M$2001)</f>
        <v>-0.0376286272128775</v>
      </c>
      <c r="AF1004" s="13" t="n">
        <f aca="false">(N1004-AVERAGE(N$2:N$2001))/STDEV(N$2:N$2001)</f>
        <v>-0.505841391569227</v>
      </c>
      <c r="AG1004" s="13" t="n">
        <f aca="false">(O1004-AVERAGE(O$2:O$2001))/STDEV(O$2:O$2001)</f>
        <v>-0.613498458068202</v>
      </c>
      <c r="AH1004" s="0" t="str">
        <f aca="false">IF(B1004="Company","C3 - Corporate Buyers",IF(AND(H1004="Investment",M1004&gt;'Segmentation Summary'!$C$1),"C1 - Global Investors",IF(AND(I1004&gt;=4,M1004&gt;'Segmentation Summary'!$C$1),"C4 - Luxury Investors",IF(AND(D1004&lt;'Segmentation Summary'!$C$2,J1004=1),"C2 - First-Time Buyers","C5 - Other Individual Buyers"))))</f>
        <v>C5 - Other Individual Buyers</v>
      </c>
    </row>
    <row r="1005" customFormat="false" ht="15" hidden="false" customHeight="true" outlineLevel="0" collapsed="false">
      <c r="A1005" s="13" t="s">
        <v>2043</v>
      </c>
      <c r="B1005" s="13" t="s">
        <v>34</v>
      </c>
      <c r="C1005" s="13" t="s">
        <v>2044</v>
      </c>
      <c r="D1005" s="13" t="n">
        <v>45</v>
      </c>
      <c r="E1005" s="13" t="s">
        <v>90</v>
      </c>
      <c r="F1005" s="13" t="s">
        <v>46</v>
      </c>
      <c r="G1005" s="13" t="s">
        <v>359</v>
      </c>
      <c r="H1005" s="13" t="s">
        <v>43</v>
      </c>
      <c r="I1005" s="13" t="n">
        <v>1</v>
      </c>
      <c r="J1005" s="13" t="n">
        <v>0</v>
      </c>
      <c r="K1005" s="13" t="s">
        <v>91</v>
      </c>
      <c r="L1005" s="13" t="n">
        <v>4</v>
      </c>
      <c r="M1005" s="13" t="n">
        <v>1525849.55</v>
      </c>
      <c r="N1005" s="13" t="n">
        <v>381462.3875</v>
      </c>
      <c r="O1005" s="13" t="n">
        <v>1239.265</v>
      </c>
      <c r="P1005" s="13" t="n">
        <v>1</v>
      </c>
      <c r="Q1005" s="13" t="n">
        <v>3</v>
      </c>
      <c r="R1005" s="13" t="s">
        <v>101</v>
      </c>
      <c r="S1005" s="13" t="s">
        <v>114</v>
      </c>
      <c r="T1005" s="13" t="n">
        <v>1</v>
      </c>
      <c r="U1005" s="13" t="n">
        <f aca="false">IF(B1005="Individual",1,0)</f>
        <v>1</v>
      </c>
      <c r="V1005" s="13" t="n">
        <f aca="false">IF(B1005="Company",1,0)</f>
        <v>0</v>
      </c>
      <c r="W1005" s="13" t="n">
        <f aca="false">IF(H1005="Home",1,0)</f>
        <v>0</v>
      </c>
      <c r="X1005" s="13" t="n">
        <f aca="false">IF(H1005="Investment",1,0)</f>
        <v>1</v>
      </c>
      <c r="Y1005" s="13" t="n">
        <f aca="false">IF(K1005="Website",1,0)</f>
        <v>0</v>
      </c>
      <c r="Z1005" s="13" t="n">
        <f aca="false">IF(K1005="Agency",1,0)</f>
        <v>1</v>
      </c>
      <c r="AA1005" s="13" t="n">
        <f aca="false">IF(K1005="Client",1,0)</f>
        <v>0</v>
      </c>
      <c r="AB1005" s="13" t="n">
        <f aca="false">(D1005-AVERAGE(D$2:D$2001))/STDEV(D$2:D$2001)</f>
        <v>-0.526861855795238</v>
      </c>
      <c r="AC1005" s="13" t="n">
        <f aca="false">(I1005-AVERAGE(I$2:I$2001))/STDEV(I$2:I$2001)</f>
        <v>-1.43538077576244</v>
      </c>
      <c r="AD1005" s="13" t="n">
        <f aca="false">(L1005-AVERAGE(L$2:L$2001))/STDEV(L$2:L$2001)</f>
        <v>0.413838214490712</v>
      </c>
      <c r="AE1005" s="13" t="n">
        <f aca="false">(M1005-AVERAGE(M$2:M$2001))/STDEV(M$2:M$2001)</f>
        <v>0.763227904910805</v>
      </c>
      <c r="AF1005" s="13" t="n">
        <f aca="false">(N1005-AVERAGE(N$2:N$2001))/STDEV(N$2:N$2001)</f>
        <v>0.492993882497398</v>
      </c>
      <c r="AG1005" s="13" t="n">
        <f aca="false">(O1005-AVERAGE(O$2:O$2001))/STDEV(O$2:O$2001)</f>
        <v>0.417352911651572</v>
      </c>
      <c r="AH1005" s="0" t="str">
        <f aca="false">IF(B1005="Company","C3 - Corporate Buyers",IF(AND(H1005="Investment",M1005&gt;'Segmentation Summary'!$C$1),"C1 - Global Investors",IF(AND(I1005&gt;=4,M1005&gt;'Segmentation Summary'!$C$1),"C4 - Luxury Investors",IF(AND(D1005&lt;'Segmentation Summary'!$C$2,J1005=1),"C2 - First-Time Buyers","C5 - Other Individual Buyers"))))</f>
        <v>C1 - Global Investors</v>
      </c>
    </row>
    <row r="1006" customFormat="false" ht="15" hidden="false" customHeight="true" outlineLevel="0" collapsed="false">
      <c r="A1006" s="13" t="s">
        <v>2045</v>
      </c>
      <c r="B1006" s="13" t="s">
        <v>34</v>
      </c>
      <c r="C1006" s="13" t="s">
        <v>2046</v>
      </c>
      <c r="D1006" s="13" t="n">
        <v>34</v>
      </c>
      <c r="E1006" s="13" t="s">
        <v>90</v>
      </c>
      <c r="F1006" s="13" t="s">
        <v>33</v>
      </c>
      <c r="G1006" s="13" t="s">
        <v>157</v>
      </c>
      <c r="H1006" s="13" t="s">
        <v>41</v>
      </c>
      <c r="I1006" s="13" t="n">
        <v>5</v>
      </c>
      <c r="J1006" s="13" t="n">
        <v>1</v>
      </c>
      <c r="K1006" s="13" t="s">
        <v>91</v>
      </c>
      <c r="L1006" s="13" t="n">
        <v>3</v>
      </c>
      <c r="M1006" s="13" t="n">
        <v>881179.3</v>
      </c>
      <c r="N1006" s="13" t="n">
        <v>293726.433333333</v>
      </c>
      <c r="O1006" s="13" t="n">
        <v>851.87</v>
      </c>
      <c r="P1006" s="13" t="n">
        <v>1</v>
      </c>
      <c r="Q1006" s="13" t="n">
        <v>2</v>
      </c>
      <c r="R1006" s="13" t="s">
        <v>92</v>
      </c>
      <c r="S1006" s="13" t="s">
        <v>125</v>
      </c>
      <c r="T1006" s="13" t="n">
        <v>1</v>
      </c>
      <c r="U1006" s="13" t="n">
        <f aca="false">IF(B1006="Individual",1,0)</f>
        <v>1</v>
      </c>
      <c r="V1006" s="13" t="n">
        <f aca="false">IF(B1006="Company",1,0)</f>
        <v>0</v>
      </c>
      <c r="W1006" s="13" t="n">
        <f aca="false">IF(H1006="Home",1,0)</f>
        <v>1</v>
      </c>
      <c r="X1006" s="13" t="n">
        <f aca="false">IF(H1006="Investment",1,0)</f>
        <v>0</v>
      </c>
      <c r="Y1006" s="13" t="n">
        <f aca="false">IF(K1006="Website",1,0)</f>
        <v>0</v>
      </c>
      <c r="Z1006" s="13" t="n">
        <f aca="false">IF(K1006="Agency",1,0)</f>
        <v>1</v>
      </c>
      <c r="AA1006" s="13" t="n">
        <f aca="false">IF(K1006="Client",1,0)</f>
        <v>0</v>
      </c>
      <c r="AB1006" s="13" t="n">
        <f aca="false">(D1006-AVERAGE(D$2:D$2001))/STDEV(D$2:D$2001)</f>
        <v>-1.1611488661649</v>
      </c>
      <c r="AC1006" s="13" t="n">
        <f aca="false">(I1006-AVERAGE(I$2:I$2001))/STDEV(I$2:I$2001)</f>
        <v>1.39434968409451</v>
      </c>
      <c r="AD1006" s="13" t="n">
        <f aca="false">(L1006-AVERAGE(L$2:L$2001))/STDEV(L$2:L$2001)</f>
        <v>-0.777063122173208</v>
      </c>
      <c r="AE1006" s="13" t="n">
        <f aca="false">(M1006-AVERAGE(M$2:M$2001))/STDEV(M$2:M$2001)</f>
        <v>-1.09017467050552</v>
      </c>
      <c r="AF1006" s="13" t="n">
        <f aca="false">(N1006-AVERAGE(N$2:N$2001))/STDEV(N$2:N$2001)</f>
        <v>-0.765377627081599</v>
      </c>
      <c r="AG1006" s="13" t="n">
        <f aca="false">(O1006-AVERAGE(O$2:O$2001))/STDEV(O$2:O$2001)</f>
        <v>-1.34415328630214</v>
      </c>
      <c r="AH1006" s="0" t="str">
        <f aca="false">IF(B1006="Company","C3 - Corporate Buyers",IF(AND(H1006="Investment",M1006&gt;'Segmentation Summary'!$C$1),"C1 - Global Investors",IF(AND(I1006&gt;=4,M1006&gt;'Segmentation Summary'!$C$1),"C4 - Luxury Investors",IF(AND(D1006&lt;'Segmentation Summary'!$C$2,J1006=1),"C2 - First-Time Buyers","C5 - Other Individual Buyers"))))</f>
        <v>C2 - First-Time Buyers</v>
      </c>
    </row>
    <row r="1007" customFormat="false" ht="15" hidden="false" customHeight="true" outlineLevel="0" collapsed="false">
      <c r="A1007" s="13" t="s">
        <v>2047</v>
      </c>
      <c r="B1007" s="13" t="s">
        <v>34</v>
      </c>
      <c r="C1007" s="13" t="s">
        <v>2048</v>
      </c>
      <c r="D1007" s="13" t="n">
        <v>82</v>
      </c>
      <c r="E1007" s="13" t="s">
        <v>90</v>
      </c>
      <c r="F1007" s="13" t="s">
        <v>33</v>
      </c>
      <c r="G1007" s="13" t="s">
        <v>207</v>
      </c>
      <c r="H1007" s="13" t="s">
        <v>41</v>
      </c>
      <c r="I1007" s="13" t="n">
        <v>2</v>
      </c>
      <c r="J1007" s="13" t="n">
        <v>1</v>
      </c>
      <c r="K1007" s="13" t="s">
        <v>85</v>
      </c>
      <c r="L1007" s="13" t="n">
        <v>3</v>
      </c>
      <c r="M1007" s="13" t="n">
        <v>955054.18</v>
      </c>
      <c r="N1007" s="13" t="n">
        <v>318351.393333333</v>
      </c>
      <c r="O1007" s="13" t="n">
        <v>1072.48333333333</v>
      </c>
      <c r="P1007" s="13" t="n">
        <v>0</v>
      </c>
      <c r="Q1007" s="13" t="n">
        <v>3</v>
      </c>
      <c r="R1007" s="13" t="s">
        <v>86</v>
      </c>
      <c r="S1007" s="13" t="s">
        <v>114</v>
      </c>
      <c r="T1007" s="13" t="n">
        <v>1</v>
      </c>
      <c r="U1007" s="13" t="n">
        <f aca="false">IF(B1007="Individual",1,0)</f>
        <v>1</v>
      </c>
      <c r="V1007" s="13" t="n">
        <f aca="false">IF(B1007="Company",1,0)</f>
        <v>0</v>
      </c>
      <c r="W1007" s="13" t="n">
        <f aca="false">IF(H1007="Home",1,0)</f>
        <v>1</v>
      </c>
      <c r="X1007" s="13" t="n">
        <f aca="false">IF(H1007="Investment",1,0)</f>
        <v>0</v>
      </c>
      <c r="Y1007" s="13" t="n">
        <f aca="false">IF(K1007="Website",1,0)</f>
        <v>1</v>
      </c>
      <c r="Z1007" s="13" t="n">
        <f aca="false">IF(K1007="Agency",1,0)</f>
        <v>0</v>
      </c>
      <c r="AA1007" s="13" t="n">
        <f aca="false">IF(K1007="Client",1,0)</f>
        <v>0</v>
      </c>
      <c r="AB1007" s="13" t="n">
        <f aca="false">(D1007-AVERAGE(D$2:D$2001))/STDEV(D$2:D$2001)</f>
        <v>1.60664899726636</v>
      </c>
      <c r="AC1007" s="13" t="n">
        <f aca="false">(I1007-AVERAGE(I$2:I$2001))/STDEV(I$2:I$2001)</f>
        <v>-0.727948160798201</v>
      </c>
      <c r="AD1007" s="13" t="n">
        <f aca="false">(L1007-AVERAGE(L$2:L$2001))/STDEV(L$2:L$2001)</f>
        <v>-0.777063122173208</v>
      </c>
      <c r="AE1007" s="13" t="n">
        <f aca="false">(M1007-AVERAGE(M$2:M$2001))/STDEV(M$2:M$2001)</f>
        <v>-0.877787185817696</v>
      </c>
      <c r="AF1007" s="13" t="n">
        <f aca="false">(N1007-AVERAGE(N$2:N$2001))/STDEV(N$2:N$2001)</f>
        <v>-0.412188921460896</v>
      </c>
      <c r="AG1007" s="13" t="n">
        <f aca="false">(O1007-AVERAGE(O$2:O$2001))/STDEV(O$2:O$2001)</f>
        <v>-0.341012424861263</v>
      </c>
      <c r="AH1007" s="0" t="str">
        <f aca="false">IF(B1007="Company","C3 - Corporate Buyers",IF(AND(H1007="Investment",M1007&gt;'Segmentation Summary'!$C$1),"C1 - Global Investors",IF(AND(I1007&gt;=4,M1007&gt;'Segmentation Summary'!$C$1),"C4 - Luxury Investors",IF(AND(D1007&lt;'Segmentation Summary'!$C$2,J1007=1),"C2 - First-Time Buyers","C5 - Other Individual Buyers"))))</f>
        <v>C5 - Other Individual Buyers</v>
      </c>
    </row>
    <row r="1008" customFormat="false" ht="15" hidden="false" customHeight="true" outlineLevel="0" collapsed="false">
      <c r="A1008" s="13" t="s">
        <v>2049</v>
      </c>
      <c r="B1008" s="13" t="s">
        <v>34</v>
      </c>
      <c r="C1008" s="13" t="s">
        <v>2050</v>
      </c>
      <c r="D1008" s="13" t="n">
        <v>33</v>
      </c>
      <c r="E1008" s="13" t="s">
        <v>90</v>
      </c>
      <c r="F1008" s="13" t="s">
        <v>33</v>
      </c>
      <c r="G1008" s="13" t="s">
        <v>95</v>
      </c>
      <c r="H1008" s="13" t="s">
        <v>41</v>
      </c>
      <c r="I1008" s="13" t="n">
        <v>1</v>
      </c>
      <c r="J1008" s="13" t="n">
        <v>0</v>
      </c>
      <c r="K1008" s="13" t="s">
        <v>85</v>
      </c>
      <c r="L1008" s="13" t="n">
        <v>4</v>
      </c>
      <c r="M1008" s="13" t="n">
        <v>1402631.76</v>
      </c>
      <c r="N1008" s="13" t="n">
        <v>350657.94</v>
      </c>
      <c r="O1008" s="13" t="n">
        <v>1008.6625</v>
      </c>
      <c r="P1008" s="13" t="n">
        <v>0</v>
      </c>
      <c r="Q1008" s="13" t="n">
        <v>4</v>
      </c>
      <c r="R1008" s="13" t="s">
        <v>92</v>
      </c>
      <c r="S1008" s="13" t="s">
        <v>125</v>
      </c>
      <c r="T1008" s="13" t="n">
        <v>1</v>
      </c>
      <c r="U1008" s="13" t="n">
        <f aca="false">IF(B1008="Individual",1,0)</f>
        <v>1</v>
      </c>
      <c r="V1008" s="13" t="n">
        <f aca="false">IF(B1008="Company",1,0)</f>
        <v>0</v>
      </c>
      <c r="W1008" s="13" t="n">
        <f aca="false">IF(H1008="Home",1,0)</f>
        <v>1</v>
      </c>
      <c r="X1008" s="13" t="n">
        <f aca="false">IF(H1008="Investment",1,0)</f>
        <v>0</v>
      </c>
      <c r="Y1008" s="13" t="n">
        <f aca="false">IF(K1008="Website",1,0)</f>
        <v>1</v>
      </c>
      <c r="Z1008" s="13" t="n">
        <f aca="false">IF(K1008="Agency",1,0)</f>
        <v>0</v>
      </c>
      <c r="AA1008" s="13" t="n">
        <f aca="false">IF(K1008="Client",1,0)</f>
        <v>0</v>
      </c>
      <c r="AB1008" s="13" t="n">
        <f aca="false">(D1008-AVERAGE(D$2:D$2001))/STDEV(D$2:D$2001)</f>
        <v>-1.21881132165305</v>
      </c>
      <c r="AC1008" s="13" t="n">
        <f aca="false">(I1008-AVERAGE(I$2:I$2001))/STDEV(I$2:I$2001)</f>
        <v>-1.43538077576244</v>
      </c>
      <c r="AD1008" s="13" t="n">
        <f aca="false">(L1008-AVERAGE(L$2:L$2001))/STDEV(L$2:L$2001)</f>
        <v>0.413838214490712</v>
      </c>
      <c r="AE1008" s="13" t="n">
        <f aca="false">(M1008-AVERAGE(M$2:M$2001))/STDEV(M$2:M$2001)</f>
        <v>0.408981421033027</v>
      </c>
      <c r="AF1008" s="13" t="n">
        <f aca="false">(N1008-AVERAGE(N$2:N$2001))/STDEV(N$2:N$2001)</f>
        <v>0.051174568277765</v>
      </c>
      <c r="AG1008" s="13" t="n">
        <f aca="false">(O1008-AVERAGE(O$2:O$2001))/STDEV(O$2:O$2001)</f>
        <v>-0.631209235546047</v>
      </c>
      <c r="AH1008" s="0" t="str">
        <f aca="false">IF(B1008="Company","C3 - Corporate Buyers",IF(AND(H1008="Investment",M1008&gt;'Segmentation Summary'!$C$1),"C1 - Global Investors",IF(AND(I1008&gt;=4,M1008&gt;'Segmentation Summary'!$C$1),"C4 - Luxury Investors",IF(AND(D1008&lt;'Segmentation Summary'!$C$2,J1008=1),"C2 - First-Time Buyers","C5 - Other Individual Buyers"))))</f>
        <v>C5 - Other Individual Buyers</v>
      </c>
    </row>
    <row r="1009" customFormat="false" ht="15" hidden="false" customHeight="true" outlineLevel="0" collapsed="false">
      <c r="A1009" s="13" t="s">
        <v>2051</v>
      </c>
      <c r="B1009" s="13" t="s">
        <v>34</v>
      </c>
      <c r="C1009" s="13" t="s">
        <v>2052</v>
      </c>
      <c r="D1009" s="13" t="n">
        <v>26</v>
      </c>
      <c r="E1009" s="13" t="s">
        <v>90</v>
      </c>
      <c r="F1009" s="13" t="s">
        <v>33</v>
      </c>
      <c r="G1009" s="13" t="s">
        <v>95</v>
      </c>
      <c r="H1009" s="13" t="s">
        <v>41</v>
      </c>
      <c r="I1009" s="13" t="n">
        <v>5</v>
      </c>
      <c r="J1009" s="13" t="n">
        <v>1</v>
      </c>
      <c r="K1009" s="13" t="s">
        <v>116</v>
      </c>
      <c r="L1009" s="13" t="n">
        <v>4</v>
      </c>
      <c r="M1009" s="13" t="n">
        <v>1319939.53</v>
      </c>
      <c r="N1009" s="13" t="n">
        <v>329984.8825</v>
      </c>
      <c r="O1009" s="13" t="n">
        <v>1053.27</v>
      </c>
      <c r="P1009" s="13" t="n">
        <v>0</v>
      </c>
      <c r="Q1009" s="13" t="n">
        <v>4</v>
      </c>
      <c r="R1009" s="13" t="s">
        <v>92</v>
      </c>
      <c r="S1009" s="13" t="s">
        <v>112</v>
      </c>
      <c r="T1009" s="13" t="n">
        <v>1</v>
      </c>
      <c r="U1009" s="13" t="n">
        <f aca="false">IF(B1009="Individual",1,0)</f>
        <v>1</v>
      </c>
      <c r="V1009" s="13" t="n">
        <f aca="false">IF(B1009="Company",1,0)</f>
        <v>0</v>
      </c>
      <c r="W1009" s="13" t="n">
        <f aca="false">IF(H1009="Home",1,0)</f>
        <v>1</v>
      </c>
      <c r="X1009" s="13" t="n">
        <f aca="false">IF(H1009="Investment",1,0)</f>
        <v>0</v>
      </c>
      <c r="Y1009" s="13" t="n">
        <f aca="false">IF(K1009="Website",1,0)</f>
        <v>0</v>
      </c>
      <c r="Z1009" s="13" t="n">
        <f aca="false">IF(K1009="Agency",1,0)</f>
        <v>0</v>
      </c>
      <c r="AA1009" s="13" t="n">
        <f aca="false">IF(K1009="Client",1,0)</f>
        <v>1</v>
      </c>
      <c r="AB1009" s="13" t="n">
        <f aca="false">(D1009-AVERAGE(D$2:D$2001))/STDEV(D$2:D$2001)</f>
        <v>-1.62244851007011</v>
      </c>
      <c r="AC1009" s="13" t="n">
        <f aca="false">(I1009-AVERAGE(I$2:I$2001))/STDEV(I$2:I$2001)</f>
        <v>1.39434968409451</v>
      </c>
      <c r="AD1009" s="13" t="n">
        <f aca="false">(L1009-AVERAGE(L$2:L$2001))/STDEV(L$2:L$2001)</f>
        <v>0.413838214490712</v>
      </c>
      <c r="AE1009" s="13" t="n">
        <f aca="false">(M1009-AVERAGE(M$2:M$2001))/STDEV(M$2:M$2001)</f>
        <v>0.171244388730204</v>
      </c>
      <c r="AF1009" s="13" t="n">
        <f aca="false">(N1009-AVERAGE(N$2:N$2001))/STDEV(N$2:N$2001)</f>
        <v>-0.245333138522463</v>
      </c>
      <c r="AG1009" s="13" t="n">
        <f aca="false">(O1009-AVERAGE(O$2:O$2001))/STDEV(O$2:O$2001)</f>
        <v>-0.428376499642847</v>
      </c>
      <c r="AH1009" s="0" t="str">
        <f aca="false">IF(B1009="Company","C3 - Corporate Buyers",IF(AND(H1009="Investment",M1009&gt;'Segmentation Summary'!$C$1),"C1 - Global Investors",IF(AND(I1009&gt;=4,M1009&gt;'Segmentation Summary'!$C$1),"C4 - Luxury Investors",IF(AND(D1009&lt;'Segmentation Summary'!$C$2,J1009=1),"C2 - First-Time Buyers","C5 - Other Individual Buyers"))))</f>
        <v>C4 - Luxury Investors</v>
      </c>
    </row>
    <row r="1010" customFormat="false" ht="15" hidden="false" customHeight="true" outlineLevel="0" collapsed="false">
      <c r="A1010" s="13" t="s">
        <v>2053</v>
      </c>
      <c r="B1010" s="13" t="s">
        <v>34</v>
      </c>
      <c r="C1010" s="13" t="s">
        <v>2054</v>
      </c>
      <c r="D1010" s="13" t="n">
        <v>77</v>
      </c>
      <c r="E1010" s="13" t="s">
        <v>90</v>
      </c>
      <c r="F1010" s="13" t="s">
        <v>33</v>
      </c>
      <c r="G1010" s="13" t="s">
        <v>265</v>
      </c>
      <c r="H1010" s="13" t="s">
        <v>41</v>
      </c>
      <c r="I1010" s="13" t="n">
        <v>2</v>
      </c>
      <c r="J1010" s="13" t="n">
        <v>1</v>
      </c>
      <c r="K1010" s="13" t="s">
        <v>85</v>
      </c>
      <c r="L1010" s="13" t="n">
        <v>3</v>
      </c>
      <c r="M1010" s="13" t="n">
        <v>753145.67</v>
      </c>
      <c r="N1010" s="13" t="n">
        <v>251048.556666667</v>
      </c>
      <c r="O1010" s="13" t="n">
        <v>862.87</v>
      </c>
      <c r="P1010" s="13" t="n">
        <v>1</v>
      </c>
      <c r="Q1010" s="13" t="n">
        <v>2</v>
      </c>
      <c r="R1010" s="13" t="s">
        <v>150</v>
      </c>
      <c r="S1010" s="13" t="s">
        <v>152</v>
      </c>
      <c r="T1010" s="13" t="n">
        <v>1</v>
      </c>
      <c r="U1010" s="13" t="n">
        <f aca="false">IF(B1010="Individual",1,0)</f>
        <v>1</v>
      </c>
      <c r="V1010" s="13" t="n">
        <f aca="false">IF(B1010="Company",1,0)</f>
        <v>0</v>
      </c>
      <c r="W1010" s="13" t="n">
        <f aca="false">IF(H1010="Home",1,0)</f>
        <v>1</v>
      </c>
      <c r="X1010" s="13" t="n">
        <f aca="false">IF(H1010="Investment",1,0)</f>
        <v>0</v>
      </c>
      <c r="Y1010" s="13" t="n">
        <f aca="false">IF(K1010="Website",1,0)</f>
        <v>1</v>
      </c>
      <c r="Z1010" s="13" t="n">
        <f aca="false">IF(K1010="Agency",1,0)</f>
        <v>0</v>
      </c>
      <c r="AA1010" s="13" t="n">
        <f aca="false">IF(K1010="Client",1,0)</f>
        <v>0</v>
      </c>
      <c r="AB1010" s="13" t="n">
        <f aca="false">(D1010-AVERAGE(D$2:D$2001))/STDEV(D$2:D$2001)</f>
        <v>1.3183367198256</v>
      </c>
      <c r="AC1010" s="13" t="n">
        <f aca="false">(I1010-AVERAGE(I$2:I$2001))/STDEV(I$2:I$2001)</f>
        <v>-0.727948160798201</v>
      </c>
      <c r="AD1010" s="13" t="n">
        <f aca="false">(L1010-AVERAGE(L$2:L$2001))/STDEV(L$2:L$2001)</f>
        <v>-0.777063122173208</v>
      </c>
      <c r="AE1010" s="13" t="n">
        <f aca="false">(M1010-AVERAGE(M$2:M$2001))/STDEV(M$2:M$2001)</f>
        <v>-1.4582665121593</v>
      </c>
      <c r="AF1010" s="13" t="n">
        <f aca="false">(N1010-AVERAGE(N$2:N$2001))/STDEV(N$2:N$2001)</f>
        <v>-1.37749411452116</v>
      </c>
      <c r="AG1010" s="13" t="n">
        <f aca="false">(O1010-AVERAGE(O$2:O$2001))/STDEV(O$2:O$2001)</f>
        <v>-1.29413568623634</v>
      </c>
      <c r="AH1010" s="0" t="str">
        <f aca="false">IF(B1010="Company","C3 - Corporate Buyers",IF(AND(H1010="Investment",M1010&gt;'Segmentation Summary'!$C$1),"C1 - Global Investors",IF(AND(I1010&gt;=4,M1010&gt;'Segmentation Summary'!$C$1),"C4 - Luxury Investors",IF(AND(D1010&lt;'Segmentation Summary'!$C$2,J1010=1),"C2 - First-Time Buyers","C5 - Other Individual Buyers"))))</f>
        <v>C5 - Other Individual Buyers</v>
      </c>
    </row>
    <row r="1011" customFormat="false" ht="15" hidden="false" customHeight="true" outlineLevel="0" collapsed="false">
      <c r="A1011" s="13" t="s">
        <v>2055</v>
      </c>
      <c r="B1011" s="13" t="s">
        <v>34</v>
      </c>
      <c r="C1011" s="13" t="s">
        <v>2056</v>
      </c>
      <c r="D1011" s="13" t="n">
        <v>58</v>
      </c>
      <c r="E1011" s="13" t="s">
        <v>90</v>
      </c>
      <c r="F1011" s="13" t="s">
        <v>35</v>
      </c>
      <c r="G1011" s="13" t="s">
        <v>185</v>
      </c>
      <c r="H1011" s="13" t="s">
        <v>41</v>
      </c>
      <c r="I1011" s="13" t="n">
        <v>5</v>
      </c>
      <c r="J1011" s="13" t="n">
        <v>0</v>
      </c>
      <c r="K1011" s="13" t="s">
        <v>85</v>
      </c>
      <c r="L1011" s="13" t="n">
        <v>4</v>
      </c>
      <c r="M1011" s="13" t="n">
        <v>1683720.2</v>
      </c>
      <c r="N1011" s="13" t="n">
        <v>420930.05</v>
      </c>
      <c r="O1011" s="13" t="n">
        <v>1267.07</v>
      </c>
      <c r="P1011" s="13" t="n">
        <v>1</v>
      </c>
      <c r="Q1011" s="13" t="n">
        <v>3</v>
      </c>
      <c r="R1011" s="13" t="s">
        <v>92</v>
      </c>
      <c r="S1011" s="13" t="s">
        <v>107</v>
      </c>
      <c r="T1011" s="13" t="n">
        <v>1</v>
      </c>
      <c r="U1011" s="13" t="n">
        <f aca="false">IF(B1011="Individual",1,0)</f>
        <v>1</v>
      </c>
      <c r="V1011" s="13" t="n">
        <f aca="false">IF(B1011="Company",1,0)</f>
        <v>0</v>
      </c>
      <c r="W1011" s="13" t="n">
        <f aca="false">IF(H1011="Home",1,0)</f>
        <v>1</v>
      </c>
      <c r="X1011" s="13" t="n">
        <f aca="false">IF(H1011="Investment",1,0)</f>
        <v>0</v>
      </c>
      <c r="Y1011" s="13" t="n">
        <f aca="false">IF(K1011="Website",1,0)</f>
        <v>1</v>
      </c>
      <c r="Z1011" s="13" t="n">
        <f aca="false">IF(K1011="Agency",1,0)</f>
        <v>0</v>
      </c>
      <c r="AA1011" s="13" t="n">
        <f aca="false">IF(K1011="Client",1,0)</f>
        <v>0</v>
      </c>
      <c r="AB1011" s="13" t="n">
        <f aca="false">(D1011-AVERAGE(D$2:D$2001))/STDEV(D$2:D$2001)</f>
        <v>0.222750065550728</v>
      </c>
      <c r="AC1011" s="13" t="n">
        <f aca="false">(I1011-AVERAGE(I$2:I$2001))/STDEV(I$2:I$2001)</f>
        <v>1.39434968409451</v>
      </c>
      <c r="AD1011" s="13" t="n">
        <f aca="false">(L1011-AVERAGE(L$2:L$2001))/STDEV(L$2:L$2001)</f>
        <v>0.413838214490712</v>
      </c>
      <c r="AE1011" s="13" t="n">
        <f aca="false">(M1011-AVERAGE(M$2:M$2001))/STDEV(M$2:M$2001)</f>
        <v>1.2171000500775</v>
      </c>
      <c r="AF1011" s="13" t="n">
        <f aca="false">(N1011-AVERAGE(N$2:N$2001))/STDEV(N$2:N$2001)</f>
        <v>1.05906719316469</v>
      </c>
      <c r="AG1011" s="13" t="n">
        <f aca="false">(O1011-AVERAGE(O$2:O$2001))/STDEV(O$2:O$2001)</f>
        <v>0.543783763454261</v>
      </c>
      <c r="AH1011" s="0" t="str">
        <f aca="false">IF(B1011="Company","C3 - Corporate Buyers",IF(AND(H1011="Investment",M1011&gt;'Segmentation Summary'!$C$1),"C1 - Global Investors",IF(AND(I1011&gt;=4,M1011&gt;'Segmentation Summary'!$C$1),"C4 - Luxury Investors",IF(AND(D1011&lt;'Segmentation Summary'!$C$2,J1011=1),"C2 - First-Time Buyers","C5 - Other Individual Buyers"))))</f>
        <v>C4 - Luxury Investors</v>
      </c>
    </row>
    <row r="1012" customFormat="false" ht="15" hidden="false" customHeight="true" outlineLevel="0" collapsed="false">
      <c r="A1012" s="13" t="s">
        <v>2057</v>
      </c>
      <c r="B1012" s="13" t="s">
        <v>34</v>
      </c>
      <c r="C1012" s="13" t="s">
        <v>2058</v>
      </c>
      <c r="D1012" s="13" t="n">
        <v>69</v>
      </c>
      <c r="E1012" s="13" t="s">
        <v>90</v>
      </c>
      <c r="F1012" s="13" t="s">
        <v>33</v>
      </c>
      <c r="G1012" s="13" t="s">
        <v>95</v>
      </c>
      <c r="H1012" s="13" t="s">
        <v>43</v>
      </c>
      <c r="I1012" s="13" t="n">
        <v>2</v>
      </c>
      <c r="J1012" s="13" t="n">
        <v>0</v>
      </c>
      <c r="K1012" s="13" t="s">
        <v>85</v>
      </c>
      <c r="L1012" s="13" t="n">
        <v>3</v>
      </c>
      <c r="M1012" s="13" t="n">
        <v>941360.29</v>
      </c>
      <c r="N1012" s="13" t="n">
        <v>313786.763333333</v>
      </c>
      <c r="O1012" s="13" t="n">
        <v>972.053333333333</v>
      </c>
      <c r="P1012" s="13" t="n">
        <v>1</v>
      </c>
      <c r="Q1012" s="13" t="n">
        <v>2</v>
      </c>
      <c r="R1012" s="13" t="s">
        <v>117</v>
      </c>
      <c r="S1012" s="13" t="s">
        <v>135</v>
      </c>
      <c r="T1012" s="13" t="n">
        <v>1</v>
      </c>
      <c r="U1012" s="13" t="n">
        <f aca="false">IF(B1012="Individual",1,0)</f>
        <v>1</v>
      </c>
      <c r="V1012" s="13" t="n">
        <f aca="false">IF(B1012="Company",1,0)</f>
        <v>0</v>
      </c>
      <c r="W1012" s="13" t="n">
        <f aca="false">IF(H1012="Home",1,0)</f>
        <v>0</v>
      </c>
      <c r="X1012" s="13" t="n">
        <f aca="false">IF(H1012="Investment",1,0)</f>
        <v>1</v>
      </c>
      <c r="Y1012" s="13" t="n">
        <f aca="false">IF(K1012="Website",1,0)</f>
        <v>1</v>
      </c>
      <c r="Z1012" s="13" t="n">
        <f aca="false">IF(K1012="Agency",1,0)</f>
        <v>0</v>
      </c>
      <c r="AA1012" s="13" t="n">
        <f aca="false">IF(K1012="Client",1,0)</f>
        <v>0</v>
      </c>
      <c r="AB1012" s="13" t="n">
        <f aca="false">(D1012-AVERAGE(D$2:D$2001))/STDEV(D$2:D$2001)</f>
        <v>0.857037075920391</v>
      </c>
      <c r="AC1012" s="13" t="n">
        <f aca="false">(I1012-AVERAGE(I$2:I$2001))/STDEV(I$2:I$2001)</f>
        <v>-0.727948160798201</v>
      </c>
      <c r="AD1012" s="13" t="n">
        <f aca="false">(L1012-AVERAGE(L$2:L$2001))/STDEV(L$2:L$2001)</f>
        <v>-0.777063122173208</v>
      </c>
      <c r="AE1012" s="13" t="n">
        <f aca="false">(M1012-AVERAGE(M$2:M$2001))/STDEV(M$2:M$2001)</f>
        <v>-0.917156601411897</v>
      </c>
      <c r="AF1012" s="13" t="n">
        <f aca="false">(N1012-AVERAGE(N$2:N$2001))/STDEV(N$2:N$2001)</f>
        <v>-0.477658094257011</v>
      </c>
      <c r="AG1012" s="13" t="n">
        <f aca="false">(O1012-AVERAGE(O$2:O$2001))/STDEV(O$2:O$2001)</f>
        <v>-0.79767311346201</v>
      </c>
      <c r="AH1012" s="0" t="str">
        <f aca="false">IF(B1012="Company","C3 - Corporate Buyers",IF(AND(H1012="Investment",M1012&gt;'Segmentation Summary'!$C$1),"C1 - Global Investors",IF(AND(I1012&gt;=4,M1012&gt;'Segmentation Summary'!$C$1),"C4 - Luxury Investors",IF(AND(D1012&lt;'Segmentation Summary'!$C$2,J1012=1),"C2 - First-Time Buyers","C5 - Other Individual Buyers"))))</f>
        <v>C5 - Other Individual Buyers</v>
      </c>
    </row>
    <row r="1013" customFormat="false" ht="15" hidden="false" customHeight="true" outlineLevel="0" collapsed="false">
      <c r="A1013" s="13" t="s">
        <v>2059</v>
      </c>
      <c r="B1013" s="13" t="s">
        <v>34</v>
      </c>
      <c r="C1013" s="13" t="s">
        <v>2060</v>
      </c>
      <c r="D1013" s="13" t="n">
        <v>52</v>
      </c>
      <c r="E1013" s="13" t="s">
        <v>90</v>
      </c>
      <c r="F1013" s="13" t="s">
        <v>33</v>
      </c>
      <c r="G1013" s="13" t="s">
        <v>162</v>
      </c>
      <c r="H1013" s="13" t="s">
        <v>41</v>
      </c>
      <c r="I1013" s="13" t="n">
        <v>3</v>
      </c>
      <c r="J1013" s="13" t="n">
        <v>0</v>
      </c>
      <c r="K1013" s="13" t="s">
        <v>91</v>
      </c>
      <c r="L1013" s="13" t="n">
        <v>4</v>
      </c>
      <c r="M1013" s="13" t="n">
        <v>1426501.12</v>
      </c>
      <c r="N1013" s="13" t="n">
        <v>356625.28</v>
      </c>
      <c r="O1013" s="13" t="n">
        <v>1153.0825</v>
      </c>
      <c r="P1013" s="13" t="n">
        <v>1</v>
      </c>
      <c r="Q1013" s="13" t="n">
        <v>3</v>
      </c>
      <c r="R1013" s="13" t="s">
        <v>98</v>
      </c>
      <c r="S1013" s="13" t="s">
        <v>87</v>
      </c>
      <c r="T1013" s="13" t="n">
        <v>1</v>
      </c>
      <c r="U1013" s="13" t="n">
        <f aca="false">IF(B1013="Individual",1,0)</f>
        <v>1</v>
      </c>
      <c r="V1013" s="13" t="n">
        <f aca="false">IF(B1013="Company",1,0)</f>
        <v>0</v>
      </c>
      <c r="W1013" s="13" t="n">
        <f aca="false">IF(H1013="Home",1,0)</f>
        <v>1</v>
      </c>
      <c r="X1013" s="13" t="n">
        <f aca="false">IF(H1013="Investment",1,0)</f>
        <v>0</v>
      </c>
      <c r="Y1013" s="13" t="n">
        <f aca="false">IF(K1013="Website",1,0)</f>
        <v>0</v>
      </c>
      <c r="Z1013" s="13" t="n">
        <f aca="false">IF(K1013="Agency",1,0)</f>
        <v>1</v>
      </c>
      <c r="AA1013" s="13" t="n">
        <f aca="false">IF(K1013="Client",1,0)</f>
        <v>0</v>
      </c>
      <c r="AB1013" s="13" t="n">
        <f aca="false">(D1013-AVERAGE(D$2:D$2001))/STDEV(D$2:D$2001)</f>
        <v>-0.123224667378179</v>
      </c>
      <c r="AC1013" s="13" t="n">
        <f aca="false">(I1013-AVERAGE(I$2:I$2001))/STDEV(I$2:I$2001)</f>
        <v>-0.0205155458339628</v>
      </c>
      <c r="AD1013" s="13" t="n">
        <f aca="false">(L1013-AVERAGE(L$2:L$2001))/STDEV(L$2:L$2001)</f>
        <v>0.413838214490712</v>
      </c>
      <c r="AE1013" s="13" t="n">
        <f aca="false">(M1013-AVERAGE(M$2:M$2001))/STDEV(M$2:M$2001)</f>
        <v>0.477604927853048</v>
      </c>
      <c r="AF1013" s="13" t="n">
        <f aca="false">(N1013-AVERAGE(N$2:N$2001))/STDEV(N$2:N$2001)</f>
        <v>0.1367624064143</v>
      </c>
      <c r="AG1013" s="13" t="n">
        <f aca="false">(O1013-AVERAGE(O$2:O$2001))/STDEV(O$2:O$2001)</f>
        <v>0.0254763827724015</v>
      </c>
      <c r="AH1013" s="0" t="str">
        <f aca="false">IF(B1013="Company","C3 - Corporate Buyers",IF(AND(H1013="Investment",M1013&gt;'Segmentation Summary'!$C$1),"C1 - Global Investors",IF(AND(I1013&gt;=4,M1013&gt;'Segmentation Summary'!$C$1),"C4 - Luxury Investors",IF(AND(D1013&lt;'Segmentation Summary'!$C$2,J1013=1),"C2 - First-Time Buyers","C5 - Other Individual Buyers"))))</f>
        <v>C5 - Other Individual Buyers</v>
      </c>
    </row>
    <row r="1014" customFormat="false" ht="15" hidden="false" customHeight="true" outlineLevel="0" collapsed="false">
      <c r="A1014" s="13" t="s">
        <v>2061</v>
      </c>
      <c r="B1014" s="13" t="s">
        <v>34</v>
      </c>
      <c r="C1014" s="13" t="s">
        <v>2062</v>
      </c>
      <c r="D1014" s="13" t="n">
        <v>60</v>
      </c>
      <c r="E1014" s="13" t="s">
        <v>90</v>
      </c>
      <c r="F1014" s="13" t="s">
        <v>33</v>
      </c>
      <c r="G1014" s="13" t="s">
        <v>95</v>
      </c>
      <c r="H1014" s="13" t="s">
        <v>41</v>
      </c>
      <c r="I1014" s="13" t="n">
        <v>2</v>
      </c>
      <c r="J1014" s="13" t="n">
        <v>0</v>
      </c>
      <c r="K1014" s="13" t="s">
        <v>85</v>
      </c>
      <c r="L1014" s="13" t="n">
        <v>3</v>
      </c>
      <c r="M1014" s="13" t="n">
        <v>674363.74</v>
      </c>
      <c r="N1014" s="13" t="n">
        <v>224787.913333333</v>
      </c>
      <c r="O1014" s="13" t="n">
        <v>706.726666666667</v>
      </c>
      <c r="P1014" s="13" t="n">
        <v>0</v>
      </c>
      <c r="Q1014" s="13" t="n">
        <v>3</v>
      </c>
      <c r="R1014" s="13" t="s">
        <v>86</v>
      </c>
      <c r="S1014" s="13" t="s">
        <v>152</v>
      </c>
      <c r="T1014" s="13" t="n">
        <v>1</v>
      </c>
      <c r="U1014" s="13" t="n">
        <f aca="false">IF(B1014="Individual",1,0)</f>
        <v>1</v>
      </c>
      <c r="V1014" s="13" t="n">
        <f aca="false">IF(B1014="Company",1,0)</f>
        <v>0</v>
      </c>
      <c r="W1014" s="13" t="n">
        <f aca="false">IF(H1014="Home",1,0)</f>
        <v>1</v>
      </c>
      <c r="X1014" s="13" t="n">
        <f aca="false">IF(H1014="Investment",1,0)</f>
        <v>0</v>
      </c>
      <c r="Y1014" s="13" t="n">
        <f aca="false">IF(K1014="Website",1,0)</f>
        <v>1</v>
      </c>
      <c r="Z1014" s="13" t="n">
        <f aca="false">IF(K1014="Agency",1,0)</f>
        <v>0</v>
      </c>
      <c r="AA1014" s="13" t="n">
        <f aca="false">IF(K1014="Client",1,0)</f>
        <v>0</v>
      </c>
      <c r="AB1014" s="13" t="n">
        <f aca="false">(D1014-AVERAGE(D$2:D$2001))/STDEV(D$2:D$2001)</f>
        <v>0.338074976527031</v>
      </c>
      <c r="AC1014" s="13" t="n">
        <f aca="false">(I1014-AVERAGE(I$2:I$2001))/STDEV(I$2:I$2001)</f>
        <v>-0.727948160798201</v>
      </c>
      <c r="AD1014" s="13" t="n">
        <f aca="false">(L1014-AVERAGE(L$2:L$2001))/STDEV(L$2:L$2001)</f>
        <v>-0.777063122173208</v>
      </c>
      <c r="AE1014" s="13" t="n">
        <f aca="false">(M1014-AVERAGE(M$2:M$2001))/STDEV(M$2:M$2001)</f>
        <v>-1.68476157992188</v>
      </c>
      <c r="AF1014" s="13" t="n">
        <f aca="false">(N1014-AVERAGE(N$2:N$2001))/STDEV(N$2:N$2001)</f>
        <v>-1.75414295487124</v>
      </c>
      <c r="AG1014" s="13" t="n">
        <f aca="false">(O1014-AVERAGE(O$2:O$2001))/STDEV(O$2:O$2001)</f>
        <v>-2.00412794074613</v>
      </c>
      <c r="AH1014" s="0" t="str">
        <f aca="false">IF(B1014="Company","C3 - Corporate Buyers",IF(AND(H1014="Investment",M1014&gt;'Segmentation Summary'!$C$1),"C1 - Global Investors",IF(AND(I1014&gt;=4,M1014&gt;'Segmentation Summary'!$C$1),"C4 - Luxury Investors",IF(AND(D1014&lt;'Segmentation Summary'!$C$2,J1014=1),"C2 - First-Time Buyers","C5 - Other Individual Buyers"))))</f>
        <v>C5 - Other Individual Buyers</v>
      </c>
    </row>
    <row r="1015" customFormat="false" ht="15" hidden="false" customHeight="true" outlineLevel="0" collapsed="false">
      <c r="A1015" s="13" t="s">
        <v>2063</v>
      </c>
      <c r="B1015" s="13" t="s">
        <v>34</v>
      </c>
      <c r="C1015" s="13" t="s">
        <v>2064</v>
      </c>
      <c r="D1015" s="13" t="n">
        <v>49</v>
      </c>
      <c r="E1015" s="13" t="s">
        <v>83</v>
      </c>
      <c r="F1015" s="13" t="s">
        <v>33</v>
      </c>
      <c r="G1015" s="13" t="s">
        <v>95</v>
      </c>
      <c r="H1015" s="13" t="s">
        <v>43</v>
      </c>
      <c r="I1015" s="13" t="n">
        <v>5</v>
      </c>
      <c r="J1015" s="13" t="n">
        <v>0</v>
      </c>
      <c r="K1015" s="13" t="s">
        <v>91</v>
      </c>
      <c r="L1015" s="13" t="n">
        <v>5</v>
      </c>
      <c r="M1015" s="13" t="n">
        <v>1820832.35</v>
      </c>
      <c r="N1015" s="13" t="n">
        <v>364166.47</v>
      </c>
      <c r="O1015" s="13" t="n">
        <v>1305.644</v>
      </c>
      <c r="P1015" s="13" t="n">
        <v>1</v>
      </c>
      <c r="Q1015" s="13" t="n">
        <v>4</v>
      </c>
      <c r="R1015" s="13" t="s">
        <v>215</v>
      </c>
      <c r="S1015" s="13" t="s">
        <v>135</v>
      </c>
      <c r="T1015" s="13" t="n">
        <v>1</v>
      </c>
      <c r="U1015" s="13" t="n">
        <f aca="false">IF(B1015="Individual",1,0)</f>
        <v>1</v>
      </c>
      <c r="V1015" s="13" t="n">
        <f aca="false">IF(B1015="Company",1,0)</f>
        <v>0</v>
      </c>
      <c r="W1015" s="13" t="n">
        <f aca="false">IF(H1015="Home",1,0)</f>
        <v>0</v>
      </c>
      <c r="X1015" s="13" t="n">
        <f aca="false">IF(H1015="Investment",1,0)</f>
        <v>1</v>
      </c>
      <c r="Y1015" s="13" t="n">
        <f aca="false">IF(K1015="Website",1,0)</f>
        <v>0</v>
      </c>
      <c r="Z1015" s="13" t="n">
        <f aca="false">IF(K1015="Agency",1,0)</f>
        <v>1</v>
      </c>
      <c r="AA1015" s="13" t="n">
        <f aca="false">IF(K1015="Client",1,0)</f>
        <v>0</v>
      </c>
      <c r="AB1015" s="13" t="n">
        <f aca="false">(D1015-AVERAGE(D$2:D$2001))/STDEV(D$2:D$2001)</f>
        <v>-0.296212033842633</v>
      </c>
      <c r="AC1015" s="13" t="n">
        <f aca="false">(I1015-AVERAGE(I$2:I$2001))/STDEV(I$2:I$2001)</f>
        <v>1.39434968409451</v>
      </c>
      <c r="AD1015" s="13" t="n">
        <f aca="false">(L1015-AVERAGE(L$2:L$2001))/STDEV(L$2:L$2001)</f>
        <v>1.60473955115463</v>
      </c>
      <c r="AE1015" s="13" t="n">
        <f aca="false">(M1015-AVERAGE(M$2:M$2001))/STDEV(M$2:M$2001)</f>
        <v>1.611292293214</v>
      </c>
      <c r="AF1015" s="13" t="n">
        <f aca="false">(N1015-AVERAGE(N$2:N$2001))/STDEV(N$2:N$2001)</f>
        <v>0.244923521597422</v>
      </c>
      <c r="AG1015" s="13" t="n">
        <f aca="false">(O1015-AVERAGE(O$2:O$2001))/STDEV(O$2:O$2001)</f>
        <v>0.71918184572137</v>
      </c>
      <c r="AH1015" s="0" t="str">
        <f aca="false">IF(B1015="Company","C3 - Corporate Buyers",IF(AND(H1015="Investment",M1015&gt;'Segmentation Summary'!$C$1),"C1 - Global Investors",IF(AND(I1015&gt;=4,M1015&gt;'Segmentation Summary'!$C$1),"C4 - Luxury Investors",IF(AND(D1015&lt;'Segmentation Summary'!$C$2,J1015=1),"C2 - First-Time Buyers","C5 - Other Individual Buyers"))))</f>
        <v>C1 - Global Investors</v>
      </c>
    </row>
    <row r="1016" customFormat="false" ht="15" hidden="false" customHeight="true" outlineLevel="0" collapsed="false">
      <c r="A1016" s="13" t="s">
        <v>2065</v>
      </c>
      <c r="B1016" s="13" t="s">
        <v>34</v>
      </c>
      <c r="C1016" s="13" t="s">
        <v>2066</v>
      </c>
      <c r="D1016" s="13" t="n">
        <v>66</v>
      </c>
      <c r="E1016" s="13" t="s">
        <v>83</v>
      </c>
      <c r="F1016" s="13" t="s">
        <v>33</v>
      </c>
      <c r="G1016" s="13" t="s">
        <v>95</v>
      </c>
      <c r="H1016" s="13" t="s">
        <v>43</v>
      </c>
      <c r="I1016" s="13" t="n">
        <v>2</v>
      </c>
      <c r="J1016" s="13" t="n">
        <v>0</v>
      </c>
      <c r="K1016" s="13" t="s">
        <v>85</v>
      </c>
      <c r="L1016" s="13" t="n">
        <v>4</v>
      </c>
      <c r="M1016" s="13" t="n">
        <v>1135189.16</v>
      </c>
      <c r="N1016" s="13" t="n">
        <v>283797.29</v>
      </c>
      <c r="O1016" s="13" t="n">
        <v>928.1775</v>
      </c>
      <c r="P1016" s="13" t="n">
        <v>1</v>
      </c>
      <c r="Q1016" s="13" t="n">
        <v>3</v>
      </c>
      <c r="R1016" s="13" t="s">
        <v>121</v>
      </c>
      <c r="S1016" s="13" t="s">
        <v>112</v>
      </c>
      <c r="T1016" s="13" t="n">
        <v>1</v>
      </c>
      <c r="U1016" s="13" t="n">
        <f aca="false">IF(B1016="Individual",1,0)</f>
        <v>1</v>
      </c>
      <c r="V1016" s="13" t="n">
        <f aca="false">IF(B1016="Company",1,0)</f>
        <v>0</v>
      </c>
      <c r="W1016" s="13" t="n">
        <f aca="false">IF(H1016="Home",1,0)</f>
        <v>0</v>
      </c>
      <c r="X1016" s="13" t="n">
        <f aca="false">IF(H1016="Investment",1,0)</f>
        <v>1</v>
      </c>
      <c r="Y1016" s="13" t="n">
        <f aca="false">IF(K1016="Website",1,0)</f>
        <v>1</v>
      </c>
      <c r="Z1016" s="13" t="n">
        <f aca="false">IF(K1016="Agency",1,0)</f>
        <v>0</v>
      </c>
      <c r="AA1016" s="13" t="n">
        <f aca="false">IF(K1016="Client",1,0)</f>
        <v>0</v>
      </c>
      <c r="AB1016" s="13" t="n">
        <f aca="false">(D1016-AVERAGE(D$2:D$2001))/STDEV(D$2:D$2001)</f>
        <v>0.684049709455938</v>
      </c>
      <c r="AC1016" s="13" t="n">
        <f aca="false">(I1016-AVERAGE(I$2:I$2001))/STDEV(I$2:I$2001)</f>
        <v>-0.727948160798201</v>
      </c>
      <c r="AD1016" s="13" t="n">
        <f aca="false">(L1016-AVERAGE(L$2:L$2001))/STDEV(L$2:L$2001)</f>
        <v>0.413838214490712</v>
      </c>
      <c r="AE1016" s="13" t="n">
        <f aca="false">(M1016-AVERAGE(M$2:M$2001))/STDEV(M$2:M$2001)</f>
        <v>-0.359905934349106</v>
      </c>
      <c r="AF1016" s="13" t="n">
        <f aca="false">(N1016-AVERAGE(N$2:N$2001))/STDEV(N$2:N$2001)</f>
        <v>-0.907788468838187</v>
      </c>
      <c r="AG1016" s="13" t="n">
        <f aca="false">(O1016-AVERAGE(O$2:O$2001))/STDEV(O$2:O$2001)</f>
        <v>-0.997178921118407</v>
      </c>
      <c r="AH1016" s="0" t="str">
        <f aca="false">IF(B1016="Company","C3 - Corporate Buyers",IF(AND(H1016="Investment",M1016&gt;'Segmentation Summary'!$C$1),"C1 - Global Investors",IF(AND(I1016&gt;=4,M1016&gt;'Segmentation Summary'!$C$1),"C4 - Luxury Investors",IF(AND(D1016&lt;'Segmentation Summary'!$C$2,J1016=1),"C2 - First-Time Buyers","C5 - Other Individual Buyers"))))</f>
        <v>C5 - Other Individual Buyers</v>
      </c>
    </row>
    <row r="1017" customFormat="false" ht="15" hidden="false" customHeight="true" outlineLevel="0" collapsed="false">
      <c r="A1017" s="13" t="s">
        <v>2067</v>
      </c>
      <c r="B1017" s="13" t="s">
        <v>34</v>
      </c>
      <c r="C1017" s="13" t="s">
        <v>2068</v>
      </c>
      <c r="D1017" s="13" t="n">
        <v>82</v>
      </c>
      <c r="E1017" s="13" t="s">
        <v>83</v>
      </c>
      <c r="F1017" s="13" t="s">
        <v>45</v>
      </c>
      <c r="G1017" s="13" t="s">
        <v>196</v>
      </c>
      <c r="H1017" s="13" t="s">
        <v>43</v>
      </c>
      <c r="I1017" s="13" t="n">
        <v>4</v>
      </c>
      <c r="J1017" s="13" t="n">
        <v>1</v>
      </c>
      <c r="K1017" s="13" t="s">
        <v>85</v>
      </c>
      <c r="L1017" s="13" t="n">
        <v>3</v>
      </c>
      <c r="M1017" s="13" t="n">
        <v>1105753.98</v>
      </c>
      <c r="N1017" s="13" t="n">
        <v>368584.66</v>
      </c>
      <c r="O1017" s="13" t="n">
        <v>1200.35</v>
      </c>
      <c r="P1017" s="13" t="n">
        <v>0</v>
      </c>
      <c r="Q1017" s="13" t="n">
        <v>3</v>
      </c>
      <c r="R1017" s="13" t="s">
        <v>124</v>
      </c>
      <c r="S1017" s="13" t="s">
        <v>114</v>
      </c>
      <c r="T1017" s="13" t="n">
        <v>1</v>
      </c>
      <c r="U1017" s="13" t="n">
        <f aca="false">IF(B1017="Individual",1,0)</f>
        <v>1</v>
      </c>
      <c r="V1017" s="13" t="n">
        <f aca="false">IF(B1017="Company",1,0)</f>
        <v>0</v>
      </c>
      <c r="W1017" s="13" t="n">
        <f aca="false">IF(H1017="Home",1,0)</f>
        <v>0</v>
      </c>
      <c r="X1017" s="13" t="n">
        <f aca="false">IF(H1017="Investment",1,0)</f>
        <v>1</v>
      </c>
      <c r="Y1017" s="13" t="n">
        <f aca="false">IF(K1017="Website",1,0)</f>
        <v>1</v>
      </c>
      <c r="Z1017" s="13" t="n">
        <f aca="false">IF(K1017="Agency",1,0)</f>
        <v>0</v>
      </c>
      <c r="AA1017" s="13" t="n">
        <f aca="false">IF(K1017="Client",1,0)</f>
        <v>0</v>
      </c>
      <c r="AB1017" s="13" t="n">
        <f aca="false">(D1017-AVERAGE(D$2:D$2001))/STDEV(D$2:D$2001)</f>
        <v>1.60664899726636</v>
      </c>
      <c r="AC1017" s="13" t="n">
        <f aca="false">(I1017-AVERAGE(I$2:I$2001))/STDEV(I$2:I$2001)</f>
        <v>0.686917069130275</v>
      </c>
      <c r="AD1017" s="13" t="n">
        <f aca="false">(L1017-AVERAGE(L$2:L$2001))/STDEV(L$2:L$2001)</f>
        <v>-0.777063122173208</v>
      </c>
      <c r="AE1017" s="13" t="n">
        <f aca="false">(M1017-AVERAGE(M$2:M$2001))/STDEV(M$2:M$2001)</f>
        <v>-0.444530963067033</v>
      </c>
      <c r="AF1017" s="13" t="n">
        <f aca="false">(N1017-AVERAGE(N$2:N$2001))/STDEV(N$2:N$2001)</f>
        <v>0.308292347670087</v>
      </c>
      <c r="AG1017" s="13" t="n">
        <f aca="false">(O1017-AVERAGE(O$2:O$2001))/STDEV(O$2:O$2001)</f>
        <v>0.240404283782422</v>
      </c>
      <c r="AH1017" s="0" t="str">
        <f aca="false">IF(B1017="Company","C3 - Corporate Buyers",IF(AND(H1017="Investment",M1017&gt;'Segmentation Summary'!$C$1),"C1 - Global Investors",IF(AND(I1017&gt;=4,M1017&gt;'Segmentation Summary'!$C$1),"C4 - Luxury Investors",IF(AND(D1017&lt;'Segmentation Summary'!$C$2,J1017=1),"C2 - First-Time Buyers","C5 - Other Individual Buyers"))))</f>
        <v>C5 - Other Individual Buyers</v>
      </c>
    </row>
    <row r="1018" customFormat="false" ht="15" hidden="false" customHeight="true" outlineLevel="0" collapsed="false">
      <c r="A1018" s="13" t="s">
        <v>2069</v>
      </c>
      <c r="B1018" s="13" t="s">
        <v>34</v>
      </c>
      <c r="C1018" s="13" t="s">
        <v>2070</v>
      </c>
      <c r="D1018" s="13" t="n">
        <v>66</v>
      </c>
      <c r="E1018" s="13" t="s">
        <v>83</v>
      </c>
      <c r="F1018" s="13" t="s">
        <v>33</v>
      </c>
      <c r="G1018" s="13" t="s">
        <v>95</v>
      </c>
      <c r="H1018" s="13" t="s">
        <v>41</v>
      </c>
      <c r="I1018" s="13" t="n">
        <v>3</v>
      </c>
      <c r="J1018" s="13" t="n">
        <v>0</v>
      </c>
      <c r="K1018" s="13" t="s">
        <v>116</v>
      </c>
      <c r="L1018" s="13" t="n">
        <v>4</v>
      </c>
      <c r="M1018" s="13" t="n">
        <v>1453954.37</v>
      </c>
      <c r="N1018" s="13" t="n">
        <v>363488.5925</v>
      </c>
      <c r="O1018" s="13" t="n">
        <v>1253.3075</v>
      </c>
      <c r="P1018" s="13" t="n">
        <v>0</v>
      </c>
      <c r="Q1018" s="13" t="n">
        <v>4</v>
      </c>
      <c r="R1018" s="13" t="s">
        <v>92</v>
      </c>
      <c r="S1018" s="13" t="s">
        <v>164</v>
      </c>
      <c r="T1018" s="13" t="n">
        <v>1</v>
      </c>
      <c r="U1018" s="13" t="n">
        <f aca="false">IF(B1018="Individual",1,0)</f>
        <v>1</v>
      </c>
      <c r="V1018" s="13" t="n">
        <f aca="false">IF(B1018="Company",1,0)</f>
        <v>0</v>
      </c>
      <c r="W1018" s="13" t="n">
        <f aca="false">IF(H1018="Home",1,0)</f>
        <v>1</v>
      </c>
      <c r="X1018" s="13" t="n">
        <f aca="false">IF(H1018="Investment",1,0)</f>
        <v>0</v>
      </c>
      <c r="Y1018" s="13" t="n">
        <f aca="false">IF(K1018="Website",1,0)</f>
        <v>0</v>
      </c>
      <c r="Z1018" s="13" t="n">
        <f aca="false">IF(K1018="Agency",1,0)</f>
        <v>0</v>
      </c>
      <c r="AA1018" s="13" t="n">
        <f aca="false">IF(K1018="Client",1,0)</f>
        <v>1</v>
      </c>
      <c r="AB1018" s="13" t="n">
        <f aca="false">(D1018-AVERAGE(D$2:D$2001))/STDEV(D$2:D$2001)</f>
        <v>0.684049709455938</v>
      </c>
      <c r="AC1018" s="13" t="n">
        <f aca="false">(I1018-AVERAGE(I$2:I$2001))/STDEV(I$2:I$2001)</f>
        <v>-0.0205155458339628</v>
      </c>
      <c r="AD1018" s="13" t="n">
        <f aca="false">(L1018-AVERAGE(L$2:L$2001))/STDEV(L$2:L$2001)</f>
        <v>0.413838214490712</v>
      </c>
      <c r="AE1018" s="13" t="n">
        <f aca="false">(M1018-AVERAGE(M$2:M$2001))/STDEV(M$2:M$2001)</f>
        <v>0.556531982814167</v>
      </c>
      <c r="AF1018" s="13" t="n">
        <f aca="false">(N1018-AVERAGE(N$2:N$2001))/STDEV(N$2:N$2001)</f>
        <v>0.235200919944693</v>
      </c>
      <c r="AG1018" s="13" t="n">
        <f aca="false">(O1018-AVERAGE(O$2:O$2001))/STDEV(O$2:O$2001)</f>
        <v>0.481204925190117</v>
      </c>
      <c r="AH1018" s="0" t="str">
        <f aca="false">IF(B1018="Company","C3 - Corporate Buyers",IF(AND(H1018="Investment",M1018&gt;'Segmentation Summary'!$C$1),"C1 - Global Investors",IF(AND(I1018&gt;=4,M1018&gt;'Segmentation Summary'!$C$1),"C4 - Luxury Investors",IF(AND(D1018&lt;'Segmentation Summary'!$C$2,J1018=1),"C2 - First-Time Buyers","C5 - Other Individual Buyers"))))</f>
        <v>C5 - Other Individual Buyers</v>
      </c>
    </row>
    <row r="1019" customFormat="false" ht="15" hidden="false" customHeight="true" outlineLevel="0" collapsed="false">
      <c r="A1019" s="13" t="s">
        <v>2071</v>
      </c>
      <c r="B1019" s="13" t="s">
        <v>34</v>
      </c>
      <c r="C1019" s="13" t="s">
        <v>2072</v>
      </c>
      <c r="D1019" s="13" t="n">
        <v>67</v>
      </c>
      <c r="E1019" s="13" t="s">
        <v>83</v>
      </c>
      <c r="F1019" s="13" t="s">
        <v>37</v>
      </c>
      <c r="G1019" s="13" t="s">
        <v>169</v>
      </c>
      <c r="H1019" s="13" t="s">
        <v>43</v>
      </c>
      <c r="I1019" s="13" t="n">
        <v>2</v>
      </c>
      <c r="J1019" s="13" t="n">
        <v>1</v>
      </c>
      <c r="K1019" s="13" t="s">
        <v>85</v>
      </c>
      <c r="L1019" s="13" t="n">
        <v>3</v>
      </c>
      <c r="M1019" s="13" t="n">
        <v>1027918.12</v>
      </c>
      <c r="N1019" s="13" t="n">
        <v>342639.373333333</v>
      </c>
      <c r="O1019" s="13" t="n">
        <v>1156.08</v>
      </c>
      <c r="P1019" s="13" t="n">
        <v>1</v>
      </c>
      <c r="Q1019" s="13" t="n">
        <v>2</v>
      </c>
      <c r="R1019" s="13" t="s">
        <v>92</v>
      </c>
      <c r="S1019" s="13" t="s">
        <v>128</v>
      </c>
      <c r="T1019" s="13" t="n">
        <v>1</v>
      </c>
      <c r="U1019" s="13" t="n">
        <f aca="false">IF(B1019="Individual",1,0)</f>
        <v>1</v>
      </c>
      <c r="V1019" s="13" t="n">
        <f aca="false">IF(B1019="Company",1,0)</f>
        <v>0</v>
      </c>
      <c r="W1019" s="13" t="n">
        <f aca="false">IF(H1019="Home",1,0)</f>
        <v>0</v>
      </c>
      <c r="X1019" s="13" t="n">
        <f aca="false">IF(H1019="Investment",1,0)</f>
        <v>1</v>
      </c>
      <c r="Y1019" s="13" t="n">
        <f aca="false">IF(K1019="Website",1,0)</f>
        <v>1</v>
      </c>
      <c r="Z1019" s="13" t="n">
        <f aca="false">IF(K1019="Agency",1,0)</f>
        <v>0</v>
      </c>
      <c r="AA1019" s="13" t="n">
        <f aca="false">IF(K1019="Client",1,0)</f>
        <v>0</v>
      </c>
      <c r="AB1019" s="13" t="n">
        <f aca="false">(D1019-AVERAGE(D$2:D$2001))/STDEV(D$2:D$2001)</f>
        <v>0.741712164944089</v>
      </c>
      <c r="AC1019" s="13" t="n">
        <f aca="false">(I1019-AVERAGE(I$2:I$2001))/STDEV(I$2:I$2001)</f>
        <v>-0.727948160798201</v>
      </c>
      <c r="AD1019" s="13" t="n">
        <f aca="false">(L1019-AVERAGE(L$2:L$2001))/STDEV(L$2:L$2001)</f>
        <v>-0.777063122173208</v>
      </c>
      <c r="AE1019" s="13" t="n">
        <f aca="false">(M1019-AVERAGE(M$2:M$2001))/STDEV(M$2:M$2001)</f>
        <v>-0.66830611537745</v>
      </c>
      <c r="AF1019" s="13" t="n">
        <f aca="false">(N1019-AVERAGE(N$2:N$2001))/STDEV(N$2:N$2001)</f>
        <v>-0.0638334228797202</v>
      </c>
      <c r="AG1019" s="13" t="n">
        <f aca="false">(O1019-AVERAGE(O$2:O$2001))/STDEV(O$2:O$2001)</f>
        <v>0.0391061787903319</v>
      </c>
      <c r="AH1019" s="0" t="str">
        <f aca="false">IF(B1019="Company","C3 - Corporate Buyers",IF(AND(H1019="Investment",M1019&gt;'Segmentation Summary'!$C$1),"C1 - Global Investors",IF(AND(I1019&gt;=4,M1019&gt;'Segmentation Summary'!$C$1),"C4 - Luxury Investors",IF(AND(D1019&lt;'Segmentation Summary'!$C$2,J1019=1),"C2 - First-Time Buyers","C5 - Other Individual Buyers"))))</f>
        <v>C5 - Other Individual Buyers</v>
      </c>
    </row>
    <row r="1020" customFormat="false" ht="15" hidden="false" customHeight="true" outlineLevel="0" collapsed="false">
      <c r="A1020" s="13" t="s">
        <v>2073</v>
      </c>
      <c r="B1020" s="13" t="s">
        <v>34</v>
      </c>
      <c r="C1020" s="13" t="s">
        <v>2074</v>
      </c>
      <c r="D1020" s="13" t="n">
        <v>57</v>
      </c>
      <c r="E1020" s="13" t="s">
        <v>83</v>
      </c>
      <c r="F1020" s="13" t="s">
        <v>40</v>
      </c>
      <c r="G1020" s="13" t="s">
        <v>219</v>
      </c>
      <c r="H1020" s="13" t="s">
        <v>41</v>
      </c>
      <c r="I1020" s="13" t="n">
        <v>3</v>
      </c>
      <c r="J1020" s="13" t="n">
        <v>0</v>
      </c>
      <c r="K1020" s="13" t="s">
        <v>85</v>
      </c>
      <c r="L1020" s="13" t="n">
        <v>4</v>
      </c>
      <c r="M1020" s="13" t="n">
        <v>1516418.29</v>
      </c>
      <c r="N1020" s="13" t="n">
        <v>379104.5725</v>
      </c>
      <c r="O1020" s="13" t="n">
        <v>1260.0625</v>
      </c>
      <c r="P1020" s="13" t="n">
        <v>1</v>
      </c>
      <c r="Q1020" s="13" t="n">
        <v>3</v>
      </c>
      <c r="R1020" s="13" t="s">
        <v>101</v>
      </c>
      <c r="S1020" s="13" t="s">
        <v>133</v>
      </c>
      <c r="T1020" s="13" t="n">
        <v>1</v>
      </c>
      <c r="U1020" s="13" t="n">
        <f aca="false">IF(B1020="Individual",1,0)</f>
        <v>1</v>
      </c>
      <c r="V1020" s="13" t="n">
        <f aca="false">IF(B1020="Company",1,0)</f>
        <v>0</v>
      </c>
      <c r="W1020" s="13" t="n">
        <f aca="false">IF(H1020="Home",1,0)</f>
        <v>1</v>
      </c>
      <c r="X1020" s="13" t="n">
        <f aca="false">IF(H1020="Investment",1,0)</f>
        <v>0</v>
      </c>
      <c r="Y1020" s="13" t="n">
        <f aca="false">IF(K1020="Website",1,0)</f>
        <v>1</v>
      </c>
      <c r="Z1020" s="13" t="n">
        <f aca="false">IF(K1020="Agency",1,0)</f>
        <v>0</v>
      </c>
      <c r="AA1020" s="13" t="n">
        <f aca="false">IF(K1020="Client",1,0)</f>
        <v>0</v>
      </c>
      <c r="AB1020" s="13" t="n">
        <f aca="false">(D1020-AVERAGE(D$2:D$2001))/STDEV(D$2:D$2001)</f>
        <v>0.165087610062577</v>
      </c>
      <c r="AC1020" s="13" t="n">
        <f aca="false">(I1020-AVERAGE(I$2:I$2001))/STDEV(I$2:I$2001)</f>
        <v>-0.0205155458339628</v>
      </c>
      <c r="AD1020" s="13" t="n">
        <f aca="false">(L1020-AVERAGE(L$2:L$2001))/STDEV(L$2:L$2001)</f>
        <v>0.413838214490712</v>
      </c>
      <c r="AE1020" s="13" t="n">
        <f aca="false">(M1020-AVERAGE(M$2:M$2001))/STDEV(M$2:M$2001)</f>
        <v>0.736113389275221</v>
      </c>
      <c r="AF1020" s="13" t="n">
        <f aca="false">(N1020-AVERAGE(N$2:N$2001))/STDEV(N$2:N$2001)</f>
        <v>0.459176421354595</v>
      </c>
      <c r="AG1020" s="13" t="n">
        <f aca="false">(O1020-AVERAGE(O$2:O$2001))/STDEV(O$2:O$2001)</f>
        <v>0.51192027868507</v>
      </c>
      <c r="AH1020" s="0" t="str">
        <f aca="false">IF(B1020="Company","C3 - Corporate Buyers",IF(AND(H1020="Investment",M1020&gt;'Segmentation Summary'!$C$1),"C1 - Global Investors",IF(AND(I1020&gt;=4,M1020&gt;'Segmentation Summary'!$C$1),"C4 - Luxury Investors",IF(AND(D1020&lt;'Segmentation Summary'!$C$2,J1020=1),"C2 - First-Time Buyers","C5 - Other Individual Buyers"))))</f>
        <v>C5 - Other Individual Buyers</v>
      </c>
    </row>
    <row r="1021" customFormat="false" ht="15" hidden="false" customHeight="true" outlineLevel="0" collapsed="false">
      <c r="A1021" s="13" t="s">
        <v>2075</v>
      </c>
      <c r="B1021" s="13" t="s">
        <v>34</v>
      </c>
      <c r="C1021" s="13" t="s">
        <v>2076</v>
      </c>
      <c r="D1021" s="13" t="n">
        <v>28</v>
      </c>
      <c r="E1021" s="13" t="s">
        <v>83</v>
      </c>
      <c r="F1021" s="13" t="s">
        <v>35</v>
      </c>
      <c r="G1021" s="13" t="s">
        <v>374</v>
      </c>
      <c r="H1021" s="13" t="s">
        <v>41</v>
      </c>
      <c r="I1021" s="13" t="n">
        <v>3</v>
      </c>
      <c r="J1021" s="13" t="n">
        <v>0</v>
      </c>
      <c r="K1021" s="13" t="s">
        <v>85</v>
      </c>
      <c r="L1021" s="13" t="n">
        <v>3</v>
      </c>
      <c r="M1021" s="13" t="n">
        <v>1001627.28</v>
      </c>
      <c r="N1021" s="13" t="n">
        <v>333875.76</v>
      </c>
      <c r="O1021" s="13" t="n">
        <v>1221.38333333333</v>
      </c>
      <c r="P1021" s="13" t="n">
        <v>0</v>
      </c>
      <c r="Q1021" s="13" t="n">
        <v>3</v>
      </c>
      <c r="R1021" s="13" t="s">
        <v>86</v>
      </c>
      <c r="S1021" s="13" t="s">
        <v>141</v>
      </c>
      <c r="T1021" s="13" t="n">
        <v>1</v>
      </c>
      <c r="U1021" s="13" t="n">
        <f aca="false">IF(B1021="Individual",1,0)</f>
        <v>1</v>
      </c>
      <c r="V1021" s="13" t="n">
        <f aca="false">IF(B1021="Company",1,0)</f>
        <v>0</v>
      </c>
      <c r="W1021" s="13" t="n">
        <f aca="false">IF(H1021="Home",1,0)</f>
        <v>1</v>
      </c>
      <c r="X1021" s="13" t="n">
        <f aca="false">IF(H1021="Investment",1,0)</f>
        <v>0</v>
      </c>
      <c r="Y1021" s="13" t="n">
        <f aca="false">IF(K1021="Website",1,0)</f>
        <v>1</v>
      </c>
      <c r="Z1021" s="13" t="n">
        <f aca="false">IF(K1021="Agency",1,0)</f>
        <v>0</v>
      </c>
      <c r="AA1021" s="13" t="n">
        <f aca="false">IF(K1021="Client",1,0)</f>
        <v>0</v>
      </c>
      <c r="AB1021" s="13" t="n">
        <f aca="false">(D1021-AVERAGE(D$2:D$2001))/STDEV(D$2:D$2001)</f>
        <v>-1.50712359909381</v>
      </c>
      <c r="AC1021" s="13" t="n">
        <f aca="false">(I1021-AVERAGE(I$2:I$2001))/STDEV(I$2:I$2001)</f>
        <v>-0.0205155458339628</v>
      </c>
      <c r="AD1021" s="13" t="n">
        <f aca="false">(L1021-AVERAGE(L$2:L$2001))/STDEV(L$2:L$2001)</f>
        <v>-0.777063122173208</v>
      </c>
      <c r="AE1021" s="13" t="n">
        <f aca="false">(M1021-AVERAGE(M$2:M$2001))/STDEV(M$2:M$2001)</f>
        <v>-0.743891285572381</v>
      </c>
      <c r="AF1021" s="13" t="n">
        <f aca="false">(N1021-AVERAGE(N$2:N$2001))/STDEV(N$2:N$2001)</f>
        <v>-0.189527403692693</v>
      </c>
      <c r="AG1021" s="13" t="n">
        <f aca="false">(O1021-AVERAGE(O$2:O$2001))/STDEV(O$2:O$2001)</f>
        <v>0.33604399784762</v>
      </c>
      <c r="AH1021" s="0" t="str">
        <f aca="false">IF(B1021="Company","C3 - Corporate Buyers",IF(AND(H1021="Investment",M1021&gt;'Segmentation Summary'!$C$1),"C1 - Global Investors",IF(AND(I1021&gt;=4,M1021&gt;'Segmentation Summary'!$C$1),"C4 - Luxury Investors",IF(AND(D1021&lt;'Segmentation Summary'!$C$2,J1021=1),"C2 - First-Time Buyers","C5 - Other Individual Buyers"))))</f>
        <v>C5 - Other Individual Buyers</v>
      </c>
    </row>
    <row r="1022" customFormat="false" ht="15" hidden="false" customHeight="true" outlineLevel="0" collapsed="false">
      <c r="A1022" s="13" t="s">
        <v>2077</v>
      </c>
      <c r="B1022" s="13" t="s">
        <v>34</v>
      </c>
      <c r="C1022" s="13" t="s">
        <v>2078</v>
      </c>
      <c r="D1022" s="13" t="n">
        <v>75</v>
      </c>
      <c r="E1022" s="13" t="s">
        <v>83</v>
      </c>
      <c r="F1022" s="13" t="s">
        <v>33</v>
      </c>
      <c r="G1022" s="13" t="s">
        <v>84</v>
      </c>
      <c r="H1022" s="13" t="s">
        <v>41</v>
      </c>
      <c r="I1022" s="13" t="n">
        <v>2</v>
      </c>
      <c r="J1022" s="13" t="n">
        <v>0</v>
      </c>
      <c r="K1022" s="13" t="s">
        <v>85</v>
      </c>
      <c r="L1022" s="13" t="n">
        <v>3</v>
      </c>
      <c r="M1022" s="13" t="n">
        <v>1021697.5</v>
      </c>
      <c r="N1022" s="13" t="n">
        <v>340565.833333333</v>
      </c>
      <c r="O1022" s="13" t="n">
        <v>1209.64</v>
      </c>
      <c r="P1022" s="13" t="n">
        <v>1</v>
      </c>
      <c r="Q1022" s="13" t="n">
        <v>2</v>
      </c>
      <c r="R1022" s="13" t="s">
        <v>124</v>
      </c>
      <c r="S1022" s="13" t="s">
        <v>135</v>
      </c>
      <c r="T1022" s="13" t="n">
        <v>1</v>
      </c>
      <c r="U1022" s="13" t="n">
        <f aca="false">IF(B1022="Individual",1,0)</f>
        <v>1</v>
      </c>
      <c r="V1022" s="13" t="n">
        <f aca="false">IF(B1022="Company",1,0)</f>
        <v>0</v>
      </c>
      <c r="W1022" s="13" t="n">
        <f aca="false">IF(H1022="Home",1,0)</f>
        <v>1</v>
      </c>
      <c r="X1022" s="13" t="n">
        <f aca="false">IF(H1022="Investment",1,0)</f>
        <v>0</v>
      </c>
      <c r="Y1022" s="13" t="n">
        <f aca="false">IF(K1022="Website",1,0)</f>
        <v>1</v>
      </c>
      <c r="Z1022" s="13" t="n">
        <f aca="false">IF(K1022="Agency",1,0)</f>
        <v>0</v>
      </c>
      <c r="AA1022" s="13" t="n">
        <f aca="false">IF(K1022="Client",1,0)</f>
        <v>0</v>
      </c>
      <c r="AB1022" s="13" t="n">
        <f aca="false">(D1022-AVERAGE(D$2:D$2001))/STDEV(D$2:D$2001)</f>
        <v>1.2030118088493</v>
      </c>
      <c r="AC1022" s="13" t="n">
        <f aca="false">(I1022-AVERAGE(I$2:I$2001))/STDEV(I$2:I$2001)</f>
        <v>-0.727948160798201</v>
      </c>
      <c r="AD1022" s="13" t="n">
        <f aca="false">(L1022-AVERAGE(L$2:L$2001))/STDEV(L$2:L$2001)</f>
        <v>-0.777063122173208</v>
      </c>
      <c r="AE1022" s="13" t="n">
        <f aca="false">(M1022-AVERAGE(M$2:M$2001))/STDEV(M$2:M$2001)</f>
        <v>-0.686190162498729</v>
      </c>
      <c r="AF1022" s="13" t="n">
        <f aca="false">(N1022-AVERAGE(N$2:N$2001))/STDEV(N$2:N$2001)</f>
        <v>-0.0935736096110995</v>
      </c>
      <c r="AG1022" s="13" t="n">
        <f aca="false">(O1022-AVERAGE(O$2:O$2001))/STDEV(O$2:O$2001)</f>
        <v>0.282646420565268</v>
      </c>
      <c r="AH1022" s="0" t="str">
        <f aca="false">IF(B1022="Company","C3 - Corporate Buyers",IF(AND(H1022="Investment",M1022&gt;'Segmentation Summary'!$C$1),"C1 - Global Investors",IF(AND(I1022&gt;=4,M1022&gt;'Segmentation Summary'!$C$1),"C4 - Luxury Investors",IF(AND(D1022&lt;'Segmentation Summary'!$C$2,J1022=1),"C2 - First-Time Buyers","C5 - Other Individual Buyers"))))</f>
        <v>C5 - Other Individual Buyers</v>
      </c>
    </row>
    <row r="1023" customFormat="false" ht="15" hidden="false" customHeight="true" outlineLevel="0" collapsed="false">
      <c r="A1023" s="13" t="s">
        <v>2079</v>
      </c>
      <c r="B1023" s="13" t="s">
        <v>34</v>
      </c>
      <c r="C1023" s="13" t="s">
        <v>2080</v>
      </c>
      <c r="D1023" s="13" t="n">
        <v>46</v>
      </c>
      <c r="E1023" s="13" t="s">
        <v>83</v>
      </c>
      <c r="F1023" s="13" t="s">
        <v>33</v>
      </c>
      <c r="G1023" s="13" t="s">
        <v>162</v>
      </c>
      <c r="H1023" s="13" t="s">
        <v>41</v>
      </c>
      <c r="I1023" s="13" t="n">
        <v>3</v>
      </c>
      <c r="J1023" s="13" t="n">
        <v>0</v>
      </c>
      <c r="K1023" s="13" t="s">
        <v>85</v>
      </c>
      <c r="L1023" s="13" t="n">
        <v>4</v>
      </c>
      <c r="M1023" s="13" t="n">
        <v>1455838.91</v>
      </c>
      <c r="N1023" s="13" t="n">
        <v>363959.7275</v>
      </c>
      <c r="O1023" s="13" t="n">
        <v>1123.3175</v>
      </c>
      <c r="P1023" s="13" t="n">
        <v>2</v>
      </c>
      <c r="Q1023" s="13" t="n">
        <v>2</v>
      </c>
      <c r="R1023" s="13" t="s">
        <v>124</v>
      </c>
      <c r="S1023" s="13" t="s">
        <v>154</v>
      </c>
      <c r="T1023" s="13" t="n">
        <v>1</v>
      </c>
      <c r="U1023" s="13" t="n">
        <f aca="false">IF(B1023="Individual",1,0)</f>
        <v>1</v>
      </c>
      <c r="V1023" s="13" t="n">
        <f aca="false">IF(B1023="Company",1,0)</f>
        <v>0</v>
      </c>
      <c r="W1023" s="13" t="n">
        <f aca="false">IF(H1023="Home",1,0)</f>
        <v>1</v>
      </c>
      <c r="X1023" s="13" t="n">
        <f aca="false">IF(H1023="Investment",1,0)</f>
        <v>0</v>
      </c>
      <c r="Y1023" s="13" t="n">
        <f aca="false">IF(K1023="Website",1,0)</f>
        <v>1</v>
      </c>
      <c r="Z1023" s="13" t="n">
        <f aca="false">IF(K1023="Agency",1,0)</f>
        <v>0</v>
      </c>
      <c r="AA1023" s="13" t="n">
        <f aca="false">IF(K1023="Client",1,0)</f>
        <v>0</v>
      </c>
      <c r="AB1023" s="13" t="n">
        <f aca="false">(D1023-AVERAGE(D$2:D$2001))/STDEV(D$2:D$2001)</f>
        <v>-0.469199400307086</v>
      </c>
      <c r="AC1023" s="13" t="n">
        <f aca="false">(I1023-AVERAGE(I$2:I$2001))/STDEV(I$2:I$2001)</f>
        <v>-0.0205155458339628</v>
      </c>
      <c r="AD1023" s="13" t="n">
        <f aca="false">(L1023-AVERAGE(L$2:L$2001))/STDEV(L$2:L$2001)</f>
        <v>0.413838214490712</v>
      </c>
      <c r="AE1023" s="13" t="n">
        <f aca="false">(M1023-AVERAGE(M$2:M$2001))/STDEV(M$2:M$2001)</f>
        <v>0.561949964006063</v>
      </c>
      <c r="AF1023" s="13" t="n">
        <f aca="false">(N1023-AVERAGE(N$2:N$2001))/STDEV(N$2:N$2001)</f>
        <v>0.241958273492581</v>
      </c>
      <c r="AG1023" s="13" t="n">
        <f aca="false">(O1023-AVERAGE(O$2:O$2001))/STDEV(O$2:O$2001)</f>
        <v>-0.109866695951103</v>
      </c>
      <c r="AH1023" s="0" t="str">
        <f aca="false">IF(B1023="Company","C3 - Corporate Buyers",IF(AND(H1023="Investment",M1023&gt;'Segmentation Summary'!$C$1),"C1 - Global Investors",IF(AND(I1023&gt;=4,M1023&gt;'Segmentation Summary'!$C$1),"C4 - Luxury Investors",IF(AND(D1023&lt;'Segmentation Summary'!$C$2,J1023=1),"C2 - First-Time Buyers","C5 - Other Individual Buyers"))))</f>
        <v>C5 - Other Individual Buyers</v>
      </c>
    </row>
    <row r="1024" customFormat="false" ht="15" hidden="false" customHeight="true" outlineLevel="0" collapsed="false">
      <c r="A1024" s="13" t="s">
        <v>2081</v>
      </c>
      <c r="B1024" s="13" t="s">
        <v>34</v>
      </c>
      <c r="C1024" s="13" t="s">
        <v>2082</v>
      </c>
      <c r="D1024" s="13" t="n">
        <v>62</v>
      </c>
      <c r="E1024" s="13" t="s">
        <v>90</v>
      </c>
      <c r="F1024" s="13" t="s">
        <v>33</v>
      </c>
      <c r="G1024" s="13" t="s">
        <v>95</v>
      </c>
      <c r="H1024" s="13" t="s">
        <v>41</v>
      </c>
      <c r="I1024" s="13" t="n">
        <v>4</v>
      </c>
      <c r="J1024" s="13" t="n">
        <v>1</v>
      </c>
      <c r="K1024" s="13" t="s">
        <v>85</v>
      </c>
      <c r="L1024" s="13" t="n">
        <v>5</v>
      </c>
      <c r="M1024" s="13" t="n">
        <v>1821348.69</v>
      </c>
      <c r="N1024" s="13" t="n">
        <v>364269.738</v>
      </c>
      <c r="O1024" s="13" t="n">
        <v>1230.66</v>
      </c>
      <c r="P1024" s="13" t="n">
        <v>0</v>
      </c>
      <c r="Q1024" s="13" t="n">
        <v>5</v>
      </c>
      <c r="R1024" s="13" t="s">
        <v>92</v>
      </c>
      <c r="S1024" s="13" t="s">
        <v>133</v>
      </c>
      <c r="T1024" s="13" t="n">
        <v>1</v>
      </c>
      <c r="U1024" s="13" t="n">
        <f aca="false">IF(B1024="Individual",1,0)</f>
        <v>1</v>
      </c>
      <c r="V1024" s="13" t="n">
        <f aca="false">IF(B1024="Company",1,0)</f>
        <v>0</v>
      </c>
      <c r="W1024" s="13" t="n">
        <f aca="false">IF(H1024="Home",1,0)</f>
        <v>1</v>
      </c>
      <c r="X1024" s="13" t="n">
        <f aca="false">IF(H1024="Investment",1,0)</f>
        <v>0</v>
      </c>
      <c r="Y1024" s="13" t="n">
        <f aca="false">IF(K1024="Website",1,0)</f>
        <v>1</v>
      </c>
      <c r="Z1024" s="13" t="n">
        <f aca="false">IF(K1024="Agency",1,0)</f>
        <v>0</v>
      </c>
      <c r="AA1024" s="13" t="n">
        <f aca="false">IF(K1024="Client",1,0)</f>
        <v>0</v>
      </c>
      <c r="AB1024" s="13" t="n">
        <f aca="false">(D1024-AVERAGE(D$2:D$2001))/STDEV(D$2:D$2001)</f>
        <v>0.453399887503333</v>
      </c>
      <c r="AC1024" s="13" t="n">
        <f aca="false">(I1024-AVERAGE(I$2:I$2001))/STDEV(I$2:I$2001)</f>
        <v>0.686917069130275</v>
      </c>
      <c r="AD1024" s="13" t="n">
        <f aca="false">(L1024-AVERAGE(L$2:L$2001))/STDEV(L$2:L$2001)</f>
        <v>1.60473955115463</v>
      </c>
      <c r="AE1024" s="13" t="n">
        <f aca="false">(M1024-AVERAGE(M$2:M$2001))/STDEV(M$2:M$2001)</f>
        <v>1.61277675117649</v>
      </c>
      <c r="AF1024" s="13" t="n">
        <f aca="false">(N1024-AVERAGE(N$2:N$2001))/STDEV(N$2:N$2001)</f>
        <v>0.246404664764844</v>
      </c>
      <c r="AG1024" s="13" t="n">
        <f aca="false">(O1024-AVERAGE(O$2:O$2001))/STDEV(O$2:O$2001)</f>
        <v>0.378225507236461</v>
      </c>
      <c r="AH1024" s="0" t="str">
        <f aca="false">IF(B1024="Company","C3 - Corporate Buyers",IF(AND(H1024="Investment",M1024&gt;'Segmentation Summary'!$C$1),"C1 - Global Investors",IF(AND(I1024&gt;=4,M1024&gt;'Segmentation Summary'!$C$1),"C4 - Luxury Investors",IF(AND(D1024&lt;'Segmentation Summary'!$C$2,J1024=1),"C2 - First-Time Buyers","C5 - Other Individual Buyers"))))</f>
        <v>C4 - Luxury Investors</v>
      </c>
    </row>
    <row r="1025" customFormat="false" ht="15" hidden="false" customHeight="true" outlineLevel="0" collapsed="false">
      <c r="A1025" s="13" t="s">
        <v>2083</v>
      </c>
      <c r="B1025" s="13" t="s">
        <v>34</v>
      </c>
      <c r="C1025" s="13" t="s">
        <v>2084</v>
      </c>
      <c r="D1025" s="13" t="n">
        <v>38</v>
      </c>
      <c r="E1025" s="13" t="s">
        <v>83</v>
      </c>
      <c r="F1025" s="13" t="s">
        <v>33</v>
      </c>
      <c r="G1025" s="13" t="s">
        <v>145</v>
      </c>
      <c r="H1025" s="13" t="s">
        <v>43</v>
      </c>
      <c r="I1025" s="13" t="n">
        <v>3</v>
      </c>
      <c r="J1025" s="13" t="n">
        <v>1</v>
      </c>
      <c r="K1025" s="13" t="s">
        <v>116</v>
      </c>
      <c r="L1025" s="13" t="n">
        <v>4</v>
      </c>
      <c r="M1025" s="13" t="n">
        <v>1410333.45</v>
      </c>
      <c r="N1025" s="13" t="n">
        <v>352583.3625</v>
      </c>
      <c r="O1025" s="13" t="n">
        <v>1146.02</v>
      </c>
      <c r="P1025" s="13" t="n">
        <v>1</v>
      </c>
      <c r="Q1025" s="13" t="n">
        <v>3</v>
      </c>
      <c r="R1025" s="13" t="s">
        <v>98</v>
      </c>
      <c r="S1025" s="13" t="s">
        <v>125</v>
      </c>
      <c r="T1025" s="13" t="n">
        <v>1</v>
      </c>
      <c r="U1025" s="13" t="n">
        <f aca="false">IF(B1025="Individual",1,0)</f>
        <v>1</v>
      </c>
      <c r="V1025" s="13" t="n">
        <f aca="false">IF(B1025="Company",1,0)</f>
        <v>0</v>
      </c>
      <c r="W1025" s="13" t="n">
        <f aca="false">IF(H1025="Home",1,0)</f>
        <v>0</v>
      </c>
      <c r="X1025" s="13" t="n">
        <f aca="false">IF(H1025="Investment",1,0)</f>
        <v>1</v>
      </c>
      <c r="Y1025" s="13" t="n">
        <f aca="false">IF(K1025="Website",1,0)</f>
        <v>0</v>
      </c>
      <c r="Z1025" s="13" t="n">
        <f aca="false">IF(K1025="Agency",1,0)</f>
        <v>0</v>
      </c>
      <c r="AA1025" s="13" t="n">
        <f aca="false">IF(K1025="Client",1,0)</f>
        <v>1</v>
      </c>
      <c r="AB1025" s="13" t="n">
        <f aca="false">(D1025-AVERAGE(D$2:D$2001))/STDEV(D$2:D$2001)</f>
        <v>-0.930499044212296</v>
      </c>
      <c r="AC1025" s="13" t="n">
        <f aca="false">(I1025-AVERAGE(I$2:I$2001))/STDEV(I$2:I$2001)</f>
        <v>-0.0205155458339628</v>
      </c>
      <c r="AD1025" s="13" t="n">
        <f aca="false">(L1025-AVERAGE(L$2:L$2001))/STDEV(L$2:L$2001)</f>
        <v>0.413838214490712</v>
      </c>
      <c r="AE1025" s="13" t="n">
        <f aca="false">(M1025-AVERAGE(M$2:M$2001))/STDEV(M$2:M$2001)</f>
        <v>0.431123488362888</v>
      </c>
      <c r="AF1025" s="13" t="n">
        <f aca="false">(N1025-AVERAGE(N$2:N$2001))/STDEV(N$2:N$2001)</f>
        <v>0.0787903483865641</v>
      </c>
      <c r="AG1025" s="13" t="n">
        <f aca="false">(O1025-AVERAGE(O$2:O$2001))/STDEV(O$2:O$2001)</f>
        <v>-0.00663718999711825</v>
      </c>
      <c r="AH1025" s="0" t="str">
        <f aca="false">IF(B1025="Company","C3 - Corporate Buyers",IF(AND(H1025="Investment",M1025&gt;'Segmentation Summary'!$C$1),"C1 - Global Investors",IF(AND(I1025&gt;=4,M1025&gt;'Segmentation Summary'!$C$1),"C4 - Luxury Investors",IF(AND(D1025&lt;'Segmentation Summary'!$C$2,J1025=1),"C2 - First-Time Buyers","C5 - Other Individual Buyers"))))</f>
        <v>C1 - Global Investors</v>
      </c>
    </row>
    <row r="1026" customFormat="false" ht="15" hidden="false" customHeight="true" outlineLevel="0" collapsed="false">
      <c r="A1026" s="13" t="s">
        <v>2085</v>
      </c>
      <c r="B1026" s="13" t="s">
        <v>34</v>
      </c>
      <c r="C1026" s="13" t="s">
        <v>2086</v>
      </c>
      <c r="D1026" s="13" t="n">
        <v>52</v>
      </c>
      <c r="E1026" s="13" t="s">
        <v>83</v>
      </c>
      <c r="F1026" s="13" t="s">
        <v>33</v>
      </c>
      <c r="G1026" s="13" t="s">
        <v>207</v>
      </c>
      <c r="H1026" s="13" t="s">
        <v>43</v>
      </c>
      <c r="I1026" s="13" t="n">
        <v>2</v>
      </c>
      <c r="J1026" s="13" t="n">
        <v>1</v>
      </c>
      <c r="K1026" s="13" t="s">
        <v>85</v>
      </c>
      <c r="L1026" s="13" t="n">
        <v>3</v>
      </c>
      <c r="M1026" s="13" t="n">
        <v>811498.78</v>
      </c>
      <c r="N1026" s="13" t="n">
        <v>270499.593333333</v>
      </c>
      <c r="O1026" s="13" t="n">
        <v>926.396666666667</v>
      </c>
      <c r="P1026" s="13" t="n">
        <v>1</v>
      </c>
      <c r="Q1026" s="13" t="n">
        <v>2</v>
      </c>
      <c r="R1026" s="13" t="s">
        <v>103</v>
      </c>
      <c r="S1026" s="13" t="s">
        <v>133</v>
      </c>
      <c r="T1026" s="13" t="n">
        <v>1</v>
      </c>
      <c r="U1026" s="13" t="n">
        <f aca="false">IF(B1026="Individual",1,0)</f>
        <v>1</v>
      </c>
      <c r="V1026" s="13" t="n">
        <f aca="false">IF(B1026="Company",1,0)</f>
        <v>0</v>
      </c>
      <c r="W1026" s="13" t="n">
        <f aca="false">IF(H1026="Home",1,0)</f>
        <v>0</v>
      </c>
      <c r="X1026" s="13" t="n">
        <f aca="false">IF(H1026="Investment",1,0)</f>
        <v>1</v>
      </c>
      <c r="Y1026" s="13" t="n">
        <f aca="false">IF(K1026="Website",1,0)</f>
        <v>1</v>
      </c>
      <c r="Z1026" s="13" t="n">
        <f aca="false">IF(K1026="Agency",1,0)</f>
        <v>0</v>
      </c>
      <c r="AA1026" s="13" t="n">
        <f aca="false">IF(K1026="Client",1,0)</f>
        <v>0</v>
      </c>
      <c r="AB1026" s="13" t="n">
        <f aca="false">(D1026-AVERAGE(D$2:D$2001))/STDEV(D$2:D$2001)</f>
        <v>-0.123224667378179</v>
      </c>
      <c r="AC1026" s="13" t="n">
        <f aca="false">(I1026-AVERAGE(I$2:I$2001))/STDEV(I$2:I$2001)</f>
        <v>-0.727948160798201</v>
      </c>
      <c r="AD1026" s="13" t="n">
        <f aca="false">(L1026-AVERAGE(L$2:L$2001))/STDEV(L$2:L$2001)</f>
        <v>-0.777063122173208</v>
      </c>
      <c r="AE1026" s="13" t="n">
        <f aca="false">(M1026-AVERAGE(M$2:M$2001))/STDEV(M$2:M$2001)</f>
        <v>-1.2905035289015</v>
      </c>
      <c r="AF1026" s="13" t="n">
        <f aca="false">(N1026-AVERAGE(N$2:N$2001))/STDEV(N$2:N$2001)</f>
        <v>-1.09851350040928</v>
      </c>
      <c r="AG1026" s="13" t="n">
        <f aca="false">(O1026-AVERAGE(O$2:O$2001))/STDEV(O$2:O$2001)</f>
        <v>-1.00527646743209</v>
      </c>
      <c r="AH1026" s="0" t="str">
        <f aca="false">IF(B1026="Company","C3 - Corporate Buyers",IF(AND(H1026="Investment",M1026&gt;'Segmentation Summary'!$C$1),"C1 - Global Investors",IF(AND(I1026&gt;=4,M1026&gt;'Segmentation Summary'!$C$1),"C4 - Luxury Investors",IF(AND(D1026&lt;'Segmentation Summary'!$C$2,J1026=1),"C2 - First-Time Buyers","C5 - Other Individual Buyers"))))</f>
        <v>C2 - First-Time Buyers</v>
      </c>
    </row>
    <row r="1027" customFormat="false" ht="15" hidden="false" customHeight="true" outlineLevel="0" collapsed="false">
      <c r="A1027" s="13" t="s">
        <v>2087</v>
      </c>
      <c r="B1027" s="13" t="s">
        <v>34</v>
      </c>
      <c r="C1027" s="13" t="s">
        <v>2088</v>
      </c>
      <c r="D1027" s="13" t="n">
        <v>44</v>
      </c>
      <c r="E1027" s="13" t="s">
        <v>83</v>
      </c>
      <c r="F1027" s="13" t="s">
        <v>33</v>
      </c>
      <c r="G1027" s="13" t="s">
        <v>95</v>
      </c>
      <c r="H1027" s="13" t="s">
        <v>43</v>
      </c>
      <c r="I1027" s="13" t="n">
        <v>1</v>
      </c>
      <c r="J1027" s="13" t="n">
        <v>1</v>
      </c>
      <c r="K1027" s="13" t="s">
        <v>85</v>
      </c>
      <c r="L1027" s="13" t="n">
        <v>3</v>
      </c>
      <c r="M1027" s="13" t="n">
        <v>1119600.47</v>
      </c>
      <c r="N1027" s="13" t="n">
        <v>373200.156666667</v>
      </c>
      <c r="O1027" s="13" t="n">
        <v>1152.59666666667</v>
      </c>
      <c r="P1027" s="13" t="n">
        <v>0</v>
      </c>
      <c r="Q1027" s="13" t="n">
        <v>3</v>
      </c>
      <c r="R1027" s="13" t="s">
        <v>124</v>
      </c>
      <c r="S1027" s="13" t="s">
        <v>164</v>
      </c>
      <c r="T1027" s="13" t="n">
        <v>1</v>
      </c>
      <c r="U1027" s="13" t="n">
        <f aca="false">IF(B1027="Individual",1,0)</f>
        <v>1</v>
      </c>
      <c r="V1027" s="13" t="n">
        <f aca="false">IF(B1027="Company",1,0)</f>
        <v>0</v>
      </c>
      <c r="W1027" s="13" t="n">
        <f aca="false">IF(H1027="Home",1,0)</f>
        <v>0</v>
      </c>
      <c r="X1027" s="13" t="n">
        <f aca="false">IF(H1027="Investment",1,0)</f>
        <v>1</v>
      </c>
      <c r="Y1027" s="13" t="n">
        <f aca="false">IF(K1027="Website",1,0)</f>
        <v>1</v>
      </c>
      <c r="Z1027" s="13" t="n">
        <f aca="false">IF(K1027="Agency",1,0)</f>
        <v>0</v>
      </c>
      <c r="AA1027" s="13" t="n">
        <f aca="false">IF(K1027="Client",1,0)</f>
        <v>0</v>
      </c>
      <c r="AB1027" s="13" t="n">
        <f aca="false">(D1027-AVERAGE(D$2:D$2001))/STDEV(D$2:D$2001)</f>
        <v>-0.584524311283389</v>
      </c>
      <c r="AC1027" s="13" t="n">
        <f aca="false">(I1027-AVERAGE(I$2:I$2001))/STDEV(I$2:I$2001)</f>
        <v>-1.43538077576244</v>
      </c>
      <c r="AD1027" s="13" t="n">
        <f aca="false">(L1027-AVERAGE(L$2:L$2001))/STDEV(L$2:L$2001)</f>
        <v>-0.777063122173208</v>
      </c>
      <c r="AE1027" s="13" t="n">
        <f aca="false">(M1027-AVERAGE(M$2:M$2001))/STDEV(M$2:M$2001)</f>
        <v>-0.404722828246981</v>
      </c>
      <c r="AF1027" s="13" t="n">
        <f aca="false">(N1027-AVERAGE(N$2:N$2001))/STDEV(N$2:N$2001)</f>
        <v>0.374491086409025</v>
      </c>
      <c r="AG1027" s="13" t="n">
        <f aca="false">(O1027-AVERAGE(O$2:O$2001))/STDEV(O$2:O$2001)</f>
        <v>0.0232672721028438</v>
      </c>
      <c r="AH1027" s="0" t="str">
        <f aca="false">IF(B1027="Company","C3 - Corporate Buyers",IF(AND(H1027="Investment",M1027&gt;'Segmentation Summary'!$C$1),"C1 - Global Investors",IF(AND(I1027&gt;=4,M1027&gt;'Segmentation Summary'!$C$1),"C4 - Luxury Investors",IF(AND(D1027&lt;'Segmentation Summary'!$C$2,J1027=1),"C2 - First-Time Buyers","C5 - Other Individual Buyers"))))</f>
        <v>C2 - First-Time Buyers</v>
      </c>
    </row>
    <row r="1028" customFormat="false" ht="15" hidden="false" customHeight="true" outlineLevel="0" collapsed="false">
      <c r="A1028" s="13" t="s">
        <v>2089</v>
      </c>
      <c r="B1028" s="13" t="s">
        <v>34</v>
      </c>
      <c r="C1028" s="13" t="s">
        <v>2090</v>
      </c>
      <c r="D1028" s="13" t="n">
        <v>71</v>
      </c>
      <c r="E1028" s="13" t="s">
        <v>83</v>
      </c>
      <c r="F1028" s="13" t="s">
        <v>40</v>
      </c>
      <c r="G1028" s="13" t="s">
        <v>239</v>
      </c>
      <c r="H1028" s="13" t="s">
        <v>41</v>
      </c>
      <c r="I1028" s="13" t="n">
        <v>5</v>
      </c>
      <c r="J1028" s="13" t="n">
        <v>1</v>
      </c>
      <c r="K1028" s="13" t="s">
        <v>85</v>
      </c>
      <c r="L1028" s="13" t="n">
        <v>7</v>
      </c>
      <c r="M1028" s="13" t="n">
        <v>2759372.27</v>
      </c>
      <c r="N1028" s="13" t="n">
        <v>394196.038571429</v>
      </c>
      <c r="O1028" s="13" t="n">
        <v>1237.29285714286</v>
      </c>
      <c r="P1028" s="13" t="n">
        <v>2</v>
      </c>
      <c r="Q1028" s="13" t="n">
        <v>5</v>
      </c>
      <c r="R1028" s="13" t="s">
        <v>124</v>
      </c>
      <c r="S1028" s="13" t="s">
        <v>114</v>
      </c>
      <c r="T1028" s="13" t="n">
        <v>1</v>
      </c>
      <c r="U1028" s="13" t="n">
        <f aca="false">IF(B1028="Individual",1,0)</f>
        <v>1</v>
      </c>
      <c r="V1028" s="13" t="n">
        <f aca="false">IF(B1028="Company",1,0)</f>
        <v>0</v>
      </c>
      <c r="W1028" s="13" t="n">
        <f aca="false">IF(H1028="Home",1,0)</f>
        <v>1</v>
      </c>
      <c r="X1028" s="13" t="n">
        <f aca="false">IF(H1028="Investment",1,0)</f>
        <v>0</v>
      </c>
      <c r="Y1028" s="13" t="n">
        <f aca="false">IF(K1028="Website",1,0)</f>
        <v>1</v>
      </c>
      <c r="Z1028" s="13" t="n">
        <f aca="false">IF(K1028="Agency",1,0)</f>
        <v>0</v>
      </c>
      <c r="AA1028" s="13" t="n">
        <f aca="false">IF(K1028="Client",1,0)</f>
        <v>0</v>
      </c>
      <c r="AB1028" s="13" t="n">
        <f aca="false">(D1028-AVERAGE(D$2:D$2001))/STDEV(D$2:D$2001)</f>
        <v>0.972361986896694</v>
      </c>
      <c r="AC1028" s="13" t="n">
        <f aca="false">(I1028-AVERAGE(I$2:I$2001))/STDEV(I$2:I$2001)</f>
        <v>1.39434968409451</v>
      </c>
      <c r="AD1028" s="13" t="n">
        <f aca="false">(L1028-AVERAGE(L$2:L$2001))/STDEV(L$2:L$2001)</f>
        <v>3.98654222448247</v>
      </c>
      <c r="AE1028" s="13" t="n">
        <f aca="false">(M1028-AVERAGE(M$2:M$2001))/STDEV(M$2:M$2001)</f>
        <v>4.30955905030266</v>
      </c>
      <c r="AF1028" s="13" t="n">
        <f aca="false">(N1028-AVERAGE(N$2:N$2001))/STDEV(N$2:N$2001)</f>
        <v>0.675628970625203</v>
      </c>
      <c r="AG1028" s="13" t="n">
        <f aca="false">(O1028-AVERAGE(O$2:O$2001))/STDEV(O$2:O$2001)</f>
        <v>0.40838547049693</v>
      </c>
      <c r="AH1028" s="0" t="str">
        <f aca="false">IF(B1028="Company","C3 - Corporate Buyers",IF(AND(H1028="Investment",M1028&gt;'Segmentation Summary'!$C$1),"C1 - Global Investors",IF(AND(I1028&gt;=4,M1028&gt;'Segmentation Summary'!$C$1),"C4 - Luxury Investors",IF(AND(D1028&lt;'Segmentation Summary'!$C$2,J1028=1),"C2 - First-Time Buyers","C5 - Other Individual Buyers"))))</f>
        <v>C4 - Luxury Investors</v>
      </c>
    </row>
    <row r="1029" customFormat="false" ht="15" hidden="false" customHeight="true" outlineLevel="0" collapsed="false">
      <c r="A1029" s="13" t="s">
        <v>2091</v>
      </c>
      <c r="B1029" s="13" t="s">
        <v>34</v>
      </c>
      <c r="C1029" s="13" t="s">
        <v>2092</v>
      </c>
      <c r="D1029" s="13" t="n">
        <v>30</v>
      </c>
      <c r="E1029" s="13" t="s">
        <v>83</v>
      </c>
      <c r="F1029" s="13" t="s">
        <v>33</v>
      </c>
      <c r="G1029" s="13" t="s">
        <v>157</v>
      </c>
      <c r="H1029" s="13" t="s">
        <v>43</v>
      </c>
      <c r="I1029" s="13" t="n">
        <v>4</v>
      </c>
      <c r="J1029" s="13" t="n">
        <v>0</v>
      </c>
      <c r="K1029" s="13" t="s">
        <v>91</v>
      </c>
      <c r="L1029" s="13" t="n">
        <v>3</v>
      </c>
      <c r="M1029" s="13" t="n">
        <v>1490237.62</v>
      </c>
      <c r="N1029" s="13" t="n">
        <v>496745.873333333</v>
      </c>
      <c r="O1029" s="13" t="n">
        <v>1648.59666666667</v>
      </c>
      <c r="P1029" s="13" t="n">
        <v>0</v>
      </c>
      <c r="Q1029" s="13" t="n">
        <v>3</v>
      </c>
      <c r="R1029" s="13" t="s">
        <v>86</v>
      </c>
      <c r="S1029" s="13" t="s">
        <v>152</v>
      </c>
      <c r="T1029" s="13" t="n">
        <v>1</v>
      </c>
      <c r="U1029" s="13" t="n">
        <f aca="false">IF(B1029="Individual",1,0)</f>
        <v>1</v>
      </c>
      <c r="V1029" s="13" t="n">
        <f aca="false">IF(B1029="Company",1,0)</f>
        <v>0</v>
      </c>
      <c r="W1029" s="13" t="n">
        <f aca="false">IF(H1029="Home",1,0)</f>
        <v>0</v>
      </c>
      <c r="X1029" s="13" t="n">
        <f aca="false">IF(H1029="Investment",1,0)</f>
        <v>1</v>
      </c>
      <c r="Y1029" s="13" t="n">
        <f aca="false">IF(K1029="Website",1,0)</f>
        <v>0</v>
      </c>
      <c r="Z1029" s="13" t="n">
        <f aca="false">IF(K1029="Agency",1,0)</f>
        <v>1</v>
      </c>
      <c r="AA1029" s="13" t="n">
        <f aca="false">IF(K1029="Client",1,0)</f>
        <v>0</v>
      </c>
      <c r="AB1029" s="13" t="n">
        <f aca="false">(D1029-AVERAGE(D$2:D$2001))/STDEV(D$2:D$2001)</f>
        <v>-1.39179868811751</v>
      </c>
      <c r="AC1029" s="13" t="n">
        <f aca="false">(I1029-AVERAGE(I$2:I$2001))/STDEV(I$2:I$2001)</f>
        <v>0.686917069130275</v>
      </c>
      <c r="AD1029" s="13" t="n">
        <f aca="false">(L1029-AVERAGE(L$2:L$2001))/STDEV(L$2:L$2001)</f>
        <v>-0.777063122173208</v>
      </c>
      <c r="AE1029" s="13" t="n">
        <f aca="false">(M1029-AVERAGE(M$2:M$2001))/STDEV(M$2:M$2001)</f>
        <v>0.660844953661626</v>
      </c>
      <c r="AF1029" s="13" t="n">
        <f aca="false">(N1029-AVERAGE(N$2:N$2001))/STDEV(N$2:N$2001)</f>
        <v>2.14647170097578</v>
      </c>
      <c r="AG1029" s="13" t="n">
        <f aca="false">(O1029-AVERAGE(O$2:O$2001))/STDEV(O$2:O$2001)</f>
        <v>2.27860632961531</v>
      </c>
      <c r="AH1029" s="0" t="str">
        <f aca="false">IF(B1029="Company","C3 - Corporate Buyers",IF(AND(H1029="Investment",M1029&gt;'Segmentation Summary'!$C$1),"C1 - Global Investors",IF(AND(I1029&gt;=4,M1029&gt;'Segmentation Summary'!$C$1),"C4 - Luxury Investors",IF(AND(D1029&lt;'Segmentation Summary'!$C$2,J1029=1),"C2 - First-Time Buyers","C5 - Other Individual Buyers"))))</f>
        <v>C1 - Global Investors</v>
      </c>
    </row>
    <row r="1030" customFormat="false" ht="15" hidden="false" customHeight="true" outlineLevel="0" collapsed="false">
      <c r="A1030" s="13" t="s">
        <v>2093</v>
      </c>
      <c r="B1030" s="13" t="s">
        <v>34</v>
      </c>
      <c r="C1030" s="13" t="s">
        <v>2094</v>
      </c>
      <c r="D1030" s="13" t="n">
        <v>64</v>
      </c>
      <c r="E1030" s="13" t="s">
        <v>83</v>
      </c>
      <c r="F1030" s="13" t="s">
        <v>33</v>
      </c>
      <c r="G1030" s="13" t="s">
        <v>120</v>
      </c>
      <c r="H1030" s="13" t="s">
        <v>41</v>
      </c>
      <c r="I1030" s="13" t="n">
        <v>1</v>
      </c>
      <c r="J1030" s="13" t="n">
        <v>0</v>
      </c>
      <c r="K1030" s="13" t="s">
        <v>91</v>
      </c>
      <c r="L1030" s="13" t="n">
        <v>3</v>
      </c>
      <c r="M1030" s="13" t="n">
        <v>986630.39</v>
      </c>
      <c r="N1030" s="13" t="n">
        <v>328876.796666667</v>
      </c>
      <c r="O1030" s="13" t="n">
        <v>1157.47</v>
      </c>
      <c r="P1030" s="13" t="n">
        <v>1</v>
      </c>
      <c r="Q1030" s="13" t="n">
        <v>2</v>
      </c>
      <c r="R1030" s="13" t="s">
        <v>101</v>
      </c>
      <c r="S1030" s="13" t="s">
        <v>141</v>
      </c>
      <c r="T1030" s="13" t="n">
        <v>1</v>
      </c>
      <c r="U1030" s="13" t="n">
        <f aca="false">IF(B1030="Individual",1,0)</f>
        <v>1</v>
      </c>
      <c r="V1030" s="13" t="n">
        <f aca="false">IF(B1030="Company",1,0)</f>
        <v>0</v>
      </c>
      <c r="W1030" s="13" t="n">
        <f aca="false">IF(H1030="Home",1,0)</f>
        <v>1</v>
      </c>
      <c r="X1030" s="13" t="n">
        <f aca="false">IF(H1030="Investment",1,0)</f>
        <v>0</v>
      </c>
      <c r="Y1030" s="13" t="n">
        <f aca="false">IF(K1030="Website",1,0)</f>
        <v>0</v>
      </c>
      <c r="Z1030" s="13" t="n">
        <f aca="false">IF(K1030="Agency",1,0)</f>
        <v>1</v>
      </c>
      <c r="AA1030" s="13" t="n">
        <f aca="false">IF(K1030="Client",1,0)</f>
        <v>0</v>
      </c>
      <c r="AB1030" s="13" t="n">
        <f aca="false">(D1030-AVERAGE(D$2:D$2001))/STDEV(D$2:D$2001)</f>
        <v>0.568724798479635</v>
      </c>
      <c r="AC1030" s="13" t="n">
        <f aca="false">(I1030-AVERAGE(I$2:I$2001))/STDEV(I$2:I$2001)</f>
        <v>-1.43538077576244</v>
      </c>
      <c r="AD1030" s="13" t="n">
        <f aca="false">(L1030-AVERAGE(L$2:L$2001))/STDEV(L$2:L$2001)</f>
        <v>-0.777063122173208</v>
      </c>
      <c r="AE1030" s="13" t="n">
        <f aca="false">(M1030-AVERAGE(M$2:M$2001))/STDEV(M$2:M$2001)</f>
        <v>-0.787006776863061</v>
      </c>
      <c r="AF1030" s="13" t="n">
        <f aca="false">(N1030-AVERAGE(N$2:N$2001))/STDEV(N$2:N$2001)</f>
        <v>-0.261226094336058</v>
      </c>
      <c r="AG1030" s="13" t="n">
        <f aca="false">(O1030-AVERAGE(O$2:O$2001))/STDEV(O$2:O$2001)</f>
        <v>0.045426584616829</v>
      </c>
      <c r="AH1030" s="0" t="str">
        <f aca="false">IF(B1030="Company","C3 - Corporate Buyers",IF(AND(H1030="Investment",M1030&gt;'Segmentation Summary'!$C$1),"C1 - Global Investors",IF(AND(I1030&gt;=4,M1030&gt;'Segmentation Summary'!$C$1),"C4 - Luxury Investors",IF(AND(D1030&lt;'Segmentation Summary'!$C$2,J1030=1),"C2 - First-Time Buyers","C5 - Other Individual Buyers"))))</f>
        <v>C5 - Other Individual Buyers</v>
      </c>
    </row>
    <row r="1031" customFormat="false" ht="15" hidden="false" customHeight="true" outlineLevel="0" collapsed="false">
      <c r="A1031" s="13" t="s">
        <v>2095</v>
      </c>
      <c r="B1031" s="13" t="s">
        <v>34</v>
      </c>
      <c r="C1031" s="13" t="s">
        <v>2096</v>
      </c>
      <c r="D1031" s="13" t="n">
        <v>55</v>
      </c>
      <c r="E1031" s="13" t="s">
        <v>83</v>
      </c>
      <c r="F1031" s="13" t="s">
        <v>38</v>
      </c>
      <c r="G1031" s="13" t="s">
        <v>127</v>
      </c>
      <c r="H1031" s="13" t="s">
        <v>41</v>
      </c>
      <c r="I1031" s="13" t="n">
        <v>5</v>
      </c>
      <c r="J1031" s="13" t="n">
        <v>0</v>
      </c>
      <c r="K1031" s="13" t="s">
        <v>91</v>
      </c>
      <c r="L1031" s="13" t="n">
        <v>4</v>
      </c>
      <c r="M1031" s="13" t="n">
        <v>1523588.92</v>
      </c>
      <c r="N1031" s="13" t="n">
        <v>380897.23</v>
      </c>
      <c r="O1031" s="13" t="n">
        <v>1278.045</v>
      </c>
      <c r="P1031" s="13" t="n">
        <v>0</v>
      </c>
      <c r="Q1031" s="13" t="n">
        <v>4</v>
      </c>
      <c r="R1031" s="13" t="s">
        <v>86</v>
      </c>
      <c r="S1031" s="13" t="s">
        <v>114</v>
      </c>
      <c r="T1031" s="13" t="n">
        <v>1</v>
      </c>
      <c r="U1031" s="13" t="n">
        <f aca="false">IF(B1031="Individual",1,0)</f>
        <v>1</v>
      </c>
      <c r="V1031" s="13" t="n">
        <f aca="false">IF(B1031="Company",1,0)</f>
        <v>0</v>
      </c>
      <c r="W1031" s="13" t="n">
        <f aca="false">IF(H1031="Home",1,0)</f>
        <v>1</v>
      </c>
      <c r="X1031" s="13" t="n">
        <f aca="false">IF(H1031="Investment",1,0)</f>
        <v>0</v>
      </c>
      <c r="Y1031" s="13" t="n">
        <f aca="false">IF(K1031="Website",1,0)</f>
        <v>0</v>
      </c>
      <c r="Z1031" s="13" t="n">
        <f aca="false">IF(K1031="Agency",1,0)</f>
        <v>1</v>
      </c>
      <c r="AA1031" s="13" t="n">
        <f aca="false">IF(K1031="Client",1,0)</f>
        <v>0</v>
      </c>
      <c r="AB1031" s="13" t="n">
        <f aca="false">(D1031-AVERAGE(D$2:D$2001))/STDEV(D$2:D$2001)</f>
        <v>0.0497626990862745</v>
      </c>
      <c r="AC1031" s="13" t="n">
        <f aca="false">(I1031-AVERAGE(I$2:I$2001))/STDEV(I$2:I$2001)</f>
        <v>1.39434968409451</v>
      </c>
      <c r="AD1031" s="13" t="n">
        <f aca="false">(L1031-AVERAGE(L$2:L$2001))/STDEV(L$2:L$2001)</f>
        <v>0.413838214490712</v>
      </c>
      <c r="AE1031" s="13" t="n">
        <f aca="false">(M1031-AVERAGE(M$2:M$2001))/STDEV(M$2:M$2001)</f>
        <v>0.756728679199577</v>
      </c>
      <c r="AF1031" s="13" t="n">
        <f aca="false">(N1031-AVERAGE(N$2:N$2001))/STDEV(N$2:N$2001)</f>
        <v>0.484887991324505</v>
      </c>
      <c r="AG1031" s="13" t="n">
        <f aca="false">(O1031-AVERAGE(O$2:O$2001))/STDEV(O$2:O$2001)</f>
        <v>0.593687687156276</v>
      </c>
      <c r="AH1031" s="0" t="str">
        <f aca="false">IF(B1031="Company","C3 - Corporate Buyers",IF(AND(H1031="Investment",M1031&gt;'Segmentation Summary'!$C$1),"C1 - Global Investors",IF(AND(I1031&gt;=4,M1031&gt;'Segmentation Summary'!$C$1),"C4 - Luxury Investors",IF(AND(D1031&lt;'Segmentation Summary'!$C$2,J1031=1),"C2 - First-Time Buyers","C5 - Other Individual Buyers"))))</f>
        <v>C4 - Luxury Investors</v>
      </c>
    </row>
    <row r="1032" customFormat="false" ht="15" hidden="false" customHeight="true" outlineLevel="0" collapsed="false">
      <c r="A1032" s="13" t="s">
        <v>2097</v>
      </c>
      <c r="B1032" s="13" t="s">
        <v>34</v>
      </c>
      <c r="C1032" s="13" t="s">
        <v>2098</v>
      </c>
      <c r="D1032" s="13" t="n">
        <v>64</v>
      </c>
      <c r="E1032" s="13" t="s">
        <v>83</v>
      </c>
      <c r="F1032" s="13" t="s">
        <v>33</v>
      </c>
      <c r="G1032" s="13" t="s">
        <v>110</v>
      </c>
      <c r="H1032" s="13" t="s">
        <v>43</v>
      </c>
      <c r="I1032" s="13" t="n">
        <v>3</v>
      </c>
      <c r="J1032" s="13" t="n">
        <v>0</v>
      </c>
      <c r="K1032" s="13" t="s">
        <v>85</v>
      </c>
      <c r="L1032" s="13" t="n">
        <v>4</v>
      </c>
      <c r="M1032" s="13" t="n">
        <v>1296844.19</v>
      </c>
      <c r="N1032" s="13" t="n">
        <v>324211.0475</v>
      </c>
      <c r="O1032" s="13" t="n">
        <v>1102.08</v>
      </c>
      <c r="P1032" s="13" t="n">
        <v>0</v>
      </c>
      <c r="Q1032" s="13" t="n">
        <v>4</v>
      </c>
      <c r="R1032" s="13" t="s">
        <v>86</v>
      </c>
      <c r="S1032" s="13" t="s">
        <v>152</v>
      </c>
      <c r="T1032" s="13" t="n">
        <v>1</v>
      </c>
      <c r="U1032" s="13" t="n">
        <f aca="false">IF(B1032="Individual",1,0)</f>
        <v>1</v>
      </c>
      <c r="V1032" s="13" t="n">
        <f aca="false">IF(B1032="Company",1,0)</f>
        <v>0</v>
      </c>
      <c r="W1032" s="13" t="n">
        <f aca="false">IF(H1032="Home",1,0)</f>
        <v>0</v>
      </c>
      <c r="X1032" s="13" t="n">
        <f aca="false">IF(H1032="Investment",1,0)</f>
        <v>1</v>
      </c>
      <c r="Y1032" s="13" t="n">
        <f aca="false">IF(K1032="Website",1,0)</f>
        <v>1</v>
      </c>
      <c r="Z1032" s="13" t="n">
        <f aca="false">IF(K1032="Agency",1,0)</f>
        <v>0</v>
      </c>
      <c r="AA1032" s="13" t="n">
        <f aca="false">IF(K1032="Client",1,0)</f>
        <v>0</v>
      </c>
      <c r="AB1032" s="13" t="n">
        <f aca="false">(D1032-AVERAGE(D$2:D$2001))/STDEV(D$2:D$2001)</f>
        <v>0.568724798479635</v>
      </c>
      <c r="AC1032" s="13" t="n">
        <f aca="false">(I1032-AVERAGE(I$2:I$2001))/STDEV(I$2:I$2001)</f>
        <v>-0.0205155458339628</v>
      </c>
      <c r="AD1032" s="13" t="n">
        <f aca="false">(L1032-AVERAGE(L$2:L$2001))/STDEV(L$2:L$2001)</f>
        <v>0.413838214490712</v>
      </c>
      <c r="AE1032" s="13" t="n">
        <f aca="false">(M1032-AVERAGE(M$2:M$2001))/STDEV(M$2:M$2001)</f>
        <v>0.104846160122453</v>
      </c>
      <c r="AF1032" s="13" t="n">
        <f aca="false">(N1032-AVERAGE(N$2:N$2001))/STDEV(N$2:N$2001)</f>
        <v>-0.328145590202284</v>
      </c>
      <c r="AG1032" s="13" t="n">
        <f aca="false">(O1032-AVERAGE(O$2:O$2001))/STDEV(O$2:O$2001)</f>
        <v>-0.206434766987235</v>
      </c>
      <c r="AH1032" s="0" t="str">
        <f aca="false">IF(B1032="Company","C3 - Corporate Buyers",IF(AND(H1032="Investment",M1032&gt;'Segmentation Summary'!$C$1),"C1 - Global Investors",IF(AND(I1032&gt;=4,M1032&gt;'Segmentation Summary'!$C$1),"C4 - Luxury Investors",IF(AND(D1032&lt;'Segmentation Summary'!$C$2,J1032=1),"C2 - First-Time Buyers","C5 - Other Individual Buyers"))))</f>
        <v>C1 - Global Investors</v>
      </c>
    </row>
    <row r="1033" customFormat="false" ht="15" hidden="false" customHeight="true" outlineLevel="0" collapsed="false">
      <c r="A1033" s="13" t="s">
        <v>2099</v>
      </c>
      <c r="B1033" s="13" t="s">
        <v>34</v>
      </c>
      <c r="C1033" s="13" t="s">
        <v>2100</v>
      </c>
      <c r="D1033" s="13" t="n">
        <v>42</v>
      </c>
      <c r="E1033" s="13" t="s">
        <v>83</v>
      </c>
      <c r="F1033" s="13" t="s">
        <v>38</v>
      </c>
      <c r="G1033" s="13" t="s">
        <v>339</v>
      </c>
      <c r="H1033" s="13" t="s">
        <v>43</v>
      </c>
      <c r="I1033" s="13" t="n">
        <v>3</v>
      </c>
      <c r="J1033" s="13" t="n">
        <v>1</v>
      </c>
      <c r="K1033" s="13" t="s">
        <v>91</v>
      </c>
      <c r="L1033" s="13" t="n">
        <v>3</v>
      </c>
      <c r="M1033" s="13" t="n">
        <v>791609.11</v>
      </c>
      <c r="N1033" s="13" t="n">
        <v>263869.703333333</v>
      </c>
      <c r="O1033" s="13" t="n">
        <v>869.786666666667</v>
      </c>
      <c r="P1033" s="13" t="n">
        <v>0</v>
      </c>
      <c r="Q1033" s="13" t="n">
        <v>3</v>
      </c>
      <c r="R1033" s="13" t="s">
        <v>150</v>
      </c>
      <c r="S1033" s="13" t="s">
        <v>141</v>
      </c>
      <c r="T1033" s="13" t="n">
        <v>1</v>
      </c>
      <c r="U1033" s="13" t="n">
        <f aca="false">IF(B1033="Individual",1,0)</f>
        <v>1</v>
      </c>
      <c r="V1033" s="13" t="n">
        <f aca="false">IF(B1033="Company",1,0)</f>
        <v>0</v>
      </c>
      <c r="W1033" s="13" t="n">
        <f aca="false">IF(H1033="Home",1,0)</f>
        <v>0</v>
      </c>
      <c r="X1033" s="13" t="n">
        <f aca="false">IF(H1033="Investment",1,0)</f>
        <v>1</v>
      </c>
      <c r="Y1033" s="13" t="n">
        <f aca="false">IF(K1033="Website",1,0)</f>
        <v>0</v>
      </c>
      <c r="Z1033" s="13" t="n">
        <f aca="false">IF(K1033="Agency",1,0)</f>
        <v>1</v>
      </c>
      <c r="AA1033" s="13" t="n">
        <f aca="false">IF(K1033="Client",1,0)</f>
        <v>0</v>
      </c>
      <c r="AB1033" s="13" t="n">
        <f aca="false">(D1033-AVERAGE(D$2:D$2001))/STDEV(D$2:D$2001)</f>
        <v>-0.699849222259691</v>
      </c>
      <c r="AC1033" s="13" t="n">
        <f aca="false">(I1033-AVERAGE(I$2:I$2001))/STDEV(I$2:I$2001)</f>
        <v>-0.0205155458339628</v>
      </c>
      <c r="AD1033" s="13" t="n">
        <f aca="false">(L1033-AVERAGE(L$2:L$2001))/STDEV(L$2:L$2001)</f>
        <v>-0.777063122173208</v>
      </c>
      <c r="AE1033" s="13" t="n">
        <f aca="false">(M1033-AVERAGE(M$2:M$2001))/STDEV(M$2:M$2001)</f>
        <v>-1.34768557755689</v>
      </c>
      <c r="AF1033" s="13" t="n">
        <f aca="false">(N1033-AVERAGE(N$2:N$2001))/STDEV(N$2:N$2001)</f>
        <v>-1.19360410228265</v>
      </c>
      <c r="AG1033" s="13" t="n">
        <f aca="false">(O1033-AVERAGE(O$2:O$2001))/STDEV(O$2:O$2001)</f>
        <v>-1.26268522558891</v>
      </c>
      <c r="AH1033" s="0" t="str">
        <f aca="false">IF(B1033="Company","C3 - Corporate Buyers",IF(AND(H1033="Investment",M1033&gt;'Segmentation Summary'!$C$1),"C1 - Global Investors",IF(AND(I1033&gt;=4,M1033&gt;'Segmentation Summary'!$C$1),"C4 - Luxury Investors",IF(AND(D1033&lt;'Segmentation Summary'!$C$2,J1033=1),"C2 - First-Time Buyers","C5 - Other Individual Buyers"))))</f>
        <v>C2 - First-Time Buyers</v>
      </c>
    </row>
    <row r="1034" customFormat="false" ht="15" hidden="false" customHeight="true" outlineLevel="0" collapsed="false">
      <c r="A1034" s="13" t="s">
        <v>2101</v>
      </c>
      <c r="B1034" s="13" t="s">
        <v>34</v>
      </c>
      <c r="C1034" s="13" t="s">
        <v>2102</v>
      </c>
      <c r="D1034" s="13" t="n">
        <v>82</v>
      </c>
      <c r="E1034" s="13" t="s">
        <v>83</v>
      </c>
      <c r="F1034" s="13" t="s">
        <v>33</v>
      </c>
      <c r="G1034" s="13" t="s">
        <v>162</v>
      </c>
      <c r="H1034" s="13" t="s">
        <v>41</v>
      </c>
      <c r="I1034" s="13" t="n">
        <v>2</v>
      </c>
      <c r="J1034" s="13" t="n">
        <v>0</v>
      </c>
      <c r="K1034" s="13" t="s">
        <v>91</v>
      </c>
      <c r="L1034" s="13" t="n">
        <v>4</v>
      </c>
      <c r="M1034" s="13" t="n">
        <v>1165252.94</v>
      </c>
      <c r="N1034" s="13" t="n">
        <v>291313.235</v>
      </c>
      <c r="O1034" s="13" t="n">
        <v>1093.05</v>
      </c>
      <c r="P1034" s="13" t="n">
        <v>1</v>
      </c>
      <c r="Q1034" s="13" t="n">
        <v>3</v>
      </c>
      <c r="R1034" s="13" t="s">
        <v>92</v>
      </c>
      <c r="S1034" s="13" t="s">
        <v>215</v>
      </c>
      <c r="T1034" s="13" t="n">
        <v>1</v>
      </c>
      <c r="U1034" s="13" t="n">
        <f aca="false">IF(B1034="Individual",1,0)</f>
        <v>1</v>
      </c>
      <c r="V1034" s="13" t="n">
        <f aca="false">IF(B1034="Company",1,0)</f>
        <v>0</v>
      </c>
      <c r="W1034" s="13" t="n">
        <f aca="false">IF(H1034="Home",1,0)</f>
        <v>1</v>
      </c>
      <c r="X1034" s="13" t="n">
        <f aca="false">IF(H1034="Investment",1,0)</f>
        <v>0</v>
      </c>
      <c r="Y1034" s="13" t="n">
        <f aca="false">IF(K1034="Website",1,0)</f>
        <v>0</v>
      </c>
      <c r="Z1034" s="13" t="n">
        <f aca="false">IF(K1034="Agency",1,0)</f>
        <v>1</v>
      </c>
      <c r="AA1034" s="13" t="n">
        <f aca="false">IF(K1034="Client",1,0)</f>
        <v>0</v>
      </c>
      <c r="AB1034" s="13" t="n">
        <f aca="false">(D1034-AVERAGE(D$2:D$2001))/STDEV(D$2:D$2001)</f>
        <v>1.60664899726636</v>
      </c>
      <c r="AC1034" s="13" t="n">
        <f aca="false">(I1034-AVERAGE(I$2:I$2001))/STDEV(I$2:I$2001)</f>
        <v>-0.727948160798201</v>
      </c>
      <c r="AD1034" s="13" t="n">
        <f aca="false">(L1034-AVERAGE(L$2:L$2001))/STDEV(L$2:L$2001)</f>
        <v>0.413838214490712</v>
      </c>
      <c r="AE1034" s="13" t="n">
        <f aca="false">(M1034-AVERAGE(M$2:M$2001))/STDEV(M$2:M$2001)</f>
        <v>-0.273473704416439</v>
      </c>
      <c r="AF1034" s="13" t="n">
        <f aca="false">(N1034-AVERAGE(N$2:N$2001))/STDEV(N$2:N$2001)</f>
        <v>-0.799989435415741</v>
      </c>
      <c r="AG1034" s="13" t="n">
        <f aca="false">(O1034-AVERAGE(O$2:O$2001))/STDEV(O$2:O$2001)</f>
        <v>-0.247494669586706</v>
      </c>
      <c r="AH1034" s="0" t="str">
        <f aca="false">IF(B1034="Company","C3 - Corporate Buyers",IF(AND(H1034="Investment",M1034&gt;'Segmentation Summary'!$C$1),"C1 - Global Investors",IF(AND(I1034&gt;=4,M1034&gt;'Segmentation Summary'!$C$1),"C4 - Luxury Investors",IF(AND(D1034&lt;'Segmentation Summary'!$C$2,J1034=1),"C2 - First-Time Buyers","C5 - Other Individual Buyers"))))</f>
        <v>C5 - Other Individual Buyers</v>
      </c>
    </row>
    <row r="1035" customFormat="false" ht="15" hidden="false" customHeight="true" outlineLevel="0" collapsed="false">
      <c r="A1035" s="13" t="s">
        <v>2103</v>
      </c>
      <c r="B1035" s="13" t="s">
        <v>34</v>
      </c>
      <c r="C1035" s="13" t="s">
        <v>2104</v>
      </c>
      <c r="D1035" s="13" t="n">
        <v>82</v>
      </c>
      <c r="E1035" s="13" t="s">
        <v>83</v>
      </c>
      <c r="F1035" s="13" t="s">
        <v>33</v>
      </c>
      <c r="G1035" s="13" t="s">
        <v>110</v>
      </c>
      <c r="H1035" s="13" t="s">
        <v>43</v>
      </c>
      <c r="I1035" s="13" t="n">
        <v>3</v>
      </c>
      <c r="J1035" s="13" t="n">
        <v>0</v>
      </c>
      <c r="K1035" s="13" t="s">
        <v>91</v>
      </c>
      <c r="L1035" s="13" t="n">
        <v>3</v>
      </c>
      <c r="M1035" s="13" t="n">
        <v>961660.45</v>
      </c>
      <c r="N1035" s="13" t="n">
        <v>320553.483333333</v>
      </c>
      <c r="O1035" s="13" t="n">
        <v>1049.51333333333</v>
      </c>
      <c r="P1035" s="13" t="n">
        <v>0</v>
      </c>
      <c r="Q1035" s="13" t="n">
        <v>3</v>
      </c>
      <c r="R1035" s="13" t="s">
        <v>124</v>
      </c>
      <c r="S1035" s="13" t="s">
        <v>125</v>
      </c>
      <c r="T1035" s="13" t="n">
        <v>1</v>
      </c>
      <c r="U1035" s="13" t="n">
        <f aca="false">IF(B1035="Individual",1,0)</f>
        <v>1</v>
      </c>
      <c r="V1035" s="13" t="n">
        <f aca="false">IF(B1035="Company",1,0)</f>
        <v>0</v>
      </c>
      <c r="W1035" s="13" t="n">
        <f aca="false">IF(H1035="Home",1,0)</f>
        <v>0</v>
      </c>
      <c r="X1035" s="13" t="n">
        <f aca="false">IF(H1035="Investment",1,0)</f>
        <v>1</v>
      </c>
      <c r="Y1035" s="13" t="n">
        <f aca="false">IF(K1035="Website",1,0)</f>
        <v>0</v>
      </c>
      <c r="Z1035" s="13" t="n">
        <f aca="false">IF(K1035="Agency",1,0)</f>
        <v>1</v>
      </c>
      <c r="AA1035" s="13" t="n">
        <f aca="false">IF(K1035="Client",1,0)</f>
        <v>0</v>
      </c>
      <c r="AB1035" s="13" t="n">
        <f aca="false">(D1035-AVERAGE(D$2:D$2001))/STDEV(D$2:D$2001)</f>
        <v>1.60664899726636</v>
      </c>
      <c r="AC1035" s="13" t="n">
        <f aca="false">(I1035-AVERAGE(I$2:I$2001))/STDEV(I$2:I$2001)</f>
        <v>-0.0205155458339628</v>
      </c>
      <c r="AD1035" s="13" t="n">
        <f aca="false">(L1035-AVERAGE(L$2:L$2001))/STDEV(L$2:L$2001)</f>
        <v>-0.777063122173208</v>
      </c>
      <c r="AE1035" s="13" t="n">
        <f aca="false">(M1035-AVERAGE(M$2:M$2001))/STDEV(M$2:M$2001)</f>
        <v>-0.858794409538822</v>
      </c>
      <c r="AF1035" s="13" t="n">
        <f aca="false">(N1035-AVERAGE(N$2:N$2001))/STDEV(N$2:N$2001)</f>
        <v>-0.38060497912108</v>
      </c>
      <c r="AG1035" s="13" t="n">
        <f aca="false">(O1035-AVERAGE(O$2:O$2001))/STDEV(O$2:O$2001)</f>
        <v>-0.445458267907758</v>
      </c>
      <c r="AH1035" s="0" t="str">
        <f aca="false">IF(B1035="Company","C3 - Corporate Buyers",IF(AND(H1035="Investment",M1035&gt;'Segmentation Summary'!$C$1),"C1 - Global Investors",IF(AND(I1035&gt;=4,M1035&gt;'Segmentation Summary'!$C$1),"C4 - Luxury Investors",IF(AND(D1035&lt;'Segmentation Summary'!$C$2,J1035=1),"C2 - First-Time Buyers","C5 - Other Individual Buyers"))))</f>
        <v>C5 - Other Individual Buyers</v>
      </c>
    </row>
    <row r="1036" customFormat="false" ht="15" hidden="false" customHeight="true" outlineLevel="0" collapsed="false">
      <c r="A1036" s="13" t="s">
        <v>2105</v>
      </c>
      <c r="B1036" s="13" t="s">
        <v>34</v>
      </c>
      <c r="C1036" s="13" t="s">
        <v>2106</v>
      </c>
      <c r="D1036" s="13" t="n">
        <v>30</v>
      </c>
      <c r="E1036" s="13" t="s">
        <v>83</v>
      </c>
      <c r="F1036" s="13" t="s">
        <v>35</v>
      </c>
      <c r="G1036" s="13" t="s">
        <v>185</v>
      </c>
      <c r="H1036" s="13" t="s">
        <v>41</v>
      </c>
      <c r="I1036" s="13" t="n">
        <v>1</v>
      </c>
      <c r="J1036" s="13" t="n">
        <v>0</v>
      </c>
      <c r="K1036" s="13" t="s">
        <v>116</v>
      </c>
      <c r="L1036" s="13" t="n">
        <v>3</v>
      </c>
      <c r="M1036" s="13" t="n">
        <v>1173245.74</v>
      </c>
      <c r="N1036" s="13" t="n">
        <v>391081.913333333</v>
      </c>
      <c r="O1036" s="13" t="n">
        <v>1334.1</v>
      </c>
      <c r="P1036" s="13" t="n">
        <v>1</v>
      </c>
      <c r="Q1036" s="13" t="n">
        <v>2</v>
      </c>
      <c r="R1036" s="13" t="s">
        <v>98</v>
      </c>
      <c r="S1036" s="13" t="s">
        <v>125</v>
      </c>
      <c r="T1036" s="13" t="n">
        <v>1</v>
      </c>
      <c r="U1036" s="13" t="n">
        <f aca="false">IF(B1036="Individual",1,0)</f>
        <v>1</v>
      </c>
      <c r="V1036" s="13" t="n">
        <f aca="false">IF(B1036="Company",1,0)</f>
        <v>0</v>
      </c>
      <c r="W1036" s="13" t="n">
        <f aca="false">IF(H1036="Home",1,0)</f>
        <v>1</v>
      </c>
      <c r="X1036" s="13" t="n">
        <f aca="false">IF(H1036="Investment",1,0)</f>
        <v>0</v>
      </c>
      <c r="Y1036" s="13" t="n">
        <f aca="false">IF(K1036="Website",1,0)</f>
        <v>0</v>
      </c>
      <c r="Z1036" s="13" t="n">
        <f aca="false">IF(K1036="Agency",1,0)</f>
        <v>0</v>
      </c>
      <c r="AA1036" s="13" t="n">
        <f aca="false">IF(K1036="Client",1,0)</f>
        <v>1</v>
      </c>
      <c r="AB1036" s="13" t="n">
        <f aca="false">(D1036-AVERAGE(D$2:D$2001))/STDEV(D$2:D$2001)</f>
        <v>-1.39179868811751</v>
      </c>
      <c r="AC1036" s="13" t="n">
        <f aca="false">(I1036-AVERAGE(I$2:I$2001))/STDEV(I$2:I$2001)</f>
        <v>-1.43538077576244</v>
      </c>
      <c r="AD1036" s="13" t="n">
        <f aca="false">(L1036-AVERAGE(L$2:L$2001))/STDEV(L$2:L$2001)</f>
        <v>-0.777063122173208</v>
      </c>
      <c r="AE1036" s="13" t="n">
        <f aca="false">(M1036-AVERAGE(M$2:M$2001))/STDEV(M$2:M$2001)</f>
        <v>-0.250494706851734</v>
      </c>
      <c r="AF1036" s="13" t="n">
        <f aca="false">(N1036-AVERAGE(N$2:N$2001))/STDEV(N$2:N$2001)</f>
        <v>0.63096396966748</v>
      </c>
      <c r="AG1036" s="13" t="n">
        <f aca="false">(O1036-AVERAGE(O$2:O$2001))/STDEV(O$2:O$2001)</f>
        <v>0.848572830037044</v>
      </c>
      <c r="AH1036" s="0" t="str">
        <f aca="false">IF(B1036="Company","C3 - Corporate Buyers",IF(AND(H1036="Investment",M1036&gt;'Segmentation Summary'!$C$1),"C1 - Global Investors",IF(AND(I1036&gt;=4,M1036&gt;'Segmentation Summary'!$C$1),"C4 - Luxury Investors",IF(AND(D1036&lt;'Segmentation Summary'!$C$2,J1036=1),"C2 - First-Time Buyers","C5 - Other Individual Buyers"))))</f>
        <v>C5 - Other Individual Buyers</v>
      </c>
    </row>
    <row r="1037" customFormat="false" ht="15" hidden="false" customHeight="true" outlineLevel="0" collapsed="false">
      <c r="A1037" s="13" t="s">
        <v>2107</v>
      </c>
      <c r="B1037" s="13" t="s">
        <v>34</v>
      </c>
      <c r="C1037" s="13" t="s">
        <v>2108</v>
      </c>
      <c r="D1037" s="13" t="n">
        <v>47</v>
      </c>
      <c r="E1037" s="13" t="s">
        <v>83</v>
      </c>
      <c r="F1037" s="13" t="s">
        <v>33</v>
      </c>
      <c r="G1037" s="13" t="s">
        <v>265</v>
      </c>
      <c r="H1037" s="13" t="s">
        <v>43</v>
      </c>
      <c r="I1037" s="13" t="n">
        <v>5</v>
      </c>
      <c r="J1037" s="13" t="n">
        <v>1</v>
      </c>
      <c r="K1037" s="13" t="s">
        <v>85</v>
      </c>
      <c r="L1037" s="13" t="n">
        <v>4</v>
      </c>
      <c r="M1037" s="13" t="n">
        <v>1099365.94</v>
      </c>
      <c r="N1037" s="13" t="n">
        <v>274841.485</v>
      </c>
      <c r="O1037" s="13" t="n">
        <v>1000.415</v>
      </c>
      <c r="P1037" s="13" t="n">
        <v>1</v>
      </c>
      <c r="Q1037" s="13" t="n">
        <v>3</v>
      </c>
      <c r="R1037" s="13" t="s">
        <v>128</v>
      </c>
      <c r="S1037" s="13" t="s">
        <v>133</v>
      </c>
      <c r="T1037" s="13" t="n">
        <v>1</v>
      </c>
      <c r="U1037" s="13" t="n">
        <f aca="false">IF(B1037="Individual",1,0)</f>
        <v>1</v>
      </c>
      <c r="V1037" s="13" t="n">
        <f aca="false">IF(B1037="Company",1,0)</f>
        <v>0</v>
      </c>
      <c r="W1037" s="13" t="n">
        <f aca="false">IF(H1037="Home",1,0)</f>
        <v>0</v>
      </c>
      <c r="X1037" s="13" t="n">
        <f aca="false">IF(H1037="Investment",1,0)</f>
        <v>1</v>
      </c>
      <c r="Y1037" s="13" t="n">
        <f aca="false">IF(K1037="Website",1,0)</f>
        <v>1</v>
      </c>
      <c r="Z1037" s="13" t="n">
        <f aca="false">IF(K1037="Agency",1,0)</f>
        <v>0</v>
      </c>
      <c r="AA1037" s="13" t="n">
        <f aca="false">IF(K1037="Client",1,0)</f>
        <v>0</v>
      </c>
      <c r="AB1037" s="13" t="n">
        <f aca="false">(D1037-AVERAGE(D$2:D$2001))/STDEV(D$2:D$2001)</f>
        <v>-0.411536944818935</v>
      </c>
      <c r="AC1037" s="13" t="n">
        <f aca="false">(I1037-AVERAGE(I$2:I$2001))/STDEV(I$2:I$2001)</f>
        <v>1.39434968409451</v>
      </c>
      <c r="AD1037" s="13" t="n">
        <f aca="false">(L1037-AVERAGE(L$2:L$2001))/STDEV(L$2:L$2001)</f>
        <v>0.413838214490712</v>
      </c>
      <c r="AE1037" s="13" t="n">
        <f aca="false">(M1037-AVERAGE(M$2:M$2001))/STDEV(M$2:M$2001)</f>
        <v>-0.462896336353396</v>
      </c>
      <c r="AF1037" s="13" t="n">
        <f aca="false">(N1037-AVERAGE(N$2:N$2001))/STDEV(N$2:N$2001)</f>
        <v>-1.03623899934631</v>
      </c>
      <c r="AG1037" s="13" t="n">
        <f aca="false">(O1037-AVERAGE(O$2:O$2001))/STDEV(O$2:O$2001)</f>
        <v>-0.668711067959019</v>
      </c>
      <c r="AH1037" s="0" t="str">
        <f aca="false">IF(B1037="Company","C3 - Corporate Buyers",IF(AND(H1037="Investment",M1037&gt;'Segmentation Summary'!$C$1),"C1 - Global Investors",IF(AND(I1037&gt;=4,M1037&gt;'Segmentation Summary'!$C$1),"C4 - Luxury Investors",IF(AND(D1037&lt;'Segmentation Summary'!$C$2,J1037=1),"C2 - First-Time Buyers","C5 - Other Individual Buyers"))))</f>
        <v>C2 - First-Time Buyers</v>
      </c>
    </row>
    <row r="1038" customFormat="false" ht="15" hidden="false" customHeight="true" outlineLevel="0" collapsed="false">
      <c r="A1038" s="13" t="s">
        <v>2109</v>
      </c>
      <c r="B1038" s="13" t="s">
        <v>34</v>
      </c>
      <c r="C1038" s="13" t="s">
        <v>2110</v>
      </c>
      <c r="D1038" s="13" t="n">
        <v>70</v>
      </c>
      <c r="E1038" s="13" t="s">
        <v>83</v>
      </c>
      <c r="F1038" s="13" t="s">
        <v>33</v>
      </c>
      <c r="G1038" s="13" t="s">
        <v>162</v>
      </c>
      <c r="H1038" s="13" t="s">
        <v>43</v>
      </c>
      <c r="I1038" s="13" t="n">
        <v>1</v>
      </c>
      <c r="J1038" s="13" t="n">
        <v>1</v>
      </c>
      <c r="K1038" s="13" t="s">
        <v>91</v>
      </c>
      <c r="L1038" s="13" t="n">
        <v>3</v>
      </c>
      <c r="M1038" s="13" t="n">
        <v>1123449.53</v>
      </c>
      <c r="N1038" s="13" t="n">
        <v>374483.176666667</v>
      </c>
      <c r="O1038" s="13" t="n">
        <v>1286.42666666667</v>
      </c>
      <c r="P1038" s="13" t="n">
        <v>0</v>
      </c>
      <c r="Q1038" s="13" t="n">
        <v>3</v>
      </c>
      <c r="R1038" s="13" t="s">
        <v>128</v>
      </c>
      <c r="S1038" s="13" t="s">
        <v>87</v>
      </c>
      <c r="T1038" s="13" t="n">
        <v>1</v>
      </c>
      <c r="U1038" s="13" t="n">
        <f aca="false">IF(B1038="Individual",1,0)</f>
        <v>1</v>
      </c>
      <c r="V1038" s="13" t="n">
        <f aca="false">IF(B1038="Company",1,0)</f>
        <v>0</v>
      </c>
      <c r="W1038" s="13" t="n">
        <f aca="false">IF(H1038="Home",1,0)</f>
        <v>0</v>
      </c>
      <c r="X1038" s="13" t="n">
        <f aca="false">IF(H1038="Investment",1,0)</f>
        <v>1</v>
      </c>
      <c r="Y1038" s="13" t="n">
        <f aca="false">IF(K1038="Website",1,0)</f>
        <v>0</v>
      </c>
      <c r="Z1038" s="13" t="n">
        <f aca="false">IF(K1038="Agency",1,0)</f>
        <v>1</v>
      </c>
      <c r="AA1038" s="13" t="n">
        <f aca="false">IF(K1038="Client",1,0)</f>
        <v>0</v>
      </c>
      <c r="AB1038" s="13" t="n">
        <f aca="false">(D1038-AVERAGE(D$2:D$2001))/STDEV(D$2:D$2001)</f>
        <v>0.914699531408543</v>
      </c>
      <c r="AC1038" s="13" t="n">
        <f aca="false">(I1038-AVERAGE(I$2:I$2001))/STDEV(I$2:I$2001)</f>
        <v>-1.43538077576244</v>
      </c>
      <c r="AD1038" s="13" t="n">
        <f aca="false">(L1038-AVERAGE(L$2:L$2001))/STDEV(L$2:L$2001)</f>
        <v>-0.777063122173208</v>
      </c>
      <c r="AE1038" s="13" t="n">
        <f aca="false">(M1038-AVERAGE(M$2:M$2001))/STDEV(M$2:M$2001)</f>
        <v>-0.393656926389509</v>
      </c>
      <c r="AF1038" s="13" t="n">
        <f aca="false">(N1038-AVERAGE(N$2:N$2001))/STDEV(N$2:N$2001)</f>
        <v>0.392893072568006</v>
      </c>
      <c r="AG1038" s="13" t="n">
        <f aca="false">(O1038-AVERAGE(O$2:O$2001))/STDEV(O$2:O$2001)</f>
        <v>0.63179958272158</v>
      </c>
      <c r="AH1038" s="0" t="str">
        <f aca="false">IF(B1038="Company","C3 - Corporate Buyers",IF(AND(H1038="Investment",M1038&gt;'Segmentation Summary'!$C$1),"C1 - Global Investors",IF(AND(I1038&gt;=4,M1038&gt;'Segmentation Summary'!$C$1),"C4 - Luxury Investors",IF(AND(D1038&lt;'Segmentation Summary'!$C$2,J1038=1),"C2 - First-Time Buyers","C5 - Other Individual Buyers"))))</f>
        <v>C5 - Other Individual Buyers</v>
      </c>
    </row>
    <row r="1039" customFormat="false" ht="15" hidden="false" customHeight="true" outlineLevel="0" collapsed="false">
      <c r="A1039" s="13" t="s">
        <v>2111</v>
      </c>
      <c r="B1039" s="13" t="s">
        <v>34</v>
      </c>
      <c r="C1039" s="13" t="s">
        <v>2112</v>
      </c>
      <c r="D1039" s="13" t="n">
        <v>74</v>
      </c>
      <c r="E1039" s="13" t="s">
        <v>83</v>
      </c>
      <c r="F1039" s="13" t="s">
        <v>33</v>
      </c>
      <c r="G1039" s="13" t="s">
        <v>95</v>
      </c>
      <c r="H1039" s="13" t="s">
        <v>41</v>
      </c>
      <c r="I1039" s="13" t="n">
        <v>1</v>
      </c>
      <c r="J1039" s="13" t="n">
        <v>1</v>
      </c>
      <c r="K1039" s="13" t="s">
        <v>91</v>
      </c>
      <c r="L1039" s="13" t="n">
        <v>3</v>
      </c>
      <c r="M1039" s="13" t="n">
        <v>758070.13</v>
      </c>
      <c r="N1039" s="13" t="n">
        <v>252690.043333333</v>
      </c>
      <c r="O1039" s="13" t="n">
        <v>883.746666666667</v>
      </c>
      <c r="P1039" s="13" t="n">
        <v>1</v>
      </c>
      <c r="Q1039" s="13" t="n">
        <v>2</v>
      </c>
      <c r="R1039" s="13" t="s">
        <v>98</v>
      </c>
      <c r="S1039" s="13" t="s">
        <v>93</v>
      </c>
      <c r="T1039" s="13" t="n">
        <v>1</v>
      </c>
      <c r="U1039" s="13" t="n">
        <f aca="false">IF(B1039="Individual",1,0)</f>
        <v>1</v>
      </c>
      <c r="V1039" s="13" t="n">
        <f aca="false">IF(B1039="Company",1,0)</f>
        <v>0</v>
      </c>
      <c r="W1039" s="13" t="n">
        <f aca="false">IF(H1039="Home",1,0)</f>
        <v>1</v>
      </c>
      <c r="X1039" s="13" t="n">
        <f aca="false">IF(H1039="Investment",1,0)</f>
        <v>0</v>
      </c>
      <c r="Y1039" s="13" t="n">
        <f aca="false">IF(K1039="Website",1,0)</f>
        <v>0</v>
      </c>
      <c r="Z1039" s="13" t="n">
        <f aca="false">IF(K1039="Agency",1,0)</f>
        <v>1</v>
      </c>
      <c r="AA1039" s="13" t="n">
        <f aca="false">IF(K1039="Client",1,0)</f>
        <v>0</v>
      </c>
      <c r="AB1039" s="13" t="n">
        <f aca="false">(D1039-AVERAGE(D$2:D$2001))/STDEV(D$2:D$2001)</f>
        <v>1.14534935336115</v>
      </c>
      <c r="AC1039" s="13" t="n">
        <f aca="false">(I1039-AVERAGE(I$2:I$2001))/STDEV(I$2:I$2001)</f>
        <v>-1.43538077576244</v>
      </c>
      <c r="AD1039" s="13" t="n">
        <f aca="false">(L1039-AVERAGE(L$2:L$2001))/STDEV(L$2:L$2001)</f>
        <v>-0.777063122173208</v>
      </c>
      <c r="AE1039" s="13" t="n">
        <f aca="false">(M1039-AVERAGE(M$2:M$2001))/STDEV(M$2:M$2001)</f>
        <v>-1.44410887599331</v>
      </c>
      <c r="AF1039" s="13" t="n">
        <f aca="false">(N1039-AVERAGE(N$2:N$2001))/STDEV(N$2:N$2001)</f>
        <v>-1.35395074425403</v>
      </c>
      <c r="AG1039" s="13" t="n">
        <f aca="false">(O1039-AVERAGE(O$2:O$2001))/STDEV(O$2:O$2001)</f>
        <v>-1.19920834405085</v>
      </c>
      <c r="AH1039" s="0" t="str">
        <f aca="false">IF(B1039="Company","C3 - Corporate Buyers",IF(AND(H1039="Investment",M1039&gt;'Segmentation Summary'!$C$1),"C1 - Global Investors",IF(AND(I1039&gt;=4,M1039&gt;'Segmentation Summary'!$C$1),"C4 - Luxury Investors",IF(AND(D1039&lt;'Segmentation Summary'!$C$2,J1039=1),"C2 - First-Time Buyers","C5 - Other Individual Buyers"))))</f>
        <v>C5 - Other Individual Buyers</v>
      </c>
    </row>
    <row r="1040" customFormat="false" ht="15" hidden="false" customHeight="true" outlineLevel="0" collapsed="false">
      <c r="A1040" s="13" t="s">
        <v>2113</v>
      </c>
      <c r="B1040" s="13" t="s">
        <v>34</v>
      </c>
      <c r="C1040" s="13" t="s">
        <v>2114</v>
      </c>
      <c r="D1040" s="13" t="n">
        <v>67</v>
      </c>
      <c r="E1040" s="13" t="s">
        <v>83</v>
      </c>
      <c r="F1040" s="13" t="s">
        <v>33</v>
      </c>
      <c r="G1040" s="13" t="s">
        <v>110</v>
      </c>
      <c r="H1040" s="13" t="s">
        <v>41</v>
      </c>
      <c r="I1040" s="13" t="n">
        <v>2</v>
      </c>
      <c r="J1040" s="13" t="n">
        <v>1</v>
      </c>
      <c r="K1040" s="13" t="s">
        <v>85</v>
      </c>
      <c r="L1040" s="13" t="n">
        <v>4</v>
      </c>
      <c r="M1040" s="13" t="n">
        <v>919002.01</v>
      </c>
      <c r="N1040" s="13" t="n">
        <v>229750.5025</v>
      </c>
      <c r="O1040" s="13" t="n">
        <v>748.33</v>
      </c>
      <c r="P1040" s="13" t="n">
        <v>0</v>
      </c>
      <c r="Q1040" s="13" t="n">
        <v>4</v>
      </c>
      <c r="R1040" s="13" t="s">
        <v>92</v>
      </c>
      <c r="S1040" s="13" t="s">
        <v>114</v>
      </c>
      <c r="T1040" s="13" t="n">
        <v>1</v>
      </c>
      <c r="U1040" s="13" t="n">
        <f aca="false">IF(B1040="Individual",1,0)</f>
        <v>1</v>
      </c>
      <c r="V1040" s="13" t="n">
        <f aca="false">IF(B1040="Company",1,0)</f>
        <v>0</v>
      </c>
      <c r="W1040" s="13" t="n">
        <f aca="false">IF(H1040="Home",1,0)</f>
        <v>1</v>
      </c>
      <c r="X1040" s="13" t="n">
        <f aca="false">IF(H1040="Investment",1,0)</f>
        <v>0</v>
      </c>
      <c r="Y1040" s="13" t="n">
        <f aca="false">IF(K1040="Website",1,0)</f>
        <v>1</v>
      </c>
      <c r="Z1040" s="13" t="n">
        <f aca="false">IF(K1040="Agency",1,0)</f>
        <v>0</v>
      </c>
      <c r="AA1040" s="13" t="n">
        <f aca="false">IF(K1040="Client",1,0)</f>
        <v>0</v>
      </c>
      <c r="AB1040" s="13" t="n">
        <f aca="false">(D1040-AVERAGE(D$2:D$2001))/STDEV(D$2:D$2001)</f>
        <v>0.741712164944089</v>
      </c>
      <c r="AC1040" s="13" t="n">
        <f aca="false">(I1040-AVERAGE(I$2:I$2001))/STDEV(I$2:I$2001)</f>
        <v>-0.727948160798201</v>
      </c>
      <c r="AD1040" s="13" t="n">
        <f aca="false">(L1040-AVERAGE(L$2:L$2001))/STDEV(L$2:L$2001)</f>
        <v>0.413838214490712</v>
      </c>
      <c r="AE1040" s="13" t="n">
        <f aca="false">(M1040-AVERAGE(M$2:M$2001))/STDEV(M$2:M$2001)</f>
        <v>-0.981435810408868</v>
      </c>
      <c r="AF1040" s="13" t="n">
        <f aca="false">(N1040-AVERAGE(N$2:N$2001))/STDEV(N$2:N$2001)</f>
        <v>-1.68296596841919</v>
      </c>
      <c r="AG1040" s="13" t="n">
        <f aca="false">(O1040-AVERAGE(O$2:O$2001))/STDEV(O$2:O$2001)</f>
        <v>-1.81495531455787</v>
      </c>
      <c r="AH1040" s="0" t="str">
        <f aca="false">IF(B1040="Company","C3 - Corporate Buyers",IF(AND(H1040="Investment",M1040&gt;'Segmentation Summary'!$C$1),"C1 - Global Investors",IF(AND(I1040&gt;=4,M1040&gt;'Segmentation Summary'!$C$1),"C4 - Luxury Investors",IF(AND(D1040&lt;'Segmentation Summary'!$C$2,J1040=1),"C2 - First-Time Buyers","C5 - Other Individual Buyers"))))</f>
        <v>C5 - Other Individual Buyers</v>
      </c>
    </row>
    <row r="1041" customFormat="false" ht="15" hidden="false" customHeight="true" outlineLevel="0" collapsed="false">
      <c r="A1041" s="13" t="s">
        <v>2115</v>
      </c>
      <c r="B1041" s="13" t="s">
        <v>34</v>
      </c>
      <c r="C1041" s="13" t="s">
        <v>2114</v>
      </c>
      <c r="D1041" s="13" t="n">
        <v>52</v>
      </c>
      <c r="E1041" s="13" t="s">
        <v>83</v>
      </c>
      <c r="F1041" s="13" t="s">
        <v>33</v>
      </c>
      <c r="G1041" s="13" t="s">
        <v>157</v>
      </c>
      <c r="H1041" s="13" t="s">
        <v>43</v>
      </c>
      <c r="I1041" s="13" t="n">
        <v>2</v>
      </c>
      <c r="J1041" s="13" t="n">
        <v>0</v>
      </c>
      <c r="K1041" s="13" t="s">
        <v>91</v>
      </c>
      <c r="L1041" s="13" t="n">
        <v>3</v>
      </c>
      <c r="M1041" s="13" t="n">
        <v>1418922.44</v>
      </c>
      <c r="N1041" s="13" t="n">
        <v>472974.146666667</v>
      </c>
      <c r="O1041" s="13" t="n">
        <v>1504.28</v>
      </c>
      <c r="P1041" s="13" t="n">
        <v>2</v>
      </c>
      <c r="Q1041" s="13" t="n">
        <v>1</v>
      </c>
      <c r="R1041" s="13" t="s">
        <v>124</v>
      </c>
      <c r="S1041" s="13" t="s">
        <v>133</v>
      </c>
      <c r="T1041" s="13" t="n">
        <v>1</v>
      </c>
      <c r="U1041" s="13" t="n">
        <f aca="false">IF(B1041="Individual",1,0)</f>
        <v>1</v>
      </c>
      <c r="V1041" s="13" t="n">
        <f aca="false">IF(B1041="Company",1,0)</f>
        <v>0</v>
      </c>
      <c r="W1041" s="13" t="n">
        <f aca="false">IF(H1041="Home",1,0)</f>
        <v>0</v>
      </c>
      <c r="X1041" s="13" t="n">
        <f aca="false">IF(H1041="Investment",1,0)</f>
        <v>1</v>
      </c>
      <c r="Y1041" s="13" t="n">
        <f aca="false">IF(K1041="Website",1,0)</f>
        <v>0</v>
      </c>
      <c r="Z1041" s="13" t="n">
        <f aca="false">IF(K1041="Agency",1,0)</f>
        <v>1</v>
      </c>
      <c r="AA1041" s="13" t="n">
        <f aca="false">IF(K1041="Client",1,0)</f>
        <v>0</v>
      </c>
      <c r="AB1041" s="13" t="n">
        <f aca="false">(D1041-AVERAGE(D$2:D$2001))/STDEV(D$2:D$2001)</f>
        <v>-0.123224667378179</v>
      </c>
      <c r="AC1041" s="13" t="n">
        <f aca="false">(I1041-AVERAGE(I$2:I$2001))/STDEV(I$2:I$2001)</f>
        <v>-0.727948160798201</v>
      </c>
      <c r="AD1041" s="13" t="n">
        <f aca="false">(L1041-AVERAGE(L$2:L$2001))/STDEV(L$2:L$2001)</f>
        <v>-0.777063122173208</v>
      </c>
      <c r="AE1041" s="13" t="n">
        <f aca="false">(M1041-AVERAGE(M$2:M$2001))/STDEV(M$2:M$2001)</f>
        <v>0.455816509618677</v>
      </c>
      <c r="AF1041" s="13" t="n">
        <f aca="false">(N1041-AVERAGE(N$2:N$2001))/STDEV(N$2:N$2001)</f>
        <v>1.8055206751967</v>
      </c>
      <c r="AG1041" s="13" t="n">
        <f aca="false">(O1041-AVERAGE(O$2:O$2001))/STDEV(O$2:O$2001)</f>
        <v>1.62239057360049</v>
      </c>
      <c r="AH1041" s="0" t="str">
        <f aca="false">IF(B1041="Company","C3 - Corporate Buyers",IF(AND(H1041="Investment",M1041&gt;'Segmentation Summary'!$C$1),"C1 - Global Investors",IF(AND(I1041&gt;=4,M1041&gt;'Segmentation Summary'!$C$1),"C4 - Luxury Investors",IF(AND(D1041&lt;'Segmentation Summary'!$C$2,J1041=1),"C2 - First-Time Buyers","C5 - Other Individual Buyers"))))</f>
        <v>C1 - Global Investors</v>
      </c>
    </row>
    <row r="1042" customFormat="false" ht="15" hidden="false" customHeight="true" outlineLevel="0" collapsed="false">
      <c r="A1042" s="13" t="s">
        <v>2116</v>
      </c>
      <c r="B1042" s="13" t="s">
        <v>34</v>
      </c>
      <c r="C1042" s="13" t="s">
        <v>2117</v>
      </c>
      <c r="D1042" s="13" t="n">
        <v>27</v>
      </c>
      <c r="E1042" s="13" t="s">
        <v>83</v>
      </c>
      <c r="F1042" s="13" t="s">
        <v>33</v>
      </c>
      <c r="G1042" s="13" t="s">
        <v>97</v>
      </c>
      <c r="H1042" s="13" t="s">
        <v>43</v>
      </c>
      <c r="I1042" s="13" t="n">
        <v>1</v>
      </c>
      <c r="J1042" s="13" t="n">
        <v>1</v>
      </c>
      <c r="K1042" s="13" t="s">
        <v>85</v>
      </c>
      <c r="L1042" s="13" t="n">
        <v>4</v>
      </c>
      <c r="M1042" s="13" t="n">
        <v>1008834.66</v>
      </c>
      <c r="N1042" s="13" t="n">
        <v>252208.665</v>
      </c>
      <c r="O1042" s="13" t="n">
        <v>872.2</v>
      </c>
      <c r="P1042" s="13" t="n">
        <v>1</v>
      </c>
      <c r="Q1042" s="13" t="n">
        <v>3</v>
      </c>
      <c r="R1042" s="13" t="s">
        <v>92</v>
      </c>
      <c r="S1042" s="13" t="s">
        <v>87</v>
      </c>
      <c r="T1042" s="13" t="n">
        <v>1</v>
      </c>
      <c r="U1042" s="13" t="n">
        <f aca="false">IF(B1042="Individual",1,0)</f>
        <v>1</v>
      </c>
      <c r="V1042" s="13" t="n">
        <f aca="false">IF(B1042="Company",1,0)</f>
        <v>0</v>
      </c>
      <c r="W1042" s="13" t="n">
        <f aca="false">IF(H1042="Home",1,0)</f>
        <v>0</v>
      </c>
      <c r="X1042" s="13" t="n">
        <f aca="false">IF(H1042="Investment",1,0)</f>
        <v>1</v>
      </c>
      <c r="Y1042" s="13" t="n">
        <f aca="false">IF(K1042="Website",1,0)</f>
        <v>1</v>
      </c>
      <c r="Z1042" s="13" t="n">
        <f aca="false">IF(K1042="Agency",1,0)</f>
        <v>0</v>
      </c>
      <c r="AA1042" s="13" t="n">
        <f aca="false">IF(K1042="Client",1,0)</f>
        <v>0</v>
      </c>
      <c r="AB1042" s="13" t="n">
        <f aca="false">(D1042-AVERAGE(D$2:D$2001))/STDEV(D$2:D$2001)</f>
        <v>-1.56478605458196</v>
      </c>
      <c r="AC1042" s="13" t="n">
        <f aca="false">(I1042-AVERAGE(I$2:I$2001))/STDEV(I$2:I$2001)</f>
        <v>-1.43538077576244</v>
      </c>
      <c r="AD1042" s="13" t="n">
        <f aca="false">(L1042-AVERAGE(L$2:L$2001))/STDEV(L$2:L$2001)</f>
        <v>0.413838214490712</v>
      </c>
      <c r="AE1042" s="13" t="n">
        <f aca="false">(M1042-AVERAGE(M$2:M$2001))/STDEV(M$2:M$2001)</f>
        <v>-0.723170340788588</v>
      </c>
      <c r="AF1042" s="13" t="n">
        <f aca="false">(N1042-AVERAGE(N$2:N$2001))/STDEV(N$2:N$2001)</f>
        <v>-1.3608550149803</v>
      </c>
      <c r="AG1042" s="13" t="n">
        <f aca="false">(O1042-AVERAGE(O$2:O$2001))/STDEV(O$2:O$2001)</f>
        <v>-1.25171166727144</v>
      </c>
      <c r="AH1042" s="0" t="str">
        <f aca="false">IF(B1042="Company","C3 - Corporate Buyers",IF(AND(H1042="Investment",M1042&gt;'Segmentation Summary'!$C$1),"C1 - Global Investors",IF(AND(I1042&gt;=4,M1042&gt;'Segmentation Summary'!$C$1),"C4 - Luxury Investors",IF(AND(D1042&lt;'Segmentation Summary'!$C$2,J1042=1),"C2 - First-Time Buyers","C5 - Other Individual Buyers"))))</f>
        <v>C2 - First-Time Buyers</v>
      </c>
    </row>
    <row r="1043" customFormat="false" ht="15" hidden="false" customHeight="true" outlineLevel="0" collapsed="false">
      <c r="A1043" s="13" t="s">
        <v>2118</v>
      </c>
      <c r="B1043" s="13" t="s">
        <v>34</v>
      </c>
      <c r="C1043" s="13" t="s">
        <v>2119</v>
      </c>
      <c r="D1043" s="13" t="n">
        <v>72</v>
      </c>
      <c r="E1043" s="13" t="s">
        <v>83</v>
      </c>
      <c r="F1043" s="13" t="s">
        <v>35</v>
      </c>
      <c r="G1043" s="13" t="s">
        <v>137</v>
      </c>
      <c r="H1043" s="13" t="s">
        <v>41</v>
      </c>
      <c r="I1043" s="13" t="n">
        <v>2</v>
      </c>
      <c r="J1043" s="13" t="n">
        <v>0</v>
      </c>
      <c r="K1043" s="13" t="s">
        <v>85</v>
      </c>
      <c r="L1043" s="13" t="n">
        <v>4</v>
      </c>
      <c r="M1043" s="13" t="n">
        <v>1742522.83</v>
      </c>
      <c r="N1043" s="13" t="n">
        <v>435630.7075</v>
      </c>
      <c r="O1043" s="13" t="n">
        <v>1282.79</v>
      </c>
      <c r="P1043" s="13" t="n">
        <v>1</v>
      </c>
      <c r="Q1043" s="13" t="n">
        <v>3</v>
      </c>
      <c r="R1043" s="13" t="s">
        <v>98</v>
      </c>
      <c r="S1043" s="13" t="s">
        <v>164</v>
      </c>
      <c r="T1043" s="13" t="n">
        <v>1</v>
      </c>
      <c r="U1043" s="13" t="n">
        <f aca="false">IF(B1043="Individual",1,0)</f>
        <v>1</v>
      </c>
      <c r="V1043" s="13" t="n">
        <f aca="false">IF(B1043="Company",1,0)</f>
        <v>0</v>
      </c>
      <c r="W1043" s="13" t="n">
        <f aca="false">IF(H1043="Home",1,0)</f>
        <v>1</v>
      </c>
      <c r="X1043" s="13" t="n">
        <f aca="false">IF(H1043="Investment",1,0)</f>
        <v>0</v>
      </c>
      <c r="Y1043" s="13" t="n">
        <f aca="false">IF(K1043="Website",1,0)</f>
        <v>1</v>
      </c>
      <c r="Z1043" s="13" t="n">
        <f aca="false">IF(K1043="Agency",1,0)</f>
        <v>0</v>
      </c>
      <c r="AA1043" s="13" t="n">
        <f aca="false">IF(K1043="Client",1,0)</f>
        <v>0</v>
      </c>
      <c r="AB1043" s="13" t="n">
        <f aca="false">(D1043-AVERAGE(D$2:D$2001))/STDEV(D$2:D$2001)</f>
        <v>1.03002444238485</v>
      </c>
      <c r="AC1043" s="13" t="n">
        <f aca="false">(I1043-AVERAGE(I$2:I$2001))/STDEV(I$2:I$2001)</f>
        <v>-0.727948160798201</v>
      </c>
      <c r="AD1043" s="13" t="n">
        <f aca="false">(L1043-AVERAGE(L$2:L$2001))/STDEV(L$2:L$2001)</f>
        <v>0.413838214490712</v>
      </c>
      <c r="AE1043" s="13" t="n">
        <f aca="false">(M1043-AVERAGE(M$2:M$2001))/STDEV(M$2:M$2001)</f>
        <v>1.38615538632615</v>
      </c>
      <c r="AF1043" s="13" t="n">
        <f aca="false">(N1043-AVERAGE(N$2:N$2001))/STDEV(N$2:N$2001)</f>
        <v>1.26991448770642</v>
      </c>
      <c r="AG1043" s="13" t="n">
        <f aca="false">(O1043-AVERAGE(O$2:O$2001))/STDEV(O$2:O$2001)</f>
        <v>0.615263461002841</v>
      </c>
      <c r="AH1043" s="0" t="str">
        <f aca="false">IF(B1043="Company","C3 - Corporate Buyers",IF(AND(H1043="Investment",M1043&gt;'Segmentation Summary'!$C$1),"C1 - Global Investors",IF(AND(I1043&gt;=4,M1043&gt;'Segmentation Summary'!$C$1),"C4 - Luxury Investors",IF(AND(D1043&lt;'Segmentation Summary'!$C$2,J1043=1),"C2 - First-Time Buyers","C5 - Other Individual Buyers"))))</f>
        <v>C5 - Other Individual Buyers</v>
      </c>
    </row>
    <row r="1044" customFormat="false" ht="15" hidden="false" customHeight="true" outlineLevel="0" collapsed="false">
      <c r="A1044" s="13" t="s">
        <v>2120</v>
      </c>
      <c r="B1044" s="13" t="s">
        <v>34</v>
      </c>
      <c r="C1044" s="13" t="s">
        <v>2121</v>
      </c>
      <c r="D1044" s="13" t="n">
        <v>74</v>
      </c>
      <c r="E1044" s="13" t="s">
        <v>83</v>
      </c>
      <c r="F1044" s="13" t="s">
        <v>33</v>
      </c>
      <c r="G1044" s="13" t="s">
        <v>84</v>
      </c>
      <c r="H1044" s="13" t="s">
        <v>41</v>
      </c>
      <c r="I1044" s="13" t="n">
        <v>5</v>
      </c>
      <c r="J1044" s="13" t="n">
        <v>0</v>
      </c>
      <c r="K1044" s="13" t="s">
        <v>91</v>
      </c>
      <c r="L1044" s="13" t="n">
        <v>3</v>
      </c>
      <c r="M1044" s="13" t="n">
        <v>1582661.61</v>
      </c>
      <c r="N1044" s="13" t="n">
        <v>527553.87</v>
      </c>
      <c r="O1044" s="13" t="n">
        <v>1674.54</v>
      </c>
      <c r="P1044" s="13" t="n">
        <v>1</v>
      </c>
      <c r="Q1044" s="13" t="n">
        <v>2</v>
      </c>
      <c r="R1044" s="13" t="s">
        <v>86</v>
      </c>
      <c r="S1044" s="13" t="s">
        <v>103</v>
      </c>
      <c r="T1044" s="13" t="n">
        <v>1</v>
      </c>
      <c r="U1044" s="13" t="n">
        <f aca="false">IF(B1044="Individual",1,0)</f>
        <v>1</v>
      </c>
      <c r="V1044" s="13" t="n">
        <f aca="false">IF(B1044="Company",1,0)</f>
        <v>0</v>
      </c>
      <c r="W1044" s="13" t="n">
        <f aca="false">IF(H1044="Home",1,0)</f>
        <v>1</v>
      </c>
      <c r="X1044" s="13" t="n">
        <f aca="false">IF(H1044="Investment",1,0)</f>
        <v>0</v>
      </c>
      <c r="Y1044" s="13" t="n">
        <f aca="false">IF(K1044="Website",1,0)</f>
        <v>0</v>
      </c>
      <c r="Z1044" s="13" t="n">
        <f aca="false">IF(K1044="Agency",1,0)</f>
        <v>1</v>
      </c>
      <c r="AA1044" s="13" t="n">
        <f aca="false">IF(K1044="Client",1,0)</f>
        <v>0</v>
      </c>
      <c r="AB1044" s="13" t="n">
        <f aca="false">(D1044-AVERAGE(D$2:D$2001))/STDEV(D$2:D$2001)</f>
        <v>1.14534935336115</v>
      </c>
      <c r="AC1044" s="13" t="n">
        <f aca="false">(I1044-AVERAGE(I$2:I$2001))/STDEV(I$2:I$2001)</f>
        <v>1.39434968409451</v>
      </c>
      <c r="AD1044" s="13" t="n">
        <f aca="false">(L1044-AVERAGE(L$2:L$2001))/STDEV(L$2:L$2001)</f>
        <v>-0.777063122173208</v>
      </c>
      <c r="AE1044" s="13" t="n">
        <f aca="false">(M1044-AVERAGE(M$2:M$2001))/STDEV(M$2:M$2001)</f>
        <v>0.926560427729575</v>
      </c>
      <c r="AF1044" s="13" t="n">
        <f aca="false">(N1044-AVERAGE(N$2:N$2001))/STDEV(N$2:N$2001)</f>
        <v>2.58834191987023</v>
      </c>
      <c r="AG1044" s="13" t="n">
        <f aca="false">(O1044-AVERAGE(O$2:O$2001))/STDEV(O$2:O$2001)</f>
        <v>2.39657208152806</v>
      </c>
      <c r="AH1044" s="0" t="str">
        <f aca="false">IF(B1044="Company","C3 - Corporate Buyers",IF(AND(H1044="Investment",M1044&gt;'Segmentation Summary'!$C$1),"C1 - Global Investors",IF(AND(I1044&gt;=4,M1044&gt;'Segmentation Summary'!$C$1),"C4 - Luxury Investors",IF(AND(D1044&lt;'Segmentation Summary'!$C$2,J1044=1),"C2 - First-Time Buyers","C5 - Other Individual Buyers"))))</f>
        <v>C4 - Luxury Investors</v>
      </c>
    </row>
    <row r="1045" customFormat="false" ht="15" hidden="false" customHeight="true" outlineLevel="0" collapsed="false">
      <c r="A1045" s="13" t="s">
        <v>2122</v>
      </c>
      <c r="B1045" s="13" t="s">
        <v>34</v>
      </c>
      <c r="C1045" s="13" t="s">
        <v>2123</v>
      </c>
      <c r="D1045" s="13" t="n">
        <v>57</v>
      </c>
      <c r="E1045" s="13" t="s">
        <v>83</v>
      </c>
      <c r="F1045" s="13" t="s">
        <v>33</v>
      </c>
      <c r="G1045" s="13" t="s">
        <v>100</v>
      </c>
      <c r="H1045" s="13" t="s">
        <v>41</v>
      </c>
      <c r="I1045" s="13" t="n">
        <v>2</v>
      </c>
      <c r="J1045" s="13" t="n">
        <v>0</v>
      </c>
      <c r="K1045" s="13" t="s">
        <v>116</v>
      </c>
      <c r="L1045" s="13" t="n">
        <v>4</v>
      </c>
      <c r="M1045" s="13" t="n">
        <v>1434208.3</v>
      </c>
      <c r="N1045" s="13" t="n">
        <v>358552.075</v>
      </c>
      <c r="O1045" s="13" t="n">
        <v>1164.015</v>
      </c>
      <c r="P1045" s="13" t="n">
        <v>2</v>
      </c>
      <c r="Q1045" s="13" t="n">
        <v>2</v>
      </c>
      <c r="R1045" s="13" t="s">
        <v>101</v>
      </c>
      <c r="S1045" s="13" t="s">
        <v>152</v>
      </c>
      <c r="T1045" s="13" t="n">
        <v>1</v>
      </c>
      <c r="U1045" s="13" t="n">
        <f aca="false">IF(B1045="Individual",1,0)</f>
        <v>1</v>
      </c>
      <c r="V1045" s="13" t="n">
        <f aca="false">IF(B1045="Company",1,0)</f>
        <v>0</v>
      </c>
      <c r="W1045" s="13" t="n">
        <f aca="false">IF(H1045="Home",1,0)</f>
        <v>1</v>
      </c>
      <c r="X1045" s="13" t="n">
        <f aca="false">IF(H1045="Investment",1,0)</f>
        <v>0</v>
      </c>
      <c r="Y1045" s="13" t="n">
        <f aca="false">IF(K1045="Website",1,0)</f>
        <v>0</v>
      </c>
      <c r="Z1045" s="13" t="n">
        <f aca="false">IF(K1045="Agency",1,0)</f>
        <v>0</v>
      </c>
      <c r="AA1045" s="13" t="n">
        <f aca="false">IF(K1045="Client",1,0)</f>
        <v>1</v>
      </c>
      <c r="AB1045" s="13" t="n">
        <f aca="false">(D1045-AVERAGE(D$2:D$2001))/STDEV(D$2:D$2001)</f>
        <v>0.165087610062577</v>
      </c>
      <c r="AC1045" s="13" t="n">
        <f aca="false">(I1045-AVERAGE(I$2:I$2001))/STDEV(I$2:I$2001)</f>
        <v>-0.727948160798201</v>
      </c>
      <c r="AD1045" s="13" t="n">
        <f aca="false">(L1045-AVERAGE(L$2:L$2001))/STDEV(L$2:L$2001)</f>
        <v>0.413838214490712</v>
      </c>
      <c r="AE1045" s="13" t="n">
        <f aca="false">(M1045-AVERAGE(M$2:M$2001))/STDEV(M$2:M$2001)</f>
        <v>0.499762778725175</v>
      </c>
      <c r="AF1045" s="13" t="n">
        <f aca="false">(N1045-AVERAGE(N$2:N$2001))/STDEV(N$2:N$2001)</f>
        <v>0.164397871895115</v>
      </c>
      <c r="AG1045" s="13" t="n">
        <f aca="false">(O1045-AVERAGE(O$2:O$2001))/STDEV(O$2:O$2001)</f>
        <v>0.0751870566559807</v>
      </c>
      <c r="AH1045" s="0" t="str">
        <f aca="false">IF(B1045="Company","C3 - Corporate Buyers",IF(AND(H1045="Investment",M1045&gt;'Segmentation Summary'!$C$1),"C1 - Global Investors",IF(AND(I1045&gt;=4,M1045&gt;'Segmentation Summary'!$C$1),"C4 - Luxury Investors",IF(AND(D1045&lt;'Segmentation Summary'!$C$2,J1045=1),"C2 - First-Time Buyers","C5 - Other Individual Buyers"))))</f>
        <v>C5 - Other Individual Buyers</v>
      </c>
    </row>
    <row r="1046" customFormat="false" ht="15" hidden="false" customHeight="true" outlineLevel="0" collapsed="false">
      <c r="A1046" s="13" t="s">
        <v>2124</v>
      </c>
      <c r="B1046" s="13" t="s">
        <v>34</v>
      </c>
      <c r="C1046" s="13" t="s">
        <v>2125</v>
      </c>
      <c r="D1046" s="13" t="n">
        <v>59</v>
      </c>
      <c r="E1046" s="13" t="s">
        <v>83</v>
      </c>
      <c r="F1046" s="13" t="s">
        <v>33</v>
      </c>
      <c r="G1046" s="13" t="s">
        <v>84</v>
      </c>
      <c r="H1046" s="13" t="s">
        <v>43</v>
      </c>
      <c r="I1046" s="13" t="n">
        <v>3</v>
      </c>
      <c r="J1046" s="13" t="n">
        <v>1</v>
      </c>
      <c r="K1046" s="13" t="s">
        <v>85</v>
      </c>
      <c r="L1046" s="13" t="n">
        <v>4</v>
      </c>
      <c r="M1046" s="13" t="n">
        <v>1126492.46</v>
      </c>
      <c r="N1046" s="13" t="n">
        <v>281623.115</v>
      </c>
      <c r="O1046" s="13" t="n">
        <v>983.505</v>
      </c>
      <c r="P1046" s="13" t="n">
        <v>0</v>
      </c>
      <c r="Q1046" s="13" t="n">
        <v>4</v>
      </c>
      <c r="R1046" s="13" t="s">
        <v>98</v>
      </c>
      <c r="S1046" s="13" t="s">
        <v>114</v>
      </c>
      <c r="T1046" s="13" t="n">
        <v>1</v>
      </c>
      <c r="U1046" s="13" t="n">
        <f aca="false">IF(B1046="Individual",1,0)</f>
        <v>1</v>
      </c>
      <c r="V1046" s="13" t="n">
        <f aca="false">IF(B1046="Company",1,0)</f>
        <v>0</v>
      </c>
      <c r="W1046" s="13" t="n">
        <f aca="false">IF(H1046="Home",1,0)</f>
        <v>0</v>
      </c>
      <c r="X1046" s="13" t="n">
        <f aca="false">IF(H1046="Investment",1,0)</f>
        <v>1</v>
      </c>
      <c r="Y1046" s="13" t="n">
        <f aca="false">IF(K1046="Website",1,0)</f>
        <v>1</v>
      </c>
      <c r="Z1046" s="13" t="n">
        <f aca="false">IF(K1046="Agency",1,0)</f>
        <v>0</v>
      </c>
      <c r="AA1046" s="13" t="n">
        <f aca="false">IF(K1046="Client",1,0)</f>
        <v>0</v>
      </c>
      <c r="AB1046" s="13" t="n">
        <f aca="false">(D1046-AVERAGE(D$2:D$2001))/STDEV(D$2:D$2001)</f>
        <v>0.280412521038879</v>
      </c>
      <c r="AC1046" s="13" t="n">
        <f aca="false">(I1046-AVERAGE(I$2:I$2001))/STDEV(I$2:I$2001)</f>
        <v>-0.0205155458339628</v>
      </c>
      <c r="AD1046" s="13" t="n">
        <f aca="false">(L1046-AVERAGE(L$2:L$2001))/STDEV(L$2:L$2001)</f>
        <v>0.413838214490712</v>
      </c>
      <c r="AE1046" s="13" t="n">
        <f aca="false">(M1046-AVERAGE(M$2:M$2001))/STDEV(M$2:M$2001)</f>
        <v>-0.384908617779314</v>
      </c>
      <c r="AF1046" s="13" t="n">
        <f aca="false">(N1046-AVERAGE(N$2:N$2001))/STDEV(N$2:N$2001)</f>
        <v>-0.938972034376685</v>
      </c>
      <c r="AG1046" s="13" t="n">
        <f aca="false">(O1046-AVERAGE(O$2:O$2001))/STDEV(O$2:O$2001)</f>
        <v>-0.745601760423809</v>
      </c>
      <c r="AH1046" s="0" t="str">
        <f aca="false">IF(B1046="Company","C3 - Corporate Buyers",IF(AND(H1046="Investment",M1046&gt;'Segmentation Summary'!$C$1),"C1 - Global Investors",IF(AND(I1046&gt;=4,M1046&gt;'Segmentation Summary'!$C$1),"C4 - Luxury Investors",IF(AND(D1046&lt;'Segmentation Summary'!$C$2,J1046=1),"C2 - First-Time Buyers","C5 - Other Individual Buyers"))))</f>
        <v>C5 - Other Individual Buyers</v>
      </c>
    </row>
    <row r="1047" customFormat="false" ht="15" hidden="false" customHeight="true" outlineLevel="0" collapsed="false">
      <c r="A1047" s="13" t="s">
        <v>2126</v>
      </c>
      <c r="B1047" s="13" t="s">
        <v>34</v>
      </c>
      <c r="C1047" s="13" t="s">
        <v>2127</v>
      </c>
      <c r="D1047" s="13" t="n">
        <v>73</v>
      </c>
      <c r="E1047" s="13" t="s">
        <v>83</v>
      </c>
      <c r="F1047" s="13" t="s">
        <v>33</v>
      </c>
      <c r="G1047" s="13" t="s">
        <v>95</v>
      </c>
      <c r="H1047" s="13" t="s">
        <v>41</v>
      </c>
      <c r="I1047" s="13" t="n">
        <v>5</v>
      </c>
      <c r="J1047" s="13" t="n">
        <v>0</v>
      </c>
      <c r="K1047" s="13" t="s">
        <v>85</v>
      </c>
      <c r="L1047" s="13" t="n">
        <v>3</v>
      </c>
      <c r="M1047" s="13" t="n">
        <v>1239378.27</v>
      </c>
      <c r="N1047" s="13" t="n">
        <v>413126.09</v>
      </c>
      <c r="O1047" s="13" t="n">
        <v>1313.16</v>
      </c>
      <c r="P1047" s="13" t="n">
        <v>0</v>
      </c>
      <c r="Q1047" s="13" t="n">
        <v>3</v>
      </c>
      <c r="R1047" s="13" t="s">
        <v>141</v>
      </c>
      <c r="S1047" s="13" t="s">
        <v>154</v>
      </c>
      <c r="T1047" s="13" t="n">
        <v>1</v>
      </c>
      <c r="U1047" s="13" t="n">
        <f aca="false">IF(B1047="Individual",1,0)</f>
        <v>1</v>
      </c>
      <c r="V1047" s="13" t="n">
        <f aca="false">IF(B1047="Company",1,0)</f>
        <v>0</v>
      </c>
      <c r="W1047" s="13" t="n">
        <f aca="false">IF(H1047="Home",1,0)</f>
        <v>1</v>
      </c>
      <c r="X1047" s="13" t="n">
        <f aca="false">IF(H1047="Investment",1,0)</f>
        <v>0</v>
      </c>
      <c r="Y1047" s="13" t="n">
        <f aca="false">IF(K1047="Website",1,0)</f>
        <v>1</v>
      </c>
      <c r="Z1047" s="13" t="n">
        <f aca="false">IF(K1047="Agency",1,0)</f>
        <v>0</v>
      </c>
      <c r="AA1047" s="13" t="n">
        <f aca="false">IF(K1047="Client",1,0)</f>
        <v>0</v>
      </c>
      <c r="AB1047" s="13" t="n">
        <f aca="false">(D1047-AVERAGE(D$2:D$2001))/STDEV(D$2:D$2001)</f>
        <v>1.087686897873</v>
      </c>
      <c r="AC1047" s="13" t="n">
        <f aca="false">(I1047-AVERAGE(I$2:I$2001))/STDEV(I$2:I$2001)</f>
        <v>1.39434968409451</v>
      </c>
      <c r="AD1047" s="13" t="n">
        <f aca="false">(L1047-AVERAGE(L$2:L$2001))/STDEV(L$2:L$2001)</f>
        <v>-0.777063122173208</v>
      </c>
      <c r="AE1047" s="13" t="n">
        <f aca="false">(M1047-AVERAGE(M$2:M$2001))/STDEV(M$2:M$2001)</f>
        <v>-0.0603661854552568</v>
      </c>
      <c r="AF1047" s="13" t="n">
        <f aca="false">(N1047-AVERAGE(N$2:N$2001))/STDEV(N$2:N$2001)</f>
        <v>0.947137243588502</v>
      </c>
      <c r="AG1047" s="13" t="n">
        <f aca="false">(O1047-AVERAGE(O$2:O$2001))/STDEV(O$2:O$2001)</f>
        <v>0.753357507729966</v>
      </c>
      <c r="AH1047" s="0" t="str">
        <f aca="false">IF(B1047="Company","C3 - Corporate Buyers",IF(AND(H1047="Investment",M1047&gt;'Segmentation Summary'!$C$1),"C1 - Global Investors",IF(AND(I1047&gt;=4,M1047&gt;'Segmentation Summary'!$C$1),"C4 - Luxury Investors",IF(AND(D1047&lt;'Segmentation Summary'!$C$2,J1047=1),"C2 - First-Time Buyers","C5 - Other Individual Buyers"))))</f>
        <v>C4 - Luxury Investors</v>
      </c>
    </row>
    <row r="1048" customFormat="false" ht="15" hidden="false" customHeight="true" outlineLevel="0" collapsed="false">
      <c r="A1048" s="13" t="s">
        <v>2128</v>
      </c>
      <c r="B1048" s="13" t="s">
        <v>34</v>
      </c>
      <c r="C1048" s="13" t="s">
        <v>2129</v>
      </c>
      <c r="D1048" s="13" t="n">
        <v>77</v>
      </c>
      <c r="E1048" s="13" t="s">
        <v>83</v>
      </c>
      <c r="F1048" s="13" t="s">
        <v>33</v>
      </c>
      <c r="G1048" s="13" t="s">
        <v>95</v>
      </c>
      <c r="H1048" s="13" t="s">
        <v>41</v>
      </c>
      <c r="I1048" s="13" t="n">
        <v>5</v>
      </c>
      <c r="J1048" s="13" t="n">
        <v>1</v>
      </c>
      <c r="K1048" s="13" t="s">
        <v>116</v>
      </c>
      <c r="L1048" s="13" t="n">
        <v>4</v>
      </c>
      <c r="M1048" s="13" t="n">
        <v>1378979.49</v>
      </c>
      <c r="N1048" s="13" t="n">
        <v>344744.8725</v>
      </c>
      <c r="O1048" s="13" t="n">
        <v>1042.6625</v>
      </c>
      <c r="P1048" s="13" t="n">
        <v>2</v>
      </c>
      <c r="Q1048" s="13" t="n">
        <v>2</v>
      </c>
      <c r="R1048" s="13" t="s">
        <v>92</v>
      </c>
      <c r="S1048" s="13" t="s">
        <v>135</v>
      </c>
      <c r="T1048" s="13" t="n">
        <v>1</v>
      </c>
      <c r="U1048" s="13" t="n">
        <f aca="false">IF(B1048="Individual",1,0)</f>
        <v>1</v>
      </c>
      <c r="V1048" s="13" t="n">
        <f aca="false">IF(B1048="Company",1,0)</f>
        <v>0</v>
      </c>
      <c r="W1048" s="13" t="n">
        <f aca="false">IF(H1048="Home",1,0)</f>
        <v>1</v>
      </c>
      <c r="X1048" s="13" t="n">
        <f aca="false">IF(H1048="Investment",1,0)</f>
        <v>0</v>
      </c>
      <c r="Y1048" s="13" t="n">
        <f aca="false">IF(K1048="Website",1,0)</f>
        <v>0</v>
      </c>
      <c r="Z1048" s="13" t="n">
        <f aca="false">IF(K1048="Agency",1,0)</f>
        <v>0</v>
      </c>
      <c r="AA1048" s="13" t="n">
        <f aca="false">IF(K1048="Client",1,0)</f>
        <v>1</v>
      </c>
      <c r="AB1048" s="13" t="n">
        <f aca="false">(D1048-AVERAGE(D$2:D$2001))/STDEV(D$2:D$2001)</f>
        <v>1.3183367198256</v>
      </c>
      <c r="AC1048" s="13" t="n">
        <f aca="false">(I1048-AVERAGE(I$2:I$2001))/STDEV(I$2:I$2001)</f>
        <v>1.39434968409451</v>
      </c>
      <c r="AD1048" s="13" t="n">
        <f aca="false">(L1048-AVERAGE(L$2:L$2001))/STDEV(L$2:L$2001)</f>
        <v>0.413838214490712</v>
      </c>
      <c r="AE1048" s="13" t="n">
        <f aca="false">(M1048-AVERAGE(M$2:M$2001))/STDEV(M$2:M$2001)</f>
        <v>0.340982039748654</v>
      </c>
      <c r="AF1048" s="13" t="n">
        <f aca="false">(N1048-AVERAGE(N$2:N$2001))/STDEV(N$2:N$2001)</f>
        <v>-0.0336348550298401</v>
      </c>
      <c r="AG1048" s="13" t="n">
        <f aca="false">(O1048-AVERAGE(O$2:O$2001))/STDEV(O$2:O$2001)</f>
        <v>-0.476609380797209</v>
      </c>
      <c r="AH1048" s="0" t="str">
        <f aca="false">IF(B1048="Company","C3 - Corporate Buyers",IF(AND(H1048="Investment",M1048&gt;'Segmentation Summary'!$C$1),"C1 - Global Investors",IF(AND(I1048&gt;=4,M1048&gt;'Segmentation Summary'!$C$1),"C4 - Luxury Investors",IF(AND(D1048&lt;'Segmentation Summary'!$C$2,J1048=1),"C2 - First-Time Buyers","C5 - Other Individual Buyers"))))</f>
        <v>C4 - Luxury Investors</v>
      </c>
    </row>
    <row r="1049" customFormat="false" ht="15" hidden="false" customHeight="true" outlineLevel="0" collapsed="false">
      <c r="A1049" s="13" t="s">
        <v>2130</v>
      </c>
      <c r="B1049" s="13" t="s">
        <v>34</v>
      </c>
      <c r="C1049" s="13" t="s">
        <v>2131</v>
      </c>
      <c r="D1049" s="13" t="n">
        <v>60</v>
      </c>
      <c r="E1049" s="13" t="s">
        <v>83</v>
      </c>
      <c r="F1049" s="13" t="s">
        <v>33</v>
      </c>
      <c r="G1049" s="13" t="s">
        <v>95</v>
      </c>
      <c r="H1049" s="13" t="s">
        <v>41</v>
      </c>
      <c r="I1049" s="13" t="n">
        <v>5</v>
      </c>
      <c r="J1049" s="13" t="n">
        <v>1</v>
      </c>
      <c r="K1049" s="13" t="s">
        <v>85</v>
      </c>
      <c r="L1049" s="13" t="n">
        <v>3</v>
      </c>
      <c r="M1049" s="13" t="n">
        <v>1473065.73</v>
      </c>
      <c r="N1049" s="13" t="n">
        <v>491021.91</v>
      </c>
      <c r="O1049" s="13" t="n">
        <v>1422.97</v>
      </c>
      <c r="P1049" s="13" t="n">
        <v>1</v>
      </c>
      <c r="Q1049" s="13" t="n">
        <v>2</v>
      </c>
      <c r="R1049" s="13" t="s">
        <v>111</v>
      </c>
      <c r="S1049" s="13" t="s">
        <v>154</v>
      </c>
      <c r="T1049" s="13" t="n">
        <v>1</v>
      </c>
      <c r="U1049" s="13" t="n">
        <f aca="false">IF(B1049="Individual",1,0)</f>
        <v>1</v>
      </c>
      <c r="V1049" s="13" t="n">
        <f aca="false">IF(B1049="Company",1,0)</f>
        <v>0</v>
      </c>
      <c r="W1049" s="13" t="n">
        <f aca="false">IF(H1049="Home",1,0)</f>
        <v>1</v>
      </c>
      <c r="X1049" s="13" t="n">
        <f aca="false">IF(H1049="Investment",1,0)</f>
        <v>0</v>
      </c>
      <c r="Y1049" s="13" t="n">
        <f aca="false">IF(K1049="Website",1,0)</f>
        <v>1</v>
      </c>
      <c r="Z1049" s="13" t="n">
        <f aca="false">IF(K1049="Agency",1,0)</f>
        <v>0</v>
      </c>
      <c r="AA1049" s="13" t="n">
        <f aca="false">IF(K1049="Client",1,0)</f>
        <v>0</v>
      </c>
      <c r="AB1049" s="13" t="n">
        <f aca="false">(D1049-AVERAGE(D$2:D$2001))/STDEV(D$2:D$2001)</f>
        <v>0.338074976527031</v>
      </c>
      <c r="AC1049" s="13" t="n">
        <f aca="false">(I1049-AVERAGE(I$2:I$2001))/STDEV(I$2:I$2001)</f>
        <v>1.39434968409451</v>
      </c>
      <c r="AD1049" s="13" t="n">
        <f aca="false">(L1049-AVERAGE(L$2:L$2001))/STDEV(L$2:L$2001)</f>
        <v>-0.777063122173208</v>
      </c>
      <c r="AE1049" s="13" t="n">
        <f aca="false">(M1049-AVERAGE(M$2:M$2001))/STDEV(M$2:M$2001)</f>
        <v>0.611476419669611</v>
      </c>
      <c r="AF1049" s="13" t="n">
        <f aca="false">(N1049-AVERAGE(N$2:N$2001))/STDEV(N$2:N$2001)</f>
        <v>2.06437454424049</v>
      </c>
      <c r="AG1049" s="13" t="n">
        <f aca="false">(O1049-AVERAGE(O$2:O$2001))/STDEV(O$2:O$2001)</f>
        <v>1.2526695680232</v>
      </c>
      <c r="AH1049" s="0" t="str">
        <f aca="false">IF(B1049="Company","C3 - Corporate Buyers",IF(AND(H1049="Investment",M1049&gt;'Segmentation Summary'!$C$1),"C1 - Global Investors",IF(AND(I1049&gt;=4,M1049&gt;'Segmentation Summary'!$C$1),"C4 - Luxury Investors",IF(AND(D1049&lt;'Segmentation Summary'!$C$2,J1049=1),"C2 - First-Time Buyers","C5 - Other Individual Buyers"))))</f>
        <v>C4 - Luxury Investors</v>
      </c>
    </row>
    <row r="1050" customFormat="false" ht="15" hidden="false" customHeight="true" outlineLevel="0" collapsed="false">
      <c r="A1050" s="13" t="s">
        <v>2132</v>
      </c>
      <c r="B1050" s="13" t="s">
        <v>34</v>
      </c>
      <c r="C1050" s="13" t="s">
        <v>2133</v>
      </c>
      <c r="D1050" s="13" t="n">
        <v>34</v>
      </c>
      <c r="E1050" s="13" t="s">
        <v>83</v>
      </c>
      <c r="F1050" s="13" t="s">
        <v>33</v>
      </c>
      <c r="G1050" s="13" t="s">
        <v>162</v>
      </c>
      <c r="H1050" s="13" t="s">
        <v>41</v>
      </c>
      <c r="I1050" s="13" t="n">
        <v>4</v>
      </c>
      <c r="J1050" s="13" t="n">
        <v>1</v>
      </c>
      <c r="K1050" s="13" t="s">
        <v>91</v>
      </c>
      <c r="L1050" s="13" t="n">
        <v>4</v>
      </c>
      <c r="M1050" s="13" t="n">
        <v>1434978.2</v>
      </c>
      <c r="N1050" s="13" t="n">
        <v>358744.55</v>
      </c>
      <c r="O1050" s="13" t="n">
        <v>1125.515</v>
      </c>
      <c r="P1050" s="13" t="n">
        <v>1</v>
      </c>
      <c r="Q1050" s="13" t="n">
        <v>3</v>
      </c>
      <c r="R1050" s="13" t="s">
        <v>101</v>
      </c>
      <c r="S1050" s="13" t="s">
        <v>87</v>
      </c>
      <c r="T1050" s="13" t="n">
        <v>1</v>
      </c>
      <c r="U1050" s="13" t="n">
        <f aca="false">IF(B1050="Individual",1,0)</f>
        <v>1</v>
      </c>
      <c r="V1050" s="13" t="n">
        <f aca="false">IF(B1050="Company",1,0)</f>
        <v>0</v>
      </c>
      <c r="W1050" s="13" t="n">
        <f aca="false">IF(H1050="Home",1,0)</f>
        <v>1</v>
      </c>
      <c r="X1050" s="13" t="n">
        <f aca="false">IF(H1050="Investment",1,0)</f>
        <v>0</v>
      </c>
      <c r="Y1050" s="13" t="n">
        <f aca="false">IF(K1050="Website",1,0)</f>
        <v>0</v>
      </c>
      <c r="Z1050" s="13" t="n">
        <f aca="false">IF(K1050="Agency",1,0)</f>
        <v>1</v>
      </c>
      <c r="AA1050" s="13" t="n">
        <f aca="false">IF(K1050="Client",1,0)</f>
        <v>0</v>
      </c>
      <c r="AB1050" s="13" t="n">
        <f aca="false">(D1050-AVERAGE(D$2:D$2001))/STDEV(D$2:D$2001)</f>
        <v>-1.1611488661649</v>
      </c>
      <c r="AC1050" s="13" t="n">
        <f aca="false">(I1050-AVERAGE(I$2:I$2001))/STDEV(I$2:I$2001)</f>
        <v>0.686917069130275</v>
      </c>
      <c r="AD1050" s="13" t="n">
        <f aca="false">(L1050-AVERAGE(L$2:L$2001))/STDEV(L$2:L$2001)</f>
        <v>0.413838214490712</v>
      </c>
      <c r="AE1050" s="13" t="n">
        <f aca="false">(M1050-AVERAGE(M$2:M$2001))/STDEV(M$2:M$2001)</f>
        <v>0.50197621209334</v>
      </c>
      <c r="AF1050" s="13" t="n">
        <f aca="false">(N1050-AVERAGE(N$2:N$2001))/STDEV(N$2:N$2001)</f>
        <v>0.167158485358622</v>
      </c>
      <c r="AG1050" s="13" t="n">
        <f aca="false">(O1050-AVERAGE(O$2:O$2001))/STDEV(O$2:O$2001)</f>
        <v>-0.0998745435743216</v>
      </c>
      <c r="AH1050" s="0" t="str">
        <f aca="false">IF(B1050="Company","C3 - Corporate Buyers",IF(AND(H1050="Investment",M1050&gt;'Segmentation Summary'!$C$1),"C1 - Global Investors",IF(AND(I1050&gt;=4,M1050&gt;'Segmentation Summary'!$C$1),"C4 - Luxury Investors",IF(AND(D1050&lt;'Segmentation Summary'!$C$2,J1050=1),"C2 - First-Time Buyers","C5 - Other Individual Buyers"))))</f>
        <v>C4 - Luxury Investors</v>
      </c>
    </row>
    <row r="1051" customFormat="false" ht="15" hidden="false" customHeight="true" outlineLevel="0" collapsed="false">
      <c r="A1051" s="13" t="s">
        <v>2134</v>
      </c>
      <c r="B1051" s="13" t="s">
        <v>34</v>
      </c>
      <c r="C1051" s="13" t="s">
        <v>2133</v>
      </c>
      <c r="D1051" s="13" t="n">
        <v>63</v>
      </c>
      <c r="E1051" s="13" t="s">
        <v>83</v>
      </c>
      <c r="F1051" s="13" t="s">
        <v>42</v>
      </c>
      <c r="G1051" s="13" t="s">
        <v>288</v>
      </c>
      <c r="H1051" s="13" t="s">
        <v>41</v>
      </c>
      <c r="I1051" s="13" t="n">
        <v>4</v>
      </c>
      <c r="J1051" s="13" t="n">
        <v>0</v>
      </c>
      <c r="K1051" s="13" t="s">
        <v>91</v>
      </c>
      <c r="L1051" s="13" t="n">
        <v>4</v>
      </c>
      <c r="M1051" s="13" t="n">
        <v>1206840.81</v>
      </c>
      <c r="N1051" s="13" t="n">
        <v>301710.2025</v>
      </c>
      <c r="O1051" s="13" t="n">
        <v>997.415</v>
      </c>
      <c r="P1051" s="13" t="n">
        <v>1</v>
      </c>
      <c r="Q1051" s="13" t="n">
        <v>3</v>
      </c>
      <c r="R1051" s="13" t="s">
        <v>98</v>
      </c>
      <c r="S1051" s="13" t="s">
        <v>133</v>
      </c>
      <c r="T1051" s="13" t="n">
        <v>1</v>
      </c>
      <c r="U1051" s="13" t="n">
        <f aca="false">IF(B1051="Individual",1,0)</f>
        <v>1</v>
      </c>
      <c r="V1051" s="13" t="n">
        <f aca="false">IF(B1051="Company",1,0)</f>
        <v>0</v>
      </c>
      <c r="W1051" s="13" t="n">
        <f aca="false">IF(H1051="Home",1,0)</f>
        <v>1</v>
      </c>
      <c r="X1051" s="13" t="n">
        <f aca="false">IF(H1051="Investment",1,0)</f>
        <v>0</v>
      </c>
      <c r="Y1051" s="13" t="n">
        <f aca="false">IF(K1051="Website",1,0)</f>
        <v>0</v>
      </c>
      <c r="Z1051" s="13" t="n">
        <f aca="false">IF(K1051="Agency",1,0)</f>
        <v>1</v>
      </c>
      <c r="AA1051" s="13" t="n">
        <f aca="false">IF(K1051="Client",1,0)</f>
        <v>0</v>
      </c>
      <c r="AB1051" s="13" t="n">
        <f aca="false">(D1051-AVERAGE(D$2:D$2001))/STDEV(D$2:D$2001)</f>
        <v>0.511062342991484</v>
      </c>
      <c r="AC1051" s="13" t="n">
        <f aca="false">(I1051-AVERAGE(I$2:I$2001))/STDEV(I$2:I$2001)</f>
        <v>0.686917069130275</v>
      </c>
      <c r="AD1051" s="13" t="n">
        <f aca="false">(L1051-AVERAGE(L$2:L$2001))/STDEV(L$2:L$2001)</f>
        <v>0.413838214490712</v>
      </c>
      <c r="AE1051" s="13" t="n">
        <f aca="false">(M1051-AVERAGE(M$2:M$2001))/STDEV(M$2:M$2001)</f>
        <v>-0.153910151787666</v>
      </c>
      <c r="AF1051" s="13" t="n">
        <f aca="false">(N1051-AVERAGE(N$2:N$2001))/STDEV(N$2:N$2001)</f>
        <v>-0.650868726439746</v>
      </c>
      <c r="AG1051" s="13" t="n">
        <f aca="false">(O1051-AVERAGE(O$2:O$2001))/STDEV(O$2:O$2001)</f>
        <v>-0.682352231613328</v>
      </c>
      <c r="AH1051" s="0" t="str">
        <f aca="false">IF(B1051="Company","C3 - Corporate Buyers",IF(AND(H1051="Investment",M1051&gt;'Segmentation Summary'!$C$1),"C1 - Global Investors",IF(AND(I1051&gt;=4,M1051&gt;'Segmentation Summary'!$C$1),"C4 - Luxury Investors",IF(AND(D1051&lt;'Segmentation Summary'!$C$2,J1051=1),"C2 - First-Time Buyers","C5 - Other Individual Buyers"))))</f>
        <v>C5 - Other Individual Buyers</v>
      </c>
    </row>
    <row r="1052" customFormat="false" ht="15" hidden="false" customHeight="true" outlineLevel="0" collapsed="false">
      <c r="A1052" s="13" t="s">
        <v>2135</v>
      </c>
      <c r="B1052" s="13" t="s">
        <v>34</v>
      </c>
      <c r="C1052" s="13" t="s">
        <v>2136</v>
      </c>
      <c r="D1052" s="13" t="n">
        <v>77</v>
      </c>
      <c r="E1052" s="13" t="s">
        <v>83</v>
      </c>
      <c r="F1052" s="13" t="s">
        <v>33</v>
      </c>
      <c r="G1052" s="13" t="s">
        <v>95</v>
      </c>
      <c r="H1052" s="13" t="s">
        <v>41</v>
      </c>
      <c r="I1052" s="13" t="n">
        <v>4</v>
      </c>
      <c r="J1052" s="13" t="n">
        <v>1</v>
      </c>
      <c r="K1052" s="13" t="s">
        <v>85</v>
      </c>
      <c r="L1052" s="13" t="n">
        <v>3</v>
      </c>
      <c r="M1052" s="13" t="n">
        <v>1545398.56</v>
      </c>
      <c r="N1052" s="13" t="n">
        <v>515132.853333333</v>
      </c>
      <c r="O1052" s="13" t="n">
        <v>1669.34666666667</v>
      </c>
      <c r="P1052" s="13" t="n">
        <v>1</v>
      </c>
      <c r="Q1052" s="13" t="n">
        <v>2</v>
      </c>
      <c r="R1052" s="13" t="s">
        <v>92</v>
      </c>
      <c r="S1052" s="13" t="s">
        <v>93</v>
      </c>
      <c r="T1052" s="13" t="n">
        <v>1</v>
      </c>
      <c r="U1052" s="13" t="n">
        <f aca="false">IF(B1052="Individual",1,0)</f>
        <v>1</v>
      </c>
      <c r="V1052" s="13" t="n">
        <f aca="false">IF(B1052="Company",1,0)</f>
        <v>0</v>
      </c>
      <c r="W1052" s="13" t="n">
        <f aca="false">IF(H1052="Home",1,0)</f>
        <v>1</v>
      </c>
      <c r="X1052" s="13" t="n">
        <f aca="false">IF(H1052="Investment",1,0)</f>
        <v>0</v>
      </c>
      <c r="Y1052" s="13" t="n">
        <f aca="false">IF(K1052="Website",1,0)</f>
        <v>1</v>
      </c>
      <c r="Z1052" s="13" t="n">
        <f aca="false">IF(K1052="Agency",1,0)</f>
        <v>0</v>
      </c>
      <c r="AA1052" s="13" t="n">
        <f aca="false">IF(K1052="Client",1,0)</f>
        <v>0</v>
      </c>
      <c r="AB1052" s="13" t="n">
        <f aca="false">(D1052-AVERAGE(D$2:D$2001))/STDEV(D$2:D$2001)</f>
        <v>1.3183367198256</v>
      </c>
      <c r="AC1052" s="13" t="n">
        <f aca="false">(I1052-AVERAGE(I$2:I$2001))/STDEV(I$2:I$2001)</f>
        <v>0.686917069130275</v>
      </c>
      <c r="AD1052" s="13" t="n">
        <f aca="false">(L1052-AVERAGE(L$2:L$2001))/STDEV(L$2:L$2001)</f>
        <v>-0.777063122173208</v>
      </c>
      <c r="AE1052" s="13" t="n">
        <f aca="false">(M1052-AVERAGE(M$2:M$2001))/STDEV(M$2:M$2001)</f>
        <v>0.819430568956245</v>
      </c>
      <c r="AF1052" s="13" t="n">
        <f aca="false">(N1052-AVERAGE(N$2:N$2001))/STDEV(N$2:N$2001)</f>
        <v>2.41019085692461</v>
      </c>
      <c r="AG1052" s="13" t="n">
        <f aca="false">(O1052-AVERAGE(O$2:O$2001))/STDEV(O$2:O$2001)</f>
        <v>2.37295771155762</v>
      </c>
      <c r="AH1052" s="0" t="str">
        <f aca="false">IF(B1052="Company","C3 - Corporate Buyers",IF(AND(H1052="Investment",M1052&gt;'Segmentation Summary'!$C$1),"C1 - Global Investors",IF(AND(I1052&gt;=4,M1052&gt;'Segmentation Summary'!$C$1),"C4 - Luxury Investors",IF(AND(D1052&lt;'Segmentation Summary'!$C$2,J1052=1),"C2 - First-Time Buyers","C5 - Other Individual Buyers"))))</f>
        <v>C4 - Luxury Investors</v>
      </c>
    </row>
    <row r="1053" customFormat="false" ht="15" hidden="false" customHeight="true" outlineLevel="0" collapsed="false">
      <c r="A1053" s="13" t="s">
        <v>2137</v>
      </c>
      <c r="B1053" s="13" t="s">
        <v>34</v>
      </c>
      <c r="C1053" s="13" t="s">
        <v>2138</v>
      </c>
      <c r="D1053" s="13" t="n">
        <v>84</v>
      </c>
      <c r="E1053" s="13" t="s">
        <v>83</v>
      </c>
      <c r="F1053" s="13" t="s">
        <v>33</v>
      </c>
      <c r="G1053" s="13" t="s">
        <v>157</v>
      </c>
      <c r="H1053" s="13" t="s">
        <v>41</v>
      </c>
      <c r="I1053" s="13" t="n">
        <v>5</v>
      </c>
      <c r="J1053" s="13" t="n">
        <v>1</v>
      </c>
      <c r="K1053" s="13" t="s">
        <v>85</v>
      </c>
      <c r="L1053" s="13" t="n">
        <v>7</v>
      </c>
      <c r="M1053" s="13" t="n">
        <v>2891447.6</v>
      </c>
      <c r="N1053" s="13" t="n">
        <v>413063.942857143</v>
      </c>
      <c r="O1053" s="13" t="n">
        <v>1263.96285714286</v>
      </c>
      <c r="P1053" s="13" t="n">
        <v>2</v>
      </c>
      <c r="Q1053" s="13" t="n">
        <v>5</v>
      </c>
      <c r="R1053" s="13" t="s">
        <v>111</v>
      </c>
      <c r="S1053" s="13" t="s">
        <v>87</v>
      </c>
      <c r="T1053" s="13" t="n">
        <v>1</v>
      </c>
      <c r="U1053" s="13" t="n">
        <f aca="false">IF(B1053="Individual",1,0)</f>
        <v>1</v>
      </c>
      <c r="V1053" s="13" t="n">
        <f aca="false">IF(B1053="Company",1,0)</f>
        <v>0</v>
      </c>
      <c r="W1053" s="13" t="n">
        <f aca="false">IF(H1053="Home",1,0)</f>
        <v>1</v>
      </c>
      <c r="X1053" s="13" t="n">
        <f aca="false">IF(H1053="Investment",1,0)</f>
        <v>0</v>
      </c>
      <c r="Y1053" s="13" t="n">
        <f aca="false">IF(K1053="Website",1,0)</f>
        <v>1</v>
      </c>
      <c r="Z1053" s="13" t="n">
        <f aca="false">IF(K1053="Agency",1,0)</f>
        <v>0</v>
      </c>
      <c r="AA1053" s="13" t="n">
        <f aca="false">IF(K1053="Client",1,0)</f>
        <v>0</v>
      </c>
      <c r="AB1053" s="13" t="n">
        <f aca="false">(D1053-AVERAGE(D$2:D$2001))/STDEV(D$2:D$2001)</f>
        <v>1.72197390824266</v>
      </c>
      <c r="AC1053" s="13" t="n">
        <f aca="false">(I1053-AVERAGE(I$2:I$2001))/STDEV(I$2:I$2001)</f>
        <v>1.39434968409451</v>
      </c>
      <c r="AD1053" s="13" t="n">
        <f aca="false">(L1053-AVERAGE(L$2:L$2001))/STDEV(L$2:L$2001)</f>
        <v>3.98654222448247</v>
      </c>
      <c r="AE1053" s="13" t="n">
        <f aca="false">(M1053-AVERAGE(M$2:M$2001))/STDEV(M$2:M$2001)</f>
        <v>4.68927062652471</v>
      </c>
      <c r="AF1053" s="13" t="n">
        <f aca="false">(N1053-AVERAGE(N$2:N$2001))/STDEV(N$2:N$2001)</f>
        <v>0.946245885026145</v>
      </c>
      <c r="AG1053" s="13" t="n">
        <f aca="false">(O1053-AVERAGE(O$2:O$2001))/STDEV(O$2:O$2001)</f>
        <v>0.529655415383739</v>
      </c>
      <c r="AH1053" s="0" t="str">
        <f aca="false">IF(B1053="Company","C3 - Corporate Buyers",IF(AND(H1053="Investment",M1053&gt;'Segmentation Summary'!$C$1),"C1 - Global Investors",IF(AND(I1053&gt;=4,M1053&gt;'Segmentation Summary'!$C$1),"C4 - Luxury Investors",IF(AND(D1053&lt;'Segmentation Summary'!$C$2,J1053=1),"C2 - First-Time Buyers","C5 - Other Individual Buyers"))))</f>
        <v>C4 - Luxury Investors</v>
      </c>
    </row>
    <row r="1054" customFormat="false" ht="15" hidden="false" customHeight="true" outlineLevel="0" collapsed="false">
      <c r="A1054" s="13" t="s">
        <v>2139</v>
      </c>
      <c r="B1054" s="13" t="s">
        <v>34</v>
      </c>
      <c r="C1054" s="13" t="s">
        <v>2140</v>
      </c>
      <c r="D1054" s="13" t="n">
        <v>81</v>
      </c>
      <c r="E1054" s="13" t="s">
        <v>83</v>
      </c>
      <c r="F1054" s="13" t="s">
        <v>38</v>
      </c>
      <c r="G1054" s="13" t="s">
        <v>665</v>
      </c>
      <c r="H1054" s="13" t="s">
        <v>43</v>
      </c>
      <c r="I1054" s="13" t="n">
        <v>4</v>
      </c>
      <c r="J1054" s="13" t="n">
        <v>0</v>
      </c>
      <c r="K1054" s="13" t="s">
        <v>85</v>
      </c>
      <c r="L1054" s="13" t="n">
        <v>3</v>
      </c>
      <c r="M1054" s="13" t="n">
        <v>804550.47</v>
      </c>
      <c r="N1054" s="13" t="n">
        <v>268183.49</v>
      </c>
      <c r="O1054" s="13" t="n">
        <v>901.626666666667</v>
      </c>
      <c r="P1054" s="13" t="n">
        <v>0</v>
      </c>
      <c r="Q1054" s="13" t="n">
        <v>3</v>
      </c>
      <c r="R1054" s="13" t="s">
        <v>121</v>
      </c>
      <c r="S1054" s="13" t="s">
        <v>150</v>
      </c>
      <c r="T1054" s="13" t="n">
        <v>1</v>
      </c>
      <c r="U1054" s="13" t="n">
        <f aca="false">IF(B1054="Individual",1,0)</f>
        <v>1</v>
      </c>
      <c r="V1054" s="13" t="n">
        <f aca="false">IF(B1054="Company",1,0)</f>
        <v>0</v>
      </c>
      <c r="W1054" s="13" t="n">
        <f aca="false">IF(H1054="Home",1,0)</f>
        <v>0</v>
      </c>
      <c r="X1054" s="13" t="n">
        <f aca="false">IF(H1054="Investment",1,0)</f>
        <v>1</v>
      </c>
      <c r="Y1054" s="13" t="n">
        <f aca="false">IF(K1054="Website",1,0)</f>
        <v>1</v>
      </c>
      <c r="Z1054" s="13" t="n">
        <f aca="false">IF(K1054="Agency",1,0)</f>
        <v>0</v>
      </c>
      <c r="AA1054" s="13" t="n">
        <f aca="false">IF(K1054="Client",1,0)</f>
        <v>0</v>
      </c>
      <c r="AB1054" s="13" t="n">
        <f aca="false">(D1054-AVERAGE(D$2:D$2001))/STDEV(D$2:D$2001)</f>
        <v>1.54898654177821</v>
      </c>
      <c r="AC1054" s="13" t="n">
        <f aca="false">(I1054-AVERAGE(I$2:I$2001))/STDEV(I$2:I$2001)</f>
        <v>0.686917069130275</v>
      </c>
      <c r="AD1054" s="13" t="n">
        <f aca="false">(L1054-AVERAGE(L$2:L$2001))/STDEV(L$2:L$2001)</f>
        <v>-0.777063122173208</v>
      </c>
      <c r="AE1054" s="13" t="n">
        <f aca="false">(M1054-AVERAGE(M$2:M$2001))/STDEV(M$2:M$2001)</f>
        <v>-1.3104796572381</v>
      </c>
      <c r="AF1054" s="13" t="n">
        <f aca="false">(N1054-AVERAGE(N$2:N$2001))/STDEV(N$2:N$2001)</f>
        <v>-1.13173270313625</v>
      </c>
      <c r="AG1054" s="13" t="n">
        <f aca="false">(O1054-AVERAGE(O$2:O$2001))/STDEV(O$2:O$2001)</f>
        <v>-1.11790700867117</v>
      </c>
      <c r="AH1054" s="0" t="str">
        <f aca="false">IF(B1054="Company","C3 - Corporate Buyers",IF(AND(H1054="Investment",M1054&gt;'Segmentation Summary'!$C$1),"C1 - Global Investors",IF(AND(I1054&gt;=4,M1054&gt;'Segmentation Summary'!$C$1),"C4 - Luxury Investors",IF(AND(D1054&lt;'Segmentation Summary'!$C$2,J1054=1),"C2 - First-Time Buyers","C5 - Other Individual Buyers"))))</f>
        <v>C5 - Other Individual Buyers</v>
      </c>
    </row>
    <row r="1055" customFormat="false" ht="15" hidden="false" customHeight="true" outlineLevel="0" collapsed="false">
      <c r="A1055" s="13" t="s">
        <v>2141</v>
      </c>
      <c r="B1055" s="13" t="s">
        <v>34</v>
      </c>
      <c r="C1055" s="13" t="s">
        <v>2142</v>
      </c>
      <c r="D1055" s="13" t="n">
        <v>31</v>
      </c>
      <c r="E1055" s="13" t="s">
        <v>83</v>
      </c>
      <c r="F1055" s="13" t="s">
        <v>33</v>
      </c>
      <c r="G1055" s="13" t="s">
        <v>95</v>
      </c>
      <c r="H1055" s="13" t="s">
        <v>41</v>
      </c>
      <c r="I1055" s="13" t="n">
        <v>4</v>
      </c>
      <c r="J1055" s="13" t="n">
        <v>0</v>
      </c>
      <c r="K1055" s="13" t="s">
        <v>91</v>
      </c>
      <c r="L1055" s="13" t="n">
        <v>3</v>
      </c>
      <c r="M1055" s="13" t="n">
        <v>858807.13</v>
      </c>
      <c r="N1055" s="13" t="n">
        <v>286269.043333333</v>
      </c>
      <c r="O1055" s="13" t="n">
        <v>1012.96</v>
      </c>
      <c r="P1055" s="13" t="n">
        <v>0</v>
      </c>
      <c r="Q1055" s="13" t="n">
        <v>3</v>
      </c>
      <c r="R1055" s="13" t="s">
        <v>92</v>
      </c>
      <c r="S1055" s="13" t="s">
        <v>154</v>
      </c>
      <c r="T1055" s="13" t="n">
        <v>1</v>
      </c>
      <c r="U1055" s="13" t="n">
        <f aca="false">IF(B1055="Individual",1,0)</f>
        <v>1</v>
      </c>
      <c r="V1055" s="13" t="n">
        <f aca="false">IF(B1055="Company",1,0)</f>
        <v>0</v>
      </c>
      <c r="W1055" s="13" t="n">
        <f aca="false">IF(H1055="Home",1,0)</f>
        <v>1</v>
      </c>
      <c r="X1055" s="13" t="n">
        <f aca="false">IF(H1055="Investment",1,0)</f>
        <v>0</v>
      </c>
      <c r="Y1055" s="13" t="n">
        <f aca="false">IF(K1055="Website",1,0)</f>
        <v>0</v>
      </c>
      <c r="Z1055" s="13" t="n">
        <f aca="false">IF(K1055="Agency",1,0)</f>
        <v>1</v>
      </c>
      <c r="AA1055" s="13" t="n">
        <f aca="false">IF(K1055="Client",1,0)</f>
        <v>0</v>
      </c>
      <c r="AB1055" s="13" t="n">
        <f aca="false">(D1055-AVERAGE(D$2:D$2001))/STDEV(D$2:D$2001)</f>
        <v>-1.33413623262935</v>
      </c>
      <c r="AC1055" s="13" t="n">
        <f aca="false">(I1055-AVERAGE(I$2:I$2001))/STDEV(I$2:I$2001)</f>
        <v>0.686917069130275</v>
      </c>
      <c r="AD1055" s="13" t="n">
        <f aca="false">(L1055-AVERAGE(L$2:L$2001))/STDEV(L$2:L$2001)</f>
        <v>-0.777063122173208</v>
      </c>
      <c r="AE1055" s="13" t="n">
        <f aca="false">(M1055-AVERAGE(M$2:M$2001))/STDEV(M$2:M$2001)</f>
        <v>-1.15449381272692</v>
      </c>
      <c r="AF1055" s="13" t="n">
        <f aca="false">(N1055-AVERAGE(N$2:N$2001))/STDEV(N$2:N$2001)</f>
        <v>-0.872336823011613</v>
      </c>
      <c r="AG1055" s="13" t="n">
        <f aca="false">(O1055-AVERAGE(O$2:O$2001))/STDEV(O$2:O$2001)</f>
        <v>-0.611668268611249</v>
      </c>
      <c r="AH1055" s="0" t="str">
        <f aca="false">IF(B1055="Company","C3 - Corporate Buyers",IF(AND(H1055="Investment",M1055&gt;'Segmentation Summary'!$C$1),"C1 - Global Investors",IF(AND(I1055&gt;=4,M1055&gt;'Segmentation Summary'!$C$1),"C4 - Luxury Investors",IF(AND(D1055&lt;'Segmentation Summary'!$C$2,J1055=1),"C2 - First-Time Buyers","C5 - Other Individual Buyers"))))</f>
        <v>C5 - Other Individual Buyers</v>
      </c>
    </row>
    <row r="1056" customFormat="false" ht="15" hidden="false" customHeight="true" outlineLevel="0" collapsed="false">
      <c r="A1056" s="13" t="s">
        <v>2143</v>
      </c>
      <c r="B1056" s="13" t="s">
        <v>34</v>
      </c>
      <c r="C1056" s="13" t="s">
        <v>2144</v>
      </c>
      <c r="D1056" s="13" t="n">
        <v>50</v>
      </c>
      <c r="E1056" s="13" t="s">
        <v>83</v>
      </c>
      <c r="F1056" s="13" t="s">
        <v>33</v>
      </c>
      <c r="G1056" s="13" t="s">
        <v>95</v>
      </c>
      <c r="H1056" s="13" t="s">
        <v>43</v>
      </c>
      <c r="I1056" s="13" t="n">
        <v>1</v>
      </c>
      <c r="J1056" s="13" t="n">
        <v>0</v>
      </c>
      <c r="K1056" s="13" t="s">
        <v>85</v>
      </c>
      <c r="L1056" s="13" t="n">
        <v>4</v>
      </c>
      <c r="M1056" s="13" t="n">
        <v>1031917.22</v>
      </c>
      <c r="N1056" s="13" t="n">
        <v>257979.305</v>
      </c>
      <c r="O1056" s="13" t="n">
        <v>831.47</v>
      </c>
      <c r="P1056" s="13" t="n">
        <v>0</v>
      </c>
      <c r="Q1056" s="13" t="n">
        <v>4</v>
      </c>
      <c r="R1056" s="13" t="s">
        <v>86</v>
      </c>
      <c r="S1056" s="13" t="s">
        <v>107</v>
      </c>
      <c r="T1056" s="13" t="n">
        <v>1</v>
      </c>
      <c r="U1056" s="13" t="n">
        <f aca="false">IF(B1056="Individual",1,0)</f>
        <v>1</v>
      </c>
      <c r="V1056" s="13" t="n">
        <f aca="false">IF(B1056="Company",1,0)</f>
        <v>0</v>
      </c>
      <c r="W1056" s="13" t="n">
        <f aca="false">IF(H1056="Home",1,0)</f>
        <v>0</v>
      </c>
      <c r="X1056" s="13" t="n">
        <f aca="false">IF(H1056="Investment",1,0)</f>
        <v>1</v>
      </c>
      <c r="Y1056" s="13" t="n">
        <f aca="false">IF(K1056="Website",1,0)</f>
        <v>1</v>
      </c>
      <c r="Z1056" s="13" t="n">
        <f aca="false">IF(K1056="Agency",1,0)</f>
        <v>0</v>
      </c>
      <c r="AA1056" s="13" t="n">
        <f aca="false">IF(K1056="Client",1,0)</f>
        <v>0</v>
      </c>
      <c r="AB1056" s="13" t="n">
        <f aca="false">(D1056-AVERAGE(D$2:D$2001))/STDEV(D$2:D$2001)</f>
        <v>-0.238549578354482</v>
      </c>
      <c r="AC1056" s="13" t="n">
        <f aca="false">(I1056-AVERAGE(I$2:I$2001))/STDEV(I$2:I$2001)</f>
        <v>-1.43538077576244</v>
      </c>
      <c r="AD1056" s="13" t="n">
        <f aca="false">(L1056-AVERAGE(L$2:L$2001))/STDEV(L$2:L$2001)</f>
        <v>0.413838214490712</v>
      </c>
      <c r="AE1056" s="13" t="n">
        <f aca="false">(M1056-AVERAGE(M$2:M$2001))/STDEV(M$2:M$2001)</f>
        <v>-0.656808854197262</v>
      </c>
      <c r="AF1056" s="13" t="n">
        <f aca="false">(N1056-AVERAGE(N$2:N$2001))/STDEV(N$2:N$2001)</f>
        <v>-1.27808838826485</v>
      </c>
      <c r="AG1056" s="13" t="n">
        <f aca="false">(O1056-AVERAGE(O$2:O$2001))/STDEV(O$2:O$2001)</f>
        <v>-1.43691319915145</v>
      </c>
      <c r="AH1056" s="0" t="str">
        <f aca="false">IF(B1056="Company","C3 - Corporate Buyers",IF(AND(H1056="Investment",M1056&gt;'Segmentation Summary'!$C$1),"C1 - Global Investors",IF(AND(I1056&gt;=4,M1056&gt;'Segmentation Summary'!$C$1),"C4 - Luxury Investors",IF(AND(D1056&lt;'Segmentation Summary'!$C$2,J1056=1),"C2 - First-Time Buyers","C5 - Other Individual Buyers"))))</f>
        <v>C5 - Other Individual Buyers</v>
      </c>
    </row>
    <row r="1057" customFormat="false" ht="15" hidden="false" customHeight="true" outlineLevel="0" collapsed="false">
      <c r="A1057" s="13" t="s">
        <v>2145</v>
      </c>
      <c r="B1057" s="13" t="s">
        <v>34</v>
      </c>
      <c r="C1057" s="13" t="s">
        <v>2144</v>
      </c>
      <c r="D1057" s="13" t="n">
        <v>72</v>
      </c>
      <c r="E1057" s="13" t="s">
        <v>83</v>
      </c>
      <c r="F1057" s="13" t="s">
        <v>38</v>
      </c>
      <c r="G1057" s="13" t="s">
        <v>475</v>
      </c>
      <c r="H1057" s="13" t="s">
        <v>41</v>
      </c>
      <c r="I1057" s="13" t="n">
        <v>4</v>
      </c>
      <c r="J1057" s="13" t="n">
        <v>0</v>
      </c>
      <c r="K1057" s="13" t="s">
        <v>85</v>
      </c>
      <c r="L1057" s="13" t="n">
        <v>4</v>
      </c>
      <c r="M1057" s="13" t="n">
        <v>1487849.65</v>
      </c>
      <c r="N1057" s="13" t="n">
        <v>371962.4125</v>
      </c>
      <c r="O1057" s="13" t="n">
        <v>1218.84</v>
      </c>
      <c r="P1057" s="13" t="n">
        <v>1</v>
      </c>
      <c r="Q1057" s="13" t="n">
        <v>3</v>
      </c>
      <c r="R1057" s="13" t="s">
        <v>92</v>
      </c>
      <c r="S1057" s="13" t="s">
        <v>103</v>
      </c>
      <c r="T1057" s="13" t="n">
        <v>1</v>
      </c>
      <c r="U1057" s="13" t="n">
        <f aca="false">IF(B1057="Individual",1,0)</f>
        <v>1</v>
      </c>
      <c r="V1057" s="13" t="n">
        <f aca="false">IF(B1057="Company",1,0)</f>
        <v>0</v>
      </c>
      <c r="W1057" s="13" t="n">
        <f aca="false">IF(H1057="Home",1,0)</f>
        <v>1</v>
      </c>
      <c r="X1057" s="13" t="n">
        <f aca="false">IF(H1057="Investment",1,0)</f>
        <v>0</v>
      </c>
      <c r="Y1057" s="13" t="n">
        <f aca="false">IF(K1057="Website",1,0)</f>
        <v>1</v>
      </c>
      <c r="Z1057" s="13" t="n">
        <f aca="false">IF(K1057="Agency",1,0)</f>
        <v>0</v>
      </c>
      <c r="AA1057" s="13" t="n">
        <f aca="false">IF(K1057="Client",1,0)</f>
        <v>0</v>
      </c>
      <c r="AB1057" s="13" t="n">
        <f aca="false">(D1057-AVERAGE(D$2:D$2001))/STDEV(D$2:D$2001)</f>
        <v>1.03002444238485</v>
      </c>
      <c r="AC1057" s="13" t="n">
        <f aca="false">(I1057-AVERAGE(I$2:I$2001))/STDEV(I$2:I$2001)</f>
        <v>0.686917069130275</v>
      </c>
      <c r="AD1057" s="13" t="n">
        <f aca="false">(L1057-AVERAGE(L$2:L$2001))/STDEV(L$2:L$2001)</f>
        <v>0.413838214490712</v>
      </c>
      <c r="AE1057" s="13" t="n">
        <f aca="false">(M1057-AVERAGE(M$2:M$2001))/STDEV(M$2:M$2001)</f>
        <v>0.653979630268749</v>
      </c>
      <c r="AF1057" s="13" t="n">
        <f aca="false">(N1057-AVERAGE(N$2:N$2001))/STDEV(N$2:N$2001)</f>
        <v>0.356738478481349</v>
      </c>
      <c r="AG1057" s="13" t="n">
        <f aca="false">(O1057-AVERAGE(O$2:O$2001))/STDEV(O$2:O$2001)</f>
        <v>0.324479322438482</v>
      </c>
      <c r="AH1057" s="0" t="str">
        <f aca="false">IF(B1057="Company","C3 - Corporate Buyers",IF(AND(H1057="Investment",M1057&gt;'Segmentation Summary'!$C$1),"C1 - Global Investors",IF(AND(I1057&gt;=4,M1057&gt;'Segmentation Summary'!$C$1),"C4 - Luxury Investors",IF(AND(D1057&lt;'Segmentation Summary'!$C$2,J1057=1),"C2 - First-Time Buyers","C5 - Other Individual Buyers"))))</f>
        <v>C4 - Luxury Investors</v>
      </c>
    </row>
    <row r="1058" customFormat="false" ht="15" hidden="false" customHeight="true" outlineLevel="0" collapsed="false">
      <c r="A1058" s="13" t="s">
        <v>2146</v>
      </c>
      <c r="B1058" s="13" t="s">
        <v>34</v>
      </c>
      <c r="C1058" s="13" t="s">
        <v>2147</v>
      </c>
      <c r="D1058" s="13" t="n">
        <v>43</v>
      </c>
      <c r="E1058" s="13" t="s">
        <v>83</v>
      </c>
      <c r="F1058" s="13" t="s">
        <v>33</v>
      </c>
      <c r="G1058" s="13" t="s">
        <v>162</v>
      </c>
      <c r="H1058" s="13" t="s">
        <v>43</v>
      </c>
      <c r="I1058" s="13" t="n">
        <v>5</v>
      </c>
      <c r="J1058" s="13" t="n">
        <v>0</v>
      </c>
      <c r="K1058" s="13" t="s">
        <v>85</v>
      </c>
      <c r="L1058" s="13" t="n">
        <v>3</v>
      </c>
      <c r="M1058" s="13" t="n">
        <v>892220.13</v>
      </c>
      <c r="N1058" s="13" t="n">
        <v>297406.71</v>
      </c>
      <c r="O1058" s="13" t="n">
        <v>900.46</v>
      </c>
      <c r="P1058" s="13" t="n">
        <v>0</v>
      </c>
      <c r="Q1058" s="13" t="n">
        <v>3</v>
      </c>
      <c r="R1058" s="13" t="s">
        <v>98</v>
      </c>
      <c r="S1058" s="13" t="s">
        <v>154</v>
      </c>
      <c r="T1058" s="13" t="n">
        <v>1</v>
      </c>
      <c r="U1058" s="13" t="n">
        <f aca="false">IF(B1058="Individual",1,0)</f>
        <v>1</v>
      </c>
      <c r="V1058" s="13" t="n">
        <f aca="false">IF(B1058="Company",1,0)</f>
        <v>0</v>
      </c>
      <c r="W1058" s="13" t="n">
        <f aca="false">IF(H1058="Home",1,0)</f>
        <v>0</v>
      </c>
      <c r="X1058" s="13" t="n">
        <f aca="false">IF(H1058="Investment",1,0)</f>
        <v>1</v>
      </c>
      <c r="Y1058" s="13" t="n">
        <f aca="false">IF(K1058="Website",1,0)</f>
        <v>1</v>
      </c>
      <c r="Z1058" s="13" t="n">
        <f aca="false">IF(K1058="Agency",1,0)</f>
        <v>0</v>
      </c>
      <c r="AA1058" s="13" t="n">
        <f aca="false">IF(K1058="Client",1,0)</f>
        <v>0</v>
      </c>
      <c r="AB1058" s="13" t="n">
        <f aca="false">(D1058-AVERAGE(D$2:D$2001))/STDEV(D$2:D$2001)</f>
        <v>-0.64218676677154</v>
      </c>
      <c r="AC1058" s="13" t="n">
        <f aca="false">(I1058-AVERAGE(I$2:I$2001))/STDEV(I$2:I$2001)</f>
        <v>1.39434968409451</v>
      </c>
      <c r="AD1058" s="13" t="n">
        <f aca="false">(L1058-AVERAGE(L$2:L$2001))/STDEV(L$2:L$2001)</f>
        <v>-0.777063122173208</v>
      </c>
      <c r="AE1058" s="13" t="n">
        <f aca="false">(M1058-AVERAGE(M$2:M$2001))/STDEV(M$2:M$2001)</f>
        <v>-1.0584327020236</v>
      </c>
      <c r="AF1058" s="13" t="n">
        <f aca="false">(N1058-AVERAGE(N$2:N$2001))/STDEV(N$2:N$2001)</f>
        <v>-0.712592479319888</v>
      </c>
      <c r="AG1058" s="13" t="n">
        <f aca="false">(O1058-AVERAGE(O$2:O$2001))/STDEV(O$2:O$2001)</f>
        <v>-1.12321190564785</v>
      </c>
      <c r="AH1058" s="0" t="str">
        <f aca="false">IF(B1058="Company","C3 - Corporate Buyers",IF(AND(H1058="Investment",M1058&gt;'Segmentation Summary'!$C$1),"C1 - Global Investors",IF(AND(I1058&gt;=4,M1058&gt;'Segmentation Summary'!$C$1),"C4 - Luxury Investors",IF(AND(D1058&lt;'Segmentation Summary'!$C$2,J1058=1),"C2 - First-Time Buyers","C5 - Other Individual Buyers"))))</f>
        <v>C5 - Other Individual Buyers</v>
      </c>
    </row>
    <row r="1059" customFormat="false" ht="15" hidden="false" customHeight="true" outlineLevel="0" collapsed="false">
      <c r="A1059" s="13" t="s">
        <v>2148</v>
      </c>
      <c r="B1059" s="13" t="s">
        <v>34</v>
      </c>
      <c r="C1059" s="13" t="s">
        <v>2149</v>
      </c>
      <c r="D1059" s="13" t="n">
        <v>44</v>
      </c>
      <c r="E1059" s="13" t="s">
        <v>83</v>
      </c>
      <c r="F1059" s="13" t="s">
        <v>33</v>
      </c>
      <c r="G1059" s="13" t="s">
        <v>265</v>
      </c>
      <c r="H1059" s="13" t="s">
        <v>41</v>
      </c>
      <c r="I1059" s="13" t="n">
        <v>5</v>
      </c>
      <c r="J1059" s="13" t="n">
        <v>0</v>
      </c>
      <c r="K1059" s="13" t="s">
        <v>85</v>
      </c>
      <c r="L1059" s="13" t="n">
        <v>4</v>
      </c>
      <c r="M1059" s="13" t="n">
        <v>1217179.49</v>
      </c>
      <c r="N1059" s="13" t="n">
        <v>304294.8725</v>
      </c>
      <c r="O1059" s="13" t="n">
        <v>955.7625</v>
      </c>
      <c r="P1059" s="13" t="n">
        <v>0</v>
      </c>
      <c r="Q1059" s="13" t="n">
        <v>4</v>
      </c>
      <c r="R1059" s="13" t="s">
        <v>92</v>
      </c>
      <c r="S1059" s="13" t="s">
        <v>150</v>
      </c>
      <c r="T1059" s="13" t="n">
        <v>1</v>
      </c>
      <c r="U1059" s="13" t="n">
        <f aca="false">IF(B1059="Individual",1,0)</f>
        <v>1</v>
      </c>
      <c r="V1059" s="13" t="n">
        <f aca="false">IF(B1059="Company",1,0)</f>
        <v>0</v>
      </c>
      <c r="W1059" s="13" t="n">
        <f aca="false">IF(H1059="Home",1,0)</f>
        <v>1</v>
      </c>
      <c r="X1059" s="13" t="n">
        <f aca="false">IF(H1059="Investment",1,0)</f>
        <v>0</v>
      </c>
      <c r="Y1059" s="13" t="n">
        <f aca="false">IF(K1059="Website",1,0)</f>
        <v>1</v>
      </c>
      <c r="Z1059" s="13" t="n">
        <f aca="false">IF(K1059="Agency",1,0)</f>
        <v>0</v>
      </c>
      <c r="AA1059" s="13" t="n">
        <f aca="false">IF(K1059="Client",1,0)</f>
        <v>0</v>
      </c>
      <c r="AB1059" s="13" t="n">
        <f aca="false">(D1059-AVERAGE(D$2:D$2001))/STDEV(D$2:D$2001)</f>
        <v>-0.584524311283389</v>
      </c>
      <c r="AC1059" s="13" t="n">
        <f aca="false">(I1059-AVERAGE(I$2:I$2001))/STDEV(I$2:I$2001)</f>
        <v>1.39434968409451</v>
      </c>
      <c r="AD1059" s="13" t="n">
        <f aca="false">(L1059-AVERAGE(L$2:L$2001))/STDEV(L$2:L$2001)</f>
        <v>0.413838214490712</v>
      </c>
      <c r="AE1059" s="13" t="n">
        <f aca="false">(M1059-AVERAGE(M$2:M$2001))/STDEV(M$2:M$2001)</f>
        <v>-0.124186837987463</v>
      </c>
      <c r="AF1059" s="13" t="n">
        <f aca="false">(N1059-AVERAGE(N$2:N$2001))/STDEV(N$2:N$2001)</f>
        <v>-0.6137975494</v>
      </c>
      <c r="AG1059" s="13" t="n">
        <f aca="false">(O1059-AVERAGE(O$2:O$2001))/STDEV(O$2:O$2001)</f>
        <v>-0.871748421317033</v>
      </c>
      <c r="AH1059" s="0" t="str">
        <f aca="false">IF(B1059="Company","C3 - Corporate Buyers",IF(AND(H1059="Investment",M1059&gt;'Segmentation Summary'!$C$1),"C1 - Global Investors",IF(AND(I1059&gt;=4,M1059&gt;'Segmentation Summary'!$C$1),"C4 - Luxury Investors",IF(AND(D1059&lt;'Segmentation Summary'!$C$2,J1059=1),"C2 - First-Time Buyers","C5 - Other Individual Buyers"))))</f>
        <v>C5 - Other Individual Buyers</v>
      </c>
    </row>
    <row r="1060" customFormat="false" ht="15" hidden="false" customHeight="true" outlineLevel="0" collapsed="false">
      <c r="A1060" s="13" t="s">
        <v>2150</v>
      </c>
      <c r="B1060" s="13" t="s">
        <v>34</v>
      </c>
      <c r="C1060" s="13" t="s">
        <v>2151</v>
      </c>
      <c r="D1060" s="13" t="n">
        <v>51</v>
      </c>
      <c r="E1060" s="13" t="s">
        <v>83</v>
      </c>
      <c r="F1060" s="13" t="s">
        <v>33</v>
      </c>
      <c r="G1060" s="13" t="s">
        <v>162</v>
      </c>
      <c r="H1060" s="13" t="s">
        <v>41</v>
      </c>
      <c r="I1060" s="13" t="n">
        <v>3</v>
      </c>
      <c r="J1060" s="13" t="n">
        <v>1</v>
      </c>
      <c r="K1060" s="13" t="s">
        <v>91</v>
      </c>
      <c r="L1060" s="13" t="n">
        <v>3</v>
      </c>
      <c r="M1060" s="13" t="n">
        <v>1054599.19</v>
      </c>
      <c r="N1060" s="13" t="n">
        <v>351533.063333333</v>
      </c>
      <c r="O1060" s="13" t="n">
        <v>1108.99666666667</v>
      </c>
      <c r="P1060" s="13" t="n">
        <v>0</v>
      </c>
      <c r="Q1060" s="13" t="n">
        <v>3</v>
      </c>
      <c r="R1060" s="13" t="s">
        <v>103</v>
      </c>
      <c r="S1060" s="13" t="s">
        <v>152</v>
      </c>
      <c r="T1060" s="13" t="n">
        <v>1</v>
      </c>
      <c r="U1060" s="13" t="n">
        <f aca="false">IF(B1060="Individual",1,0)</f>
        <v>1</v>
      </c>
      <c r="V1060" s="13" t="n">
        <f aca="false">IF(B1060="Company",1,0)</f>
        <v>0</v>
      </c>
      <c r="W1060" s="13" t="n">
        <f aca="false">IF(H1060="Home",1,0)</f>
        <v>1</v>
      </c>
      <c r="X1060" s="13" t="n">
        <f aca="false">IF(H1060="Investment",1,0)</f>
        <v>0</v>
      </c>
      <c r="Y1060" s="13" t="n">
        <f aca="false">IF(K1060="Website",1,0)</f>
        <v>0</v>
      </c>
      <c r="Z1060" s="13" t="n">
        <f aca="false">IF(K1060="Agency",1,0)</f>
        <v>1</v>
      </c>
      <c r="AA1060" s="13" t="n">
        <f aca="false">IF(K1060="Client",1,0)</f>
        <v>0</v>
      </c>
      <c r="AB1060" s="13" t="n">
        <f aca="false">(D1060-AVERAGE(D$2:D$2001))/STDEV(D$2:D$2001)</f>
        <v>-0.18088712286633</v>
      </c>
      <c r="AC1060" s="13" t="n">
        <f aca="false">(I1060-AVERAGE(I$2:I$2001))/STDEV(I$2:I$2001)</f>
        <v>-0.0205155458339628</v>
      </c>
      <c r="AD1060" s="13" t="n">
        <f aca="false">(L1060-AVERAGE(L$2:L$2001))/STDEV(L$2:L$2001)</f>
        <v>-0.777063122173208</v>
      </c>
      <c r="AE1060" s="13" t="n">
        <f aca="false">(M1060-AVERAGE(M$2:M$2001))/STDEV(M$2:M$2001)</f>
        <v>-0.591599048698224</v>
      </c>
      <c r="AF1060" s="13" t="n">
        <f aca="false">(N1060-AVERAGE(N$2:N$2001))/STDEV(N$2:N$2001)</f>
        <v>0.0637262100817866</v>
      </c>
      <c r="AG1060" s="13" t="n">
        <f aca="false">(O1060-AVERAGE(O$2:O$2001))/STDEV(O$2:O$2001)</f>
        <v>-0.174984306339784</v>
      </c>
      <c r="AH1060" s="0" t="str">
        <f aca="false">IF(B1060="Company","C3 - Corporate Buyers",IF(AND(H1060="Investment",M1060&gt;'Segmentation Summary'!$C$1),"C1 - Global Investors",IF(AND(I1060&gt;=4,M1060&gt;'Segmentation Summary'!$C$1),"C4 - Luxury Investors",IF(AND(D1060&lt;'Segmentation Summary'!$C$2,J1060=1),"C2 - First-Time Buyers","C5 - Other Individual Buyers"))))</f>
        <v>C2 - First-Time Buyers</v>
      </c>
    </row>
    <row r="1061" customFormat="false" ht="15" hidden="false" customHeight="true" outlineLevel="0" collapsed="false">
      <c r="A1061" s="13" t="s">
        <v>2152</v>
      </c>
      <c r="B1061" s="13" t="s">
        <v>34</v>
      </c>
      <c r="C1061" s="13" t="s">
        <v>2153</v>
      </c>
      <c r="D1061" s="13" t="n">
        <v>63</v>
      </c>
      <c r="E1061" s="13" t="s">
        <v>83</v>
      </c>
      <c r="F1061" s="13" t="s">
        <v>33</v>
      </c>
      <c r="G1061" s="13" t="s">
        <v>95</v>
      </c>
      <c r="H1061" s="13" t="s">
        <v>41</v>
      </c>
      <c r="I1061" s="13" t="n">
        <v>3</v>
      </c>
      <c r="J1061" s="13" t="n">
        <v>1</v>
      </c>
      <c r="K1061" s="13" t="s">
        <v>91</v>
      </c>
      <c r="L1061" s="13" t="n">
        <v>3</v>
      </c>
      <c r="M1061" s="13" t="n">
        <v>807556.47</v>
      </c>
      <c r="N1061" s="13" t="n">
        <v>269185.49</v>
      </c>
      <c r="O1061" s="13" t="n">
        <v>941.21</v>
      </c>
      <c r="P1061" s="13" t="n">
        <v>0</v>
      </c>
      <c r="Q1061" s="13" t="n">
        <v>3</v>
      </c>
      <c r="R1061" s="13" t="s">
        <v>150</v>
      </c>
      <c r="S1061" s="13" t="s">
        <v>87</v>
      </c>
      <c r="T1061" s="13" t="n">
        <v>1</v>
      </c>
      <c r="U1061" s="13" t="n">
        <f aca="false">IF(B1061="Individual",1,0)</f>
        <v>1</v>
      </c>
      <c r="V1061" s="13" t="n">
        <f aca="false">IF(B1061="Company",1,0)</f>
        <v>0</v>
      </c>
      <c r="W1061" s="13" t="n">
        <f aca="false">IF(H1061="Home",1,0)</f>
        <v>1</v>
      </c>
      <c r="X1061" s="13" t="n">
        <f aca="false">IF(H1061="Investment",1,0)</f>
        <v>0</v>
      </c>
      <c r="Y1061" s="13" t="n">
        <f aca="false">IF(K1061="Website",1,0)</f>
        <v>0</v>
      </c>
      <c r="Z1061" s="13" t="n">
        <f aca="false">IF(K1061="Agency",1,0)</f>
        <v>1</v>
      </c>
      <c r="AA1061" s="13" t="n">
        <f aca="false">IF(K1061="Client",1,0)</f>
        <v>0</v>
      </c>
      <c r="AB1061" s="13" t="n">
        <f aca="false">(D1061-AVERAGE(D$2:D$2001))/STDEV(D$2:D$2001)</f>
        <v>0.511062342991484</v>
      </c>
      <c r="AC1061" s="13" t="n">
        <f aca="false">(I1061-AVERAGE(I$2:I$2001))/STDEV(I$2:I$2001)</f>
        <v>-0.0205155458339628</v>
      </c>
      <c r="AD1061" s="13" t="n">
        <f aca="false">(L1061-AVERAGE(L$2:L$2001))/STDEV(L$2:L$2001)</f>
        <v>-0.777063122173208</v>
      </c>
      <c r="AE1061" s="13" t="n">
        <f aca="false">(M1061-AVERAGE(M$2:M$2001))/STDEV(M$2:M$2001)</f>
        <v>-1.30183752098053</v>
      </c>
      <c r="AF1061" s="13" t="n">
        <f aca="false">(N1061-AVERAGE(N$2:N$2001))/STDEV(N$2:N$2001)</f>
        <v>-1.11736130586162</v>
      </c>
      <c r="AG1061" s="13" t="n">
        <f aca="false">(O1061-AVERAGE(O$2:O$2001))/STDEV(O$2:O$2001)</f>
        <v>-0.937919432676812</v>
      </c>
      <c r="AH1061" s="0" t="str">
        <f aca="false">IF(B1061="Company","C3 - Corporate Buyers",IF(AND(H1061="Investment",M1061&gt;'Segmentation Summary'!$C$1),"C1 - Global Investors",IF(AND(I1061&gt;=4,M1061&gt;'Segmentation Summary'!$C$1),"C4 - Luxury Investors",IF(AND(D1061&lt;'Segmentation Summary'!$C$2,J1061=1),"C2 - First-Time Buyers","C5 - Other Individual Buyers"))))</f>
        <v>C5 - Other Individual Buyers</v>
      </c>
    </row>
    <row r="1062" customFormat="false" ht="15" hidden="false" customHeight="true" outlineLevel="0" collapsed="false">
      <c r="A1062" s="13" t="s">
        <v>2154</v>
      </c>
      <c r="B1062" s="13" t="s">
        <v>34</v>
      </c>
      <c r="C1062" s="13" t="s">
        <v>2155</v>
      </c>
      <c r="D1062" s="13" t="n">
        <v>70</v>
      </c>
      <c r="E1062" s="13" t="s">
        <v>83</v>
      </c>
      <c r="F1062" s="13" t="s">
        <v>33</v>
      </c>
      <c r="G1062" s="13" t="s">
        <v>95</v>
      </c>
      <c r="H1062" s="13" t="s">
        <v>41</v>
      </c>
      <c r="I1062" s="13" t="n">
        <v>2</v>
      </c>
      <c r="J1062" s="13" t="n">
        <v>0</v>
      </c>
      <c r="K1062" s="13" t="s">
        <v>85</v>
      </c>
      <c r="L1062" s="13" t="n">
        <v>3</v>
      </c>
      <c r="M1062" s="13" t="n">
        <v>1058718.77</v>
      </c>
      <c r="N1062" s="13" t="n">
        <v>352906.256666667</v>
      </c>
      <c r="O1062" s="13" t="n">
        <v>1124.5</v>
      </c>
      <c r="P1062" s="13" t="n">
        <v>0</v>
      </c>
      <c r="Q1062" s="13" t="n">
        <v>3</v>
      </c>
      <c r="R1062" s="13" t="s">
        <v>121</v>
      </c>
      <c r="S1062" s="13" t="s">
        <v>107</v>
      </c>
      <c r="T1062" s="13" t="n">
        <v>1</v>
      </c>
      <c r="U1062" s="13" t="n">
        <f aca="false">IF(B1062="Individual",1,0)</f>
        <v>1</v>
      </c>
      <c r="V1062" s="13" t="n">
        <f aca="false">IF(B1062="Company",1,0)</f>
        <v>0</v>
      </c>
      <c r="W1062" s="13" t="n">
        <f aca="false">IF(H1062="Home",1,0)</f>
        <v>1</v>
      </c>
      <c r="X1062" s="13" t="n">
        <f aca="false">IF(H1062="Investment",1,0)</f>
        <v>0</v>
      </c>
      <c r="Y1062" s="13" t="n">
        <f aca="false">IF(K1062="Website",1,0)</f>
        <v>1</v>
      </c>
      <c r="Z1062" s="13" t="n">
        <f aca="false">IF(K1062="Agency",1,0)</f>
        <v>0</v>
      </c>
      <c r="AA1062" s="13" t="n">
        <f aca="false">IF(K1062="Client",1,0)</f>
        <v>0</v>
      </c>
      <c r="AB1062" s="13" t="n">
        <f aca="false">(D1062-AVERAGE(D$2:D$2001))/STDEV(D$2:D$2001)</f>
        <v>0.914699531408543</v>
      </c>
      <c r="AC1062" s="13" t="n">
        <f aca="false">(I1062-AVERAGE(I$2:I$2001))/STDEV(I$2:I$2001)</f>
        <v>-0.727948160798201</v>
      </c>
      <c r="AD1062" s="13" t="n">
        <f aca="false">(L1062-AVERAGE(L$2:L$2001))/STDEV(L$2:L$2001)</f>
        <v>-0.777063122173208</v>
      </c>
      <c r="AE1062" s="13" t="n">
        <f aca="false">(M1062-AVERAGE(M$2:M$2001))/STDEV(M$2:M$2001)</f>
        <v>-0.579755412076814</v>
      </c>
      <c r="AF1062" s="13" t="n">
        <f aca="false">(N1062-AVERAGE(N$2:N$2001))/STDEV(N$2:N$2001)</f>
        <v>0.0834215263774156</v>
      </c>
      <c r="AG1062" s="13" t="n">
        <f aca="false">(O1062-AVERAGE(O$2:O$2001))/STDEV(O$2:O$2001)</f>
        <v>-0.10448980394403</v>
      </c>
      <c r="AH1062" s="0" t="str">
        <f aca="false">IF(B1062="Company","C3 - Corporate Buyers",IF(AND(H1062="Investment",M1062&gt;'Segmentation Summary'!$C$1),"C1 - Global Investors",IF(AND(I1062&gt;=4,M1062&gt;'Segmentation Summary'!$C$1),"C4 - Luxury Investors",IF(AND(D1062&lt;'Segmentation Summary'!$C$2,J1062=1),"C2 - First-Time Buyers","C5 - Other Individual Buyers"))))</f>
        <v>C5 - Other Individual Buyers</v>
      </c>
    </row>
    <row r="1063" customFormat="false" ht="15" hidden="false" customHeight="true" outlineLevel="0" collapsed="false">
      <c r="A1063" s="13" t="s">
        <v>2156</v>
      </c>
      <c r="B1063" s="13" t="s">
        <v>34</v>
      </c>
      <c r="C1063" s="13" t="s">
        <v>2157</v>
      </c>
      <c r="D1063" s="13" t="n">
        <v>33</v>
      </c>
      <c r="E1063" s="13" t="s">
        <v>83</v>
      </c>
      <c r="F1063" s="13" t="s">
        <v>37</v>
      </c>
      <c r="G1063" s="13" t="s">
        <v>940</v>
      </c>
      <c r="H1063" s="13" t="s">
        <v>41</v>
      </c>
      <c r="I1063" s="13" t="n">
        <v>5</v>
      </c>
      <c r="J1063" s="13" t="n">
        <v>1</v>
      </c>
      <c r="K1063" s="13" t="s">
        <v>91</v>
      </c>
      <c r="L1063" s="13" t="n">
        <v>4</v>
      </c>
      <c r="M1063" s="13" t="n">
        <v>1165619.91</v>
      </c>
      <c r="N1063" s="13" t="n">
        <v>291404.9775</v>
      </c>
      <c r="O1063" s="13" t="n">
        <v>984.9525</v>
      </c>
      <c r="P1063" s="13" t="n">
        <v>0</v>
      </c>
      <c r="Q1063" s="13" t="n">
        <v>4</v>
      </c>
      <c r="R1063" s="13" t="s">
        <v>86</v>
      </c>
      <c r="S1063" s="13" t="s">
        <v>93</v>
      </c>
      <c r="T1063" s="13" t="n">
        <v>1</v>
      </c>
      <c r="U1063" s="13" t="n">
        <f aca="false">IF(B1063="Individual",1,0)</f>
        <v>1</v>
      </c>
      <c r="V1063" s="13" t="n">
        <f aca="false">IF(B1063="Company",1,0)</f>
        <v>0</v>
      </c>
      <c r="W1063" s="13" t="n">
        <f aca="false">IF(H1063="Home",1,0)</f>
        <v>1</v>
      </c>
      <c r="X1063" s="13" t="n">
        <f aca="false">IF(H1063="Investment",1,0)</f>
        <v>0</v>
      </c>
      <c r="Y1063" s="13" t="n">
        <f aca="false">IF(K1063="Website",1,0)</f>
        <v>0</v>
      </c>
      <c r="Z1063" s="13" t="n">
        <f aca="false">IF(K1063="Agency",1,0)</f>
        <v>1</v>
      </c>
      <c r="AA1063" s="13" t="n">
        <f aca="false">IF(K1063="Client",1,0)</f>
        <v>0</v>
      </c>
      <c r="AB1063" s="13" t="n">
        <f aca="false">(D1063-AVERAGE(D$2:D$2001))/STDEV(D$2:D$2001)</f>
        <v>-1.21881132165305</v>
      </c>
      <c r="AC1063" s="13" t="n">
        <f aca="false">(I1063-AVERAGE(I$2:I$2001))/STDEV(I$2:I$2001)</f>
        <v>1.39434968409451</v>
      </c>
      <c r="AD1063" s="13" t="n">
        <f aca="false">(L1063-AVERAGE(L$2:L$2001))/STDEV(L$2:L$2001)</f>
        <v>0.413838214490712</v>
      </c>
      <c r="AE1063" s="13" t="n">
        <f aca="false">(M1063-AVERAGE(M$2:M$2001))/STDEV(M$2:M$2001)</f>
        <v>-0.272418679552022</v>
      </c>
      <c r="AF1063" s="13" t="n">
        <f aca="false">(N1063-AVERAGE(N$2:N$2001))/STDEV(N$2:N$2001)</f>
        <v>-0.798673599173757</v>
      </c>
      <c r="AG1063" s="13" t="n">
        <f aca="false">(O1063-AVERAGE(O$2:O$2001))/STDEV(O$2:O$2001)</f>
        <v>-0.739019898960604</v>
      </c>
      <c r="AH1063" s="0" t="str">
        <f aca="false">IF(B1063="Company","C3 - Corporate Buyers",IF(AND(H1063="Investment",M1063&gt;'Segmentation Summary'!$C$1),"C1 - Global Investors",IF(AND(I1063&gt;=4,M1063&gt;'Segmentation Summary'!$C$1),"C4 - Luxury Investors",IF(AND(D1063&lt;'Segmentation Summary'!$C$2,J1063=1),"C2 - First-Time Buyers","C5 - Other Individual Buyers"))))</f>
        <v>C2 - First-Time Buyers</v>
      </c>
    </row>
    <row r="1064" customFormat="false" ht="15" hidden="false" customHeight="true" outlineLevel="0" collapsed="false">
      <c r="A1064" s="13" t="s">
        <v>2158</v>
      </c>
      <c r="B1064" s="13" t="s">
        <v>34</v>
      </c>
      <c r="C1064" s="13" t="s">
        <v>2159</v>
      </c>
      <c r="D1064" s="13" t="n">
        <v>32</v>
      </c>
      <c r="E1064" s="13" t="s">
        <v>83</v>
      </c>
      <c r="F1064" s="13" t="s">
        <v>33</v>
      </c>
      <c r="G1064" s="13" t="s">
        <v>110</v>
      </c>
      <c r="H1064" s="13" t="s">
        <v>43</v>
      </c>
      <c r="I1064" s="13" t="n">
        <v>5</v>
      </c>
      <c r="J1064" s="13" t="n">
        <v>1</v>
      </c>
      <c r="K1064" s="13" t="s">
        <v>85</v>
      </c>
      <c r="L1064" s="13" t="n">
        <v>3</v>
      </c>
      <c r="M1064" s="13" t="n">
        <v>1438309.93</v>
      </c>
      <c r="N1064" s="13" t="n">
        <v>479436.643333333</v>
      </c>
      <c r="O1064" s="13" t="n">
        <v>1513.17</v>
      </c>
      <c r="P1064" s="13" t="n">
        <v>2</v>
      </c>
      <c r="Q1064" s="13" t="n">
        <v>1</v>
      </c>
      <c r="R1064" s="13" t="s">
        <v>98</v>
      </c>
      <c r="S1064" s="13" t="s">
        <v>112</v>
      </c>
      <c r="T1064" s="13" t="n">
        <v>1</v>
      </c>
      <c r="U1064" s="13" t="n">
        <f aca="false">IF(B1064="Individual",1,0)</f>
        <v>1</v>
      </c>
      <c r="V1064" s="13" t="n">
        <f aca="false">IF(B1064="Company",1,0)</f>
        <v>0</v>
      </c>
      <c r="W1064" s="13" t="n">
        <f aca="false">IF(H1064="Home",1,0)</f>
        <v>0</v>
      </c>
      <c r="X1064" s="13" t="n">
        <f aca="false">IF(H1064="Investment",1,0)</f>
        <v>1</v>
      </c>
      <c r="Y1064" s="13" t="n">
        <f aca="false">IF(K1064="Website",1,0)</f>
        <v>1</v>
      </c>
      <c r="Z1064" s="13" t="n">
        <f aca="false">IF(K1064="Agency",1,0)</f>
        <v>0</v>
      </c>
      <c r="AA1064" s="13" t="n">
        <f aca="false">IF(K1064="Client",1,0)</f>
        <v>0</v>
      </c>
      <c r="AB1064" s="13" t="n">
        <f aca="false">(D1064-AVERAGE(D$2:D$2001))/STDEV(D$2:D$2001)</f>
        <v>-1.2764737771412</v>
      </c>
      <c r="AC1064" s="13" t="n">
        <f aca="false">(I1064-AVERAGE(I$2:I$2001))/STDEV(I$2:I$2001)</f>
        <v>1.39434968409451</v>
      </c>
      <c r="AD1064" s="13" t="n">
        <f aca="false">(L1064-AVERAGE(L$2:L$2001))/STDEV(L$2:L$2001)</f>
        <v>-0.777063122173208</v>
      </c>
      <c r="AE1064" s="13" t="n">
        <f aca="false">(M1064-AVERAGE(M$2:M$2001))/STDEV(M$2:M$2001)</f>
        <v>0.511554809775786</v>
      </c>
      <c r="AF1064" s="13" t="n">
        <f aca="false">(N1064-AVERAGE(N$2:N$2001))/STDEV(N$2:N$2001)</f>
        <v>1.89821040272429</v>
      </c>
      <c r="AG1064" s="13" t="n">
        <f aca="false">(O1064-AVERAGE(O$2:O$2001))/STDEV(O$2:O$2001)</f>
        <v>1.66281388856277</v>
      </c>
      <c r="AH1064" s="0" t="str">
        <f aca="false">IF(B1064="Company","C3 - Corporate Buyers",IF(AND(H1064="Investment",M1064&gt;'Segmentation Summary'!$C$1),"C1 - Global Investors",IF(AND(I1064&gt;=4,M1064&gt;'Segmentation Summary'!$C$1),"C4 - Luxury Investors",IF(AND(D1064&lt;'Segmentation Summary'!$C$2,J1064=1),"C2 - First-Time Buyers","C5 - Other Individual Buyers"))))</f>
        <v>C1 - Global Investors</v>
      </c>
    </row>
    <row r="1065" customFormat="false" ht="15" hidden="false" customHeight="true" outlineLevel="0" collapsed="false">
      <c r="A1065" s="13" t="s">
        <v>2160</v>
      </c>
      <c r="B1065" s="13" t="s">
        <v>34</v>
      </c>
      <c r="C1065" s="13" t="s">
        <v>2161</v>
      </c>
      <c r="D1065" s="13" t="n">
        <v>62</v>
      </c>
      <c r="E1065" s="13" t="s">
        <v>83</v>
      </c>
      <c r="F1065" s="13" t="s">
        <v>33</v>
      </c>
      <c r="G1065" s="13" t="s">
        <v>95</v>
      </c>
      <c r="H1065" s="13" t="s">
        <v>43</v>
      </c>
      <c r="I1065" s="13" t="n">
        <v>5</v>
      </c>
      <c r="J1065" s="13" t="n">
        <v>0</v>
      </c>
      <c r="K1065" s="13" t="s">
        <v>85</v>
      </c>
      <c r="L1065" s="13" t="n">
        <v>10</v>
      </c>
      <c r="M1065" s="13" t="n">
        <v>2932241.75</v>
      </c>
      <c r="N1065" s="13" t="n">
        <v>293224.175</v>
      </c>
      <c r="O1065" s="13" t="n">
        <v>1002.383</v>
      </c>
      <c r="P1065" s="13" t="n">
        <v>1</v>
      </c>
      <c r="Q1065" s="13" t="n">
        <v>9</v>
      </c>
      <c r="R1065" s="13" t="s">
        <v>98</v>
      </c>
      <c r="S1065" s="13" t="s">
        <v>154</v>
      </c>
      <c r="T1065" s="13" t="n">
        <v>1</v>
      </c>
      <c r="U1065" s="13" t="n">
        <f aca="false">IF(B1065="Individual",1,0)</f>
        <v>1</v>
      </c>
      <c r="V1065" s="13" t="n">
        <f aca="false">IF(B1065="Company",1,0)</f>
        <v>0</v>
      </c>
      <c r="W1065" s="13" t="n">
        <f aca="false">IF(H1065="Home",1,0)</f>
        <v>0</v>
      </c>
      <c r="X1065" s="13" t="n">
        <f aca="false">IF(H1065="Investment",1,0)</f>
        <v>1</v>
      </c>
      <c r="Y1065" s="13" t="n">
        <f aca="false">IF(K1065="Website",1,0)</f>
        <v>1</v>
      </c>
      <c r="Z1065" s="13" t="n">
        <f aca="false">IF(K1065="Agency",1,0)</f>
        <v>0</v>
      </c>
      <c r="AA1065" s="13" t="n">
        <f aca="false">IF(K1065="Client",1,0)</f>
        <v>0</v>
      </c>
      <c r="AB1065" s="13" t="n">
        <f aca="false">(D1065-AVERAGE(D$2:D$2001))/STDEV(D$2:D$2001)</f>
        <v>0.453399887503333</v>
      </c>
      <c r="AC1065" s="13" t="n">
        <f aca="false">(I1065-AVERAGE(I$2:I$2001))/STDEV(I$2:I$2001)</f>
        <v>1.39434968409451</v>
      </c>
      <c r="AD1065" s="13" t="n">
        <f aca="false">(L1065-AVERAGE(L$2:L$2001))/STDEV(L$2:L$2001)</f>
        <v>7.55924623447423</v>
      </c>
      <c r="AE1065" s="13" t="n">
        <f aca="false">(M1065-AVERAGE(M$2:M$2001))/STDEV(M$2:M$2001)</f>
        <v>4.80655226418663</v>
      </c>
      <c r="AF1065" s="13" t="n">
        <f aca="false">(N1065-AVERAGE(N$2:N$2001))/STDEV(N$2:N$2001)</f>
        <v>-0.772581373631323</v>
      </c>
      <c r="AG1065" s="13" t="n">
        <f aca="false">(O1065-AVERAGE(O$2:O$2001))/STDEV(O$2:O$2001)</f>
        <v>-0.659762464601792</v>
      </c>
      <c r="AH1065" s="0" t="str">
        <f aca="false">IF(B1065="Company","C3 - Corporate Buyers",IF(AND(H1065="Investment",M1065&gt;'Segmentation Summary'!$C$1),"C1 - Global Investors",IF(AND(I1065&gt;=4,M1065&gt;'Segmentation Summary'!$C$1),"C4 - Luxury Investors",IF(AND(D1065&lt;'Segmentation Summary'!$C$2,J1065=1),"C2 - First-Time Buyers","C5 - Other Individual Buyers"))))</f>
        <v>C1 - Global Investors</v>
      </c>
    </row>
    <row r="1066" customFormat="false" ht="15" hidden="false" customHeight="true" outlineLevel="0" collapsed="false">
      <c r="A1066" s="13" t="s">
        <v>2162</v>
      </c>
      <c r="B1066" s="13" t="s">
        <v>34</v>
      </c>
      <c r="C1066" s="13" t="s">
        <v>2163</v>
      </c>
      <c r="D1066" s="13" t="n">
        <v>42</v>
      </c>
      <c r="E1066" s="13" t="s">
        <v>83</v>
      </c>
      <c r="F1066" s="13" t="s">
        <v>33</v>
      </c>
      <c r="G1066" s="13" t="s">
        <v>95</v>
      </c>
      <c r="H1066" s="13" t="s">
        <v>43</v>
      </c>
      <c r="I1066" s="13" t="n">
        <v>4</v>
      </c>
      <c r="J1066" s="13" t="n">
        <v>1</v>
      </c>
      <c r="K1066" s="13" t="s">
        <v>85</v>
      </c>
      <c r="L1066" s="13" t="n">
        <v>4</v>
      </c>
      <c r="M1066" s="13" t="n">
        <v>1559979.82</v>
      </c>
      <c r="N1066" s="13" t="n">
        <v>389994.955</v>
      </c>
      <c r="O1066" s="13" t="n">
        <v>1219.85</v>
      </c>
      <c r="P1066" s="13" t="n">
        <v>0</v>
      </c>
      <c r="Q1066" s="13" t="n">
        <v>4</v>
      </c>
      <c r="R1066" s="13" t="s">
        <v>124</v>
      </c>
      <c r="S1066" s="13" t="s">
        <v>87</v>
      </c>
      <c r="T1066" s="13" t="n">
        <v>1</v>
      </c>
      <c r="U1066" s="13" t="n">
        <f aca="false">IF(B1066="Individual",1,0)</f>
        <v>1</v>
      </c>
      <c r="V1066" s="13" t="n">
        <f aca="false">IF(B1066="Company",1,0)</f>
        <v>0</v>
      </c>
      <c r="W1066" s="13" t="n">
        <f aca="false">IF(H1066="Home",1,0)</f>
        <v>0</v>
      </c>
      <c r="X1066" s="13" t="n">
        <f aca="false">IF(H1066="Investment",1,0)</f>
        <v>1</v>
      </c>
      <c r="Y1066" s="13" t="n">
        <f aca="false">IF(K1066="Website",1,0)</f>
        <v>1</v>
      </c>
      <c r="Z1066" s="13" t="n">
        <f aca="false">IF(K1066="Agency",1,0)</f>
        <v>0</v>
      </c>
      <c r="AA1066" s="13" t="n">
        <f aca="false">IF(K1066="Client",1,0)</f>
        <v>0</v>
      </c>
      <c r="AB1066" s="13" t="n">
        <f aca="false">(D1066-AVERAGE(D$2:D$2001))/STDEV(D$2:D$2001)</f>
        <v>-0.699849222259691</v>
      </c>
      <c r="AC1066" s="13" t="n">
        <f aca="false">(I1066-AVERAGE(I$2:I$2001))/STDEV(I$2:I$2001)</f>
        <v>0.686917069130275</v>
      </c>
      <c r="AD1066" s="13" t="n">
        <f aca="false">(L1066-AVERAGE(L$2:L$2001))/STDEV(L$2:L$2001)</f>
        <v>0.413838214490712</v>
      </c>
      <c r="AE1066" s="13" t="n">
        <f aca="false">(M1066-AVERAGE(M$2:M$2001))/STDEV(M$2:M$2001)</f>
        <v>0.861351139723726</v>
      </c>
      <c r="AF1066" s="13" t="n">
        <f aca="false">(N1066-AVERAGE(N$2:N$2001))/STDEV(N$2:N$2001)</f>
        <v>0.615374039498517</v>
      </c>
      <c r="AG1066" s="13" t="n">
        <f aca="false">(O1066-AVERAGE(O$2:O$2001))/STDEV(O$2:O$2001)</f>
        <v>0.329071847535433</v>
      </c>
      <c r="AH1066" s="0" t="str">
        <f aca="false">IF(B1066="Company","C3 - Corporate Buyers",IF(AND(H1066="Investment",M1066&gt;'Segmentation Summary'!$C$1),"C1 - Global Investors",IF(AND(I1066&gt;=4,M1066&gt;'Segmentation Summary'!$C$1),"C4 - Luxury Investors",IF(AND(D1066&lt;'Segmentation Summary'!$C$2,J1066=1),"C2 - First-Time Buyers","C5 - Other Individual Buyers"))))</f>
        <v>C1 - Global Investors</v>
      </c>
    </row>
    <row r="1067" customFormat="false" ht="15" hidden="false" customHeight="true" outlineLevel="0" collapsed="false">
      <c r="A1067" s="13" t="s">
        <v>2164</v>
      </c>
      <c r="B1067" s="13" t="s">
        <v>34</v>
      </c>
      <c r="C1067" s="13" t="s">
        <v>2165</v>
      </c>
      <c r="D1067" s="13" t="n">
        <v>33</v>
      </c>
      <c r="E1067" s="13" t="s">
        <v>83</v>
      </c>
      <c r="F1067" s="13" t="s">
        <v>33</v>
      </c>
      <c r="G1067" s="13" t="s">
        <v>95</v>
      </c>
      <c r="H1067" s="13" t="s">
        <v>41</v>
      </c>
      <c r="I1067" s="13" t="n">
        <v>1</v>
      </c>
      <c r="J1067" s="13" t="n">
        <v>0</v>
      </c>
      <c r="K1067" s="13" t="s">
        <v>91</v>
      </c>
      <c r="L1067" s="13" t="n">
        <v>3</v>
      </c>
      <c r="M1067" s="13" t="n">
        <v>701688.31</v>
      </c>
      <c r="N1067" s="13" t="n">
        <v>233896.103333333</v>
      </c>
      <c r="O1067" s="13" t="n">
        <v>842.68</v>
      </c>
      <c r="P1067" s="13" t="n">
        <v>1</v>
      </c>
      <c r="Q1067" s="13" t="n">
        <v>2</v>
      </c>
      <c r="R1067" s="13" t="s">
        <v>98</v>
      </c>
      <c r="S1067" s="13" t="s">
        <v>121</v>
      </c>
      <c r="T1067" s="13" t="n">
        <v>1</v>
      </c>
      <c r="U1067" s="13" t="n">
        <f aca="false">IF(B1067="Individual",1,0)</f>
        <v>1</v>
      </c>
      <c r="V1067" s="13" t="n">
        <f aca="false">IF(B1067="Company",1,0)</f>
        <v>0</v>
      </c>
      <c r="W1067" s="13" t="n">
        <f aca="false">IF(H1067="Home",1,0)</f>
        <v>1</v>
      </c>
      <c r="X1067" s="13" t="n">
        <f aca="false">IF(H1067="Investment",1,0)</f>
        <v>0</v>
      </c>
      <c r="Y1067" s="13" t="n">
        <f aca="false">IF(K1067="Website",1,0)</f>
        <v>0</v>
      </c>
      <c r="Z1067" s="13" t="n">
        <f aca="false">IF(K1067="Agency",1,0)</f>
        <v>1</v>
      </c>
      <c r="AA1067" s="13" t="n">
        <f aca="false">IF(K1067="Client",1,0)</f>
        <v>0</v>
      </c>
      <c r="AB1067" s="13" t="n">
        <f aca="false">(D1067-AVERAGE(D$2:D$2001))/STDEV(D$2:D$2001)</f>
        <v>-1.21881132165305</v>
      </c>
      <c r="AC1067" s="13" t="n">
        <f aca="false">(I1067-AVERAGE(I$2:I$2001))/STDEV(I$2:I$2001)</f>
        <v>-1.43538077576244</v>
      </c>
      <c r="AD1067" s="13" t="n">
        <f aca="false">(L1067-AVERAGE(L$2:L$2001))/STDEV(L$2:L$2001)</f>
        <v>-0.777063122173208</v>
      </c>
      <c r="AE1067" s="13" t="n">
        <f aca="false">(M1067-AVERAGE(M$2:M$2001))/STDEV(M$2:M$2001)</f>
        <v>-1.60620447509171</v>
      </c>
      <c r="AF1067" s="13" t="n">
        <f aca="false">(N1067-AVERAGE(N$2:N$2001))/STDEV(N$2:N$2001)</f>
        <v>-1.62350681021771</v>
      </c>
      <c r="AG1067" s="13" t="n">
        <f aca="false">(O1067-AVERAGE(O$2:O$2001))/STDEV(O$2:O$2001)</f>
        <v>-1.38594071762984</v>
      </c>
      <c r="AH1067" s="0" t="str">
        <f aca="false">IF(B1067="Company","C3 - Corporate Buyers",IF(AND(H1067="Investment",M1067&gt;'Segmentation Summary'!$C$1),"C1 - Global Investors",IF(AND(I1067&gt;=4,M1067&gt;'Segmentation Summary'!$C$1),"C4 - Luxury Investors",IF(AND(D1067&lt;'Segmentation Summary'!$C$2,J1067=1),"C2 - First-Time Buyers","C5 - Other Individual Buyers"))))</f>
        <v>C5 - Other Individual Buyers</v>
      </c>
    </row>
    <row r="1068" customFormat="false" ht="15" hidden="false" customHeight="true" outlineLevel="0" collapsed="false">
      <c r="A1068" s="13" t="s">
        <v>2166</v>
      </c>
      <c r="B1068" s="13" t="s">
        <v>34</v>
      </c>
      <c r="C1068" s="13" t="s">
        <v>2167</v>
      </c>
      <c r="D1068" s="13" t="n">
        <v>52</v>
      </c>
      <c r="E1068" s="13" t="s">
        <v>83</v>
      </c>
      <c r="F1068" s="13" t="s">
        <v>33</v>
      </c>
      <c r="G1068" s="13" t="s">
        <v>95</v>
      </c>
      <c r="H1068" s="13" t="s">
        <v>41</v>
      </c>
      <c r="I1068" s="13" t="n">
        <v>4</v>
      </c>
      <c r="J1068" s="13" t="n">
        <v>1</v>
      </c>
      <c r="K1068" s="13" t="s">
        <v>85</v>
      </c>
      <c r="L1068" s="13" t="n">
        <v>3</v>
      </c>
      <c r="M1068" s="13" t="n">
        <v>904050.87</v>
      </c>
      <c r="N1068" s="13" t="n">
        <v>301350.29</v>
      </c>
      <c r="O1068" s="13" t="n">
        <v>897.31</v>
      </c>
      <c r="P1068" s="13" t="n">
        <v>2</v>
      </c>
      <c r="Q1068" s="13" t="n">
        <v>1</v>
      </c>
      <c r="R1068" s="13" t="s">
        <v>101</v>
      </c>
      <c r="S1068" s="13" t="s">
        <v>133</v>
      </c>
      <c r="T1068" s="13" t="n">
        <v>1</v>
      </c>
      <c r="U1068" s="13" t="n">
        <f aca="false">IF(B1068="Individual",1,0)</f>
        <v>1</v>
      </c>
      <c r="V1068" s="13" t="n">
        <f aca="false">IF(B1068="Company",1,0)</f>
        <v>0</v>
      </c>
      <c r="W1068" s="13" t="n">
        <f aca="false">IF(H1068="Home",1,0)</f>
        <v>1</v>
      </c>
      <c r="X1068" s="13" t="n">
        <f aca="false">IF(H1068="Investment",1,0)</f>
        <v>0</v>
      </c>
      <c r="Y1068" s="13" t="n">
        <f aca="false">IF(K1068="Website",1,0)</f>
        <v>1</v>
      </c>
      <c r="Z1068" s="13" t="n">
        <f aca="false">IF(K1068="Agency",1,0)</f>
        <v>0</v>
      </c>
      <c r="AA1068" s="13" t="n">
        <f aca="false">IF(K1068="Client",1,0)</f>
        <v>0</v>
      </c>
      <c r="AB1068" s="13" t="n">
        <f aca="false">(D1068-AVERAGE(D$2:D$2001))/STDEV(D$2:D$2001)</f>
        <v>-0.123224667378179</v>
      </c>
      <c r="AC1068" s="13" t="n">
        <f aca="false">(I1068-AVERAGE(I$2:I$2001))/STDEV(I$2:I$2001)</f>
        <v>0.686917069130275</v>
      </c>
      <c r="AD1068" s="13" t="n">
        <f aca="false">(L1068-AVERAGE(L$2:L$2001))/STDEV(L$2:L$2001)</f>
        <v>-0.777063122173208</v>
      </c>
      <c r="AE1068" s="13" t="n">
        <f aca="false">(M1068-AVERAGE(M$2:M$2001))/STDEV(M$2:M$2001)</f>
        <v>-1.02441977218066</v>
      </c>
      <c r="AF1068" s="13" t="n">
        <f aca="false">(N1068-AVERAGE(N$2:N$2001))/STDEV(N$2:N$2001)</f>
        <v>-0.656030847718795</v>
      </c>
      <c r="AG1068" s="13" t="n">
        <f aca="false">(O1068-AVERAGE(O$2:O$2001))/STDEV(O$2:O$2001)</f>
        <v>-1.13753512748487</v>
      </c>
      <c r="AH1068" s="0" t="str">
        <f aca="false">IF(B1068="Company","C3 - Corporate Buyers",IF(AND(H1068="Investment",M1068&gt;'Segmentation Summary'!$C$1),"C1 - Global Investors",IF(AND(I1068&gt;=4,M1068&gt;'Segmentation Summary'!$C$1),"C4 - Luxury Investors",IF(AND(D1068&lt;'Segmentation Summary'!$C$2,J1068=1),"C2 - First-Time Buyers","C5 - Other Individual Buyers"))))</f>
        <v>C2 - First-Time Buyers</v>
      </c>
    </row>
    <row r="1069" customFormat="false" ht="15" hidden="false" customHeight="true" outlineLevel="0" collapsed="false">
      <c r="A1069" s="13" t="s">
        <v>2168</v>
      </c>
      <c r="B1069" s="13" t="s">
        <v>34</v>
      </c>
      <c r="C1069" s="13" t="s">
        <v>2169</v>
      </c>
      <c r="D1069" s="13" t="n">
        <v>48</v>
      </c>
      <c r="E1069" s="13" t="s">
        <v>83</v>
      </c>
      <c r="F1069" s="13" t="s">
        <v>37</v>
      </c>
      <c r="G1069" s="13" t="s">
        <v>169</v>
      </c>
      <c r="H1069" s="13" t="s">
        <v>43</v>
      </c>
      <c r="I1069" s="13" t="n">
        <v>3</v>
      </c>
      <c r="J1069" s="13" t="n">
        <v>1</v>
      </c>
      <c r="K1069" s="13" t="s">
        <v>85</v>
      </c>
      <c r="L1069" s="13" t="n">
        <v>3</v>
      </c>
      <c r="M1069" s="13" t="n">
        <v>1019239.08</v>
      </c>
      <c r="N1069" s="13" t="n">
        <v>339746.36</v>
      </c>
      <c r="O1069" s="13" t="n">
        <v>1016.76333333333</v>
      </c>
      <c r="P1069" s="13" t="n">
        <v>1</v>
      </c>
      <c r="Q1069" s="13" t="n">
        <v>2</v>
      </c>
      <c r="R1069" s="13" t="s">
        <v>117</v>
      </c>
      <c r="S1069" s="13" t="s">
        <v>107</v>
      </c>
      <c r="T1069" s="13" t="n">
        <v>1</v>
      </c>
      <c r="U1069" s="13" t="n">
        <f aca="false">IF(B1069="Individual",1,0)</f>
        <v>1</v>
      </c>
      <c r="V1069" s="13" t="n">
        <f aca="false">IF(B1069="Company",1,0)</f>
        <v>0</v>
      </c>
      <c r="W1069" s="13" t="n">
        <f aca="false">IF(H1069="Home",1,0)</f>
        <v>0</v>
      </c>
      <c r="X1069" s="13" t="n">
        <f aca="false">IF(H1069="Investment",1,0)</f>
        <v>1</v>
      </c>
      <c r="Y1069" s="13" t="n">
        <f aca="false">IF(K1069="Website",1,0)</f>
        <v>1</v>
      </c>
      <c r="Z1069" s="13" t="n">
        <f aca="false">IF(K1069="Agency",1,0)</f>
        <v>0</v>
      </c>
      <c r="AA1069" s="13" t="n">
        <f aca="false">IF(K1069="Client",1,0)</f>
        <v>0</v>
      </c>
      <c r="AB1069" s="13" t="n">
        <f aca="false">(D1069-AVERAGE(D$2:D$2001))/STDEV(D$2:D$2001)</f>
        <v>-0.353874489330784</v>
      </c>
      <c r="AC1069" s="13" t="n">
        <f aca="false">(I1069-AVERAGE(I$2:I$2001))/STDEV(I$2:I$2001)</f>
        <v>-0.0205155458339628</v>
      </c>
      <c r="AD1069" s="13" t="n">
        <f aca="false">(L1069-AVERAGE(L$2:L$2001))/STDEV(L$2:L$2001)</f>
        <v>-0.777063122173208</v>
      </c>
      <c r="AE1069" s="13" t="n">
        <f aca="false">(M1069-AVERAGE(M$2:M$2001))/STDEV(M$2:M$2001)</f>
        <v>-0.693258026975886</v>
      </c>
      <c r="AF1069" s="13" t="n">
        <f aca="false">(N1069-AVERAGE(N$2:N$2001))/STDEV(N$2:N$2001)</f>
        <v>-0.105327079500617</v>
      </c>
      <c r="AG1069" s="13" t="n">
        <f aca="false">(O1069-AVERAGE(O$2:O$2001))/STDEV(O$2:O$2001)</f>
        <v>-0.594374304467301</v>
      </c>
      <c r="AH1069" s="0" t="str">
        <f aca="false">IF(B1069="Company","C3 - Corporate Buyers",IF(AND(H1069="Investment",M1069&gt;'Segmentation Summary'!$C$1),"C1 - Global Investors",IF(AND(I1069&gt;=4,M1069&gt;'Segmentation Summary'!$C$1),"C4 - Luxury Investors",IF(AND(D1069&lt;'Segmentation Summary'!$C$2,J1069=1),"C2 - First-Time Buyers","C5 - Other Individual Buyers"))))</f>
        <v>C2 - First-Time Buyers</v>
      </c>
    </row>
    <row r="1070" customFormat="false" ht="15" hidden="false" customHeight="true" outlineLevel="0" collapsed="false">
      <c r="A1070" s="13" t="s">
        <v>2170</v>
      </c>
      <c r="B1070" s="13" t="s">
        <v>34</v>
      </c>
      <c r="C1070" s="13" t="s">
        <v>2171</v>
      </c>
      <c r="D1070" s="13" t="n">
        <v>84</v>
      </c>
      <c r="E1070" s="13" t="s">
        <v>83</v>
      </c>
      <c r="F1070" s="13" t="s">
        <v>33</v>
      </c>
      <c r="G1070" s="13" t="s">
        <v>95</v>
      </c>
      <c r="H1070" s="13" t="s">
        <v>43</v>
      </c>
      <c r="I1070" s="13" t="n">
        <v>5</v>
      </c>
      <c r="J1070" s="13" t="n">
        <v>1</v>
      </c>
      <c r="K1070" s="13" t="s">
        <v>85</v>
      </c>
      <c r="L1070" s="13" t="n">
        <v>3</v>
      </c>
      <c r="M1070" s="13" t="n">
        <v>901095.79</v>
      </c>
      <c r="N1070" s="13" t="n">
        <v>300365.263333333</v>
      </c>
      <c r="O1070" s="13" t="n">
        <v>992.22</v>
      </c>
      <c r="P1070" s="13" t="n">
        <v>0</v>
      </c>
      <c r="Q1070" s="13" t="n">
        <v>3</v>
      </c>
      <c r="R1070" s="13" t="s">
        <v>128</v>
      </c>
      <c r="S1070" s="13" t="s">
        <v>114</v>
      </c>
      <c r="T1070" s="13" t="n">
        <v>1</v>
      </c>
      <c r="U1070" s="13" t="n">
        <f aca="false">IF(B1070="Individual",1,0)</f>
        <v>1</v>
      </c>
      <c r="V1070" s="13" t="n">
        <f aca="false">IF(B1070="Company",1,0)</f>
        <v>0</v>
      </c>
      <c r="W1070" s="13" t="n">
        <f aca="false">IF(H1070="Home",1,0)</f>
        <v>0</v>
      </c>
      <c r="X1070" s="13" t="n">
        <f aca="false">IF(H1070="Investment",1,0)</f>
        <v>1</v>
      </c>
      <c r="Y1070" s="13" t="n">
        <f aca="false">IF(K1070="Website",1,0)</f>
        <v>1</v>
      </c>
      <c r="Z1070" s="13" t="n">
        <f aca="false">IF(K1070="Agency",1,0)</f>
        <v>0</v>
      </c>
      <c r="AA1070" s="13" t="n">
        <f aca="false">IF(K1070="Client",1,0)</f>
        <v>0</v>
      </c>
      <c r="AB1070" s="13" t="n">
        <f aca="false">(D1070-AVERAGE(D$2:D$2001))/STDEV(D$2:D$2001)</f>
        <v>1.72197390824266</v>
      </c>
      <c r="AC1070" s="13" t="n">
        <f aca="false">(I1070-AVERAGE(I$2:I$2001))/STDEV(I$2:I$2001)</f>
        <v>1.39434968409451</v>
      </c>
      <c r="AD1070" s="13" t="n">
        <f aca="false">(L1070-AVERAGE(L$2:L$2001))/STDEV(L$2:L$2001)</f>
        <v>-0.777063122173208</v>
      </c>
      <c r="AE1070" s="13" t="n">
        <f aca="false">(M1070-AVERAGE(M$2:M$2001))/STDEV(M$2:M$2001)</f>
        <v>-1.03291551536496</v>
      </c>
      <c r="AF1070" s="13" t="n">
        <f aca="false">(N1070-AVERAGE(N$2:N$2001))/STDEV(N$2:N$2001)</f>
        <v>-0.670158801364282</v>
      </c>
      <c r="AG1070" s="13" t="n">
        <f aca="false">(O1070-AVERAGE(O$2:O$2001))/STDEV(O$2:O$2001)</f>
        <v>-0.70597418000804</v>
      </c>
      <c r="AH1070" s="0" t="str">
        <f aca="false">IF(B1070="Company","C3 - Corporate Buyers",IF(AND(H1070="Investment",M1070&gt;'Segmentation Summary'!$C$1),"C1 - Global Investors",IF(AND(I1070&gt;=4,M1070&gt;'Segmentation Summary'!$C$1),"C4 - Luxury Investors",IF(AND(D1070&lt;'Segmentation Summary'!$C$2,J1070=1),"C2 - First-Time Buyers","C5 - Other Individual Buyers"))))</f>
        <v>C5 - Other Individual Buyers</v>
      </c>
    </row>
    <row r="1071" customFormat="false" ht="15" hidden="false" customHeight="true" outlineLevel="0" collapsed="false">
      <c r="A1071" s="13" t="s">
        <v>2172</v>
      </c>
      <c r="B1071" s="13" t="s">
        <v>34</v>
      </c>
      <c r="C1071" s="13" t="s">
        <v>2173</v>
      </c>
      <c r="D1071" s="13" t="n">
        <v>52</v>
      </c>
      <c r="E1071" s="13" t="s">
        <v>83</v>
      </c>
      <c r="F1071" s="13" t="s">
        <v>33</v>
      </c>
      <c r="G1071" s="13" t="s">
        <v>157</v>
      </c>
      <c r="H1071" s="13" t="s">
        <v>43</v>
      </c>
      <c r="I1071" s="13" t="n">
        <v>4</v>
      </c>
      <c r="J1071" s="13" t="n">
        <v>1</v>
      </c>
      <c r="K1071" s="13" t="s">
        <v>85</v>
      </c>
      <c r="L1071" s="13" t="n">
        <v>3</v>
      </c>
      <c r="M1071" s="13" t="n">
        <v>973707.31</v>
      </c>
      <c r="N1071" s="13" t="n">
        <v>324569.103333333</v>
      </c>
      <c r="O1071" s="13" t="n">
        <v>1145.46666666667</v>
      </c>
      <c r="P1071" s="13" t="n">
        <v>0</v>
      </c>
      <c r="Q1071" s="13" t="n">
        <v>3</v>
      </c>
      <c r="R1071" s="13" t="s">
        <v>117</v>
      </c>
      <c r="S1071" s="13" t="s">
        <v>87</v>
      </c>
      <c r="T1071" s="13" t="n">
        <v>1</v>
      </c>
      <c r="U1071" s="13" t="n">
        <f aca="false">IF(B1071="Individual",1,0)</f>
        <v>1</v>
      </c>
      <c r="V1071" s="13" t="n">
        <f aca="false">IF(B1071="Company",1,0)</f>
        <v>0</v>
      </c>
      <c r="W1071" s="13" t="n">
        <f aca="false">IF(H1071="Home",1,0)</f>
        <v>0</v>
      </c>
      <c r="X1071" s="13" t="n">
        <f aca="false">IF(H1071="Investment",1,0)</f>
        <v>1</v>
      </c>
      <c r="Y1071" s="13" t="n">
        <f aca="false">IF(K1071="Website",1,0)</f>
        <v>1</v>
      </c>
      <c r="Z1071" s="13" t="n">
        <f aca="false">IF(K1071="Agency",1,0)</f>
        <v>0</v>
      </c>
      <c r="AA1071" s="13" t="n">
        <f aca="false">IF(K1071="Client",1,0)</f>
        <v>0</v>
      </c>
      <c r="AB1071" s="13" t="n">
        <f aca="false">(D1071-AVERAGE(D$2:D$2001))/STDEV(D$2:D$2001)</f>
        <v>-0.123224667378179</v>
      </c>
      <c r="AC1071" s="13" t="n">
        <f aca="false">(I1071-AVERAGE(I$2:I$2001))/STDEV(I$2:I$2001)</f>
        <v>0.686917069130275</v>
      </c>
      <c r="AD1071" s="13" t="n">
        <f aca="false">(L1071-AVERAGE(L$2:L$2001))/STDEV(L$2:L$2001)</f>
        <v>-0.777063122173208</v>
      </c>
      <c r="AE1071" s="13" t="n">
        <f aca="false">(M1071-AVERAGE(M$2:M$2001))/STDEV(M$2:M$2001)</f>
        <v>-0.824160142873531</v>
      </c>
      <c r="AF1071" s="13" t="n">
        <f aca="false">(N1071-AVERAGE(N$2:N$2001))/STDEV(N$2:N$2001)</f>
        <v>-0.323010098558244</v>
      </c>
      <c r="AG1071" s="13" t="n">
        <f aca="false">(O1071-AVERAGE(O$2:O$2001))/STDEV(O$2:O$2001)</f>
        <v>-0.00915322684889735</v>
      </c>
      <c r="AH1071" s="0" t="str">
        <f aca="false">IF(B1071="Company","C3 - Corporate Buyers",IF(AND(H1071="Investment",M1071&gt;'Segmentation Summary'!$C$1),"C1 - Global Investors",IF(AND(I1071&gt;=4,M1071&gt;'Segmentation Summary'!$C$1),"C4 - Luxury Investors",IF(AND(D1071&lt;'Segmentation Summary'!$C$2,J1071=1),"C2 - First-Time Buyers","C5 - Other Individual Buyers"))))</f>
        <v>C2 - First-Time Buyers</v>
      </c>
    </row>
    <row r="1072" customFormat="false" ht="15" hidden="false" customHeight="true" outlineLevel="0" collapsed="false">
      <c r="A1072" s="13" t="s">
        <v>2174</v>
      </c>
      <c r="B1072" s="13" t="s">
        <v>34</v>
      </c>
      <c r="C1072" s="13" t="s">
        <v>2175</v>
      </c>
      <c r="D1072" s="13" t="n">
        <v>78</v>
      </c>
      <c r="E1072" s="13" t="s">
        <v>83</v>
      </c>
      <c r="F1072" s="13" t="s">
        <v>33</v>
      </c>
      <c r="G1072" s="13" t="s">
        <v>84</v>
      </c>
      <c r="H1072" s="13" t="s">
        <v>41</v>
      </c>
      <c r="I1072" s="13" t="n">
        <v>1</v>
      </c>
      <c r="J1072" s="13" t="n">
        <v>1</v>
      </c>
      <c r="K1072" s="13" t="s">
        <v>91</v>
      </c>
      <c r="L1072" s="13" t="n">
        <v>4</v>
      </c>
      <c r="M1072" s="13" t="n">
        <v>1648873.57</v>
      </c>
      <c r="N1072" s="13" t="n">
        <v>412218.3925</v>
      </c>
      <c r="O1072" s="13" t="n">
        <v>1343.6575</v>
      </c>
      <c r="P1072" s="13" t="n">
        <v>0</v>
      </c>
      <c r="Q1072" s="13" t="n">
        <v>4</v>
      </c>
      <c r="R1072" s="13" t="s">
        <v>124</v>
      </c>
      <c r="S1072" s="13" t="s">
        <v>152</v>
      </c>
      <c r="T1072" s="13" t="n">
        <v>1</v>
      </c>
      <c r="U1072" s="13" t="n">
        <f aca="false">IF(B1072="Individual",1,0)</f>
        <v>1</v>
      </c>
      <c r="V1072" s="13" t="n">
        <f aca="false">IF(B1072="Company",1,0)</f>
        <v>0</v>
      </c>
      <c r="W1072" s="13" t="n">
        <f aca="false">IF(H1072="Home",1,0)</f>
        <v>1</v>
      </c>
      <c r="X1072" s="13" t="n">
        <f aca="false">IF(H1072="Investment",1,0)</f>
        <v>0</v>
      </c>
      <c r="Y1072" s="13" t="n">
        <f aca="false">IF(K1072="Website",1,0)</f>
        <v>0</v>
      </c>
      <c r="Z1072" s="13" t="n">
        <f aca="false">IF(K1072="Agency",1,0)</f>
        <v>1</v>
      </c>
      <c r="AA1072" s="13" t="n">
        <f aca="false">IF(K1072="Client",1,0)</f>
        <v>0</v>
      </c>
      <c r="AB1072" s="13" t="n">
        <f aca="false">(D1072-AVERAGE(D$2:D$2001))/STDEV(D$2:D$2001)</f>
        <v>1.37599917531375</v>
      </c>
      <c r="AC1072" s="13" t="n">
        <f aca="false">(I1072-AVERAGE(I$2:I$2001))/STDEV(I$2:I$2001)</f>
        <v>-1.43538077576244</v>
      </c>
      <c r="AD1072" s="13" t="n">
        <f aca="false">(L1072-AVERAGE(L$2:L$2001))/STDEV(L$2:L$2001)</f>
        <v>0.413838214490712</v>
      </c>
      <c r="AE1072" s="13" t="n">
        <f aca="false">(M1072-AVERAGE(M$2:M$2001))/STDEV(M$2:M$2001)</f>
        <v>1.11691730737054</v>
      </c>
      <c r="AF1072" s="13" t="n">
        <f aca="false">(N1072-AVERAGE(N$2:N$2001))/STDEV(N$2:N$2001)</f>
        <v>0.934118399898192</v>
      </c>
      <c r="AG1072" s="13" t="n">
        <f aca="false">(O1072-AVERAGE(O$2:O$2001))/STDEV(O$2:O$2001)</f>
        <v>0.892031303912398</v>
      </c>
      <c r="AH1072" s="0" t="str">
        <f aca="false">IF(B1072="Company","C3 - Corporate Buyers",IF(AND(H1072="Investment",M1072&gt;'Segmentation Summary'!$C$1),"C1 - Global Investors",IF(AND(I1072&gt;=4,M1072&gt;'Segmentation Summary'!$C$1),"C4 - Luxury Investors",IF(AND(D1072&lt;'Segmentation Summary'!$C$2,J1072=1),"C2 - First-Time Buyers","C5 - Other Individual Buyers"))))</f>
        <v>C5 - Other Individual Buyers</v>
      </c>
    </row>
    <row r="1073" customFormat="false" ht="15" hidden="false" customHeight="true" outlineLevel="0" collapsed="false">
      <c r="A1073" s="13" t="s">
        <v>2176</v>
      </c>
      <c r="B1073" s="13" t="s">
        <v>34</v>
      </c>
      <c r="C1073" s="13" t="s">
        <v>2177</v>
      </c>
      <c r="D1073" s="13" t="n">
        <v>25</v>
      </c>
      <c r="E1073" s="13" t="s">
        <v>83</v>
      </c>
      <c r="F1073" s="13" t="s">
        <v>35</v>
      </c>
      <c r="G1073" s="13" t="s">
        <v>374</v>
      </c>
      <c r="H1073" s="13" t="s">
        <v>43</v>
      </c>
      <c r="I1073" s="13" t="n">
        <v>4</v>
      </c>
      <c r="J1073" s="13" t="n">
        <v>1</v>
      </c>
      <c r="K1073" s="13" t="s">
        <v>85</v>
      </c>
      <c r="L1073" s="13" t="n">
        <v>4</v>
      </c>
      <c r="M1073" s="13" t="n">
        <v>1170783.34</v>
      </c>
      <c r="N1073" s="13" t="n">
        <v>292695.835</v>
      </c>
      <c r="O1073" s="13" t="n">
        <v>874.9925</v>
      </c>
      <c r="P1073" s="13" t="n">
        <v>2</v>
      </c>
      <c r="Q1073" s="13" t="n">
        <v>2</v>
      </c>
      <c r="R1073" s="13" t="s">
        <v>86</v>
      </c>
      <c r="S1073" s="13" t="s">
        <v>133</v>
      </c>
      <c r="T1073" s="13" t="n">
        <v>1</v>
      </c>
      <c r="U1073" s="13" t="n">
        <f aca="false">IF(B1073="Individual",1,0)</f>
        <v>1</v>
      </c>
      <c r="V1073" s="13" t="n">
        <f aca="false">IF(B1073="Company",1,0)</f>
        <v>0</v>
      </c>
      <c r="W1073" s="13" t="n">
        <f aca="false">IF(H1073="Home",1,0)</f>
        <v>0</v>
      </c>
      <c r="X1073" s="13" t="n">
        <f aca="false">IF(H1073="Investment",1,0)</f>
        <v>1</v>
      </c>
      <c r="Y1073" s="13" t="n">
        <f aca="false">IF(K1073="Website",1,0)</f>
        <v>1</v>
      </c>
      <c r="Z1073" s="13" t="n">
        <f aca="false">IF(K1073="Agency",1,0)</f>
        <v>0</v>
      </c>
      <c r="AA1073" s="13" t="n">
        <f aca="false">IF(K1073="Client",1,0)</f>
        <v>0</v>
      </c>
      <c r="AB1073" s="13" t="n">
        <f aca="false">(D1073-AVERAGE(D$2:D$2001))/STDEV(D$2:D$2001)</f>
        <v>-1.68011096555826</v>
      </c>
      <c r="AC1073" s="13" t="n">
        <f aca="false">(I1073-AVERAGE(I$2:I$2001))/STDEV(I$2:I$2001)</f>
        <v>0.686917069130275</v>
      </c>
      <c r="AD1073" s="13" t="n">
        <f aca="false">(L1073-AVERAGE(L$2:L$2001))/STDEV(L$2:L$2001)</f>
        <v>0.413838214490712</v>
      </c>
      <c r="AE1073" s="13" t="n">
        <f aca="false">(M1073-AVERAGE(M$2:M$2001))/STDEV(M$2:M$2001)</f>
        <v>-0.257574013678294</v>
      </c>
      <c r="AF1073" s="13" t="n">
        <f aca="false">(N1073-AVERAGE(N$2:N$2001))/STDEV(N$2:N$2001)</f>
        <v>-0.780159202010643</v>
      </c>
      <c r="AG1073" s="13" t="n">
        <f aca="false">(O1073-AVERAGE(O$2:O$2001))/STDEV(O$2:O$2001)</f>
        <v>-1.23901401743655</v>
      </c>
      <c r="AH1073" s="0" t="str">
        <f aca="false">IF(B1073="Company","C3 - Corporate Buyers",IF(AND(H1073="Investment",M1073&gt;'Segmentation Summary'!$C$1),"C1 - Global Investors",IF(AND(I1073&gt;=4,M1073&gt;'Segmentation Summary'!$C$1),"C4 - Luxury Investors",IF(AND(D1073&lt;'Segmentation Summary'!$C$2,J1073=1),"C2 - First-Time Buyers","C5 - Other Individual Buyers"))))</f>
        <v>C2 - First-Time Buyers</v>
      </c>
    </row>
    <row r="1074" customFormat="false" ht="15" hidden="false" customHeight="true" outlineLevel="0" collapsed="false">
      <c r="A1074" s="13" t="s">
        <v>2178</v>
      </c>
      <c r="B1074" s="13" t="s">
        <v>34</v>
      </c>
      <c r="C1074" s="13" t="s">
        <v>2179</v>
      </c>
      <c r="D1074" s="13" t="n">
        <v>76</v>
      </c>
      <c r="E1074" s="13" t="s">
        <v>83</v>
      </c>
      <c r="F1074" s="13" t="s">
        <v>33</v>
      </c>
      <c r="G1074" s="13" t="s">
        <v>162</v>
      </c>
      <c r="H1074" s="13" t="s">
        <v>41</v>
      </c>
      <c r="I1074" s="13" t="n">
        <v>3</v>
      </c>
      <c r="J1074" s="13" t="n">
        <v>0</v>
      </c>
      <c r="K1074" s="13" t="s">
        <v>91</v>
      </c>
      <c r="L1074" s="13" t="n">
        <v>3</v>
      </c>
      <c r="M1074" s="13" t="n">
        <v>1066308.48</v>
      </c>
      <c r="N1074" s="13" t="n">
        <v>355436.16</v>
      </c>
      <c r="O1074" s="13" t="n">
        <v>1136.21</v>
      </c>
      <c r="P1074" s="13" t="n">
        <v>0</v>
      </c>
      <c r="Q1074" s="13" t="n">
        <v>3</v>
      </c>
      <c r="R1074" s="13" t="s">
        <v>117</v>
      </c>
      <c r="S1074" s="13" t="s">
        <v>154</v>
      </c>
      <c r="T1074" s="13" t="n">
        <v>1</v>
      </c>
      <c r="U1074" s="13" t="n">
        <f aca="false">IF(B1074="Individual",1,0)</f>
        <v>1</v>
      </c>
      <c r="V1074" s="13" t="n">
        <f aca="false">IF(B1074="Company",1,0)</f>
        <v>0</v>
      </c>
      <c r="W1074" s="13" t="n">
        <f aca="false">IF(H1074="Home",1,0)</f>
        <v>1</v>
      </c>
      <c r="X1074" s="13" t="n">
        <f aca="false">IF(H1074="Investment",1,0)</f>
        <v>0</v>
      </c>
      <c r="Y1074" s="13" t="n">
        <f aca="false">IF(K1074="Website",1,0)</f>
        <v>0</v>
      </c>
      <c r="Z1074" s="13" t="n">
        <f aca="false">IF(K1074="Agency",1,0)</f>
        <v>1</v>
      </c>
      <c r="AA1074" s="13" t="n">
        <f aca="false">IF(K1074="Client",1,0)</f>
        <v>0</v>
      </c>
      <c r="AB1074" s="13" t="n">
        <f aca="false">(D1074-AVERAGE(D$2:D$2001))/STDEV(D$2:D$2001)</f>
        <v>1.26067426433745</v>
      </c>
      <c r="AC1074" s="13" t="n">
        <f aca="false">(I1074-AVERAGE(I$2:I$2001))/STDEV(I$2:I$2001)</f>
        <v>-0.0205155458339628</v>
      </c>
      <c r="AD1074" s="13" t="n">
        <f aca="false">(L1074-AVERAGE(L$2:L$2001))/STDEV(L$2:L$2001)</f>
        <v>-0.777063122173208</v>
      </c>
      <c r="AE1074" s="13" t="n">
        <f aca="false">(M1074-AVERAGE(M$2:M$2001))/STDEV(M$2:M$2001)</f>
        <v>-0.557935283009802</v>
      </c>
      <c r="AF1074" s="13" t="n">
        <f aca="false">(N1074-AVERAGE(N$2:N$2001))/STDEV(N$2:N$2001)</f>
        <v>0.11970720089812</v>
      </c>
      <c r="AG1074" s="13" t="n">
        <f aca="false">(O1074-AVERAGE(O$2:O$2001))/STDEV(O$2:O$2001)</f>
        <v>-0.0512437951467093</v>
      </c>
      <c r="AH1074" s="0" t="str">
        <f aca="false">IF(B1074="Company","C3 - Corporate Buyers",IF(AND(H1074="Investment",M1074&gt;'Segmentation Summary'!$C$1),"C1 - Global Investors",IF(AND(I1074&gt;=4,M1074&gt;'Segmentation Summary'!$C$1),"C4 - Luxury Investors",IF(AND(D1074&lt;'Segmentation Summary'!$C$2,J1074=1),"C2 - First-Time Buyers","C5 - Other Individual Buyers"))))</f>
        <v>C5 - Other Individual Buyers</v>
      </c>
    </row>
    <row r="1075" customFormat="false" ht="15" hidden="false" customHeight="true" outlineLevel="0" collapsed="false">
      <c r="A1075" s="13" t="s">
        <v>2180</v>
      </c>
      <c r="B1075" s="13" t="s">
        <v>34</v>
      </c>
      <c r="C1075" s="13" t="s">
        <v>2179</v>
      </c>
      <c r="D1075" s="13" t="n">
        <v>47</v>
      </c>
      <c r="E1075" s="13" t="s">
        <v>83</v>
      </c>
      <c r="F1075" s="13" t="s">
        <v>33</v>
      </c>
      <c r="G1075" s="13" t="s">
        <v>162</v>
      </c>
      <c r="H1075" s="13" t="s">
        <v>43</v>
      </c>
      <c r="I1075" s="13" t="n">
        <v>3</v>
      </c>
      <c r="J1075" s="13" t="n">
        <v>0</v>
      </c>
      <c r="K1075" s="13" t="s">
        <v>91</v>
      </c>
      <c r="L1075" s="13" t="n">
        <v>3</v>
      </c>
      <c r="M1075" s="13" t="n">
        <v>926064.21</v>
      </c>
      <c r="N1075" s="13" t="n">
        <v>308688.07</v>
      </c>
      <c r="O1075" s="13" t="n">
        <v>1042.71</v>
      </c>
      <c r="P1075" s="13" t="n">
        <v>1</v>
      </c>
      <c r="Q1075" s="13" t="n">
        <v>2</v>
      </c>
      <c r="R1075" s="13" t="s">
        <v>124</v>
      </c>
      <c r="S1075" s="13" t="s">
        <v>150</v>
      </c>
      <c r="T1075" s="13" t="n">
        <v>1</v>
      </c>
      <c r="U1075" s="13" t="n">
        <f aca="false">IF(B1075="Individual",1,0)</f>
        <v>1</v>
      </c>
      <c r="V1075" s="13" t="n">
        <f aca="false">IF(B1075="Company",1,0)</f>
        <v>0</v>
      </c>
      <c r="W1075" s="13" t="n">
        <f aca="false">IF(H1075="Home",1,0)</f>
        <v>0</v>
      </c>
      <c r="X1075" s="13" t="n">
        <f aca="false">IF(H1075="Investment",1,0)</f>
        <v>1</v>
      </c>
      <c r="Y1075" s="13" t="n">
        <f aca="false">IF(K1075="Website",1,0)</f>
        <v>0</v>
      </c>
      <c r="Z1075" s="13" t="n">
        <f aca="false">IF(K1075="Agency",1,0)</f>
        <v>1</v>
      </c>
      <c r="AA1075" s="13" t="n">
        <f aca="false">IF(K1075="Client",1,0)</f>
        <v>0</v>
      </c>
      <c r="AB1075" s="13" t="n">
        <f aca="false">(D1075-AVERAGE(D$2:D$2001))/STDEV(D$2:D$2001)</f>
        <v>-0.411536944818935</v>
      </c>
      <c r="AC1075" s="13" t="n">
        <f aca="false">(I1075-AVERAGE(I$2:I$2001))/STDEV(I$2:I$2001)</f>
        <v>-0.0205155458339628</v>
      </c>
      <c r="AD1075" s="13" t="n">
        <f aca="false">(L1075-AVERAGE(L$2:L$2001))/STDEV(L$2:L$2001)</f>
        <v>-0.777063122173208</v>
      </c>
      <c r="AE1075" s="13" t="n">
        <f aca="false">(M1075-AVERAGE(M$2:M$2001))/STDEV(M$2:M$2001)</f>
        <v>-0.961132252631686</v>
      </c>
      <c r="AF1075" s="13" t="n">
        <f aca="false">(N1075-AVERAGE(N$2:N$2001))/STDEV(N$2:N$2001)</f>
        <v>-0.550787183553269</v>
      </c>
      <c r="AG1075" s="13" t="n">
        <f aca="false">(O1075-AVERAGE(O$2:O$2001))/STDEV(O$2:O$2001)</f>
        <v>-0.476393395706015</v>
      </c>
      <c r="AH1075" s="0" t="str">
        <f aca="false">IF(B1075="Company","C3 - Corporate Buyers",IF(AND(H1075="Investment",M1075&gt;'Segmentation Summary'!$C$1),"C1 - Global Investors",IF(AND(I1075&gt;=4,M1075&gt;'Segmentation Summary'!$C$1),"C4 - Luxury Investors",IF(AND(D1075&lt;'Segmentation Summary'!$C$2,J1075=1),"C2 - First-Time Buyers","C5 - Other Individual Buyers"))))</f>
        <v>C5 - Other Individual Buyers</v>
      </c>
    </row>
    <row r="1076" customFormat="false" ht="15" hidden="false" customHeight="true" outlineLevel="0" collapsed="false">
      <c r="A1076" s="13" t="s">
        <v>2181</v>
      </c>
      <c r="B1076" s="13" t="s">
        <v>34</v>
      </c>
      <c r="C1076" s="13" t="s">
        <v>2182</v>
      </c>
      <c r="D1076" s="13" t="n">
        <v>75</v>
      </c>
      <c r="E1076" s="13" t="s">
        <v>83</v>
      </c>
      <c r="F1076" s="13" t="s">
        <v>33</v>
      </c>
      <c r="G1076" s="13" t="s">
        <v>95</v>
      </c>
      <c r="H1076" s="13" t="s">
        <v>43</v>
      </c>
      <c r="I1076" s="13" t="n">
        <v>1</v>
      </c>
      <c r="J1076" s="13" t="n">
        <v>1</v>
      </c>
      <c r="K1076" s="13" t="s">
        <v>85</v>
      </c>
      <c r="L1076" s="13" t="n">
        <v>3</v>
      </c>
      <c r="M1076" s="13" t="n">
        <v>889124.68</v>
      </c>
      <c r="N1076" s="13" t="n">
        <v>296374.893333333</v>
      </c>
      <c r="O1076" s="13" t="n">
        <v>972.053333333333</v>
      </c>
      <c r="P1076" s="13" t="n">
        <v>0</v>
      </c>
      <c r="Q1076" s="13" t="n">
        <v>3</v>
      </c>
      <c r="R1076" s="13" t="s">
        <v>86</v>
      </c>
      <c r="S1076" s="13" t="s">
        <v>164</v>
      </c>
      <c r="T1076" s="13" t="n">
        <v>1</v>
      </c>
      <c r="U1076" s="13" t="n">
        <f aca="false">IF(B1076="Individual",1,0)</f>
        <v>1</v>
      </c>
      <c r="V1076" s="13" t="n">
        <f aca="false">IF(B1076="Company",1,0)</f>
        <v>0</v>
      </c>
      <c r="W1076" s="13" t="n">
        <f aca="false">IF(H1076="Home",1,0)</f>
        <v>0</v>
      </c>
      <c r="X1076" s="13" t="n">
        <f aca="false">IF(H1076="Investment",1,0)</f>
        <v>1</v>
      </c>
      <c r="Y1076" s="13" t="n">
        <f aca="false">IF(K1076="Website",1,0)</f>
        <v>1</v>
      </c>
      <c r="Z1076" s="13" t="n">
        <f aca="false">IF(K1076="Agency",1,0)</f>
        <v>0</v>
      </c>
      <c r="AA1076" s="13" t="n">
        <f aca="false">IF(K1076="Client",1,0)</f>
        <v>0</v>
      </c>
      <c r="AB1076" s="13" t="n">
        <f aca="false">(D1076-AVERAGE(D$2:D$2001))/STDEV(D$2:D$2001)</f>
        <v>1.2030118088493</v>
      </c>
      <c r="AC1076" s="13" t="n">
        <f aca="false">(I1076-AVERAGE(I$2:I$2001))/STDEV(I$2:I$2001)</f>
        <v>-1.43538077576244</v>
      </c>
      <c r="AD1076" s="13" t="n">
        <f aca="false">(L1076-AVERAGE(L$2:L$2001))/STDEV(L$2:L$2001)</f>
        <v>-0.777063122173208</v>
      </c>
      <c r="AE1076" s="13" t="n">
        <f aca="false">(M1076-AVERAGE(M$2:M$2001))/STDEV(M$2:M$2001)</f>
        <v>-1.06733200364652</v>
      </c>
      <c r="AF1076" s="13" t="n">
        <f aca="false">(N1076-AVERAGE(N$2:N$2001))/STDEV(N$2:N$2001)</f>
        <v>-0.727391528452881</v>
      </c>
      <c r="AG1076" s="13" t="n">
        <f aca="false">(O1076-AVERAGE(O$2:O$2001))/STDEV(O$2:O$2001)</f>
        <v>-0.79767311346201</v>
      </c>
      <c r="AH1076" s="0" t="str">
        <f aca="false">IF(B1076="Company","C3 - Corporate Buyers",IF(AND(H1076="Investment",M1076&gt;'Segmentation Summary'!$C$1),"C1 - Global Investors",IF(AND(I1076&gt;=4,M1076&gt;'Segmentation Summary'!$C$1),"C4 - Luxury Investors",IF(AND(D1076&lt;'Segmentation Summary'!$C$2,J1076=1),"C2 - First-Time Buyers","C5 - Other Individual Buyers"))))</f>
        <v>C5 - Other Individual Buyers</v>
      </c>
    </row>
    <row r="1077" customFormat="false" ht="15" hidden="false" customHeight="true" outlineLevel="0" collapsed="false">
      <c r="A1077" s="13" t="s">
        <v>2183</v>
      </c>
      <c r="B1077" s="13" t="s">
        <v>34</v>
      </c>
      <c r="C1077" s="13" t="s">
        <v>2184</v>
      </c>
      <c r="D1077" s="13" t="n">
        <v>84</v>
      </c>
      <c r="E1077" s="13" t="s">
        <v>83</v>
      </c>
      <c r="F1077" s="13" t="s">
        <v>33</v>
      </c>
      <c r="G1077" s="13" t="s">
        <v>123</v>
      </c>
      <c r="H1077" s="13" t="s">
        <v>41</v>
      </c>
      <c r="I1077" s="13" t="n">
        <v>1</v>
      </c>
      <c r="J1077" s="13" t="n">
        <v>0</v>
      </c>
      <c r="K1077" s="13" t="s">
        <v>91</v>
      </c>
      <c r="L1077" s="13" t="n">
        <v>3</v>
      </c>
      <c r="M1077" s="13" t="n">
        <v>1247337.58</v>
      </c>
      <c r="N1077" s="13" t="n">
        <v>415779.193333333</v>
      </c>
      <c r="O1077" s="13" t="n">
        <v>1303.77666666667</v>
      </c>
      <c r="P1077" s="13" t="n">
        <v>0</v>
      </c>
      <c r="Q1077" s="13" t="n">
        <v>3</v>
      </c>
      <c r="R1077" s="13" t="s">
        <v>98</v>
      </c>
      <c r="S1077" s="13" t="s">
        <v>133</v>
      </c>
      <c r="T1077" s="13" t="n">
        <v>1</v>
      </c>
      <c r="U1077" s="13" t="n">
        <f aca="false">IF(B1077="Individual",1,0)</f>
        <v>1</v>
      </c>
      <c r="V1077" s="13" t="n">
        <f aca="false">IF(B1077="Company",1,0)</f>
        <v>0</v>
      </c>
      <c r="W1077" s="13" t="n">
        <f aca="false">IF(H1077="Home",1,0)</f>
        <v>1</v>
      </c>
      <c r="X1077" s="13" t="n">
        <f aca="false">IF(H1077="Investment",1,0)</f>
        <v>0</v>
      </c>
      <c r="Y1077" s="13" t="n">
        <f aca="false">IF(K1077="Website",1,0)</f>
        <v>0</v>
      </c>
      <c r="Z1077" s="13" t="n">
        <f aca="false">IF(K1077="Agency",1,0)</f>
        <v>1</v>
      </c>
      <c r="AA1077" s="13" t="n">
        <f aca="false">IF(K1077="Client",1,0)</f>
        <v>0</v>
      </c>
      <c r="AB1077" s="13" t="n">
        <f aca="false">(D1077-AVERAGE(D$2:D$2001))/STDEV(D$2:D$2001)</f>
        <v>1.72197390824266</v>
      </c>
      <c r="AC1077" s="13" t="n">
        <f aca="false">(I1077-AVERAGE(I$2:I$2001))/STDEV(I$2:I$2001)</f>
        <v>-1.43538077576244</v>
      </c>
      <c r="AD1077" s="13" t="n">
        <f aca="false">(L1077-AVERAGE(L$2:L$2001))/STDEV(L$2:L$2001)</f>
        <v>-0.777063122173208</v>
      </c>
      <c r="AE1077" s="13" t="n">
        <f aca="false">(M1077-AVERAGE(M$2:M$2001))/STDEV(M$2:M$2001)</f>
        <v>-0.0374834703733417</v>
      </c>
      <c r="AF1077" s="13" t="n">
        <f aca="false">(N1077-AVERAGE(N$2:N$2001))/STDEV(N$2:N$2001)</f>
        <v>0.985189940209242</v>
      </c>
      <c r="AG1077" s="13" t="n">
        <f aca="false">(O1077-AVERAGE(O$2:O$2001))/STDEV(O$2:O$2001)</f>
        <v>0.710690979189003</v>
      </c>
      <c r="AH1077" s="0" t="str">
        <f aca="false">IF(B1077="Company","C3 - Corporate Buyers",IF(AND(H1077="Investment",M1077&gt;'Segmentation Summary'!$C$1),"C1 - Global Investors",IF(AND(I1077&gt;=4,M1077&gt;'Segmentation Summary'!$C$1),"C4 - Luxury Investors",IF(AND(D1077&lt;'Segmentation Summary'!$C$2,J1077=1),"C2 - First-Time Buyers","C5 - Other Individual Buyers"))))</f>
        <v>C5 - Other Individual Buyers</v>
      </c>
    </row>
    <row r="1078" customFormat="false" ht="15" hidden="false" customHeight="true" outlineLevel="0" collapsed="false">
      <c r="A1078" s="13" t="s">
        <v>2185</v>
      </c>
      <c r="B1078" s="13" t="s">
        <v>34</v>
      </c>
      <c r="C1078" s="13" t="s">
        <v>2186</v>
      </c>
      <c r="D1078" s="13" t="n">
        <v>27</v>
      </c>
      <c r="E1078" s="13" t="s">
        <v>83</v>
      </c>
      <c r="F1078" s="13" t="s">
        <v>37</v>
      </c>
      <c r="G1078" s="13" t="s">
        <v>572</v>
      </c>
      <c r="H1078" s="13" t="s">
        <v>41</v>
      </c>
      <c r="I1078" s="13" t="n">
        <v>2</v>
      </c>
      <c r="J1078" s="13" t="n">
        <v>1</v>
      </c>
      <c r="K1078" s="13" t="s">
        <v>85</v>
      </c>
      <c r="L1078" s="13" t="n">
        <v>4</v>
      </c>
      <c r="M1078" s="13" t="n">
        <v>1276344.68</v>
      </c>
      <c r="N1078" s="13" t="n">
        <v>319086.17</v>
      </c>
      <c r="O1078" s="13" t="n">
        <v>1059.9375</v>
      </c>
      <c r="P1078" s="13" t="n">
        <v>0</v>
      </c>
      <c r="Q1078" s="13" t="n">
        <v>4</v>
      </c>
      <c r="R1078" s="13" t="s">
        <v>141</v>
      </c>
      <c r="S1078" s="13" t="s">
        <v>125</v>
      </c>
      <c r="T1078" s="13" t="n">
        <v>1</v>
      </c>
      <c r="U1078" s="13" t="n">
        <f aca="false">IF(B1078="Individual",1,0)</f>
        <v>1</v>
      </c>
      <c r="V1078" s="13" t="n">
        <f aca="false">IF(B1078="Company",1,0)</f>
        <v>0</v>
      </c>
      <c r="W1078" s="13" t="n">
        <f aca="false">IF(H1078="Home",1,0)</f>
        <v>1</v>
      </c>
      <c r="X1078" s="13" t="n">
        <f aca="false">IF(H1078="Investment",1,0)</f>
        <v>0</v>
      </c>
      <c r="Y1078" s="13" t="n">
        <f aca="false">IF(K1078="Website",1,0)</f>
        <v>1</v>
      </c>
      <c r="Z1078" s="13" t="n">
        <f aca="false">IF(K1078="Agency",1,0)</f>
        <v>0</v>
      </c>
      <c r="AA1078" s="13" t="n">
        <f aca="false">IF(K1078="Client",1,0)</f>
        <v>0</v>
      </c>
      <c r="AB1078" s="13" t="n">
        <f aca="false">(D1078-AVERAGE(D$2:D$2001))/STDEV(D$2:D$2001)</f>
        <v>-1.56478605458196</v>
      </c>
      <c r="AC1078" s="13" t="n">
        <f aca="false">(I1078-AVERAGE(I$2:I$2001))/STDEV(I$2:I$2001)</f>
        <v>-0.727948160798201</v>
      </c>
      <c r="AD1078" s="13" t="n">
        <f aca="false">(L1078-AVERAGE(L$2:L$2001))/STDEV(L$2:L$2001)</f>
        <v>0.413838214490712</v>
      </c>
      <c r="AE1078" s="13" t="n">
        <f aca="false">(M1078-AVERAGE(M$2:M$2001))/STDEV(M$2:M$2001)</f>
        <v>0.0459108445424757</v>
      </c>
      <c r="AF1078" s="13" t="n">
        <f aca="false">(N1078-AVERAGE(N$2:N$2001))/STDEV(N$2:N$2001)</f>
        <v>-0.401650231456104</v>
      </c>
      <c r="AG1078" s="13" t="n">
        <f aca="false">(O1078-AVERAGE(O$2:O$2001))/STDEV(O$2:O$2001)</f>
        <v>-0.398059013421144</v>
      </c>
      <c r="AH1078" s="0" t="str">
        <f aca="false">IF(B1078="Company","C3 - Corporate Buyers",IF(AND(H1078="Investment",M1078&gt;'Segmentation Summary'!$C$1),"C1 - Global Investors",IF(AND(I1078&gt;=4,M1078&gt;'Segmentation Summary'!$C$1),"C4 - Luxury Investors",IF(AND(D1078&lt;'Segmentation Summary'!$C$2,J1078=1),"C2 - First-Time Buyers","C5 - Other Individual Buyers"))))</f>
        <v>C2 - First-Time Buyers</v>
      </c>
    </row>
    <row r="1079" customFormat="false" ht="15" hidden="false" customHeight="true" outlineLevel="0" collapsed="false">
      <c r="A1079" s="13" t="s">
        <v>2187</v>
      </c>
      <c r="B1079" s="13" t="s">
        <v>34</v>
      </c>
      <c r="C1079" s="13" t="s">
        <v>2188</v>
      </c>
      <c r="D1079" s="13" t="n">
        <v>71</v>
      </c>
      <c r="E1079" s="13" t="s">
        <v>83</v>
      </c>
      <c r="F1079" s="13" t="s">
        <v>33</v>
      </c>
      <c r="G1079" s="13" t="s">
        <v>95</v>
      </c>
      <c r="H1079" s="13" t="s">
        <v>41</v>
      </c>
      <c r="I1079" s="13" t="n">
        <v>1</v>
      </c>
      <c r="J1079" s="13" t="n">
        <v>1</v>
      </c>
      <c r="K1079" s="13" t="s">
        <v>85</v>
      </c>
      <c r="L1079" s="13" t="n">
        <v>3</v>
      </c>
      <c r="M1079" s="13" t="n">
        <v>988771.17</v>
      </c>
      <c r="N1079" s="13" t="n">
        <v>329590.39</v>
      </c>
      <c r="O1079" s="13" t="n">
        <v>1076.69</v>
      </c>
      <c r="P1079" s="13" t="n">
        <v>0</v>
      </c>
      <c r="Q1079" s="13" t="n">
        <v>3</v>
      </c>
      <c r="R1079" s="13" t="s">
        <v>92</v>
      </c>
      <c r="S1079" s="13" t="s">
        <v>152</v>
      </c>
      <c r="T1079" s="13" t="n">
        <v>1</v>
      </c>
      <c r="U1079" s="13" t="n">
        <f aca="false">IF(B1079="Individual",1,0)</f>
        <v>1</v>
      </c>
      <c r="V1079" s="13" t="n">
        <f aca="false">IF(B1079="Company",1,0)</f>
        <v>0</v>
      </c>
      <c r="W1079" s="13" t="n">
        <f aca="false">IF(H1079="Home",1,0)</f>
        <v>1</v>
      </c>
      <c r="X1079" s="13" t="n">
        <f aca="false">IF(H1079="Investment",1,0)</f>
        <v>0</v>
      </c>
      <c r="Y1079" s="13" t="n">
        <f aca="false">IF(K1079="Website",1,0)</f>
        <v>1</v>
      </c>
      <c r="Z1079" s="13" t="n">
        <f aca="false">IF(K1079="Agency",1,0)</f>
        <v>0</v>
      </c>
      <c r="AA1079" s="13" t="n">
        <f aca="false">IF(K1079="Client",1,0)</f>
        <v>0</v>
      </c>
      <c r="AB1079" s="13" t="n">
        <f aca="false">(D1079-AVERAGE(D$2:D$2001))/STDEV(D$2:D$2001)</f>
        <v>0.972361986896694</v>
      </c>
      <c r="AC1079" s="13" t="n">
        <f aca="false">(I1079-AVERAGE(I$2:I$2001))/STDEV(I$2:I$2001)</f>
        <v>-1.43538077576244</v>
      </c>
      <c r="AD1079" s="13" t="n">
        <f aca="false">(L1079-AVERAGE(L$2:L$2001))/STDEV(L$2:L$2001)</f>
        <v>-0.777063122173208</v>
      </c>
      <c r="AE1079" s="13" t="n">
        <f aca="false">(M1079-AVERAGE(M$2:M$2001))/STDEV(M$2:M$2001)</f>
        <v>-0.780852115366893</v>
      </c>
      <c r="AF1079" s="13" t="n">
        <f aca="false">(N1079-AVERAGE(N$2:N$2001))/STDEV(N$2:N$2001)</f>
        <v>-0.250991230777317</v>
      </c>
      <c r="AG1079" s="13" t="n">
        <f aca="false">(O1079-AVERAGE(O$2:O$2001))/STDEV(O$2:O$2001)</f>
        <v>-0.321884482048205</v>
      </c>
      <c r="AH1079" s="0" t="str">
        <f aca="false">IF(B1079="Company","C3 - Corporate Buyers",IF(AND(H1079="Investment",M1079&gt;'Segmentation Summary'!$C$1),"C1 - Global Investors",IF(AND(I1079&gt;=4,M1079&gt;'Segmentation Summary'!$C$1),"C4 - Luxury Investors",IF(AND(D1079&lt;'Segmentation Summary'!$C$2,J1079=1),"C2 - First-Time Buyers","C5 - Other Individual Buyers"))))</f>
        <v>C5 - Other Individual Buyers</v>
      </c>
    </row>
    <row r="1080" customFormat="false" ht="15" hidden="false" customHeight="true" outlineLevel="0" collapsed="false">
      <c r="A1080" s="13" t="s">
        <v>2189</v>
      </c>
      <c r="B1080" s="13" t="s">
        <v>34</v>
      </c>
      <c r="C1080" s="13" t="s">
        <v>2190</v>
      </c>
      <c r="D1080" s="13" t="n">
        <v>33</v>
      </c>
      <c r="E1080" s="13" t="s">
        <v>83</v>
      </c>
      <c r="F1080" s="13" t="s">
        <v>45</v>
      </c>
      <c r="G1080" s="13" t="s">
        <v>405</v>
      </c>
      <c r="H1080" s="13" t="s">
        <v>41</v>
      </c>
      <c r="I1080" s="13" t="n">
        <v>1</v>
      </c>
      <c r="J1080" s="13" t="n">
        <v>1</v>
      </c>
      <c r="K1080" s="13" t="s">
        <v>91</v>
      </c>
      <c r="L1080" s="13" t="n">
        <v>3</v>
      </c>
      <c r="M1080" s="13" t="n">
        <v>1083677.57</v>
      </c>
      <c r="N1080" s="13" t="n">
        <v>361225.856666667</v>
      </c>
      <c r="O1080" s="13" t="n">
        <v>1221.38333333333</v>
      </c>
      <c r="P1080" s="13" t="n">
        <v>0</v>
      </c>
      <c r="Q1080" s="13" t="n">
        <v>3</v>
      </c>
      <c r="R1080" s="13" t="s">
        <v>128</v>
      </c>
      <c r="S1080" s="13" t="s">
        <v>103</v>
      </c>
      <c r="T1080" s="13" t="n">
        <v>1</v>
      </c>
      <c r="U1080" s="13" t="n">
        <f aca="false">IF(B1080="Individual",1,0)</f>
        <v>1</v>
      </c>
      <c r="V1080" s="13" t="n">
        <f aca="false">IF(B1080="Company",1,0)</f>
        <v>0</v>
      </c>
      <c r="W1080" s="13" t="n">
        <f aca="false">IF(H1080="Home",1,0)</f>
        <v>1</v>
      </c>
      <c r="X1080" s="13" t="n">
        <f aca="false">IF(H1080="Investment",1,0)</f>
        <v>0</v>
      </c>
      <c r="Y1080" s="13" t="n">
        <f aca="false">IF(K1080="Website",1,0)</f>
        <v>0</v>
      </c>
      <c r="Z1080" s="13" t="n">
        <f aca="false">IF(K1080="Agency",1,0)</f>
        <v>1</v>
      </c>
      <c r="AA1080" s="13" t="n">
        <f aca="false">IF(K1080="Client",1,0)</f>
        <v>0</v>
      </c>
      <c r="AB1080" s="13" t="n">
        <f aca="false">(D1080-AVERAGE(D$2:D$2001))/STDEV(D$2:D$2001)</f>
        <v>-1.21881132165305</v>
      </c>
      <c r="AC1080" s="13" t="n">
        <f aca="false">(I1080-AVERAGE(I$2:I$2001))/STDEV(I$2:I$2001)</f>
        <v>-1.43538077576244</v>
      </c>
      <c r="AD1080" s="13" t="n">
        <f aca="false">(L1080-AVERAGE(L$2:L$2001))/STDEV(L$2:L$2001)</f>
        <v>-0.777063122173208</v>
      </c>
      <c r="AE1080" s="13" t="n">
        <f aca="false">(M1080-AVERAGE(M$2:M$2001))/STDEV(M$2:M$2001)</f>
        <v>-0.507999806479532</v>
      </c>
      <c r="AF1080" s="13" t="n">
        <f aca="false">(N1080-AVERAGE(N$2:N$2001))/STDEV(N$2:N$2001)</f>
        <v>0.202747151892421</v>
      </c>
      <c r="AG1080" s="13" t="n">
        <f aca="false">(O1080-AVERAGE(O$2:O$2001))/STDEV(O$2:O$2001)</f>
        <v>0.33604399784762</v>
      </c>
      <c r="AH1080" s="0" t="str">
        <f aca="false">IF(B1080="Company","C3 - Corporate Buyers",IF(AND(H1080="Investment",M1080&gt;'Segmentation Summary'!$C$1),"C1 - Global Investors",IF(AND(I1080&gt;=4,M1080&gt;'Segmentation Summary'!$C$1),"C4 - Luxury Investors",IF(AND(D1080&lt;'Segmentation Summary'!$C$2,J1080=1),"C2 - First-Time Buyers","C5 - Other Individual Buyers"))))</f>
        <v>C2 - First-Time Buyers</v>
      </c>
    </row>
    <row r="1081" customFormat="false" ht="15" hidden="false" customHeight="true" outlineLevel="0" collapsed="false">
      <c r="A1081" s="13" t="s">
        <v>2191</v>
      </c>
      <c r="B1081" s="13" t="s">
        <v>34</v>
      </c>
      <c r="C1081" s="13" t="s">
        <v>2192</v>
      </c>
      <c r="D1081" s="13" t="n">
        <v>78</v>
      </c>
      <c r="E1081" s="13" t="s">
        <v>83</v>
      </c>
      <c r="F1081" s="13" t="s">
        <v>47</v>
      </c>
      <c r="G1081" s="13" t="s">
        <v>2193</v>
      </c>
      <c r="H1081" s="13" t="s">
        <v>41</v>
      </c>
      <c r="I1081" s="13" t="n">
        <v>4</v>
      </c>
      <c r="J1081" s="13" t="n">
        <v>0</v>
      </c>
      <c r="K1081" s="13" t="s">
        <v>85</v>
      </c>
      <c r="L1081" s="13" t="n">
        <v>4</v>
      </c>
      <c r="M1081" s="13" t="n">
        <v>1576416.87</v>
      </c>
      <c r="N1081" s="13" t="n">
        <v>394104.2175</v>
      </c>
      <c r="O1081" s="13" t="n">
        <v>1307.3</v>
      </c>
      <c r="P1081" s="13" t="n">
        <v>0</v>
      </c>
      <c r="Q1081" s="13" t="n">
        <v>4</v>
      </c>
      <c r="R1081" s="13" t="s">
        <v>92</v>
      </c>
      <c r="S1081" s="13" t="s">
        <v>164</v>
      </c>
      <c r="T1081" s="13" t="n">
        <v>1</v>
      </c>
      <c r="U1081" s="13" t="n">
        <f aca="false">IF(B1081="Individual",1,0)</f>
        <v>1</v>
      </c>
      <c r="V1081" s="13" t="n">
        <f aca="false">IF(B1081="Company",1,0)</f>
        <v>0</v>
      </c>
      <c r="W1081" s="13" t="n">
        <f aca="false">IF(H1081="Home",1,0)</f>
        <v>1</v>
      </c>
      <c r="X1081" s="13" t="n">
        <f aca="false">IF(H1081="Investment",1,0)</f>
        <v>0</v>
      </c>
      <c r="Y1081" s="13" t="n">
        <f aca="false">IF(K1081="Website",1,0)</f>
        <v>1</v>
      </c>
      <c r="Z1081" s="13" t="n">
        <f aca="false">IF(K1081="Agency",1,0)</f>
        <v>0</v>
      </c>
      <c r="AA1081" s="13" t="n">
        <f aca="false">IF(K1081="Client",1,0)</f>
        <v>0</v>
      </c>
      <c r="AB1081" s="13" t="n">
        <f aca="false">(D1081-AVERAGE(D$2:D$2001))/STDEV(D$2:D$2001)</f>
        <v>1.37599917531375</v>
      </c>
      <c r="AC1081" s="13" t="n">
        <f aca="false">(I1081-AVERAGE(I$2:I$2001))/STDEV(I$2:I$2001)</f>
        <v>0.686917069130275</v>
      </c>
      <c r="AD1081" s="13" t="n">
        <f aca="false">(L1081-AVERAGE(L$2:L$2001))/STDEV(L$2:L$2001)</f>
        <v>0.413838214490712</v>
      </c>
      <c r="AE1081" s="13" t="n">
        <f aca="false">(M1081-AVERAGE(M$2:M$2001))/STDEV(M$2:M$2001)</f>
        <v>0.90860703652096</v>
      </c>
      <c r="AF1081" s="13" t="n">
        <f aca="false">(N1081-AVERAGE(N$2:N$2001))/STDEV(N$2:N$2001)</f>
        <v>0.674312007455853</v>
      </c>
      <c r="AG1081" s="13" t="n">
        <f aca="false">(O1081-AVERAGE(O$2:O$2001))/STDEV(O$2:O$2001)</f>
        <v>0.726711768058548</v>
      </c>
      <c r="AH1081" s="0" t="str">
        <f aca="false">IF(B1081="Company","C3 - Corporate Buyers",IF(AND(H1081="Investment",M1081&gt;'Segmentation Summary'!$C$1),"C1 - Global Investors",IF(AND(I1081&gt;=4,M1081&gt;'Segmentation Summary'!$C$1),"C4 - Luxury Investors",IF(AND(D1081&lt;'Segmentation Summary'!$C$2,J1081=1),"C2 - First-Time Buyers","C5 - Other Individual Buyers"))))</f>
        <v>C4 - Luxury Investors</v>
      </c>
    </row>
    <row r="1082" customFormat="false" ht="15" hidden="false" customHeight="true" outlineLevel="0" collapsed="false">
      <c r="A1082" s="13" t="s">
        <v>2194</v>
      </c>
      <c r="B1082" s="13" t="s">
        <v>34</v>
      </c>
      <c r="C1082" s="13" t="s">
        <v>2195</v>
      </c>
      <c r="D1082" s="13" t="n">
        <v>27</v>
      </c>
      <c r="E1082" s="13" t="s">
        <v>83</v>
      </c>
      <c r="F1082" s="13" t="s">
        <v>44</v>
      </c>
      <c r="G1082" s="13" t="s">
        <v>1956</v>
      </c>
      <c r="H1082" s="13" t="s">
        <v>41</v>
      </c>
      <c r="I1082" s="13" t="n">
        <v>1</v>
      </c>
      <c r="J1082" s="13" t="n">
        <v>1</v>
      </c>
      <c r="K1082" s="13" t="s">
        <v>85</v>
      </c>
      <c r="L1082" s="13" t="n">
        <v>4</v>
      </c>
      <c r="M1082" s="13" t="n">
        <v>1238034.03</v>
      </c>
      <c r="N1082" s="13" t="n">
        <v>309508.5075</v>
      </c>
      <c r="O1082" s="13" t="n">
        <v>1014.73</v>
      </c>
      <c r="P1082" s="13" t="n">
        <v>1</v>
      </c>
      <c r="Q1082" s="13" t="n">
        <v>3</v>
      </c>
      <c r="R1082" s="13" t="s">
        <v>86</v>
      </c>
      <c r="S1082" s="13" t="s">
        <v>103</v>
      </c>
      <c r="T1082" s="13" t="n">
        <v>1</v>
      </c>
      <c r="U1082" s="13" t="n">
        <f aca="false">IF(B1082="Individual",1,0)</f>
        <v>1</v>
      </c>
      <c r="V1082" s="13" t="n">
        <f aca="false">IF(B1082="Company",1,0)</f>
        <v>0</v>
      </c>
      <c r="W1082" s="13" t="n">
        <f aca="false">IF(H1082="Home",1,0)</f>
        <v>1</v>
      </c>
      <c r="X1082" s="13" t="n">
        <f aca="false">IF(H1082="Investment",1,0)</f>
        <v>0</v>
      </c>
      <c r="Y1082" s="13" t="n">
        <f aca="false">IF(K1082="Website",1,0)</f>
        <v>1</v>
      </c>
      <c r="Z1082" s="13" t="n">
        <f aca="false">IF(K1082="Agency",1,0)</f>
        <v>0</v>
      </c>
      <c r="AA1082" s="13" t="n">
        <f aca="false">IF(K1082="Client",1,0)</f>
        <v>0</v>
      </c>
      <c r="AB1082" s="13" t="n">
        <f aca="false">(D1082-AVERAGE(D$2:D$2001))/STDEV(D$2:D$2001)</f>
        <v>-1.56478605458196</v>
      </c>
      <c r="AC1082" s="13" t="n">
        <f aca="false">(I1082-AVERAGE(I$2:I$2001))/STDEV(I$2:I$2001)</f>
        <v>-1.43538077576244</v>
      </c>
      <c r="AD1082" s="13" t="n">
        <f aca="false">(L1082-AVERAGE(L$2:L$2001))/STDEV(L$2:L$2001)</f>
        <v>0.413838214490712</v>
      </c>
      <c r="AE1082" s="13" t="n">
        <f aca="false">(M1082-AVERAGE(M$2:M$2001))/STDEV(M$2:M$2001)</f>
        <v>-0.0642308245912766</v>
      </c>
      <c r="AF1082" s="13" t="n">
        <f aca="false">(N1082-AVERAGE(N$2:N$2001))/STDEV(N$2:N$2001)</f>
        <v>-0.539019884899071</v>
      </c>
      <c r="AG1082" s="13" t="n">
        <f aca="false">(O1082-AVERAGE(O$2:O$2001))/STDEV(O$2:O$2001)</f>
        <v>-0.603619982055206</v>
      </c>
      <c r="AH1082" s="0" t="str">
        <f aca="false">IF(B1082="Company","C3 - Corporate Buyers",IF(AND(H1082="Investment",M1082&gt;'Segmentation Summary'!$C$1),"C1 - Global Investors",IF(AND(I1082&gt;=4,M1082&gt;'Segmentation Summary'!$C$1),"C4 - Luxury Investors",IF(AND(D1082&lt;'Segmentation Summary'!$C$2,J1082=1),"C2 - First-Time Buyers","C5 - Other Individual Buyers"))))</f>
        <v>C2 - First-Time Buyers</v>
      </c>
    </row>
    <row r="1083" customFormat="false" ht="15" hidden="false" customHeight="true" outlineLevel="0" collapsed="false">
      <c r="A1083" s="13" t="s">
        <v>2196</v>
      </c>
      <c r="B1083" s="13" t="s">
        <v>34</v>
      </c>
      <c r="C1083" s="13" t="s">
        <v>2197</v>
      </c>
      <c r="D1083" s="13" t="n">
        <v>76</v>
      </c>
      <c r="E1083" s="13" t="s">
        <v>90</v>
      </c>
      <c r="F1083" s="13" t="s">
        <v>35</v>
      </c>
      <c r="G1083" s="13" t="s">
        <v>374</v>
      </c>
      <c r="H1083" s="13" t="s">
        <v>41</v>
      </c>
      <c r="I1083" s="13" t="n">
        <v>4</v>
      </c>
      <c r="J1083" s="13" t="n">
        <v>0</v>
      </c>
      <c r="K1083" s="13" t="s">
        <v>91</v>
      </c>
      <c r="L1083" s="13" t="n">
        <v>3</v>
      </c>
      <c r="M1083" s="13" t="n">
        <v>813104.68</v>
      </c>
      <c r="N1083" s="13" t="n">
        <v>271034.893333333</v>
      </c>
      <c r="O1083" s="13" t="n">
        <v>847.036666666667</v>
      </c>
      <c r="P1083" s="13" t="n">
        <v>1</v>
      </c>
      <c r="Q1083" s="13" t="n">
        <v>2</v>
      </c>
      <c r="R1083" s="13" t="s">
        <v>86</v>
      </c>
      <c r="S1083" s="13" t="s">
        <v>112</v>
      </c>
      <c r="T1083" s="13" t="n">
        <v>1</v>
      </c>
      <c r="U1083" s="13" t="n">
        <f aca="false">IF(B1083="Individual",1,0)</f>
        <v>1</v>
      </c>
      <c r="V1083" s="13" t="n">
        <f aca="false">IF(B1083="Company",1,0)</f>
        <v>0</v>
      </c>
      <c r="W1083" s="13" t="n">
        <f aca="false">IF(H1083="Home",1,0)</f>
        <v>1</v>
      </c>
      <c r="X1083" s="13" t="n">
        <f aca="false">IF(H1083="Investment",1,0)</f>
        <v>0</v>
      </c>
      <c r="Y1083" s="13" t="n">
        <f aca="false">IF(K1083="Website",1,0)</f>
        <v>0</v>
      </c>
      <c r="Z1083" s="13" t="n">
        <f aca="false">IF(K1083="Agency",1,0)</f>
        <v>1</v>
      </c>
      <c r="AA1083" s="13" t="n">
        <f aca="false">IF(K1083="Client",1,0)</f>
        <v>0</v>
      </c>
      <c r="AB1083" s="13" t="n">
        <f aca="false">(D1083-AVERAGE(D$2:D$2001))/STDEV(D$2:D$2001)</f>
        <v>1.26067426433745</v>
      </c>
      <c r="AC1083" s="13" t="n">
        <f aca="false">(I1083-AVERAGE(I$2:I$2001))/STDEV(I$2:I$2001)</f>
        <v>0.686917069130275</v>
      </c>
      <c r="AD1083" s="13" t="n">
        <f aca="false">(L1083-AVERAGE(L$2:L$2001))/STDEV(L$2:L$2001)</f>
        <v>-0.777063122173208</v>
      </c>
      <c r="AE1083" s="13" t="n">
        <f aca="false">(M1083-AVERAGE(M$2:M$2001))/STDEV(M$2:M$2001)</f>
        <v>-1.28588662716629</v>
      </c>
      <c r="AF1083" s="13" t="n">
        <f aca="false">(N1083-AVERAGE(N$2:N$2001))/STDEV(N$2:N$2001)</f>
        <v>-1.09083584675547</v>
      </c>
      <c r="AG1083" s="13" t="n">
        <f aca="false">(O1083-AVERAGE(O$2:O$2001))/STDEV(O$2:O$2001)</f>
        <v>-1.36613071663408</v>
      </c>
      <c r="AH1083" s="0" t="str">
        <f aca="false">IF(B1083="Company","C3 - Corporate Buyers",IF(AND(H1083="Investment",M1083&gt;'Segmentation Summary'!$C$1),"C1 - Global Investors",IF(AND(I1083&gt;=4,M1083&gt;'Segmentation Summary'!$C$1),"C4 - Luxury Investors",IF(AND(D1083&lt;'Segmentation Summary'!$C$2,J1083=1),"C2 - First-Time Buyers","C5 - Other Individual Buyers"))))</f>
        <v>C5 - Other Individual Buyers</v>
      </c>
    </row>
    <row r="1084" customFormat="false" ht="15" hidden="false" customHeight="true" outlineLevel="0" collapsed="false">
      <c r="A1084" s="13" t="s">
        <v>2198</v>
      </c>
      <c r="B1084" s="13" t="s">
        <v>34</v>
      </c>
      <c r="C1084" s="13" t="s">
        <v>2199</v>
      </c>
      <c r="D1084" s="13" t="n">
        <v>73</v>
      </c>
      <c r="E1084" s="13" t="s">
        <v>90</v>
      </c>
      <c r="F1084" s="13" t="s">
        <v>33</v>
      </c>
      <c r="G1084" s="13" t="s">
        <v>145</v>
      </c>
      <c r="H1084" s="13" t="s">
        <v>41</v>
      </c>
      <c r="I1084" s="13" t="n">
        <v>3</v>
      </c>
      <c r="J1084" s="13" t="n">
        <v>0</v>
      </c>
      <c r="K1084" s="13" t="s">
        <v>91</v>
      </c>
      <c r="L1084" s="13" t="n">
        <v>4</v>
      </c>
      <c r="M1084" s="13" t="n">
        <v>1499666.44</v>
      </c>
      <c r="N1084" s="13" t="n">
        <v>374916.61</v>
      </c>
      <c r="O1084" s="13" t="n">
        <v>1220.915</v>
      </c>
      <c r="P1084" s="13" t="n">
        <v>0</v>
      </c>
      <c r="Q1084" s="13" t="n">
        <v>4</v>
      </c>
      <c r="R1084" s="13" t="s">
        <v>101</v>
      </c>
      <c r="S1084" s="13" t="s">
        <v>164</v>
      </c>
      <c r="T1084" s="13" t="n">
        <v>1</v>
      </c>
      <c r="U1084" s="13" t="n">
        <f aca="false">IF(B1084="Individual",1,0)</f>
        <v>1</v>
      </c>
      <c r="V1084" s="13" t="n">
        <f aca="false">IF(B1084="Company",1,0)</f>
        <v>0</v>
      </c>
      <c r="W1084" s="13" t="n">
        <f aca="false">IF(H1084="Home",1,0)</f>
        <v>1</v>
      </c>
      <c r="X1084" s="13" t="n">
        <f aca="false">IF(H1084="Investment",1,0)</f>
        <v>0</v>
      </c>
      <c r="Y1084" s="13" t="n">
        <f aca="false">IF(K1084="Website",1,0)</f>
        <v>0</v>
      </c>
      <c r="Z1084" s="13" t="n">
        <f aca="false">IF(K1084="Agency",1,0)</f>
        <v>1</v>
      </c>
      <c r="AA1084" s="13" t="n">
        <f aca="false">IF(K1084="Client",1,0)</f>
        <v>0</v>
      </c>
      <c r="AB1084" s="13" t="n">
        <f aca="false">(D1084-AVERAGE(D$2:D$2001))/STDEV(D$2:D$2001)</f>
        <v>1.087686897873</v>
      </c>
      <c r="AC1084" s="13" t="n">
        <f aca="false">(I1084-AVERAGE(I$2:I$2001))/STDEV(I$2:I$2001)</f>
        <v>-0.0205155458339628</v>
      </c>
      <c r="AD1084" s="13" t="n">
        <f aca="false">(L1084-AVERAGE(L$2:L$2001))/STDEV(L$2:L$2001)</f>
        <v>0.413838214490712</v>
      </c>
      <c r="AE1084" s="13" t="n">
        <f aca="false">(M1084-AVERAGE(M$2:M$2001))/STDEV(M$2:M$2001)</f>
        <v>0.687952454389536</v>
      </c>
      <c r="AF1084" s="13" t="n">
        <f aca="false">(N1084-AVERAGE(N$2:N$2001))/STDEV(N$2:N$2001)</f>
        <v>0.39910968197459</v>
      </c>
      <c r="AG1084" s="13" t="n">
        <f aca="false">(O1084-AVERAGE(O$2:O$2001))/STDEV(O$2:O$2001)</f>
        <v>0.333914460632713</v>
      </c>
      <c r="AH1084" s="0" t="str">
        <f aca="false">IF(B1084="Company","C3 - Corporate Buyers",IF(AND(H1084="Investment",M1084&gt;'Segmentation Summary'!$C$1),"C1 - Global Investors",IF(AND(I1084&gt;=4,M1084&gt;'Segmentation Summary'!$C$1),"C4 - Luxury Investors",IF(AND(D1084&lt;'Segmentation Summary'!$C$2,J1084=1),"C2 - First-Time Buyers","C5 - Other Individual Buyers"))))</f>
        <v>C5 - Other Individual Buyers</v>
      </c>
    </row>
    <row r="1085" customFormat="false" ht="15" hidden="false" customHeight="true" outlineLevel="0" collapsed="false">
      <c r="A1085" s="13" t="s">
        <v>2200</v>
      </c>
      <c r="B1085" s="13" t="s">
        <v>34</v>
      </c>
      <c r="C1085" s="13" t="s">
        <v>2201</v>
      </c>
      <c r="D1085" s="13" t="n">
        <v>80</v>
      </c>
      <c r="E1085" s="13" t="s">
        <v>90</v>
      </c>
      <c r="F1085" s="13" t="s">
        <v>33</v>
      </c>
      <c r="G1085" s="13" t="s">
        <v>265</v>
      </c>
      <c r="H1085" s="13" t="s">
        <v>43</v>
      </c>
      <c r="I1085" s="13" t="n">
        <v>4</v>
      </c>
      <c r="J1085" s="13" t="n">
        <v>0</v>
      </c>
      <c r="K1085" s="13" t="s">
        <v>85</v>
      </c>
      <c r="L1085" s="13" t="n">
        <v>4</v>
      </c>
      <c r="M1085" s="13" t="n">
        <v>1284918.37</v>
      </c>
      <c r="N1085" s="13" t="n">
        <v>321229.5925</v>
      </c>
      <c r="O1085" s="13" t="n">
        <v>1027.81</v>
      </c>
      <c r="P1085" s="13" t="n">
        <v>1</v>
      </c>
      <c r="Q1085" s="13" t="n">
        <v>3</v>
      </c>
      <c r="R1085" s="13" t="s">
        <v>124</v>
      </c>
      <c r="S1085" s="13" t="s">
        <v>125</v>
      </c>
      <c r="T1085" s="13" t="n">
        <v>1</v>
      </c>
      <c r="U1085" s="13" t="n">
        <f aca="false">IF(B1085="Individual",1,0)</f>
        <v>1</v>
      </c>
      <c r="V1085" s="13" t="n">
        <f aca="false">IF(B1085="Company",1,0)</f>
        <v>0</v>
      </c>
      <c r="W1085" s="13" t="n">
        <f aca="false">IF(H1085="Home",1,0)</f>
        <v>0</v>
      </c>
      <c r="X1085" s="13" t="n">
        <f aca="false">IF(H1085="Investment",1,0)</f>
        <v>1</v>
      </c>
      <c r="Y1085" s="13" t="n">
        <f aca="false">IF(K1085="Website",1,0)</f>
        <v>1</v>
      </c>
      <c r="Z1085" s="13" t="n">
        <f aca="false">IF(K1085="Agency",1,0)</f>
        <v>0</v>
      </c>
      <c r="AA1085" s="13" t="n">
        <f aca="false">IF(K1085="Client",1,0)</f>
        <v>0</v>
      </c>
      <c r="AB1085" s="13" t="n">
        <f aca="false">(D1085-AVERAGE(D$2:D$2001))/STDEV(D$2:D$2001)</f>
        <v>1.49132408629005</v>
      </c>
      <c r="AC1085" s="13" t="n">
        <f aca="false">(I1085-AVERAGE(I$2:I$2001))/STDEV(I$2:I$2001)</f>
        <v>0.686917069130275</v>
      </c>
      <c r="AD1085" s="13" t="n">
        <f aca="false">(L1085-AVERAGE(L$2:L$2001))/STDEV(L$2:L$2001)</f>
        <v>0.413838214490712</v>
      </c>
      <c r="AE1085" s="13" t="n">
        <f aca="false">(M1085-AVERAGE(M$2:M$2001))/STDEV(M$2:M$2001)</f>
        <v>0.0705598788771941</v>
      </c>
      <c r="AF1085" s="13" t="n">
        <f aca="false">(N1085-AVERAGE(N$2:N$2001))/STDEV(N$2:N$2001)</f>
        <v>-0.370907740163801</v>
      </c>
      <c r="AG1085" s="13" t="n">
        <f aca="false">(O1085-AVERAGE(O$2:O$2001))/STDEV(O$2:O$2001)</f>
        <v>-0.544144508522418</v>
      </c>
      <c r="AH1085" s="0" t="str">
        <f aca="false">IF(B1085="Company","C3 - Corporate Buyers",IF(AND(H1085="Investment",M1085&gt;'Segmentation Summary'!$C$1),"C1 - Global Investors",IF(AND(I1085&gt;=4,M1085&gt;'Segmentation Summary'!$C$1),"C4 - Luxury Investors",IF(AND(D1085&lt;'Segmentation Summary'!$C$2,J1085=1),"C2 - First-Time Buyers","C5 - Other Individual Buyers"))))</f>
        <v>C1 - Global Investors</v>
      </c>
    </row>
    <row r="1086" customFormat="false" ht="15" hidden="false" customHeight="true" outlineLevel="0" collapsed="false">
      <c r="A1086" s="13" t="s">
        <v>2202</v>
      </c>
      <c r="B1086" s="13" t="s">
        <v>34</v>
      </c>
      <c r="C1086" s="13" t="s">
        <v>2203</v>
      </c>
      <c r="D1086" s="13" t="n">
        <v>81</v>
      </c>
      <c r="E1086" s="13" t="s">
        <v>90</v>
      </c>
      <c r="F1086" s="13" t="s">
        <v>37</v>
      </c>
      <c r="G1086" s="13" t="s">
        <v>169</v>
      </c>
      <c r="H1086" s="13" t="s">
        <v>41</v>
      </c>
      <c r="I1086" s="13" t="n">
        <v>2</v>
      </c>
      <c r="J1086" s="13" t="n">
        <v>0</v>
      </c>
      <c r="K1086" s="13" t="s">
        <v>91</v>
      </c>
      <c r="L1086" s="13" t="n">
        <v>3</v>
      </c>
      <c r="M1086" s="13" t="n">
        <v>859984.47</v>
      </c>
      <c r="N1086" s="13" t="n">
        <v>286661.49</v>
      </c>
      <c r="O1086" s="13" t="n">
        <v>980.87</v>
      </c>
      <c r="P1086" s="13" t="n">
        <v>1</v>
      </c>
      <c r="Q1086" s="13" t="n">
        <v>2</v>
      </c>
      <c r="R1086" s="13" t="s">
        <v>117</v>
      </c>
      <c r="S1086" s="13" t="s">
        <v>112</v>
      </c>
      <c r="T1086" s="13" t="n">
        <v>1</v>
      </c>
      <c r="U1086" s="13" t="n">
        <f aca="false">IF(B1086="Individual",1,0)</f>
        <v>1</v>
      </c>
      <c r="V1086" s="13" t="n">
        <f aca="false">IF(B1086="Company",1,0)</f>
        <v>0</v>
      </c>
      <c r="W1086" s="13" t="n">
        <f aca="false">IF(H1086="Home",1,0)</f>
        <v>1</v>
      </c>
      <c r="X1086" s="13" t="n">
        <f aca="false">IF(H1086="Investment",1,0)</f>
        <v>0</v>
      </c>
      <c r="Y1086" s="13" t="n">
        <f aca="false">IF(K1086="Website",1,0)</f>
        <v>0</v>
      </c>
      <c r="Z1086" s="13" t="n">
        <f aca="false">IF(K1086="Agency",1,0)</f>
        <v>1</v>
      </c>
      <c r="AA1086" s="13" t="n">
        <f aca="false">IF(K1086="Client",1,0)</f>
        <v>0</v>
      </c>
      <c r="AB1086" s="13" t="n">
        <f aca="false">(D1086-AVERAGE(D$2:D$2001))/STDEV(D$2:D$2001)</f>
        <v>1.54898654177821</v>
      </c>
      <c r="AC1086" s="13" t="n">
        <f aca="false">(I1086-AVERAGE(I$2:I$2001))/STDEV(I$2:I$2001)</f>
        <v>-0.727948160798201</v>
      </c>
      <c r="AD1086" s="13" t="n">
        <f aca="false">(L1086-AVERAGE(L$2:L$2001))/STDEV(L$2:L$2001)</f>
        <v>-0.777063122173208</v>
      </c>
      <c r="AE1086" s="13" t="n">
        <f aca="false">(M1086-AVERAGE(M$2:M$2001))/STDEV(M$2:M$2001)</f>
        <v>-1.15110900477566</v>
      </c>
      <c r="AF1086" s="13" t="n">
        <f aca="false">(N1086-AVERAGE(N$2:N$2001))/STDEV(N$2:N$2001)</f>
        <v>-0.86670807355475</v>
      </c>
      <c r="AG1086" s="13" t="n">
        <f aca="false">(O1086-AVERAGE(O$2:O$2001))/STDEV(O$2:O$2001)</f>
        <v>-0.757583249166844</v>
      </c>
      <c r="AH1086" s="0" t="str">
        <f aca="false">IF(B1086="Company","C3 - Corporate Buyers",IF(AND(H1086="Investment",M1086&gt;'Segmentation Summary'!$C$1),"C1 - Global Investors",IF(AND(I1086&gt;=4,M1086&gt;'Segmentation Summary'!$C$1),"C4 - Luxury Investors",IF(AND(D1086&lt;'Segmentation Summary'!$C$2,J1086=1),"C2 - First-Time Buyers","C5 - Other Individual Buyers"))))</f>
        <v>C5 - Other Individual Buyers</v>
      </c>
    </row>
    <row r="1087" customFormat="false" ht="15" hidden="false" customHeight="true" outlineLevel="0" collapsed="false">
      <c r="A1087" s="13" t="s">
        <v>2204</v>
      </c>
      <c r="B1087" s="13" t="s">
        <v>34</v>
      </c>
      <c r="C1087" s="13" t="s">
        <v>2203</v>
      </c>
      <c r="D1087" s="13" t="n">
        <v>63</v>
      </c>
      <c r="E1087" s="13" t="s">
        <v>90</v>
      </c>
      <c r="F1087" s="13" t="s">
        <v>37</v>
      </c>
      <c r="G1087" s="13" t="s">
        <v>676</v>
      </c>
      <c r="H1087" s="13" t="s">
        <v>43</v>
      </c>
      <c r="I1087" s="13" t="n">
        <v>5</v>
      </c>
      <c r="J1087" s="13" t="n">
        <v>1</v>
      </c>
      <c r="K1087" s="13" t="s">
        <v>91</v>
      </c>
      <c r="L1087" s="13" t="n">
        <v>3</v>
      </c>
      <c r="M1087" s="13" t="n">
        <v>1443503.73</v>
      </c>
      <c r="N1087" s="13" t="n">
        <v>481167.91</v>
      </c>
      <c r="O1087" s="13" t="n">
        <v>1456.36</v>
      </c>
      <c r="P1087" s="13" t="n">
        <v>0</v>
      </c>
      <c r="Q1087" s="13" t="n">
        <v>3</v>
      </c>
      <c r="R1087" s="13" t="s">
        <v>150</v>
      </c>
      <c r="S1087" s="13" t="s">
        <v>164</v>
      </c>
      <c r="T1087" s="13" t="n">
        <v>1</v>
      </c>
      <c r="U1087" s="13" t="n">
        <f aca="false">IF(B1087="Individual",1,0)</f>
        <v>1</v>
      </c>
      <c r="V1087" s="13" t="n">
        <f aca="false">IF(B1087="Company",1,0)</f>
        <v>0</v>
      </c>
      <c r="W1087" s="13" t="n">
        <f aca="false">IF(H1087="Home",1,0)</f>
        <v>0</v>
      </c>
      <c r="X1087" s="13" t="n">
        <f aca="false">IF(H1087="Investment",1,0)</f>
        <v>1</v>
      </c>
      <c r="Y1087" s="13" t="n">
        <f aca="false">IF(K1087="Website",1,0)</f>
        <v>0</v>
      </c>
      <c r="Z1087" s="13" t="n">
        <f aca="false">IF(K1087="Agency",1,0)</f>
        <v>1</v>
      </c>
      <c r="AA1087" s="13" t="n">
        <f aca="false">IF(K1087="Client",1,0)</f>
        <v>0</v>
      </c>
      <c r="AB1087" s="13" t="n">
        <f aca="false">(D1087-AVERAGE(D$2:D$2001))/STDEV(D$2:D$2001)</f>
        <v>0.511062342991484</v>
      </c>
      <c r="AC1087" s="13" t="n">
        <f aca="false">(I1087-AVERAGE(I$2:I$2001))/STDEV(I$2:I$2001)</f>
        <v>1.39434968409451</v>
      </c>
      <c r="AD1087" s="13" t="n">
        <f aca="false">(L1087-AVERAGE(L$2:L$2001))/STDEV(L$2:L$2001)</f>
        <v>-0.777063122173208</v>
      </c>
      <c r="AE1087" s="13" t="n">
        <f aca="false">(M1087-AVERAGE(M$2:M$2001))/STDEV(M$2:M$2001)</f>
        <v>0.526486788250358</v>
      </c>
      <c r="AF1087" s="13" t="n">
        <f aca="false">(N1087-AVERAGE(N$2:N$2001))/STDEV(N$2:N$2001)</f>
        <v>1.92304146166142</v>
      </c>
      <c r="AG1087" s="13" t="n">
        <f aca="false">(O1087-AVERAGE(O$2:O$2001))/STDEV(O$2:O$2001)</f>
        <v>1.40449571949566</v>
      </c>
      <c r="AH1087" s="0" t="str">
        <f aca="false">IF(B1087="Company","C3 - Corporate Buyers",IF(AND(H1087="Investment",M1087&gt;'Segmentation Summary'!$C$1),"C1 - Global Investors",IF(AND(I1087&gt;=4,M1087&gt;'Segmentation Summary'!$C$1),"C4 - Luxury Investors",IF(AND(D1087&lt;'Segmentation Summary'!$C$2,J1087=1),"C2 - First-Time Buyers","C5 - Other Individual Buyers"))))</f>
        <v>C1 - Global Investors</v>
      </c>
    </row>
    <row r="1088" customFormat="false" ht="15" hidden="false" customHeight="true" outlineLevel="0" collapsed="false">
      <c r="A1088" s="13" t="s">
        <v>2205</v>
      </c>
      <c r="B1088" s="13" t="s">
        <v>34</v>
      </c>
      <c r="C1088" s="13" t="s">
        <v>2206</v>
      </c>
      <c r="D1088" s="13" t="n">
        <v>42</v>
      </c>
      <c r="E1088" s="13" t="s">
        <v>90</v>
      </c>
      <c r="F1088" s="13" t="s">
        <v>33</v>
      </c>
      <c r="G1088" s="13" t="s">
        <v>100</v>
      </c>
      <c r="H1088" s="13" t="s">
        <v>43</v>
      </c>
      <c r="I1088" s="13" t="n">
        <v>3</v>
      </c>
      <c r="J1088" s="13" t="n">
        <v>0</v>
      </c>
      <c r="K1088" s="13" t="s">
        <v>85</v>
      </c>
      <c r="L1088" s="13" t="n">
        <v>3</v>
      </c>
      <c r="M1088" s="13" t="n">
        <v>773186.34</v>
      </c>
      <c r="N1088" s="13" t="n">
        <v>257728.78</v>
      </c>
      <c r="O1088" s="13" t="n">
        <v>952.073333333333</v>
      </c>
      <c r="P1088" s="13" t="n">
        <v>1</v>
      </c>
      <c r="Q1088" s="13" t="n">
        <v>2</v>
      </c>
      <c r="R1088" s="13" t="s">
        <v>124</v>
      </c>
      <c r="S1088" s="13" t="s">
        <v>103</v>
      </c>
      <c r="T1088" s="13" t="n">
        <v>1</v>
      </c>
      <c r="U1088" s="13" t="n">
        <f aca="false">IF(B1088="Individual",1,0)</f>
        <v>1</v>
      </c>
      <c r="V1088" s="13" t="n">
        <f aca="false">IF(B1088="Company",1,0)</f>
        <v>0</v>
      </c>
      <c r="W1088" s="13" t="n">
        <f aca="false">IF(H1088="Home",1,0)</f>
        <v>0</v>
      </c>
      <c r="X1088" s="13" t="n">
        <f aca="false">IF(H1088="Investment",1,0)</f>
        <v>1</v>
      </c>
      <c r="Y1088" s="13" t="n">
        <f aca="false">IF(K1088="Website",1,0)</f>
        <v>1</v>
      </c>
      <c r="Z1088" s="13" t="n">
        <f aca="false">IF(K1088="Agency",1,0)</f>
        <v>0</v>
      </c>
      <c r="AA1088" s="13" t="n">
        <f aca="false">IF(K1088="Client",1,0)</f>
        <v>0</v>
      </c>
      <c r="AB1088" s="13" t="n">
        <f aca="false">(D1088-AVERAGE(D$2:D$2001))/STDEV(D$2:D$2001)</f>
        <v>-0.699849222259691</v>
      </c>
      <c r="AC1088" s="13" t="n">
        <f aca="false">(I1088-AVERAGE(I$2:I$2001))/STDEV(I$2:I$2001)</f>
        <v>-0.0205155458339628</v>
      </c>
      <c r="AD1088" s="13" t="n">
        <f aca="false">(L1088-AVERAGE(L$2:L$2001))/STDEV(L$2:L$2001)</f>
        <v>-0.777063122173208</v>
      </c>
      <c r="AE1088" s="13" t="n">
        <f aca="false">(M1088-AVERAGE(M$2:M$2001))/STDEV(M$2:M$2001)</f>
        <v>-1.40065034421752</v>
      </c>
      <c r="AF1088" s="13" t="n">
        <f aca="false">(N1088-AVERAGE(N$2:N$2001))/STDEV(N$2:N$2001)</f>
        <v>-1.2816815961513</v>
      </c>
      <c r="AG1088" s="13" t="n">
        <f aca="false">(O1088-AVERAGE(O$2:O$2001))/STDEV(O$2:O$2001)</f>
        <v>-0.888523263399709</v>
      </c>
      <c r="AH1088" s="0" t="str">
        <f aca="false">IF(B1088="Company","C3 - Corporate Buyers",IF(AND(H1088="Investment",M1088&gt;'Segmentation Summary'!$C$1),"C1 - Global Investors",IF(AND(I1088&gt;=4,M1088&gt;'Segmentation Summary'!$C$1),"C4 - Luxury Investors",IF(AND(D1088&lt;'Segmentation Summary'!$C$2,J1088=1),"C2 - First-Time Buyers","C5 - Other Individual Buyers"))))</f>
        <v>C5 - Other Individual Buyers</v>
      </c>
    </row>
    <row r="1089" customFormat="false" ht="15" hidden="false" customHeight="true" outlineLevel="0" collapsed="false">
      <c r="A1089" s="13" t="s">
        <v>2207</v>
      </c>
      <c r="B1089" s="13" t="s">
        <v>34</v>
      </c>
      <c r="C1089" s="13" t="s">
        <v>2208</v>
      </c>
      <c r="D1089" s="13" t="n">
        <v>53</v>
      </c>
      <c r="E1089" s="13" t="s">
        <v>90</v>
      </c>
      <c r="F1089" s="13" t="s">
        <v>33</v>
      </c>
      <c r="G1089" s="13" t="s">
        <v>84</v>
      </c>
      <c r="H1089" s="13" t="s">
        <v>41</v>
      </c>
      <c r="I1089" s="13" t="n">
        <v>2</v>
      </c>
      <c r="J1089" s="13" t="n">
        <v>0</v>
      </c>
      <c r="K1089" s="13" t="s">
        <v>91</v>
      </c>
      <c r="L1089" s="13" t="n">
        <v>4</v>
      </c>
      <c r="M1089" s="13" t="n">
        <v>1620195.43</v>
      </c>
      <c r="N1089" s="13" t="n">
        <v>405048.8575</v>
      </c>
      <c r="O1089" s="13" t="n">
        <v>1380.26</v>
      </c>
      <c r="P1089" s="13" t="n">
        <v>0</v>
      </c>
      <c r="Q1089" s="13" t="n">
        <v>4</v>
      </c>
      <c r="R1089" s="13" t="s">
        <v>124</v>
      </c>
      <c r="S1089" s="13" t="s">
        <v>154</v>
      </c>
      <c r="T1089" s="13" t="n">
        <v>1</v>
      </c>
      <c r="U1089" s="13" t="n">
        <f aca="false">IF(B1089="Individual",1,0)</f>
        <v>1</v>
      </c>
      <c r="V1089" s="13" t="n">
        <f aca="false">IF(B1089="Company",1,0)</f>
        <v>0</v>
      </c>
      <c r="W1089" s="13" t="n">
        <f aca="false">IF(H1089="Home",1,0)</f>
        <v>1</v>
      </c>
      <c r="X1089" s="13" t="n">
        <f aca="false">IF(H1089="Investment",1,0)</f>
        <v>0</v>
      </c>
      <c r="Y1089" s="13" t="n">
        <f aca="false">IF(K1089="Website",1,0)</f>
        <v>0</v>
      </c>
      <c r="Z1089" s="13" t="n">
        <f aca="false">IF(K1089="Agency",1,0)</f>
        <v>1</v>
      </c>
      <c r="AA1089" s="13" t="n">
        <f aca="false">IF(K1089="Client",1,0)</f>
        <v>0</v>
      </c>
      <c r="AB1089" s="13" t="n">
        <f aca="false">(D1089-AVERAGE(D$2:D$2001))/STDEV(D$2:D$2001)</f>
        <v>-0.065562211890028</v>
      </c>
      <c r="AC1089" s="13" t="n">
        <f aca="false">(I1089-AVERAGE(I$2:I$2001))/STDEV(I$2:I$2001)</f>
        <v>-0.727948160798201</v>
      </c>
      <c r="AD1089" s="13" t="n">
        <f aca="false">(L1089-AVERAGE(L$2:L$2001))/STDEV(L$2:L$2001)</f>
        <v>0.413838214490712</v>
      </c>
      <c r="AE1089" s="13" t="n">
        <f aca="false">(M1089-AVERAGE(M$2:M$2001))/STDEV(M$2:M$2001)</f>
        <v>1.03446874000738</v>
      </c>
      <c r="AF1089" s="13" t="n">
        <f aca="false">(N1089-AVERAGE(N$2:N$2001))/STDEV(N$2:N$2001)</f>
        <v>0.831287825288027</v>
      </c>
      <c r="AG1089" s="13" t="n">
        <f aca="false">(O1089-AVERAGE(O$2:O$2001))/STDEV(O$2:O$2001)</f>
        <v>1.05846486813135</v>
      </c>
      <c r="AH1089" s="0" t="str">
        <f aca="false">IF(B1089="Company","C3 - Corporate Buyers",IF(AND(H1089="Investment",M1089&gt;'Segmentation Summary'!$C$1),"C1 - Global Investors",IF(AND(I1089&gt;=4,M1089&gt;'Segmentation Summary'!$C$1),"C4 - Luxury Investors",IF(AND(D1089&lt;'Segmentation Summary'!$C$2,J1089=1),"C2 - First-Time Buyers","C5 - Other Individual Buyers"))))</f>
        <v>C5 - Other Individual Buyers</v>
      </c>
    </row>
    <row r="1090" customFormat="false" ht="15" hidden="false" customHeight="true" outlineLevel="0" collapsed="false">
      <c r="A1090" s="13" t="s">
        <v>2209</v>
      </c>
      <c r="B1090" s="13" t="s">
        <v>34</v>
      </c>
      <c r="C1090" s="13" t="s">
        <v>2210</v>
      </c>
      <c r="D1090" s="13" t="n">
        <v>59</v>
      </c>
      <c r="E1090" s="13" t="s">
        <v>90</v>
      </c>
      <c r="F1090" s="13" t="s">
        <v>37</v>
      </c>
      <c r="G1090" s="13" t="s">
        <v>169</v>
      </c>
      <c r="H1090" s="13" t="s">
        <v>43</v>
      </c>
      <c r="I1090" s="13" t="n">
        <v>1</v>
      </c>
      <c r="J1090" s="13" t="n">
        <v>0</v>
      </c>
      <c r="K1090" s="13" t="s">
        <v>91</v>
      </c>
      <c r="L1090" s="13" t="n">
        <v>4</v>
      </c>
      <c r="M1090" s="13" t="n">
        <v>1266344.58</v>
      </c>
      <c r="N1090" s="13" t="n">
        <v>316586.145</v>
      </c>
      <c r="O1090" s="13" t="n">
        <v>1030.83</v>
      </c>
      <c r="P1090" s="13" t="n">
        <v>1</v>
      </c>
      <c r="Q1090" s="13" t="n">
        <v>3</v>
      </c>
      <c r="R1090" s="13" t="s">
        <v>117</v>
      </c>
      <c r="S1090" s="13" t="s">
        <v>125</v>
      </c>
      <c r="T1090" s="13" t="n">
        <v>1</v>
      </c>
      <c r="U1090" s="13" t="n">
        <f aca="false">IF(B1090="Individual",1,0)</f>
        <v>1</v>
      </c>
      <c r="V1090" s="13" t="n">
        <f aca="false">IF(B1090="Company",1,0)</f>
        <v>0</v>
      </c>
      <c r="W1090" s="13" t="n">
        <f aca="false">IF(H1090="Home",1,0)</f>
        <v>0</v>
      </c>
      <c r="X1090" s="13" t="n">
        <f aca="false">IF(H1090="Investment",1,0)</f>
        <v>1</v>
      </c>
      <c r="Y1090" s="13" t="n">
        <f aca="false">IF(K1090="Website",1,0)</f>
        <v>0</v>
      </c>
      <c r="Z1090" s="13" t="n">
        <f aca="false">IF(K1090="Agency",1,0)</f>
        <v>1</v>
      </c>
      <c r="AA1090" s="13" t="n">
        <f aca="false">IF(K1090="Client",1,0)</f>
        <v>0</v>
      </c>
      <c r="AB1090" s="13" t="n">
        <f aca="false">(D1090-AVERAGE(D$2:D$2001))/STDEV(D$2:D$2001)</f>
        <v>0.280412521038879</v>
      </c>
      <c r="AC1090" s="13" t="n">
        <f aca="false">(I1090-AVERAGE(I$2:I$2001))/STDEV(I$2:I$2001)</f>
        <v>-1.43538077576244</v>
      </c>
      <c r="AD1090" s="13" t="n">
        <f aca="false">(L1090-AVERAGE(L$2:L$2001))/STDEV(L$2:L$2001)</f>
        <v>0.413838214490712</v>
      </c>
      <c r="AE1090" s="13" t="n">
        <f aca="false">(M1090-AVERAGE(M$2:M$2001))/STDEV(M$2:M$2001)</f>
        <v>0.0171609354309251</v>
      </c>
      <c r="AF1090" s="13" t="n">
        <f aca="false">(N1090-AVERAGE(N$2:N$2001))/STDEV(N$2:N$2001)</f>
        <v>-0.437507369651227</v>
      </c>
      <c r="AG1090" s="13" t="n">
        <f aca="false">(O1090-AVERAGE(O$2:O$2001))/STDEV(O$2:O$2001)</f>
        <v>-0.53041240377708</v>
      </c>
      <c r="AH1090" s="0" t="str">
        <f aca="false">IF(B1090="Company","C3 - Corporate Buyers",IF(AND(H1090="Investment",M1090&gt;'Segmentation Summary'!$C$1),"C1 - Global Investors",IF(AND(I1090&gt;=4,M1090&gt;'Segmentation Summary'!$C$1),"C4 - Luxury Investors",IF(AND(D1090&lt;'Segmentation Summary'!$C$2,J1090=1),"C2 - First-Time Buyers","C5 - Other Individual Buyers"))))</f>
        <v>C1 - Global Investors</v>
      </c>
    </row>
    <row r="1091" customFormat="false" ht="15" hidden="false" customHeight="true" outlineLevel="0" collapsed="false">
      <c r="A1091" s="13" t="s">
        <v>2211</v>
      </c>
      <c r="B1091" s="13" t="s">
        <v>34</v>
      </c>
      <c r="C1091" s="13" t="s">
        <v>2212</v>
      </c>
      <c r="D1091" s="13" t="n">
        <v>43</v>
      </c>
      <c r="E1091" s="13" t="s">
        <v>90</v>
      </c>
      <c r="F1091" s="13" t="s">
        <v>42</v>
      </c>
      <c r="G1091" s="13" t="s">
        <v>143</v>
      </c>
      <c r="H1091" s="13" t="s">
        <v>41</v>
      </c>
      <c r="I1091" s="13" t="n">
        <v>2</v>
      </c>
      <c r="J1091" s="13" t="n">
        <v>0</v>
      </c>
      <c r="K1091" s="13" t="s">
        <v>91</v>
      </c>
      <c r="L1091" s="13" t="n">
        <v>4</v>
      </c>
      <c r="M1091" s="13" t="n">
        <v>1387948.07</v>
      </c>
      <c r="N1091" s="13" t="n">
        <v>346987.0175</v>
      </c>
      <c r="O1091" s="13" t="n">
        <v>1134.4225</v>
      </c>
      <c r="P1091" s="13" t="n">
        <v>0</v>
      </c>
      <c r="Q1091" s="13" t="n">
        <v>4</v>
      </c>
      <c r="R1091" s="13" t="s">
        <v>117</v>
      </c>
      <c r="S1091" s="13" t="s">
        <v>154</v>
      </c>
      <c r="T1091" s="13" t="n">
        <v>1</v>
      </c>
      <c r="U1091" s="13" t="n">
        <f aca="false">IF(B1091="Individual",1,0)</f>
        <v>1</v>
      </c>
      <c r="V1091" s="13" t="n">
        <f aca="false">IF(B1091="Company",1,0)</f>
        <v>0</v>
      </c>
      <c r="W1091" s="13" t="n">
        <f aca="false">IF(H1091="Home",1,0)</f>
        <v>1</v>
      </c>
      <c r="X1091" s="13" t="n">
        <f aca="false">IF(H1091="Investment",1,0)</f>
        <v>0</v>
      </c>
      <c r="Y1091" s="13" t="n">
        <f aca="false">IF(K1091="Website",1,0)</f>
        <v>0</v>
      </c>
      <c r="Z1091" s="13" t="n">
        <f aca="false">IF(K1091="Agency",1,0)</f>
        <v>1</v>
      </c>
      <c r="AA1091" s="13" t="n">
        <f aca="false">IF(K1091="Client",1,0)</f>
        <v>0</v>
      </c>
      <c r="AB1091" s="13" t="n">
        <f aca="false">(D1091-AVERAGE(D$2:D$2001))/STDEV(D$2:D$2001)</f>
        <v>-0.64218676677154</v>
      </c>
      <c r="AC1091" s="13" t="n">
        <f aca="false">(I1091-AVERAGE(I$2:I$2001))/STDEV(I$2:I$2001)</f>
        <v>-0.727948160798201</v>
      </c>
      <c r="AD1091" s="13" t="n">
        <f aca="false">(L1091-AVERAGE(L$2:L$2001))/STDEV(L$2:L$2001)</f>
        <v>0.413838214490712</v>
      </c>
      <c r="AE1091" s="13" t="n">
        <f aca="false">(M1091-AVERAGE(M$2:M$2001))/STDEV(M$2:M$2001)</f>
        <v>0.36676636789134</v>
      </c>
      <c r="AF1091" s="13" t="n">
        <f aca="false">(N1091-AVERAGE(N$2:N$2001))/STDEV(N$2:N$2001)</f>
        <v>-0.00147641536683411</v>
      </c>
      <c r="AG1091" s="13" t="n">
        <f aca="false">(O1091-AVERAGE(O$2:O$2001))/STDEV(O$2:O$2001)</f>
        <v>-0.0593716551574025</v>
      </c>
      <c r="AH1091" s="0" t="str">
        <f aca="false">IF(B1091="Company","C3 - Corporate Buyers",IF(AND(H1091="Investment",M1091&gt;'Segmentation Summary'!$C$1),"C1 - Global Investors",IF(AND(I1091&gt;=4,M1091&gt;'Segmentation Summary'!$C$1),"C4 - Luxury Investors",IF(AND(D1091&lt;'Segmentation Summary'!$C$2,J1091=1),"C2 - First-Time Buyers","C5 - Other Individual Buyers"))))</f>
        <v>C5 - Other Individual Buyers</v>
      </c>
    </row>
    <row r="1092" customFormat="false" ht="15" hidden="false" customHeight="true" outlineLevel="0" collapsed="false">
      <c r="A1092" s="13" t="s">
        <v>2213</v>
      </c>
      <c r="B1092" s="13" t="s">
        <v>34</v>
      </c>
      <c r="C1092" s="13" t="s">
        <v>2214</v>
      </c>
      <c r="D1092" s="13" t="n">
        <v>77</v>
      </c>
      <c r="E1092" s="13" t="s">
        <v>90</v>
      </c>
      <c r="F1092" s="13" t="s">
        <v>33</v>
      </c>
      <c r="G1092" s="13" t="s">
        <v>95</v>
      </c>
      <c r="H1092" s="13" t="s">
        <v>41</v>
      </c>
      <c r="I1092" s="13" t="n">
        <v>5</v>
      </c>
      <c r="J1092" s="13" t="n">
        <v>0</v>
      </c>
      <c r="K1092" s="13" t="s">
        <v>91</v>
      </c>
      <c r="L1092" s="13" t="n">
        <v>3</v>
      </c>
      <c r="M1092" s="13" t="n">
        <v>934432.98</v>
      </c>
      <c r="N1092" s="13" t="n">
        <v>311477.66</v>
      </c>
      <c r="O1092" s="13" t="n">
        <v>1042.72666666667</v>
      </c>
      <c r="P1092" s="13" t="n">
        <v>1</v>
      </c>
      <c r="Q1092" s="13" t="n">
        <v>2</v>
      </c>
      <c r="R1092" s="13" t="s">
        <v>215</v>
      </c>
      <c r="S1092" s="13" t="s">
        <v>152</v>
      </c>
      <c r="T1092" s="13" t="n">
        <v>1</v>
      </c>
      <c r="U1092" s="13" t="n">
        <f aca="false">IF(B1092="Individual",1,0)</f>
        <v>1</v>
      </c>
      <c r="V1092" s="13" t="n">
        <f aca="false">IF(B1092="Company",1,0)</f>
        <v>0</v>
      </c>
      <c r="W1092" s="13" t="n">
        <f aca="false">IF(H1092="Home",1,0)</f>
        <v>1</v>
      </c>
      <c r="X1092" s="13" t="n">
        <f aca="false">IF(H1092="Investment",1,0)</f>
        <v>0</v>
      </c>
      <c r="Y1092" s="13" t="n">
        <f aca="false">IF(K1092="Website",1,0)</f>
        <v>0</v>
      </c>
      <c r="Z1092" s="13" t="n">
        <f aca="false">IF(K1092="Agency",1,0)</f>
        <v>1</v>
      </c>
      <c r="AA1092" s="13" t="n">
        <f aca="false">IF(K1092="Client",1,0)</f>
        <v>0</v>
      </c>
      <c r="AB1092" s="13" t="n">
        <f aca="false">(D1092-AVERAGE(D$2:D$2001))/STDEV(D$2:D$2001)</f>
        <v>1.3183367198256</v>
      </c>
      <c r="AC1092" s="13" t="n">
        <f aca="false">(I1092-AVERAGE(I$2:I$2001))/STDEV(I$2:I$2001)</f>
        <v>1.39434968409451</v>
      </c>
      <c r="AD1092" s="13" t="n">
        <f aca="false">(L1092-AVERAGE(L$2:L$2001))/STDEV(L$2:L$2001)</f>
        <v>-0.777063122173208</v>
      </c>
      <c r="AE1092" s="13" t="n">
        <f aca="false">(M1092-AVERAGE(M$2:M$2001))/STDEV(M$2:M$2001)</f>
        <v>-0.93707235554311</v>
      </c>
      <c r="AF1092" s="13" t="n">
        <f aca="false">(N1092-AVERAGE(N$2:N$2001))/STDEV(N$2:N$2001)</f>
        <v>-0.510776898001031</v>
      </c>
      <c r="AG1092" s="13" t="n">
        <f aca="false">(O1092-AVERAGE(O$2:O$2001))/STDEV(O$2:O$2001)</f>
        <v>-0.476317611463476</v>
      </c>
      <c r="AH1092" s="0" t="str">
        <f aca="false">IF(B1092="Company","C3 - Corporate Buyers",IF(AND(H1092="Investment",M1092&gt;'Segmentation Summary'!$C$1),"C1 - Global Investors",IF(AND(I1092&gt;=4,M1092&gt;'Segmentation Summary'!$C$1),"C4 - Luxury Investors",IF(AND(D1092&lt;'Segmentation Summary'!$C$2,J1092=1),"C2 - First-Time Buyers","C5 - Other Individual Buyers"))))</f>
        <v>C5 - Other Individual Buyers</v>
      </c>
    </row>
    <row r="1093" customFormat="false" ht="15" hidden="false" customHeight="true" outlineLevel="0" collapsed="false">
      <c r="A1093" s="13" t="s">
        <v>2215</v>
      </c>
      <c r="B1093" s="13" t="s">
        <v>34</v>
      </c>
      <c r="C1093" s="13" t="s">
        <v>2214</v>
      </c>
      <c r="D1093" s="13" t="n">
        <v>26</v>
      </c>
      <c r="E1093" s="13" t="s">
        <v>90</v>
      </c>
      <c r="F1093" s="13" t="s">
        <v>33</v>
      </c>
      <c r="G1093" s="13" t="s">
        <v>95</v>
      </c>
      <c r="H1093" s="13" t="s">
        <v>41</v>
      </c>
      <c r="I1093" s="13" t="n">
        <v>1</v>
      </c>
      <c r="J1093" s="13" t="n">
        <v>0</v>
      </c>
      <c r="K1093" s="13" t="s">
        <v>85</v>
      </c>
      <c r="L1093" s="13" t="n">
        <v>3</v>
      </c>
      <c r="M1093" s="13" t="n">
        <v>1046652.28</v>
      </c>
      <c r="N1093" s="13" t="n">
        <v>348884.093333333</v>
      </c>
      <c r="O1093" s="13" t="n">
        <v>1095.03333333333</v>
      </c>
      <c r="P1093" s="13" t="n">
        <v>2</v>
      </c>
      <c r="Q1093" s="13" t="n">
        <v>1</v>
      </c>
      <c r="R1093" s="13" t="s">
        <v>135</v>
      </c>
      <c r="S1093" s="13" t="s">
        <v>133</v>
      </c>
      <c r="T1093" s="13" t="n">
        <v>1</v>
      </c>
      <c r="U1093" s="13" t="n">
        <f aca="false">IF(B1093="Individual",1,0)</f>
        <v>1</v>
      </c>
      <c r="V1093" s="13" t="n">
        <f aca="false">IF(B1093="Company",1,0)</f>
        <v>0</v>
      </c>
      <c r="W1093" s="13" t="n">
        <f aca="false">IF(H1093="Home",1,0)</f>
        <v>1</v>
      </c>
      <c r="X1093" s="13" t="n">
        <f aca="false">IF(H1093="Investment",1,0)</f>
        <v>0</v>
      </c>
      <c r="Y1093" s="13" t="n">
        <f aca="false">IF(K1093="Website",1,0)</f>
        <v>1</v>
      </c>
      <c r="Z1093" s="13" t="n">
        <f aca="false">IF(K1093="Agency",1,0)</f>
        <v>0</v>
      </c>
      <c r="AA1093" s="13" t="n">
        <f aca="false">IF(K1093="Client",1,0)</f>
        <v>0</v>
      </c>
      <c r="AB1093" s="13" t="n">
        <f aca="false">(D1093-AVERAGE(D$2:D$2001))/STDEV(D$2:D$2001)</f>
        <v>-1.62244851007011</v>
      </c>
      <c r="AC1093" s="13" t="n">
        <f aca="false">(I1093-AVERAGE(I$2:I$2001))/STDEV(I$2:I$2001)</f>
        <v>-1.43538077576244</v>
      </c>
      <c r="AD1093" s="13" t="n">
        <f aca="false">(L1093-AVERAGE(L$2:L$2001))/STDEV(L$2:L$2001)</f>
        <v>-0.777063122173208</v>
      </c>
      <c r="AE1093" s="13" t="n">
        <f aca="false">(M1093-AVERAGE(M$2:M$2001))/STDEV(M$2:M$2001)</f>
        <v>-0.614446114249336</v>
      </c>
      <c r="AF1093" s="13" t="n">
        <f aca="false">(N1093-AVERAGE(N$2:N$2001))/STDEV(N$2:N$2001)</f>
        <v>0.0257327966700254</v>
      </c>
      <c r="AG1093" s="13" t="n">
        <f aca="false">(O1093-AVERAGE(O$2:O$2001))/STDEV(O$2:O$2001)</f>
        <v>-0.238476344726372</v>
      </c>
      <c r="AH1093" s="0" t="str">
        <f aca="false">IF(B1093="Company","C3 - Corporate Buyers",IF(AND(H1093="Investment",M1093&gt;'Segmentation Summary'!$C$1),"C1 - Global Investors",IF(AND(I1093&gt;=4,M1093&gt;'Segmentation Summary'!$C$1),"C4 - Luxury Investors",IF(AND(D1093&lt;'Segmentation Summary'!$C$2,J1093=1),"C2 - First-Time Buyers","C5 - Other Individual Buyers"))))</f>
        <v>C5 - Other Individual Buyers</v>
      </c>
    </row>
    <row r="1094" customFormat="false" ht="15" hidden="false" customHeight="true" outlineLevel="0" collapsed="false">
      <c r="A1094" s="13" t="s">
        <v>2216</v>
      </c>
      <c r="B1094" s="13" t="s">
        <v>34</v>
      </c>
      <c r="C1094" s="13" t="s">
        <v>2217</v>
      </c>
      <c r="D1094" s="13" t="n">
        <v>76</v>
      </c>
      <c r="E1094" s="13" t="s">
        <v>90</v>
      </c>
      <c r="F1094" s="13" t="s">
        <v>33</v>
      </c>
      <c r="G1094" s="13" t="s">
        <v>95</v>
      </c>
      <c r="H1094" s="13" t="s">
        <v>41</v>
      </c>
      <c r="I1094" s="13" t="n">
        <v>5</v>
      </c>
      <c r="J1094" s="13" t="n">
        <v>0</v>
      </c>
      <c r="K1094" s="13" t="s">
        <v>116</v>
      </c>
      <c r="L1094" s="13" t="n">
        <v>4</v>
      </c>
      <c r="M1094" s="13" t="n">
        <v>1371591.4</v>
      </c>
      <c r="N1094" s="13" t="n">
        <v>342897.85</v>
      </c>
      <c r="O1094" s="13" t="n">
        <v>1182.3725</v>
      </c>
      <c r="P1094" s="13" t="n">
        <v>1</v>
      </c>
      <c r="Q1094" s="13" t="n">
        <v>3</v>
      </c>
      <c r="R1094" s="13" t="s">
        <v>121</v>
      </c>
      <c r="S1094" s="13" t="s">
        <v>164</v>
      </c>
      <c r="T1094" s="13" t="n">
        <v>1</v>
      </c>
      <c r="U1094" s="13" t="n">
        <f aca="false">IF(B1094="Individual",1,0)</f>
        <v>1</v>
      </c>
      <c r="V1094" s="13" t="n">
        <f aca="false">IF(B1094="Company",1,0)</f>
        <v>0</v>
      </c>
      <c r="W1094" s="13" t="n">
        <f aca="false">IF(H1094="Home",1,0)</f>
        <v>1</v>
      </c>
      <c r="X1094" s="13" t="n">
        <f aca="false">IF(H1094="Investment",1,0)</f>
        <v>0</v>
      </c>
      <c r="Y1094" s="13" t="n">
        <f aca="false">IF(K1094="Website",1,0)</f>
        <v>0</v>
      </c>
      <c r="Z1094" s="13" t="n">
        <f aca="false">IF(K1094="Agency",1,0)</f>
        <v>0</v>
      </c>
      <c r="AA1094" s="13" t="n">
        <f aca="false">IF(K1094="Client",1,0)</f>
        <v>1</v>
      </c>
      <c r="AB1094" s="13" t="n">
        <f aca="false">(D1094-AVERAGE(D$2:D$2001))/STDEV(D$2:D$2001)</f>
        <v>1.26067426433745</v>
      </c>
      <c r="AC1094" s="13" t="n">
        <f aca="false">(I1094-AVERAGE(I$2:I$2001))/STDEV(I$2:I$2001)</f>
        <v>1.39434968409451</v>
      </c>
      <c r="AD1094" s="13" t="n">
        <f aca="false">(L1094-AVERAGE(L$2:L$2001))/STDEV(L$2:L$2001)</f>
        <v>0.413838214490712</v>
      </c>
      <c r="AE1094" s="13" t="n">
        <f aca="false">(M1094-AVERAGE(M$2:M$2001))/STDEV(M$2:M$2001)</f>
        <v>0.319741560552649</v>
      </c>
      <c r="AF1094" s="13" t="n">
        <f aca="false">(N1094-AVERAGE(N$2:N$2001))/STDEV(N$2:N$2001)</f>
        <v>-0.0601261665295267</v>
      </c>
      <c r="AG1094" s="13" t="n">
        <f aca="false">(O1094-AVERAGE(O$2:O$2001))/STDEV(O$2:O$2001)</f>
        <v>0.158659610583974</v>
      </c>
      <c r="AH1094" s="0" t="str">
        <f aca="false">IF(B1094="Company","C3 - Corporate Buyers",IF(AND(H1094="Investment",M1094&gt;'Segmentation Summary'!$C$1),"C1 - Global Investors",IF(AND(I1094&gt;=4,M1094&gt;'Segmentation Summary'!$C$1),"C4 - Luxury Investors",IF(AND(D1094&lt;'Segmentation Summary'!$C$2,J1094=1),"C2 - First-Time Buyers","C5 - Other Individual Buyers"))))</f>
        <v>C4 - Luxury Investors</v>
      </c>
    </row>
    <row r="1095" customFormat="false" ht="15" hidden="false" customHeight="true" outlineLevel="0" collapsed="false">
      <c r="A1095" s="13" t="s">
        <v>2218</v>
      </c>
      <c r="B1095" s="13" t="s">
        <v>34</v>
      </c>
      <c r="C1095" s="13" t="s">
        <v>2217</v>
      </c>
      <c r="D1095" s="13" t="n">
        <v>72</v>
      </c>
      <c r="E1095" s="13" t="s">
        <v>90</v>
      </c>
      <c r="F1095" s="13" t="s">
        <v>33</v>
      </c>
      <c r="G1095" s="13" t="s">
        <v>95</v>
      </c>
      <c r="H1095" s="13" t="s">
        <v>41</v>
      </c>
      <c r="I1095" s="13" t="n">
        <v>2</v>
      </c>
      <c r="J1095" s="13" t="n">
        <v>0</v>
      </c>
      <c r="K1095" s="13" t="s">
        <v>85</v>
      </c>
      <c r="L1095" s="13" t="n">
        <v>4</v>
      </c>
      <c r="M1095" s="13" t="n">
        <v>1630923.97</v>
      </c>
      <c r="N1095" s="13" t="n">
        <v>407730.9925</v>
      </c>
      <c r="O1095" s="13" t="n">
        <v>1374.585</v>
      </c>
      <c r="P1095" s="13" t="n">
        <v>0</v>
      </c>
      <c r="Q1095" s="13" t="n">
        <v>4</v>
      </c>
      <c r="R1095" s="13" t="s">
        <v>101</v>
      </c>
      <c r="S1095" s="13" t="s">
        <v>133</v>
      </c>
      <c r="T1095" s="13" t="n">
        <v>1</v>
      </c>
      <c r="U1095" s="13" t="n">
        <f aca="false">IF(B1095="Individual",1,0)</f>
        <v>1</v>
      </c>
      <c r="V1095" s="13" t="n">
        <f aca="false">IF(B1095="Company",1,0)</f>
        <v>0</v>
      </c>
      <c r="W1095" s="13" t="n">
        <f aca="false">IF(H1095="Home",1,0)</f>
        <v>1</v>
      </c>
      <c r="X1095" s="13" t="n">
        <f aca="false">IF(H1095="Investment",1,0)</f>
        <v>0</v>
      </c>
      <c r="Y1095" s="13" t="n">
        <f aca="false">IF(K1095="Website",1,0)</f>
        <v>1</v>
      </c>
      <c r="Z1095" s="13" t="n">
        <f aca="false">IF(K1095="Agency",1,0)</f>
        <v>0</v>
      </c>
      <c r="AA1095" s="13" t="n">
        <f aca="false">IF(K1095="Client",1,0)</f>
        <v>0</v>
      </c>
      <c r="AB1095" s="13" t="n">
        <f aca="false">(D1095-AVERAGE(D$2:D$2001))/STDEV(D$2:D$2001)</f>
        <v>1.03002444238485</v>
      </c>
      <c r="AC1095" s="13" t="n">
        <f aca="false">(I1095-AVERAGE(I$2:I$2001))/STDEV(I$2:I$2001)</f>
        <v>-0.727948160798201</v>
      </c>
      <c r="AD1095" s="13" t="n">
        <f aca="false">(L1095-AVERAGE(L$2:L$2001))/STDEV(L$2:L$2001)</f>
        <v>0.413838214490712</v>
      </c>
      <c r="AE1095" s="13" t="n">
        <f aca="false">(M1095-AVERAGE(M$2:M$2001))/STDEV(M$2:M$2001)</f>
        <v>1.06531288655588</v>
      </c>
      <c r="AF1095" s="13" t="n">
        <f aca="false">(N1095-AVERAGE(N$2:N$2001))/STDEV(N$2:N$2001)</f>
        <v>0.869756914738324</v>
      </c>
      <c r="AG1095" s="13" t="n">
        <f aca="false">(O1095-AVERAGE(O$2:O$2001))/STDEV(O$2:O$2001)</f>
        <v>1.03266033355195</v>
      </c>
      <c r="AH1095" s="0" t="str">
        <f aca="false">IF(B1095="Company","C3 - Corporate Buyers",IF(AND(H1095="Investment",M1095&gt;'Segmentation Summary'!$C$1),"C1 - Global Investors",IF(AND(I1095&gt;=4,M1095&gt;'Segmentation Summary'!$C$1),"C4 - Luxury Investors",IF(AND(D1095&lt;'Segmentation Summary'!$C$2,J1095=1),"C2 - First-Time Buyers","C5 - Other Individual Buyers"))))</f>
        <v>C5 - Other Individual Buyers</v>
      </c>
    </row>
    <row r="1096" customFormat="false" ht="15" hidden="false" customHeight="true" outlineLevel="0" collapsed="false">
      <c r="A1096" s="13" t="s">
        <v>2219</v>
      </c>
      <c r="B1096" s="13" t="s">
        <v>34</v>
      </c>
      <c r="C1096" s="13" t="s">
        <v>2220</v>
      </c>
      <c r="D1096" s="13" t="n">
        <v>37</v>
      </c>
      <c r="E1096" s="13" t="s">
        <v>90</v>
      </c>
      <c r="F1096" s="13" t="s">
        <v>35</v>
      </c>
      <c r="G1096" s="13" t="s">
        <v>267</v>
      </c>
      <c r="H1096" s="13" t="s">
        <v>41</v>
      </c>
      <c r="I1096" s="13" t="n">
        <v>3</v>
      </c>
      <c r="J1096" s="13" t="n">
        <v>0</v>
      </c>
      <c r="K1096" s="13" t="s">
        <v>91</v>
      </c>
      <c r="L1096" s="13" t="n">
        <v>3</v>
      </c>
      <c r="M1096" s="13" t="n">
        <v>1299053.94</v>
      </c>
      <c r="N1096" s="13" t="n">
        <v>433017.98</v>
      </c>
      <c r="O1096" s="13" t="n">
        <v>1386.32</v>
      </c>
      <c r="P1096" s="13" t="n">
        <v>0</v>
      </c>
      <c r="Q1096" s="13" t="n">
        <v>3</v>
      </c>
      <c r="R1096" s="13" t="s">
        <v>92</v>
      </c>
      <c r="S1096" s="13" t="s">
        <v>141</v>
      </c>
      <c r="T1096" s="13" t="n">
        <v>1</v>
      </c>
      <c r="U1096" s="13" t="n">
        <f aca="false">IF(B1096="Individual",1,0)</f>
        <v>1</v>
      </c>
      <c r="V1096" s="13" t="n">
        <f aca="false">IF(B1096="Company",1,0)</f>
        <v>0</v>
      </c>
      <c r="W1096" s="13" t="n">
        <f aca="false">IF(H1096="Home",1,0)</f>
        <v>1</v>
      </c>
      <c r="X1096" s="13" t="n">
        <f aca="false">IF(H1096="Investment",1,0)</f>
        <v>0</v>
      </c>
      <c r="Y1096" s="13" t="n">
        <f aca="false">IF(K1096="Website",1,0)</f>
        <v>0</v>
      </c>
      <c r="Z1096" s="13" t="n">
        <f aca="false">IF(K1096="Agency",1,0)</f>
        <v>1</v>
      </c>
      <c r="AA1096" s="13" t="n">
        <f aca="false">IF(K1096="Client",1,0)</f>
        <v>0</v>
      </c>
      <c r="AB1096" s="13" t="n">
        <f aca="false">(D1096-AVERAGE(D$2:D$2001))/STDEV(D$2:D$2001)</f>
        <v>-0.988161499700447</v>
      </c>
      <c r="AC1096" s="13" t="n">
        <f aca="false">(I1096-AVERAGE(I$2:I$2001))/STDEV(I$2:I$2001)</f>
        <v>-0.0205155458339628</v>
      </c>
      <c r="AD1096" s="13" t="n">
        <f aca="false">(L1096-AVERAGE(L$2:L$2001))/STDEV(L$2:L$2001)</f>
        <v>-0.777063122173208</v>
      </c>
      <c r="AE1096" s="13" t="n">
        <f aca="false">(M1096-AVERAGE(M$2:M$2001))/STDEV(M$2:M$2001)</f>
        <v>0.111199107758901</v>
      </c>
      <c r="AF1096" s="13" t="n">
        <f aca="false">(N1096-AVERAGE(N$2:N$2001))/STDEV(N$2:N$2001)</f>
        <v>1.23244089002892</v>
      </c>
      <c r="AG1096" s="13" t="n">
        <f aca="false">(O1096-AVERAGE(O$2:O$2001))/STDEV(O$2:O$2001)</f>
        <v>1.08602001871305</v>
      </c>
      <c r="AH1096" s="0" t="str">
        <f aca="false">IF(B1096="Company","C3 - Corporate Buyers",IF(AND(H1096="Investment",M1096&gt;'Segmentation Summary'!$C$1),"C1 - Global Investors",IF(AND(I1096&gt;=4,M1096&gt;'Segmentation Summary'!$C$1),"C4 - Luxury Investors",IF(AND(D1096&lt;'Segmentation Summary'!$C$2,J1096=1),"C2 - First-Time Buyers","C5 - Other Individual Buyers"))))</f>
        <v>C5 - Other Individual Buyers</v>
      </c>
    </row>
    <row r="1097" customFormat="false" ht="15" hidden="false" customHeight="true" outlineLevel="0" collapsed="false">
      <c r="A1097" s="13" t="s">
        <v>2221</v>
      </c>
      <c r="B1097" s="13" t="s">
        <v>34</v>
      </c>
      <c r="C1097" s="13" t="s">
        <v>2222</v>
      </c>
      <c r="D1097" s="13" t="n">
        <v>83</v>
      </c>
      <c r="E1097" s="13" t="s">
        <v>90</v>
      </c>
      <c r="F1097" s="13" t="s">
        <v>33</v>
      </c>
      <c r="G1097" s="13" t="s">
        <v>207</v>
      </c>
      <c r="H1097" s="13" t="s">
        <v>41</v>
      </c>
      <c r="I1097" s="13" t="n">
        <v>2</v>
      </c>
      <c r="J1097" s="13" t="n">
        <v>0</v>
      </c>
      <c r="K1097" s="13" t="s">
        <v>85</v>
      </c>
      <c r="L1097" s="13" t="n">
        <v>4</v>
      </c>
      <c r="M1097" s="13" t="n">
        <v>1390002.64</v>
      </c>
      <c r="N1097" s="13" t="n">
        <v>347500.66</v>
      </c>
      <c r="O1097" s="13" t="n">
        <v>1151.37</v>
      </c>
      <c r="P1097" s="13" t="n">
        <v>1</v>
      </c>
      <c r="Q1097" s="13" t="n">
        <v>3</v>
      </c>
      <c r="R1097" s="13" t="s">
        <v>121</v>
      </c>
      <c r="S1097" s="13" t="s">
        <v>133</v>
      </c>
      <c r="T1097" s="13" t="n">
        <v>1</v>
      </c>
      <c r="U1097" s="13" t="n">
        <f aca="false">IF(B1097="Individual",1,0)</f>
        <v>1</v>
      </c>
      <c r="V1097" s="13" t="n">
        <f aca="false">IF(B1097="Company",1,0)</f>
        <v>0</v>
      </c>
      <c r="W1097" s="13" t="n">
        <f aca="false">IF(H1097="Home",1,0)</f>
        <v>1</v>
      </c>
      <c r="X1097" s="13" t="n">
        <f aca="false">IF(H1097="Investment",1,0)</f>
        <v>0</v>
      </c>
      <c r="Y1097" s="13" t="n">
        <f aca="false">IF(K1097="Website",1,0)</f>
        <v>1</v>
      </c>
      <c r="Z1097" s="13" t="n">
        <f aca="false">IF(K1097="Agency",1,0)</f>
        <v>0</v>
      </c>
      <c r="AA1097" s="13" t="n">
        <f aca="false">IF(K1097="Client",1,0)</f>
        <v>0</v>
      </c>
      <c r="AB1097" s="13" t="n">
        <f aca="false">(D1097-AVERAGE(D$2:D$2001))/STDEV(D$2:D$2001)</f>
        <v>1.66431145275451</v>
      </c>
      <c r="AC1097" s="13" t="n">
        <f aca="false">(I1097-AVERAGE(I$2:I$2001))/STDEV(I$2:I$2001)</f>
        <v>-0.727948160798201</v>
      </c>
      <c r="AD1097" s="13" t="n">
        <f aca="false">(L1097-AVERAGE(L$2:L$2001))/STDEV(L$2:L$2001)</f>
        <v>0.413838214490712</v>
      </c>
      <c r="AE1097" s="13" t="n">
        <f aca="false">(M1097-AVERAGE(M$2:M$2001))/STDEV(M$2:M$2001)</f>
        <v>0.372673178899561</v>
      </c>
      <c r="AF1097" s="13" t="n">
        <f aca="false">(N1097-AVERAGE(N$2:N$2001))/STDEV(N$2:N$2001)</f>
        <v>0.00589061100505713</v>
      </c>
      <c r="AG1097" s="13" t="n">
        <f aca="false">(O1097-AVERAGE(O$2:O$2001))/STDEV(O$2:O$2001)</f>
        <v>0.0176895518530662</v>
      </c>
      <c r="AH1097" s="0" t="str">
        <f aca="false">IF(B1097="Company","C3 - Corporate Buyers",IF(AND(H1097="Investment",M1097&gt;'Segmentation Summary'!$C$1),"C1 - Global Investors",IF(AND(I1097&gt;=4,M1097&gt;'Segmentation Summary'!$C$1),"C4 - Luxury Investors",IF(AND(D1097&lt;'Segmentation Summary'!$C$2,J1097=1),"C2 - First-Time Buyers","C5 - Other Individual Buyers"))))</f>
        <v>C5 - Other Individual Buyers</v>
      </c>
    </row>
    <row r="1098" customFormat="false" ht="15" hidden="false" customHeight="true" outlineLevel="0" collapsed="false">
      <c r="A1098" s="13" t="s">
        <v>2223</v>
      </c>
      <c r="B1098" s="13" t="s">
        <v>34</v>
      </c>
      <c r="C1098" s="13" t="s">
        <v>2224</v>
      </c>
      <c r="D1098" s="13" t="n">
        <v>56</v>
      </c>
      <c r="E1098" s="13" t="s">
        <v>90</v>
      </c>
      <c r="F1098" s="13" t="s">
        <v>33</v>
      </c>
      <c r="G1098" s="13" t="s">
        <v>95</v>
      </c>
      <c r="H1098" s="13" t="s">
        <v>41</v>
      </c>
      <c r="I1098" s="13" t="n">
        <v>1</v>
      </c>
      <c r="J1098" s="13" t="n">
        <v>0</v>
      </c>
      <c r="K1098" s="13" t="s">
        <v>85</v>
      </c>
      <c r="L1098" s="13" t="n">
        <v>4</v>
      </c>
      <c r="M1098" s="13" t="n">
        <v>1250065.38</v>
      </c>
      <c r="N1098" s="13" t="n">
        <v>312516.345</v>
      </c>
      <c r="O1098" s="13" t="n">
        <v>951.6375</v>
      </c>
      <c r="P1098" s="13" t="n">
        <v>1</v>
      </c>
      <c r="Q1098" s="13" t="n">
        <v>3</v>
      </c>
      <c r="R1098" s="13" t="s">
        <v>93</v>
      </c>
      <c r="S1098" s="13" t="s">
        <v>125</v>
      </c>
      <c r="T1098" s="13" t="n">
        <v>1</v>
      </c>
      <c r="U1098" s="13" t="n">
        <f aca="false">IF(B1098="Individual",1,0)</f>
        <v>1</v>
      </c>
      <c r="V1098" s="13" t="n">
        <f aca="false">IF(B1098="Company",1,0)</f>
        <v>0</v>
      </c>
      <c r="W1098" s="13" t="n">
        <f aca="false">IF(H1098="Home",1,0)</f>
        <v>1</v>
      </c>
      <c r="X1098" s="13" t="n">
        <f aca="false">IF(H1098="Investment",1,0)</f>
        <v>0</v>
      </c>
      <c r="Y1098" s="13" t="n">
        <f aca="false">IF(K1098="Website",1,0)</f>
        <v>1</v>
      </c>
      <c r="Z1098" s="13" t="n">
        <f aca="false">IF(K1098="Agency",1,0)</f>
        <v>0</v>
      </c>
      <c r="AA1098" s="13" t="n">
        <f aca="false">IF(K1098="Client",1,0)</f>
        <v>0</v>
      </c>
      <c r="AB1098" s="13" t="n">
        <f aca="false">(D1098-AVERAGE(D$2:D$2001))/STDEV(D$2:D$2001)</f>
        <v>0.107425154574426</v>
      </c>
      <c r="AC1098" s="13" t="n">
        <f aca="false">(I1098-AVERAGE(I$2:I$2001))/STDEV(I$2:I$2001)</f>
        <v>-1.43538077576244</v>
      </c>
      <c r="AD1098" s="13" t="n">
        <f aca="false">(L1098-AVERAGE(L$2:L$2001))/STDEV(L$2:L$2001)</f>
        <v>0.413838214490712</v>
      </c>
      <c r="AE1098" s="13" t="n">
        <f aca="false">(M1098-AVERAGE(M$2:M$2001))/STDEV(M$2:M$2001)</f>
        <v>-0.0296411485891112</v>
      </c>
      <c r="AF1098" s="13" t="n">
        <f aca="false">(N1098-AVERAGE(N$2:N$2001))/STDEV(N$2:N$2001)</f>
        <v>-0.495879338342147</v>
      </c>
      <c r="AG1098" s="13" t="n">
        <f aca="false">(O1098-AVERAGE(O$2:O$2001))/STDEV(O$2:O$2001)</f>
        <v>-0.890505021341709</v>
      </c>
      <c r="AH1098" s="0" t="str">
        <f aca="false">IF(B1098="Company","C3 - Corporate Buyers",IF(AND(H1098="Investment",M1098&gt;'Segmentation Summary'!$C$1),"C1 - Global Investors",IF(AND(I1098&gt;=4,M1098&gt;'Segmentation Summary'!$C$1),"C4 - Luxury Investors",IF(AND(D1098&lt;'Segmentation Summary'!$C$2,J1098=1),"C2 - First-Time Buyers","C5 - Other Individual Buyers"))))</f>
        <v>C5 - Other Individual Buyers</v>
      </c>
    </row>
    <row r="1099" customFormat="false" ht="15" hidden="false" customHeight="true" outlineLevel="0" collapsed="false">
      <c r="A1099" s="13" t="s">
        <v>2225</v>
      </c>
      <c r="B1099" s="13" t="s">
        <v>34</v>
      </c>
      <c r="C1099" s="13" t="s">
        <v>2226</v>
      </c>
      <c r="D1099" s="13" t="n">
        <v>63</v>
      </c>
      <c r="E1099" s="13" t="s">
        <v>90</v>
      </c>
      <c r="F1099" s="13" t="s">
        <v>33</v>
      </c>
      <c r="G1099" s="13" t="s">
        <v>95</v>
      </c>
      <c r="H1099" s="13" t="s">
        <v>41</v>
      </c>
      <c r="I1099" s="13" t="n">
        <v>2</v>
      </c>
      <c r="J1099" s="13" t="n">
        <v>0</v>
      </c>
      <c r="K1099" s="13" t="s">
        <v>85</v>
      </c>
      <c r="L1099" s="13" t="n">
        <v>3</v>
      </c>
      <c r="M1099" s="13" t="n">
        <v>1428770.88</v>
      </c>
      <c r="N1099" s="13" t="n">
        <v>476256.96</v>
      </c>
      <c r="O1099" s="13" t="n">
        <v>1451.53666666667</v>
      </c>
      <c r="P1099" s="13" t="n">
        <v>2</v>
      </c>
      <c r="Q1099" s="13" t="n">
        <v>1</v>
      </c>
      <c r="R1099" s="13" t="s">
        <v>86</v>
      </c>
      <c r="S1099" s="13" t="s">
        <v>135</v>
      </c>
      <c r="T1099" s="13" t="n">
        <v>1</v>
      </c>
      <c r="U1099" s="13" t="n">
        <f aca="false">IF(B1099="Individual",1,0)</f>
        <v>1</v>
      </c>
      <c r="V1099" s="13" t="n">
        <f aca="false">IF(B1099="Company",1,0)</f>
        <v>0</v>
      </c>
      <c r="W1099" s="13" t="n">
        <f aca="false">IF(H1099="Home",1,0)</f>
        <v>1</v>
      </c>
      <c r="X1099" s="13" t="n">
        <f aca="false">IF(H1099="Investment",1,0)</f>
        <v>0</v>
      </c>
      <c r="Y1099" s="13" t="n">
        <f aca="false">IF(K1099="Website",1,0)</f>
        <v>1</v>
      </c>
      <c r="Z1099" s="13" t="n">
        <f aca="false">IF(K1099="Agency",1,0)</f>
        <v>0</v>
      </c>
      <c r="AA1099" s="13" t="n">
        <f aca="false">IF(K1099="Client",1,0)</f>
        <v>0</v>
      </c>
      <c r="AB1099" s="13" t="n">
        <f aca="false">(D1099-AVERAGE(D$2:D$2001))/STDEV(D$2:D$2001)</f>
        <v>0.511062342991484</v>
      </c>
      <c r="AC1099" s="13" t="n">
        <f aca="false">(I1099-AVERAGE(I$2:I$2001))/STDEV(I$2:I$2001)</f>
        <v>-0.727948160798201</v>
      </c>
      <c r="AD1099" s="13" t="n">
        <f aca="false">(L1099-AVERAGE(L$2:L$2001))/STDEV(L$2:L$2001)</f>
        <v>-0.777063122173208</v>
      </c>
      <c r="AE1099" s="13" t="n">
        <f aca="false">(M1099-AVERAGE(M$2:M$2001))/STDEV(M$2:M$2001)</f>
        <v>0.48413040196881</v>
      </c>
      <c r="AF1099" s="13" t="n">
        <f aca="false">(N1099-AVERAGE(N$2:N$2001))/STDEV(N$2:N$2001)</f>
        <v>1.85260512089709</v>
      </c>
      <c r="AG1099" s="13" t="n">
        <f aca="false">(O1099-AVERAGE(O$2:O$2001))/STDEV(O$2:O$2001)</f>
        <v>1.38256375970925</v>
      </c>
      <c r="AH1099" s="0" t="str">
        <f aca="false">IF(B1099="Company","C3 - Corporate Buyers",IF(AND(H1099="Investment",M1099&gt;'Segmentation Summary'!$C$1),"C1 - Global Investors",IF(AND(I1099&gt;=4,M1099&gt;'Segmentation Summary'!$C$1),"C4 - Luxury Investors",IF(AND(D1099&lt;'Segmentation Summary'!$C$2,J1099=1),"C2 - First-Time Buyers","C5 - Other Individual Buyers"))))</f>
        <v>C5 - Other Individual Buyers</v>
      </c>
    </row>
    <row r="1100" customFormat="false" ht="15" hidden="false" customHeight="true" outlineLevel="0" collapsed="false">
      <c r="A1100" s="13" t="s">
        <v>2227</v>
      </c>
      <c r="B1100" s="13" t="s">
        <v>34</v>
      </c>
      <c r="C1100" s="13" t="s">
        <v>2226</v>
      </c>
      <c r="D1100" s="13" t="n">
        <v>84</v>
      </c>
      <c r="E1100" s="13" t="s">
        <v>90</v>
      </c>
      <c r="F1100" s="13" t="s">
        <v>33</v>
      </c>
      <c r="G1100" s="13" t="s">
        <v>265</v>
      </c>
      <c r="H1100" s="13" t="s">
        <v>43</v>
      </c>
      <c r="I1100" s="13" t="n">
        <v>4</v>
      </c>
      <c r="J1100" s="13" t="n">
        <v>0</v>
      </c>
      <c r="K1100" s="13" t="s">
        <v>91</v>
      </c>
      <c r="L1100" s="13" t="n">
        <v>3</v>
      </c>
      <c r="M1100" s="13" t="n">
        <v>920197.78</v>
      </c>
      <c r="N1100" s="13" t="n">
        <v>306732.593333333</v>
      </c>
      <c r="O1100" s="13" t="n">
        <v>976.283333333333</v>
      </c>
      <c r="P1100" s="13" t="n">
        <v>0</v>
      </c>
      <c r="Q1100" s="13" t="n">
        <v>3</v>
      </c>
      <c r="R1100" s="13" t="s">
        <v>121</v>
      </c>
      <c r="S1100" s="13" t="s">
        <v>112</v>
      </c>
      <c r="T1100" s="13" t="n">
        <v>1</v>
      </c>
      <c r="U1100" s="13" t="n">
        <f aca="false">IF(B1100="Individual",1,0)</f>
        <v>1</v>
      </c>
      <c r="V1100" s="13" t="n">
        <f aca="false">IF(B1100="Company",1,0)</f>
        <v>0</v>
      </c>
      <c r="W1100" s="13" t="n">
        <f aca="false">IF(H1100="Home",1,0)</f>
        <v>0</v>
      </c>
      <c r="X1100" s="13" t="n">
        <f aca="false">IF(H1100="Investment",1,0)</f>
        <v>1</v>
      </c>
      <c r="Y1100" s="13" t="n">
        <f aca="false">IF(K1100="Website",1,0)</f>
        <v>0</v>
      </c>
      <c r="Z1100" s="13" t="n">
        <f aca="false">IF(K1100="Agency",1,0)</f>
        <v>1</v>
      </c>
      <c r="AA1100" s="13" t="n">
        <f aca="false">IF(K1100="Client",1,0)</f>
        <v>0</v>
      </c>
      <c r="AB1100" s="13" t="n">
        <f aca="false">(D1100-AVERAGE(D$2:D$2001))/STDEV(D$2:D$2001)</f>
        <v>1.72197390824266</v>
      </c>
      <c r="AC1100" s="13" t="n">
        <f aca="false">(I1100-AVERAGE(I$2:I$2001))/STDEV(I$2:I$2001)</f>
        <v>0.686917069130275</v>
      </c>
      <c r="AD1100" s="13" t="n">
        <f aca="false">(L1100-AVERAGE(L$2:L$2001))/STDEV(L$2:L$2001)</f>
        <v>-0.777063122173208</v>
      </c>
      <c r="AE1100" s="13" t="n">
        <f aca="false">(M1100-AVERAGE(M$2:M$2001))/STDEV(M$2:M$2001)</f>
        <v>-0.977998016904971</v>
      </c>
      <c r="AF1100" s="13" t="n">
        <f aca="false">(N1100-AVERAGE(N$2:N$2001))/STDEV(N$2:N$2001)</f>
        <v>-0.578834021914494</v>
      </c>
      <c r="AG1100" s="13" t="n">
        <f aca="false">(O1100-AVERAGE(O$2:O$2001))/STDEV(O$2:O$2001)</f>
        <v>-0.778439072709434</v>
      </c>
      <c r="AH1100" s="0" t="str">
        <f aca="false">IF(B1100="Company","C3 - Corporate Buyers",IF(AND(H1100="Investment",M1100&gt;'Segmentation Summary'!$C$1),"C1 - Global Investors",IF(AND(I1100&gt;=4,M1100&gt;'Segmentation Summary'!$C$1),"C4 - Luxury Investors",IF(AND(D1100&lt;'Segmentation Summary'!$C$2,J1100=1),"C2 - First-Time Buyers","C5 - Other Individual Buyers"))))</f>
        <v>C5 - Other Individual Buyers</v>
      </c>
    </row>
    <row r="1101" customFormat="false" ht="15" hidden="false" customHeight="true" outlineLevel="0" collapsed="false">
      <c r="A1101" s="13" t="s">
        <v>2228</v>
      </c>
      <c r="B1101" s="13" t="s">
        <v>34</v>
      </c>
      <c r="C1101" s="13" t="s">
        <v>2229</v>
      </c>
      <c r="D1101" s="13" t="n">
        <v>82</v>
      </c>
      <c r="E1101" s="13" t="s">
        <v>90</v>
      </c>
      <c r="F1101" s="13" t="s">
        <v>33</v>
      </c>
      <c r="G1101" s="13" t="s">
        <v>95</v>
      </c>
      <c r="H1101" s="13" t="s">
        <v>41</v>
      </c>
      <c r="I1101" s="13" t="n">
        <v>4</v>
      </c>
      <c r="J1101" s="13" t="n">
        <v>0</v>
      </c>
      <c r="K1101" s="13" t="s">
        <v>85</v>
      </c>
      <c r="L1101" s="13" t="n">
        <v>4</v>
      </c>
      <c r="M1101" s="13" t="n">
        <v>1558949.2</v>
      </c>
      <c r="N1101" s="13" t="n">
        <v>389737.3</v>
      </c>
      <c r="O1101" s="13" t="n">
        <v>1208.8775</v>
      </c>
      <c r="P1101" s="13" t="n">
        <v>0</v>
      </c>
      <c r="Q1101" s="13" t="n">
        <v>4</v>
      </c>
      <c r="R1101" s="13" t="s">
        <v>92</v>
      </c>
      <c r="S1101" s="13" t="s">
        <v>125</v>
      </c>
      <c r="T1101" s="13" t="n">
        <v>1</v>
      </c>
      <c r="U1101" s="13" t="n">
        <f aca="false">IF(B1101="Individual",1,0)</f>
        <v>1</v>
      </c>
      <c r="V1101" s="13" t="n">
        <f aca="false">IF(B1101="Company",1,0)</f>
        <v>0</v>
      </c>
      <c r="W1101" s="13" t="n">
        <f aca="false">IF(H1101="Home",1,0)</f>
        <v>1</v>
      </c>
      <c r="X1101" s="13" t="n">
        <f aca="false">IF(H1101="Investment",1,0)</f>
        <v>0</v>
      </c>
      <c r="Y1101" s="13" t="n">
        <f aca="false">IF(K1101="Website",1,0)</f>
        <v>1</v>
      </c>
      <c r="Z1101" s="13" t="n">
        <f aca="false">IF(K1101="Agency",1,0)</f>
        <v>0</v>
      </c>
      <c r="AA1101" s="13" t="n">
        <f aca="false">IF(K1101="Client",1,0)</f>
        <v>0</v>
      </c>
      <c r="AB1101" s="13" t="n">
        <f aca="false">(D1101-AVERAGE(D$2:D$2001))/STDEV(D$2:D$2001)</f>
        <v>1.60664899726636</v>
      </c>
      <c r="AC1101" s="13" t="n">
        <f aca="false">(I1101-AVERAGE(I$2:I$2001))/STDEV(I$2:I$2001)</f>
        <v>0.686917069130275</v>
      </c>
      <c r="AD1101" s="13" t="n">
        <f aca="false">(L1101-AVERAGE(L$2:L$2001))/STDEV(L$2:L$2001)</f>
        <v>0.413838214490712</v>
      </c>
      <c r="AE1101" s="13" t="n">
        <f aca="false">(M1101-AVERAGE(M$2:M$2001))/STDEV(M$2:M$2001)</f>
        <v>0.858388146220806</v>
      </c>
      <c r="AF1101" s="13" t="n">
        <f aca="false">(N1101-AVERAGE(N$2:N$2001))/STDEV(N$2:N$2001)</f>
        <v>0.611678568076565</v>
      </c>
      <c r="AG1101" s="13" t="n">
        <f aca="false">(O1101-AVERAGE(O$2:O$2001))/STDEV(O$2:O$2001)</f>
        <v>0.279179291469797</v>
      </c>
      <c r="AH1101" s="0" t="str">
        <f aca="false">IF(B1101="Company","C3 - Corporate Buyers",IF(AND(H1101="Investment",M1101&gt;'Segmentation Summary'!$C$1),"C1 - Global Investors",IF(AND(I1101&gt;=4,M1101&gt;'Segmentation Summary'!$C$1),"C4 - Luxury Investors",IF(AND(D1101&lt;'Segmentation Summary'!$C$2,J1101=1),"C2 - First-Time Buyers","C5 - Other Individual Buyers"))))</f>
        <v>C4 - Luxury Investors</v>
      </c>
    </row>
    <row r="1102" customFormat="false" ht="15" hidden="false" customHeight="true" outlineLevel="0" collapsed="false">
      <c r="A1102" s="13" t="s">
        <v>2230</v>
      </c>
      <c r="B1102" s="13" t="s">
        <v>34</v>
      </c>
      <c r="C1102" s="13" t="s">
        <v>2231</v>
      </c>
      <c r="D1102" s="13" t="n">
        <v>68</v>
      </c>
      <c r="E1102" s="13" t="s">
        <v>90</v>
      </c>
      <c r="F1102" s="13" t="s">
        <v>33</v>
      </c>
      <c r="G1102" s="13" t="s">
        <v>84</v>
      </c>
      <c r="H1102" s="13" t="s">
        <v>43</v>
      </c>
      <c r="I1102" s="13" t="n">
        <v>5</v>
      </c>
      <c r="J1102" s="13" t="n">
        <v>0</v>
      </c>
      <c r="K1102" s="13" t="s">
        <v>85</v>
      </c>
      <c r="L1102" s="13" t="n">
        <v>3</v>
      </c>
      <c r="M1102" s="13" t="n">
        <v>743723.31</v>
      </c>
      <c r="N1102" s="13" t="n">
        <v>247907.77</v>
      </c>
      <c r="O1102" s="13" t="n">
        <v>939.33</v>
      </c>
      <c r="P1102" s="13" t="n">
        <v>0</v>
      </c>
      <c r="Q1102" s="13" t="n">
        <v>3</v>
      </c>
      <c r="R1102" s="13" t="s">
        <v>107</v>
      </c>
      <c r="S1102" s="13" t="s">
        <v>152</v>
      </c>
      <c r="T1102" s="13" t="n">
        <v>1</v>
      </c>
      <c r="U1102" s="13" t="n">
        <f aca="false">IF(B1102="Individual",1,0)</f>
        <v>1</v>
      </c>
      <c r="V1102" s="13" t="n">
        <f aca="false">IF(B1102="Company",1,0)</f>
        <v>0</v>
      </c>
      <c r="W1102" s="13" t="n">
        <f aca="false">IF(H1102="Home",1,0)</f>
        <v>0</v>
      </c>
      <c r="X1102" s="13" t="n">
        <f aca="false">IF(H1102="Investment",1,0)</f>
        <v>1</v>
      </c>
      <c r="Y1102" s="13" t="n">
        <f aca="false">IF(K1102="Website",1,0)</f>
        <v>1</v>
      </c>
      <c r="Z1102" s="13" t="n">
        <f aca="false">IF(K1102="Agency",1,0)</f>
        <v>0</v>
      </c>
      <c r="AA1102" s="13" t="n">
        <f aca="false">IF(K1102="Client",1,0)</f>
        <v>0</v>
      </c>
      <c r="AB1102" s="13" t="n">
        <f aca="false">(D1102-AVERAGE(D$2:D$2001))/STDEV(D$2:D$2001)</f>
        <v>0.79937462043224</v>
      </c>
      <c r="AC1102" s="13" t="n">
        <f aca="false">(I1102-AVERAGE(I$2:I$2001))/STDEV(I$2:I$2001)</f>
        <v>1.39434968409451</v>
      </c>
      <c r="AD1102" s="13" t="n">
        <f aca="false">(L1102-AVERAGE(L$2:L$2001))/STDEV(L$2:L$2001)</f>
        <v>-0.777063122173208</v>
      </c>
      <c r="AE1102" s="13" t="n">
        <f aca="false">(M1102-AVERAGE(M$2:M$2001))/STDEV(M$2:M$2001)</f>
        <v>-1.48535544063165</v>
      </c>
      <c r="AF1102" s="13" t="n">
        <f aca="false">(N1102-AVERAGE(N$2:N$2001))/STDEV(N$2:N$2001)</f>
        <v>-1.42254151266641</v>
      </c>
      <c r="AG1102" s="13" t="n">
        <f aca="false">(O1102-AVERAGE(O$2:O$2001))/STDEV(O$2:O$2001)</f>
        <v>-0.946467895233512</v>
      </c>
      <c r="AH1102" s="0" t="str">
        <f aca="false">IF(B1102="Company","C3 - Corporate Buyers",IF(AND(H1102="Investment",M1102&gt;'Segmentation Summary'!$C$1),"C1 - Global Investors",IF(AND(I1102&gt;=4,M1102&gt;'Segmentation Summary'!$C$1),"C4 - Luxury Investors",IF(AND(D1102&lt;'Segmentation Summary'!$C$2,J1102=1),"C2 - First-Time Buyers","C5 - Other Individual Buyers"))))</f>
        <v>C5 - Other Individual Buyers</v>
      </c>
    </row>
    <row r="1103" customFormat="false" ht="15" hidden="false" customHeight="true" outlineLevel="0" collapsed="false">
      <c r="A1103" s="13" t="s">
        <v>2232</v>
      </c>
      <c r="B1103" s="13" t="s">
        <v>34</v>
      </c>
      <c r="C1103" s="13" t="s">
        <v>2233</v>
      </c>
      <c r="D1103" s="13" t="n">
        <v>55</v>
      </c>
      <c r="E1103" s="13" t="s">
        <v>90</v>
      </c>
      <c r="F1103" s="13" t="s">
        <v>40</v>
      </c>
      <c r="G1103" s="13" t="s">
        <v>235</v>
      </c>
      <c r="H1103" s="13" t="s">
        <v>43</v>
      </c>
      <c r="I1103" s="13" t="n">
        <v>5</v>
      </c>
      <c r="J1103" s="13" t="n">
        <v>0</v>
      </c>
      <c r="K1103" s="13" t="s">
        <v>91</v>
      </c>
      <c r="L1103" s="13" t="n">
        <v>3</v>
      </c>
      <c r="M1103" s="13" t="n">
        <v>1390001.73</v>
      </c>
      <c r="N1103" s="13" t="n">
        <v>463333.91</v>
      </c>
      <c r="O1103" s="13" t="n">
        <v>1445.29333333333</v>
      </c>
      <c r="P1103" s="13" t="n">
        <v>1</v>
      </c>
      <c r="Q1103" s="13" t="n">
        <v>2</v>
      </c>
      <c r="R1103" s="13" t="s">
        <v>150</v>
      </c>
      <c r="S1103" s="13" t="s">
        <v>152</v>
      </c>
      <c r="T1103" s="13" t="n">
        <v>1</v>
      </c>
      <c r="U1103" s="13" t="n">
        <f aca="false">IF(B1103="Individual",1,0)</f>
        <v>1</v>
      </c>
      <c r="V1103" s="13" t="n">
        <f aca="false">IF(B1103="Company",1,0)</f>
        <v>0</v>
      </c>
      <c r="W1103" s="13" t="n">
        <f aca="false">IF(H1103="Home",1,0)</f>
        <v>0</v>
      </c>
      <c r="X1103" s="13" t="n">
        <f aca="false">IF(H1103="Investment",1,0)</f>
        <v>1</v>
      </c>
      <c r="Y1103" s="13" t="n">
        <f aca="false">IF(K1103="Website",1,0)</f>
        <v>0</v>
      </c>
      <c r="Z1103" s="13" t="n">
        <f aca="false">IF(K1103="Agency",1,0)</f>
        <v>1</v>
      </c>
      <c r="AA1103" s="13" t="n">
        <f aca="false">IF(K1103="Client",1,0)</f>
        <v>0</v>
      </c>
      <c r="AB1103" s="13" t="n">
        <f aca="false">(D1103-AVERAGE(D$2:D$2001))/STDEV(D$2:D$2001)</f>
        <v>0.0497626990862745</v>
      </c>
      <c r="AC1103" s="13" t="n">
        <f aca="false">(I1103-AVERAGE(I$2:I$2001))/STDEV(I$2:I$2001)</f>
        <v>1.39434968409451</v>
      </c>
      <c r="AD1103" s="13" t="n">
        <f aca="false">(L1103-AVERAGE(L$2:L$2001))/STDEV(L$2:L$2001)</f>
        <v>-0.777063122173208</v>
      </c>
      <c r="AE1103" s="13" t="n">
        <f aca="false">(M1103-AVERAGE(M$2:M$2001))/STDEV(M$2:M$2001)</f>
        <v>0.372670562683994</v>
      </c>
      <c r="AF1103" s="13" t="n">
        <f aca="false">(N1103-AVERAGE(N$2:N$2001))/STDEV(N$2:N$2001)</f>
        <v>1.66725353851191</v>
      </c>
      <c r="AG1103" s="13" t="n">
        <f aca="false">(O1103-AVERAGE(O$2:O$2001))/STDEV(O$2:O$2001)</f>
        <v>1.35417498245975</v>
      </c>
      <c r="AH1103" s="0" t="str">
        <f aca="false">IF(B1103="Company","C3 - Corporate Buyers",IF(AND(H1103="Investment",M1103&gt;'Segmentation Summary'!$C$1),"C1 - Global Investors",IF(AND(I1103&gt;=4,M1103&gt;'Segmentation Summary'!$C$1),"C4 - Luxury Investors",IF(AND(D1103&lt;'Segmentation Summary'!$C$2,J1103=1),"C2 - First-Time Buyers","C5 - Other Individual Buyers"))))</f>
        <v>C1 - Global Investors</v>
      </c>
    </row>
    <row r="1104" customFormat="false" ht="15" hidden="false" customHeight="true" outlineLevel="0" collapsed="false">
      <c r="A1104" s="13" t="s">
        <v>2234</v>
      </c>
      <c r="B1104" s="13" t="s">
        <v>34</v>
      </c>
      <c r="C1104" s="13" t="s">
        <v>2235</v>
      </c>
      <c r="D1104" s="13" t="n">
        <v>37</v>
      </c>
      <c r="E1104" s="13" t="s">
        <v>90</v>
      </c>
      <c r="F1104" s="13" t="s">
        <v>45</v>
      </c>
      <c r="G1104" s="13" t="s">
        <v>1735</v>
      </c>
      <c r="H1104" s="13" t="s">
        <v>41</v>
      </c>
      <c r="I1104" s="13" t="n">
        <v>2</v>
      </c>
      <c r="J1104" s="13" t="n">
        <v>0</v>
      </c>
      <c r="K1104" s="13" t="s">
        <v>116</v>
      </c>
      <c r="L1104" s="13" t="n">
        <v>4</v>
      </c>
      <c r="M1104" s="13" t="n">
        <v>1400457.41</v>
      </c>
      <c r="N1104" s="13" t="n">
        <v>350114.3525</v>
      </c>
      <c r="O1104" s="13" t="n">
        <v>1234.8075</v>
      </c>
      <c r="P1104" s="13" t="n">
        <v>0</v>
      </c>
      <c r="Q1104" s="13" t="n">
        <v>4</v>
      </c>
      <c r="R1104" s="13" t="s">
        <v>92</v>
      </c>
      <c r="S1104" s="13" t="s">
        <v>125</v>
      </c>
      <c r="T1104" s="13" t="n">
        <v>1</v>
      </c>
      <c r="U1104" s="13" t="n">
        <f aca="false">IF(B1104="Individual",1,0)</f>
        <v>1</v>
      </c>
      <c r="V1104" s="13" t="n">
        <f aca="false">IF(B1104="Company",1,0)</f>
        <v>0</v>
      </c>
      <c r="W1104" s="13" t="n">
        <f aca="false">IF(H1104="Home",1,0)</f>
        <v>1</v>
      </c>
      <c r="X1104" s="13" t="n">
        <f aca="false">IF(H1104="Investment",1,0)</f>
        <v>0</v>
      </c>
      <c r="Y1104" s="13" t="n">
        <f aca="false">IF(K1104="Website",1,0)</f>
        <v>0</v>
      </c>
      <c r="Z1104" s="13" t="n">
        <f aca="false">IF(K1104="Agency",1,0)</f>
        <v>0</v>
      </c>
      <c r="AA1104" s="13" t="n">
        <f aca="false">IF(K1104="Client",1,0)</f>
        <v>1</v>
      </c>
      <c r="AB1104" s="13" t="n">
        <f aca="false">(D1104-AVERAGE(D$2:D$2001))/STDEV(D$2:D$2001)</f>
        <v>-0.988161499700447</v>
      </c>
      <c r="AC1104" s="13" t="n">
        <f aca="false">(I1104-AVERAGE(I$2:I$2001))/STDEV(I$2:I$2001)</f>
        <v>-0.727948160798201</v>
      </c>
      <c r="AD1104" s="13" t="n">
        <f aca="false">(L1104-AVERAGE(L$2:L$2001))/STDEV(L$2:L$2001)</f>
        <v>0.413838214490712</v>
      </c>
      <c r="AE1104" s="13" t="n">
        <f aca="false">(M1104-AVERAGE(M$2:M$2001))/STDEV(M$2:M$2001)</f>
        <v>0.402730247057096</v>
      </c>
      <c r="AF1104" s="13" t="n">
        <f aca="false">(N1104-AVERAGE(N$2:N$2001))/STDEV(N$2:N$2001)</f>
        <v>0.0433780493994967</v>
      </c>
      <c r="AG1104" s="13" t="n">
        <f aca="false">(O1104-AVERAGE(O$2:O$2001))/STDEV(O$2:O$2001)</f>
        <v>0.397084415988543</v>
      </c>
      <c r="AH1104" s="0" t="str">
        <f aca="false">IF(B1104="Company","C3 - Corporate Buyers",IF(AND(H1104="Investment",M1104&gt;'Segmentation Summary'!$C$1),"C1 - Global Investors",IF(AND(I1104&gt;=4,M1104&gt;'Segmentation Summary'!$C$1),"C4 - Luxury Investors",IF(AND(D1104&lt;'Segmentation Summary'!$C$2,J1104=1),"C2 - First-Time Buyers","C5 - Other Individual Buyers"))))</f>
        <v>C5 - Other Individual Buyers</v>
      </c>
    </row>
    <row r="1105" customFormat="false" ht="15" hidden="false" customHeight="true" outlineLevel="0" collapsed="false">
      <c r="A1105" s="13" t="s">
        <v>2236</v>
      </c>
      <c r="B1105" s="13" t="s">
        <v>34</v>
      </c>
      <c r="C1105" s="13" t="s">
        <v>2237</v>
      </c>
      <c r="D1105" s="13" t="n">
        <v>47</v>
      </c>
      <c r="E1105" s="13" t="s">
        <v>90</v>
      </c>
      <c r="F1105" s="13" t="s">
        <v>33</v>
      </c>
      <c r="G1105" s="13" t="s">
        <v>95</v>
      </c>
      <c r="H1105" s="13" t="s">
        <v>41</v>
      </c>
      <c r="I1105" s="13" t="n">
        <v>2</v>
      </c>
      <c r="J1105" s="13" t="n">
        <v>0</v>
      </c>
      <c r="K1105" s="13" t="s">
        <v>85</v>
      </c>
      <c r="L1105" s="13" t="n">
        <v>3</v>
      </c>
      <c r="M1105" s="13" t="n">
        <v>909532.47</v>
      </c>
      <c r="N1105" s="13" t="n">
        <v>303177.49</v>
      </c>
      <c r="O1105" s="13" t="n">
        <v>979.086666666667</v>
      </c>
      <c r="P1105" s="13" t="n">
        <v>2</v>
      </c>
      <c r="Q1105" s="13" t="n">
        <v>1</v>
      </c>
      <c r="R1105" s="13" t="s">
        <v>101</v>
      </c>
      <c r="S1105" s="13" t="s">
        <v>93</v>
      </c>
      <c r="T1105" s="13" t="n">
        <v>1</v>
      </c>
      <c r="U1105" s="13" t="n">
        <f aca="false">IF(B1105="Individual",1,0)</f>
        <v>1</v>
      </c>
      <c r="V1105" s="13" t="n">
        <f aca="false">IF(B1105="Company",1,0)</f>
        <v>0</v>
      </c>
      <c r="W1105" s="13" t="n">
        <f aca="false">IF(H1105="Home",1,0)</f>
        <v>1</v>
      </c>
      <c r="X1105" s="13" t="n">
        <f aca="false">IF(H1105="Investment",1,0)</f>
        <v>0</v>
      </c>
      <c r="Y1105" s="13" t="n">
        <f aca="false">IF(K1105="Website",1,0)</f>
        <v>1</v>
      </c>
      <c r="Z1105" s="13" t="n">
        <f aca="false">IF(K1105="Agency",1,0)</f>
        <v>0</v>
      </c>
      <c r="AA1105" s="13" t="n">
        <f aca="false">IF(K1105="Client",1,0)</f>
        <v>0</v>
      </c>
      <c r="AB1105" s="13" t="n">
        <f aca="false">(D1105-AVERAGE(D$2:D$2001))/STDEV(D$2:D$2001)</f>
        <v>-0.411536944818935</v>
      </c>
      <c r="AC1105" s="13" t="n">
        <f aca="false">(I1105-AVERAGE(I$2:I$2001))/STDEV(I$2:I$2001)</f>
        <v>-0.727948160798201</v>
      </c>
      <c r="AD1105" s="13" t="n">
        <f aca="false">(L1105-AVERAGE(L$2:L$2001))/STDEV(L$2:L$2001)</f>
        <v>-0.777063122173208</v>
      </c>
      <c r="AE1105" s="13" t="n">
        <f aca="false">(M1105-AVERAGE(M$2:M$2001))/STDEV(M$2:M$2001)</f>
        <v>-1.008660379596</v>
      </c>
      <c r="AF1105" s="13" t="n">
        <f aca="false">(N1105-AVERAGE(N$2:N$2001))/STDEV(N$2:N$2001)</f>
        <v>-0.629823844624773</v>
      </c>
      <c r="AG1105" s="13" t="n">
        <f aca="false">(O1105-AVERAGE(O$2:O$2001))/STDEV(O$2:O$2001)</f>
        <v>-0.765692163116904</v>
      </c>
      <c r="AH1105" s="0" t="str">
        <f aca="false">IF(B1105="Company","C3 - Corporate Buyers",IF(AND(H1105="Investment",M1105&gt;'Segmentation Summary'!$C$1),"C1 - Global Investors",IF(AND(I1105&gt;=4,M1105&gt;'Segmentation Summary'!$C$1),"C4 - Luxury Investors",IF(AND(D1105&lt;'Segmentation Summary'!$C$2,J1105=1),"C2 - First-Time Buyers","C5 - Other Individual Buyers"))))</f>
        <v>C5 - Other Individual Buyers</v>
      </c>
    </row>
    <row r="1106" customFormat="false" ht="15" hidden="false" customHeight="true" outlineLevel="0" collapsed="false">
      <c r="A1106" s="13" t="s">
        <v>2238</v>
      </c>
      <c r="B1106" s="13" t="s">
        <v>34</v>
      </c>
      <c r="C1106" s="13" t="s">
        <v>2239</v>
      </c>
      <c r="D1106" s="13" t="n">
        <v>61</v>
      </c>
      <c r="E1106" s="13" t="s">
        <v>90</v>
      </c>
      <c r="F1106" s="13" t="s">
        <v>33</v>
      </c>
      <c r="G1106" s="13" t="s">
        <v>110</v>
      </c>
      <c r="H1106" s="13" t="s">
        <v>41</v>
      </c>
      <c r="I1106" s="13" t="n">
        <v>2</v>
      </c>
      <c r="J1106" s="13" t="n">
        <v>1</v>
      </c>
      <c r="K1106" s="13" t="s">
        <v>85</v>
      </c>
      <c r="L1106" s="13" t="n">
        <v>4</v>
      </c>
      <c r="M1106" s="13" t="n">
        <v>1629372.23</v>
      </c>
      <c r="N1106" s="13" t="n">
        <v>407343.0575</v>
      </c>
      <c r="O1106" s="13" t="n">
        <v>1316.655</v>
      </c>
      <c r="P1106" s="13" t="n">
        <v>0</v>
      </c>
      <c r="Q1106" s="13" t="n">
        <v>4</v>
      </c>
      <c r="R1106" s="13" t="s">
        <v>150</v>
      </c>
      <c r="S1106" s="13" t="s">
        <v>152</v>
      </c>
      <c r="T1106" s="13" t="n">
        <v>1</v>
      </c>
      <c r="U1106" s="13" t="n">
        <f aca="false">IF(B1106="Individual",1,0)</f>
        <v>1</v>
      </c>
      <c r="V1106" s="13" t="n">
        <f aca="false">IF(B1106="Company",1,0)</f>
        <v>0</v>
      </c>
      <c r="W1106" s="13" t="n">
        <f aca="false">IF(H1106="Home",1,0)</f>
        <v>1</v>
      </c>
      <c r="X1106" s="13" t="n">
        <f aca="false">IF(H1106="Investment",1,0)</f>
        <v>0</v>
      </c>
      <c r="Y1106" s="13" t="n">
        <f aca="false">IF(K1106="Website",1,0)</f>
        <v>1</v>
      </c>
      <c r="Z1106" s="13" t="n">
        <f aca="false">IF(K1106="Agency",1,0)</f>
        <v>0</v>
      </c>
      <c r="AA1106" s="13" t="n">
        <f aca="false">IF(K1106="Client",1,0)</f>
        <v>0</v>
      </c>
      <c r="AB1106" s="13" t="n">
        <f aca="false">(D1106-AVERAGE(D$2:D$2001))/STDEV(D$2:D$2001)</f>
        <v>0.395737432015182</v>
      </c>
      <c r="AC1106" s="13" t="n">
        <f aca="false">(I1106-AVERAGE(I$2:I$2001))/STDEV(I$2:I$2001)</f>
        <v>-0.727948160798201</v>
      </c>
      <c r="AD1106" s="13" t="n">
        <f aca="false">(L1106-AVERAGE(L$2:L$2001))/STDEV(L$2:L$2001)</f>
        <v>0.413838214490712</v>
      </c>
      <c r="AE1106" s="13" t="n">
        <f aca="false">(M1106-AVERAGE(M$2:M$2001))/STDEV(M$2:M$2001)</f>
        <v>1.06085169277134</v>
      </c>
      <c r="AF1106" s="13" t="n">
        <f aca="false">(N1106-AVERAGE(N$2:N$2001))/STDEV(N$2:N$2001)</f>
        <v>0.864192874816433</v>
      </c>
      <c r="AG1106" s="13" t="n">
        <f aca="false">(O1106-AVERAGE(O$2:O$2001))/STDEV(O$2:O$2001)</f>
        <v>0.769249463387236</v>
      </c>
      <c r="AH1106" s="0" t="str">
        <f aca="false">IF(B1106="Company","C3 - Corporate Buyers",IF(AND(H1106="Investment",M1106&gt;'Segmentation Summary'!$C$1),"C1 - Global Investors",IF(AND(I1106&gt;=4,M1106&gt;'Segmentation Summary'!$C$1),"C4 - Luxury Investors",IF(AND(D1106&lt;'Segmentation Summary'!$C$2,J1106=1),"C2 - First-Time Buyers","C5 - Other Individual Buyers"))))</f>
        <v>C5 - Other Individual Buyers</v>
      </c>
    </row>
    <row r="1107" customFormat="false" ht="15" hidden="false" customHeight="true" outlineLevel="0" collapsed="false">
      <c r="A1107" s="13" t="s">
        <v>2240</v>
      </c>
      <c r="B1107" s="13" t="s">
        <v>34</v>
      </c>
      <c r="C1107" s="13" t="s">
        <v>2241</v>
      </c>
      <c r="D1107" s="13" t="n">
        <v>84</v>
      </c>
      <c r="E1107" s="13" t="s">
        <v>90</v>
      </c>
      <c r="F1107" s="13" t="s">
        <v>35</v>
      </c>
      <c r="G1107" s="13" t="s">
        <v>185</v>
      </c>
      <c r="H1107" s="13" t="s">
        <v>41</v>
      </c>
      <c r="I1107" s="13" t="n">
        <v>1</v>
      </c>
      <c r="J1107" s="13" t="n">
        <v>1</v>
      </c>
      <c r="K1107" s="13" t="s">
        <v>85</v>
      </c>
      <c r="L1107" s="13" t="n">
        <v>4</v>
      </c>
      <c r="M1107" s="13" t="n">
        <v>1048588.76</v>
      </c>
      <c r="N1107" s="13" t="n">
        <v>262147.19</v>
      </c>
      <c r="O1107" s="13" t="n">
        <v>801.065</v>
      </c>
      <c r="P1107" s="13" t="n">
        <v>1</v>
      </c>
      <c r="Q1107" s="13" t="n">
        <v>3</v>
      </c>
      <c r="R1107" s="13" t="s">
        <v>101</v>
      </c>
      <c r="S1107" s="13" t="s">
        <v>87</v>
      </c>
      <c r="T1107" s="13" t="n">
        <v>1</v>
      </c>
      <c r="U1107" s="13" t="n">
        <f aca="false">IF(B1107="Individual",1,0)</f>
        <v>1</v>
      </c>
      <c r="V1107" s="13" t="n">
        <f aca="false">IF(B1107="Company",1,0)</f>
        <v>0</v>
      </c>
      <c r="W1107" s="13" t="n">
        <f aca="false">IF(H1107="Home",1,0)</f>
        <v>1</v>
      </c>
      <c r="X1107" s="13" t="n">
        <f aca="false">IF(H1107="Investment",1,0)</f>
        <v>0</v>
      </c>
      <c r="Y1107" s="13" t="n">
        <f aca="false">IF(K1107="Website",1,0)</f>
        <v>1</v>
      </c>
      <c r="Z1107" s="13" t="n">
        <f aca="false">IF(K1107="Agency",1,0)</f>
        <v>0</v>
      </c>
      <c r="AA1107" s="13" t="n">
        <f aca="false">IF(K1107="Client",1,0)</f>
        <v>0</v>
      </c>
      <c r="AB1107" s="13" t="n">
        <f aca="false">(D1107-AVERAGE(D$2:D$2001))/STDEV(D$2:D$2001)</f>
        <v>1.72197390824266</v>
      </c>
      <c r="AC1107" s="13" t="n">
        <f aca="false">(I1107-AVERAGE(I$2:I$2001))/STDEV(I$2:I$2001)</f>
        <v>-1.43538077576244</v>
      </c>
      <c r="AD1107" s="13" t="n">
        <f aca="false">(L1107-AVERAGE(L$2:L$2001))/STDEV(L$2:L$2001)</f>
        <v>0.413838214490712</v>
      </c>
      <c r="AE1107" s="13" t="n">
        <f aca="false">(M1107-AVERAGE(M$2:M$2001))/STDEV(M$2:M$2001)</f>
        <v>-0.60887880752277</v>
      </c>
      <c r="AF1107" s="13" t="n">
        <f aca="false">(N1107-AVERAGE(N$2:N$2001))/STDEV(N$2:N$2001)</f>
        <v>-1.21830961468203</v>
      </c>
      <c r="AG1107" s="13" t="n">
        <f aca="false">(O1107-AVERAGE(O$2:O$2001))/STDEV(O$2:O$2001)</f>
        <v>-1.57516639278787</v>
      </c>
      <c r="AH1107" s="0" t="str">
        <f aca="false">IF(B1107="Company","C3 - Corporate Buyers",IF(AND(H1107="Investment",M1107&gt;'Segmentation Summary'!$C$1),"C1 - Global Investors",IF(AND(I1107&gt;=4,M1107&gt;'Segmentation Summary'!$C$1),"C4 - Luxury Investors",IF(AND(D1107&lt;'Segmentation Summary'!$C$2,J1107=1),"C2 - First-Time Buyers","C5 - Other Individual Buyers"))))</f>
        <v>C5 - Other Individual Buyers</v>
      </c>
    </row>
    <row r="1108" customFormat="false" ht="15" hidden="false" customHeight="true" outlineLevel="0" collapsed="false">
      <c r="A1108" s="13" t="s">
        <v>2242</v>
      </c>
      <c r="B1108" s="13" t="s">
        <v>34</v>
      </c>
      <c r="C1108" s="13" t="s">
        <v>2241</v>
      </c>
      <c r="D1108" s="13" t="n">
        <v>47</v>
      </c>
      <c r="E1108" s="13" t="s">
        <v>90</v>
      </c>
      <c r="F1108" s="13" t="s">
        <v>33</v>
      </c>
      <c r="G1108" s="13" t="s">
        <v>84</v>
      </c>
      <c r="H1108" s="13" t="s">
        <v>43</v>
      </c>
      <c r="I1108" s="13" t="n">
        <v>3</v>
      </c>
      <c r="J1108" s="13" t="n">
        <v>0</v>
      </c>
      <c r="K1108" s="13" t="s">
        <v>91</v>
      </c>
      <c r="L1108" s="13" t="n">
        <v>3</v>
      </c>
      <c r="M1108" s="13" t="n">
        <v>1339830.04</v>
      </c>
      <c r="N1108" s="13" t="n">
        <v>446610.013333333</v>
      </c>
      <c r="O1108" s="13" t="n">
        <v>1447.82</v>
      </c>
      <c r="P1108" s="13" t="n">
        <v>0</v>
      </c>
      <c r="Q1108" s="13" t="n">
        <v>3</v>
      </c>
      <c r="R1108" s="13" t="s">
        <v>98</v>
      </c>
      <c r="S1108" s="13" t="s">
        <v>128</v>
      </c>
      <c r="T1108" s="13" t="n">
        <v>1</v>
      </c>
      <c r="U1108" s="13" t="n">
        <f aca="false">IF(B1108="Individual",1,0)</f>
        <v>1</v>
      </c>
      <c r="V1108" s="13" t="n">
        <f aca="false">IF(B1108="Company",1,0)</f>
        <v>0</v>
      </c>
      <c r="W1108" s="13" t="n">
        <f aca="false">IF(H1108="Home",1,0)</f>
        <v>0</v>
      </c>
      <c r="X1108" s="13" t="n">
        <f aca="false">IF(H1108="Investment",1,0)</f>
        <v>1</v>
      </c>
      <c r="Y1108" s="13" t="n">
        <f aca="false">IF(K1108="Website",1,0)</f>
        <v>0</v>
      </c>
      <c r="Z1108" s="13" t="n">
        <f aca="false">IF(K1108="Agency",1,0)</f>
        <v>1</v>
      </c>
      <c r="AA1108" s="13" t="n">
        <f aca="false">IF(K1108="Client",1,0)</f>
        <v>0</v>
      </c>
      <c r="AB1108" s="13" t="n">
        <f aca="false">(D1108-AVERAGE(D$2:D$2001))/STDEV(D$2:D$2001)</f>
        <v>-0.411536944818935</v>
      </c>
      <c r="AC1108" s="13" t="n">
        <f aca="false">(I1108-AVERAGE(I$2:I$2001))/STDEV(I$2:I$2001)</f>
        <v>-0.0205155458339628</v>
      </c>
      <c r="AD1108" s="13" t="n">
        <f aca="false">(L1108-AVERAGE(L$2:L$2001))/STDEV(L$2:L$2001)</f>
        <v>-0.777063122173208</v>
      </c>
      <c r="AE1108" s="13" t="n">
        <f aca="false">(M1108-AVERAGE(M$2:M$2001))/STDEV(M$2:M$2001)</f>
        <v>0.228428852353807</v>
      </c>
      <c r="AF1108" s="13" t="n">
        <f aca="false">(N1108-AVERAGE(N$2:N$2001))/STDEV(N$2:N$2001)</f>
        <v>1.42738750759716</v>
      </c>
      <c r="AG1108" s="13" t="n">
        <f aca="false">(O1108-AVERAGE(O$2:O$2001))/STDEV(O$2:O$2001)</f>
        <v>1.36566387362639</v>
      </c>
      <c r="AH1108" s="0" t="str">
        <f aca="false">IF(B1108="Company","C3 - Corporate Buyers",IF(AND(H1108="Investment",M1108&gt;'Segmentation Summary'!$C$1),"C1 - Global Investors",IF(AND(I1108&gt;=4,M1108&gt;'Segmentation Summary'!$C$1),"C4 - Luxury Investors",IF(AND(D1108&lt;'Segmentation Summary'!$C$2,J1108=1),"C2 - First-Time Buyers","C5 - Other Individual Buyers"))))</f>
        <v>C1 - Global Investors</v>
      </c>
    </row>
    <row r="1109" customFormat="false" ht="15" hidden="false" customHeight="true" outlineLevel="0" collapsed="false">
      <c r="A1109" s="13" t="s">
        <v>2243</v>
      </c>
      <c r="B1109" s="13" t="s">
        <v>34</v>
      </c>
      <c r="C1109" s="13" t="s">
        <v>2244</v>
      </c>
      <c r="D1109" s="13" t="n">
        <v>66</v>
      </c>
      <c r="E1109" s="13" t="s">
        <v>90</v>
      </c>
      <c r="F1109" s="13" t="s">
        <v>33</v>
      </c>
      <c r="G1109" s="13" t="s">
        <v>95</v>
      </c>
      <c r="H1109" s="13" t="s">
        <v>43</v>
      </c>
      <c r="I1109" s="13" t="n">
        <v>3</v>
      </c>
      <c r="J1109" s="13" t="n">
        <v>1</v>
      </c>
      <c r="K1109" s="13" t="s">
        <v>116</v>
      </c>
      <c r="L1109" s="13" t="n">
        <v>3</v>
      </c>
      <c r="M1109" s="13" t="n">
        <v>987718.99</v>
      </c>
      <c r="N1109" s="13" t="n">
        <v>329239.663333333</v>
      </c>
      <c r="O1109" s="13" t="n">
        <v>1072.72666666667</v>
      </c>
      <c r="P1109" s="13" t="n">
        <v>0</v>
      </c>
      <c r="Q1109" s="13" t="n">
        <v>3</v>
      </c>
      <c r="R1109" s="13" t="s">
        <v>92</v>
      </c>
      <c r="S1109" s="13" t="s">
        <v>152</v>
      </c>
      <c r="T1109" s="13" t="n">
        <v>1</v>
      </c>
      <c r="U1109" s="13" t="n">
        <f aca="false">IF(B1109="Individual",1,0)</f>
        <v>1</v>
      </c>
      <c r="V1109" s="13" t="n">
        <f aca="false">IF(B1109="Company",1,0)</f>
        <v>0</v>
      </c>
      <c r="W1109" s="13" t="n">
        <f aca="false">IF(H1109="Home",1,0)</f>
        <v>0</v>
      </c>
      <c r="X1109" s="13" t="n">
        <f aca="false">IF(H1109="Investment",1,0)</f>
        <v>1</v>
      </c>
      <c r="Y1109" s="13" t="n">
        <f aca="false">IF(K1109="Website",1,0)</f>
        <v>0</v>
      </c>
      <c r="Z1109" s="13" t="n">
        <f aca="false">IF(K1109="Agency",1,0)</f>
        <v>0</v>
      </c>
      <c r="AA1109" s="13" t="n">
        <f aca="false">IF(K1109="Client",1,0)</f>
        <v>1</v>
      </c>
      <c r="AB1109" s="13" t="n">
        <f aca="false">(D1109-AVERAGE(D$2:D$2001))/STDEV(D$2:D$2001)</f>
        <v>0.684049709455938</v>
      </c>
      <c r="AC1109" s="13" t="n">
        <f aca="false">(I1109-AVERAGE(I$2:I$2001))/STDEV(I$2:I$2001)</f>
        <v>-0.0205155458339628</v>
      </c>
      <c r="AD1109" s="13" t="n">
        <f aca="false">(L1109-AVERAGE(L$2:L$2001))/STDEV(L$2:L$2001)</f>
        <v>-0.777063122173208</v>
      </c>
      <c r="AE1109" s="13" t="n">
        <f aca="false">(M1109-AVERAGE(M$2:M$2001))/STDEV(M$2:M$2001)</f>
        <v>-0.783877093054015</v>
      </c>
      <c r="AF1109" s="13" t="n">
        <f aca="false">(N1109-AVERAGE(N$2:N$2001))/STDEV(N$2:N$2001)</f>
        <v>-0.25602160229576</v>
      </c>
      <c r="AG1109" s="13" t="n">
        <f aca="false">(O1109-AVERAGE(O$2:O$2001))/STDEV(O$2:O$2001)</f>
        <v>-0.339905974920383</v>
      </c>
      <c r="AH1109" s="0" t="str">
        <f aca="false">IF(B1109="Company","C3 - Corporate Buyers",IF(AND(H1109="Investment",M1109&gt;'Segmentation Summary'!$C$1),"C1 - Global Investors",IF(AND(I1109&gt;=4,M1109&gt;'Segmentation Summary'!$C$1),"C4 - Luxury Investors",IF(AND(D1109&lt;'Segmentation Summary'!$C$2,J1109=1),"C2 - First-Time Buyers","C5 - Other Individual Buyers"))))</f>
        <v>C5 - Other Individual Buyers</v>
      </c>
    </row>
    <row r="1110" customFormat="false" ht="15" hidden="false" customHeight="true" outlineLevel="0" collapsed="false">
      <c r="A1110" s="13" t="s">
        <v>2245</v>
      </c>
      <c r="B1110" s="13" t="s">
        <v>34</v>
      </c>
      <c r="C1110" s="13" t="s">
        <v>2244</v>
      </c>
      <c r="D1110" s="13" t="n">
        <v>83</v>
      </c>
      <c r="E1110" s="13" t="s">
        <v>90</v>
      </c>
      <c r="F1110" s="13" t="s">
        <v>33</v>
      </c>
      <c r="G1110" s="13" t="s">
        <v>110</v>
      </c>
      <c r="H1110" s="13" t="s">
        <v>43</v>
      </c>
      <c r="I1110" s="13" t="n">
        <v>2</v>
      </c>
      <c r="J1110" s="13" t="n">
        <v>0</v>
      </c>
      <c r="K1110" s="13" t="s">
        <v>85</v>
      </c>
      <c r="L1110" s="13" t="n">
        <v>3</v>
      </c>
      <c r="M1110" s="13" t="n">
        <v>733161.98</v>
      </c>
      <c r="N1110" s="13" t="n">
        <v>244387.326666667</v>
      </c>
      <c r="O1110" s="13" t="n">
        <v>791.04</v>
      </c>
      <c r="P1110" s="13" t="n">
        <v>0</v>
      </c>
      <c r="Q1110" s="13" t="n">
        <v>3</v>
      </c>
      <c r="R1110" s="13" t="s">
        <v>101</v>
      </c>
      <c r="S1110" s="13" t="s">
        <v>87</v>
      </c>
      <c r="T1110" s="13" t="n">
        <v>1</v>
      </c>
      <c r="U1110" s="13" t="n">
        <f aca="false">IF(B1110="Individual",1,0)</f>
        <v>1</v>
      </c>
      <c r="V1110" s="13" t="n">
        <f aca="false">IF(B1110="Company",1,0)</f>
        <v>0</v>
      </c>
      <c r="W1110" s="13" t="n">
        <f aca="false">IF(H1110="Home",1,0)</f>
        <v>0</v>
      </c>
      <c r="X1110" s="13" t="n">
        <f aca="false">IF(H1110="Investment",1,0)</f>
        <v>1</v>
      </c>
      <c r="Y1110" s="13" t="n">
        <f aca="false">IF(K1110="Website",1,0)</f>
        <v>1</v>
      </c>
      <c r="Z1110" s="13" t="n">
        <f aca="false">IF(K1110="Agency",1,0)</f>
        <v>0</v>
      </c>
      <c r="AA1110" s="13" t="n">
        <f aca="false">IF(K1110="Client",1,0)</f>
        <v>0</v>
      </c>
      <c r="AB1110" s="13" t="n">
        <f aca="false">(D1110-AVERAGE(D$2:D$2001))/STDEV(D$2:D$2001)</f>
        <v>1.66431145275451</v>
      </c>
      <c r="AC1110" s="13" t="n">
        <f aca="false">(I1110-AVERAGE(I$2:I$2001))/STDEV(I$2:I$2001)</f>
        <v>-0.727948160798201</v>
      </c>
      <c r="AD1110" s="13" t="n">
        <f aca="false">(L1110-AVERAGE(L$2:L$2001))/STDEV(L$2:L$2001)</f>
        <v>-0.777063122173208</v>
      </c>
      <c r="AE1110" s="13" t="n">
        <f aca="false">(M1110-AVERAGE(M$2:M$2001))/STDEV(M$2:M$2001)</f>
        <v>-1.51571886475711</v>
      </c>
      <c r="AF1110" s="13" t="n">
        <f aca="false">(N1110-AVERAGE(N$2:N$2001))/STDEV(N$2:N$2001)</f>
        <v>-1.47303421698394</v>
      </c>
      <c r="AG1110" s="13" t="n">
        <f aca="false">(O1110-AVERAGE(O$2:O$2001))/STDEV(O$2:O$2001)</f>
        <v>-1.62075061466602</v>
      </c>
      <c r="AH1110" s="0" t="str">
        <f aca="false">IF(B1110="Company","C3 - Corporate Buyers",IF(AND(H1110="Investment",M1110&gt;'Segmentation Summary'!$C$1),"C1 - Global Investors",IF(AND(I1110&gt;=4,M1110&gt;'Segmentation Summary'!$C$1),"C4 - Luxury Investors",IF(AND(D1110&lt;'Segmentation Summary'!$C$2,J1110=1),"C2 - First-Time Buyers","C5 - Other Individual Buyers"))))</f>
        <v>C5 - Other Individual Buyers</v>
      </c>
    </row>
    <row r="1111" customFormat="false" ht="15" hidden="false" customHeight="true" outlineLevel="0" collapsed="false">
      <c r="A1111" s="13" t="s">
        <v>2246</v>
      </c>
      <c r="B1111" s="13" t="s">
        <v>34</v>
      </c>
      <c r="C1111" s="13" t="s">
        <v>2247</v>
      </c>
      <c r="D1111" s="13" t="n">
        <v>70</v>
      </c>
      <c r="E1111" s="13" t="s">
        <v>90</v>
      </c>
      <c r="F1111" s="13" t="s">
        <v>33</v>
      </c>
      <c r="G1111" s="13" t="s">
        <v>110</v>
      </c>
      <c r="H1111" s="13" t="s">
        <v>41</v>
      </c>
      <c r="I1111" s="13" t="n">
        <v>2</v>
      </c>
      <c r="J1111" s="13" t="n">
        <v>1</v>
      </c>
      <c r="K1111" s="13" t="s">
        <v>91</v>
      </c>
      <c r="L1111" s="13" t="n">
        <v>3</v>
      </c>
      <c r="M1111" s="13" t="n">
        <v>1382756.57</v>
      </c>
      <c r="N1111" s="13" t="n">
        <v>460918.856666667</v>
      </c>
      <c r="O1111" s="13" t="n">
        <v>1465.14666666667</v>
      </c>
      <c r="P1111" s="13" t="n">
        <v>0</v>
      </c>
      <c r="Q1111" s="13" t="n">
        <v>3</v>
      </c>
      <c r="R1111" s="13" t="s">
        <v>150</v>
      </c>
      <c r="S1111" s="13" t="s">
        <v>125</v>
      </c>
      <c r="T1111" s="13" t="n">
        <v>1</v>
      </c>
      <c r="U1111" s="13" t="n">
        <f aca="false">IF(B1111="Individual",1,0)</f>
        <v>1</v>
      </c>
      <c r="V1111" s="13" t="n">
        <f aca="false">IF(B1111="Company",1,0)</f>
        <v>0</v>
      </c>
      <c r="W1111" s="13" t="n">
        <f aca="false">IF(H1111="Home",1,0)</f>
        <v>1</v>
      </c>
      <c r="X1111" s="13" t="n">
        <f aca="false">IF(H1111="Investment",1,0)</f>
        <v>0</v>
      </c>
      <c r="Y1111" s="13" t="n">
        <f aca="false">IF(K1111="Website",1,0)</f>
        <v>0</v>
      </c>
      <c r="Z1111" s="13" t="n">
        <f aca="false">IF(K1111="Agency",1,0)</f>
        <v>1</v>
      </c>
      <c r="AA1111" s="13" t="n">
        <f aca="false">IF(K1111="Client",1,0)</f>
        <v>0</v>
      </c>
      <c r="AB1111" s="13" t="n">
        <f aca="false">(D1111-AVERAGE(D$2:D$2001))/STDEV(D$2:D$2001)</f>
        <v>0.914699531408543</v>
      </c>
      <c r="AC1111" s="13" t="n">
        <f aca="false">(I1111-AVERAGE(I$2:I$2001))/STDEV(I$2:I$2001)</f>
        <v>-0.727948160798201</v>
      </c>
      <c r="AD1111" s="13" t="n">
        <f aca="false">(L1111-AVERAGE(L$2:L$2001))/STDEV(L$2:L$2001)</f>
        <v>-0.777063122173208</v>
      </c>
      <c r="AE1111" s="13" t="n">
        <f aca="false">(M1111-AVERAGE(M$2:M$2001))/STDEV(M$2:M$2001)</f>
        <v>0.351841001829739</v>
      </c>
      <c r="AF1111" s="13" t="n">
        <f aca="false">(N1111-AVERAGE(N$2:N$2001))/STDEV(N$2:N$2001)</f>
        <v>1.63261512444729</v>
      </c>
      <c r="AG1111" s="13" t="n">
        <f aca="false">(O1111-AVERAGE(O$2:O$2001))/STDEV(O$2:O$2001)</f>
        <v>1.4444491721543</v>
      </c>
      <c r="AH1111" s="0" t="str">
        <f aca="false">IF(B1111="Company","C3 - Corporate Buyers",IF(AND(H1111="Investment",M1111&gt;'Segmentation Summary'!$C$1),"C1 - Global Investors",IF(AND(I1111&gt;=4,M1111&gt;'Segmentation Summary'!$C$1),"C4 - Luxury Investors",IF(AND(D1111&lt;'Segmentation Summary'!$C$2,J1111=1),"C2 - First-Time Buyers","C5 - Other Individual Buyers"))))</f>
        <v>C5 - Other Individual Buyers</v>
      </c>
    </row>
    <row r="1112" customFormat="false" ht="15" hidden="false" customHeight="true" outlineLevel="0" collapsed="false">
      <c r="A1112" s="13" t="s">
        <v>2248</v>
      </c>
      <c r="B1112" s="13" t="s">
        <v>34</v>
      </c>
      <c r="C1112" s="13" t="s">
        <v>2249</v>
      </c>
      <c r="D1112" s="13" t="n">
        <v>76</v>
      </c>
      <c r="E1112" s="13" t="s">
        <v>90</v>
      </c>
      <c r="F1112" s="13" t="s">
        <v>33</v>
      </c>
      <c r="G1112" s="13" t="s">
        <v>110</v>
      </c>
      <c r="H1112" s="13" t="s">
        <v>41</v>
      </c>
      <c r="I1112" s="13" t="n">
        <v>4</v>
      </c>
      <c r="J1112" s="13" t="n">
        <v>1</v>
      </c>
      <c r="K1112" s="13" t="s">
        <v>91</v>
      </c>
      <c r="L1112" s="13" t="n">
        <v>4</v>
      </c>
      <c r="M1112" s="13" t="n">
        <v>1314495.01</v>
      </c>
      <c r="N1112" s="13" t="n">
        <v>328623.7525</v>
      </c>
      <c r="O1112" s="13" t="n">
        <v>1096.12</v>
      </c>
      <c r="P1112" s="13" t="n">
        <v>0</v>
      </c>
      <c r="Q1112" s="13" t="n">
        <v>4</v>
      </c>
      <c r="R1112" s="13" t="s">
        <v>117</v>
      </c>
      <c r="S1112" s="13" t="s">
        <v>125</v>
      </c>
      <c r="T1112" s="13" t="n">
        <v>1</v>
      </c>
      <c r="U1112" s="13" t="n">
        <f aca="false">IF(B1112="Individual",1,0)</f>
        <v>1</v>
      </c>
      <c r="V1112" s="13" t="n">
        <f aca="false">IF(B1112="Company",1,0)</f>
        <v>0</v>
      </c>
      <c r="W1112" s="13" t="n">
        <f aca="false">IF(H1112="Home",1,0)</f>
        <v>1</v>
      </c>
      <c r="X1112" s="13" t="n">
        <f aca="false">IF(H1112="Investment",1,0)</f>
        <v>0</v>
      </c>
      <c r="Y1112" s="13" t="n">
        <f aca="false">IF(K1112="Website",1,0)</f>
        <v>0</v>
      </c>
      <c r="Z1112" s="13" t="n">
        <f aca="false">IF(K1112="Agency",1,0)</f>
        <v>1</v>
      </c>
      <c r="AA1112" s="13" t="n">
        <f aca="false">IF(K1112="Client",1,0)</f>
        <v>0</v>
      </c>
      <c r="AB1112" s="13" t="n">
        <f aca="false">(D1112-AVERAGE(D$2:D$2001))/STDEV(D$2:D$2001)</f>
        <v>1.26067426433745</v>
      </c>
      <c r="AC1112" s="13" t="n">
        <f aca="false">(I1112-AVERAGE(I$2:I$2001))/STDEV(I$2:I$2001)</f>
        <v>0.686917069130275</v>
      </c>
      <c r="AD1112" s="13" t="n">
        <f aca="false">(L1112-AVERAGE(L$2:L$2001))/STDEV(L$2:L$2001)</f>
        <v>0.413838214490712</v>
      </c>
      <c r="AE1112" s="13" t="n">
        <f aca="false">(M1112-AVERAGE(M$2:M$2001))/STDEV(M$2:M$2001)</f>
        <v>0.155591599742491</v>
      </c>
      <c r="AF1112" s="13" t="n">
        <f aca="false">(N1112-AVERAGE(N$2:N$2001))/STDEV(N$2:N$2001)</f>
        <v>-0.264855433904121</v>
      </c>
      <c r="AG1112" s="13" t="n">
        <f aca="false">(O1112-AVERAGE(O$2:O$2001))/STDEV(O$2:O$2001)</f>
        <v>-0.233535212113796</v>
      </c>
      <c r="AH1112" s="0" t="str">
        <f aca="false">IF(B1112="Company","C3 - Corporate Buyers",IF(AND(H1112="Investment",M1112&gt;'Segmentation Summary'!$C$1),"C1 - Global Investors",IF(AND(I1112&gt;=4,M1112&gt;'Segmentation Summary'!$C$1),"C4 - Luxury Investors",IF(AND(D1112&lt;'Segmentation Summary'!$C$2,J1112=1),"C2 - First-Time Buyers","C5 - Other Individual Buyers"))))</f>
        <v>C4 - Luxury Investors</v>
      </c>
    </row>
    <row r="1113" customFormat="false" ht="15" hidden="false" customHeight="true" outlineLevel="0" collapsed="false">
      <c r="A1113" s="13" t="s">
        <v>2250</v>
      </c>
      <c r="B1113" s="13" t="s">
        <v>34</v>
      </c>
      <c r="C1113" s="13" t="s">
        <v>2251</v>
      </c>
      <c r="D1113" s="13" t="n">
        <v>67</v>
      </c>
      <c r="E1113" s="13" t="s">
        <v>90</v>
      </c>
      <c r="F1113" s="13" t="s">
        <v>33</v>
      </c>
      <c r="G1113" s="13" t="s">
        <v>84</v>
      </c>
      <c r="H1113" s="13" t="s">
        <v>43</v>
      </c>
      <c r="I1113" s="13" t="n">
        <v>2</v>
      </c>
      <c r="J1113" s="13" t="n">
        <v>0</v>
      </c>
      <c r="K1113" s="13" t="s">
        <v>85</v>
      </c>
      <c r="L1113" s="13" t="n">
        <v>4</v>
      </c>
      <c r="M1113" s="13" t="n">
        <v>1774416.32</v>
      </c>
      <c r="N1113" s="13" t="n">
        <v>443604.08</v>
      </c>
      <c r="O1113" s="13" t="n">
        <v>1489.73</v>
      </c>
      <c r="P1113" s="13" t="n">
        <v>0</v>
      </c>
      <c r="Q1113" s="13" t="n">
        <v>4</v>
      </c>
      <c r="R1113" s="13" t="s">
        <v>92</v>
      </c>
      <c r="S1113" s="13" t="s">
        <v>141</v>
      </c>
      <c r="T1113" s="13" t="n">
        <v>1</v>
      </c>
      <c r="U1113" s="13" t="n">
        <f aca="false">IF(B1113="Individual",1,0)</f>
        <v>1</v>
      </c>
      <c r="V1113" s="13" t="n">
        <f aca="false">IF(B1113="Company",1,0)</f>
        <v>0</v>
      </c>
      <c r="W1113" s="13" t="n">
        <f aca="false">IF(H1113="Home",1,0)</f>
        <v>0</v>
      </c>
      <c r="X1113" s="13" t="n">
        <f aca="false">IF(H1113="Investment",1,0)</f>
        <v>1</v>
      </c>
      <c r="Y1113" s="13" t="n">
        <f aca="false">IF(K1113="Website",1,0)</f>
        <v>1</v>
      </c>
      <c r="Z1113" s="13" t="n">
        <f aca="false">IF(K1113="Agency",1,0)</f>
        <v>0</v>
      </c>
      <c r="AA1113" s="13" t="n">
        <f aca="false">IF(K1113="Client",1,0)</f>
        <v>0</v>
      </c>
      <c r="AB1113" s="13" t="n">
        <f aca="false">(D1113-AVERAGE(D$2:D$2001))/STDEV(D$2:D$2001)</f>
        <v>0.741712164944089</v>
      </c>
      <c r="AC1113" s="13" t="n">
        <f aca="false">(I1113-AVERAGE(I$2:I$2001))/STDEV(I$2:I$2001)</f>
        <v>-0.727948160798201</v>
      </c>
      <c r="AD1113" s="13" t="n">
        <f aca="false">(L1113-AVERAGE(L$2:L$2001))/STDEV(L$2:L$2001)</f>
        <v>0.413838214490712</v>
      </c>
      <c r="AE1113" s="13" t="n">
        <f aca="false">(M1113-AVERAGE(M$2:M$2001))/STDEV(M$2:M$2001)</f>
        <v>1.4778479632754</v>
      </c>
      <c r="AF1113" s="13" t="n">
        <f aca="false">(N1113-AVERAGE(N$2:N$2001))/STDEV(N$2:N$2001)</f>
        <v>1.38427427195406</v>
      </c>
      <c r="AG1113" s="13" t="n">
        <f aca="false">(O1113-AVERAGE(O$2:O$2001))/STDEV(O$2:O$2001)</f>
        <v>1.5562309298771</v>
      </c>
      <c r="AH1113" s="0" t="str">
        <f aca="false">IF(B1113="Company","C3 - Corporate Buyers",IF(AND(H1113="Investment",M1113&gt;'Segmentation Summary'!$C$1),"C1 - Global Investors",IF(AND(I1113&gt;=4,M1113&gt;'Segmentation Summary'!$C$1),"C4 - Luxury Investors",IF(AND(D1113&lt;'Segmentation Summary'!$C$2,J1113=1),"C2 - First-Time Buyers","C5 - Other Individual Buyers"))))</f>
        <v>C1 - Global Investors</v>
      </c>
    </row>
    <row r="1114" customFormat="false" ht="15" hidden="false" customHeight="true" outlineLevel="0" collapsed="false">
      <c r="A1114" s="13" t="s">
        <v>2252</v>
      </c>
      <c r="B1114" s="13" t="s">
        <v>34</v>
      </c>
      <c r="C1114" s="13" t="s">
        <v>2253</v>
      </c>
      <c r="D1114" s="13" t="n">
        <v>82</v>
      </c>
      <c r="E1114" s="13" t="s">
        <v>90</v>
      </c>
      <c r="F1114" s="13" t="s">
        <v>33</v>
      </c>
      <c r="G1114" s="13" t="s">
        <v>265</v>
      </c>
      <c r="H1114" s="13" t="s">
        <v>41</v>
      </c>
      <c r="I1114" s="13" t="n">
        <v>1</v>
      </c>
      <c r="J1114" s="13" t="n">
        <v>0</v>
      </c>
      <c r="K1114" s="13" t="s">
        <v>85</v>
      </c>
      <c r="L1114" s="13" t="n">
        <v>3</v>
      </c>
      <c r="M1114" s="13" t="n">
        <v>626084.02</v>
      </c>
      <c r="N1114" s="13" t="n">
        <v>208694.673333333</v>
      </c>
      <c r="O1114" s="13" t="n">
        <v>753.313333333333</v>
      </c>
      <c r="P1114" s="13" t="n">
        <v>0</v>
      </c>
      <c r="Q1114" s="13" t="n">
        <v>3</v>
      </c>
      <c r="R1114" s="13" t="s">
        <v>124</v>
      </c>
      <c r="S1114" s="13" t="s">
        <v>215</v>
      </c>
      <c r="T1114" s="13" t="n">
        <v>1</v>
      </c>
      <c r="U1114" s="13" t="n">
        <f aca="false">IF(B1114="Individual",1,0)</f>
        <v>1</v>
      </c>
      <c r="V1114" s="13" t="n">
        <f aca="false">IF(B1114="Company",1,0)</f>
        <v>0</v>
      </c>
      <c r="W1114" s="13" t="n">
        <f aca="false">IF(H1114="Home",1,0)</f>
        <v>1</v>
      </c>
      <c r="X1114" s="13" t="n">
        <f aca="false">IF(H1114="Investment",1,0)</f>
        <v>0</v>
      </c>
      <c r="Y1114" s="13" t="n">
        <f aca="false">IF(K1114="Website",1,0)</f>
        <v>1</v>
      </c>
      <c r="Z1114" s="13" t="n">
        <f aca="false">IF(K1114="Agency",1,0)</f>
        <v>0</v>
      </c>
      <c r="AA1114" s="13" t="n">
        <f aca="false">IF(K1114="Client",1,0)</f>
        <v>0</v>
      </c>
      <c r="AB1114" s="13" t="n">
        <f aca="false">(D1114-AVERAGE(D$2:D$2001))/STDEV(D$2:D$2001)</f>
        <v>1.60664899726636</v>
      </c>
      <c r="AC1114" s="13" t="n">
        <f aca="false">(I1114-AVERAGE(I$2:I$2001))/STDEV(I$2:I$2001)</f>
        <v>-1.43538077576244</v>
      </c>
      <c r="AD1114" s="13" t="n">
        <f aca="false">(L1114-AVERAGE(L$2:L$2001))/STDEV(L$2:L$2001)</f>
        <v>-0.777063122173208</v>
      </c>
      <c r="AE1114" s="13" t="n">
        <f aca="false">(M1114-AVERAGE(M$2:M$2001))/STDEV(M$2:M$2001)</f>
        <v>-1.82356394809131</v>
      </c>
      <c r="AF1114" s="13" t="n">
        <f aca="false">(N1114-AVERAGE(N$2:N$2001))/STDEV(N$2:N$2001)</f>
        <v>-1.98496365893912</v>
      </c>
      <c r="AG1114" s="13" t="n">
        <f aca="false">(O1114-AVERAGE(O$2:O$2001))/STDEV(O$2:O$2001)</f>
        <v>-1.79229582604321</v>
      </c>
      <c r="AH1114" s="0" t="str">
        <f aca="false">IF(B1114="Company","C3 - Corporate Buyers",IF(AND(H1114="Investment",M1114&gt;'Segmentation Summary'!$C$1),"C1 - Global Investors",IF(AND(I1114&gt;=4,M1114&gt;'Segmentation Summary'!$C$1),"C4 - Luxury Investors",IF(AND(D1114&lt;'Segmentation Summary'!$C$2,J1114=1),"C2 - First-Time Buyers","C5 - Other Individual Buyers"))))</f>
        <v>C5 - Other Individual Buyers</v>
      </c>
    </row>
    <row r="1115" customFormat="false" ht="15" hidden="false" customHeight="true" outlineLevel="0" collapsed="false">
      <c r="A1115" s="13" t="s">
        <v>2254</v>
      </c>
      <c r="B1115" s="13" t="s">
        <v>34</v>
      </c>
      <c r="C1115" s="13" t="s">
        <v>2255</v>
      </c>
      <c r="D1115" s="13" t="n">
        <v>84</v>
      </c>
      <c r="E1115" s="13" t="s">
        <v>90</v>
      </c>
      <c r="F1115" s="13" t="s">
        <v>33</v>
      </c>
      <c r="G1115" s="13" t="s">
        <v>110</v>
      </c>
      <c r="H1115" s="13" t="s">
        <v>43</v>
      </c>
      <c r="I1115" s="13" t="n">
        <v>5</v>
      </c>
      <c r="J1115" s="13" t="n">
        <v>1</v>
      </c>
      <c r="K1115" s="13" t="s">
        <v>85</v>
      </c>
      <c r="L1115" s="13" t="n">
        <v>4</v>
      </c>
      <c r="M1115" s="13" t="n">
        <v>1423675.72</v>
      </c>
      <c r="N1115" s="13" t="n">
        <v>355918.93</v>
      </c>
      <c r="O1115" s="13" t="n">
        <v>1154.105</v>
      </c>
      <c r="P1115" s="13" t="n">
        <v>0</v>
      </c>
      <c r="Q1115" s="13" t="n">
        <v>4</v>
      </c>
      <c r="R1115" s="13" t="s">
        <v>92</v>
      </c>
      <c r="S1115" s="13" t="s">
        <v>164</v>
      </c>
      <c r="T1115" s="13" t="n">
        <v>1</v>
      </c>
      <c r="U1115" s="13" t="n">
        <f aca="false">IF(B1115="Individual",1,0)</f>
        <v>1</v>
      </c>
      <c r="V1115" s="13" t="n">
        <f aca="false">IF(B1115="Company",1,0)</f>
        <v>0</v>
      </c>
      <c r="W1115" s="13" t="n">
        <f aca="false">IF(H1115="Home",1,0)</f>
        <v>0</v>
      </c>
      <c r="X1115" s="13" t="n">
        <f aca="false">IF(H1115="Investment",1,0)</f>
        <v>1</v>
      </c>
      <c r="Y1115" s="13" t="n">
        <f aca="false">IF(K1115="Website",1,0)</f>
        <v>1</v>
      </c>
      <c r="Z1115" s="13" t="n">
        <f aca="false">IF(K1115="Agency",1,0)</f>
        <v>0</v>
      </c>
      <c r="AA1115" s="13" t="n">
        <f aca="false">IF(K1115="Client",1,0)</f>
        <v>0</v>
      </c>
      <c r="AB1115" s="13" t="n">
        <f aca="false">(D1115-AVERAGE(D$2:D$2001))/STDEV(D$2:D$2001)</f>
        <v>1.72197390824266</v>
      </c>
      <c r="AC1115" s="13" t="n">
        <f aca="false">(I1115-AVERAGE(I$2:I$2001))/STDEV(I$2:I$2001)</f>
        <v>1.39434968409451</v>
      </c>
      <c r="AD1115" s="13" t="n">
        <f aca="false">(L1115-AVERAGE(L$2:L$2001))/STDEV(L$2:L$2001)</f>
        <v>0.413838214490712</v>
      </c>
      <c r="AE1115" s="13" t="n">
        <f aca="false">(M1115-AVERAGE(M$2:M$2001))/STDEV(M$2:M$2001)</f>
        <v>0.469482009761851</v>
      </c>
      <c r="AF1115" s="13" t="n">
        <f aca="false">(N1115-AVERAGE(N$2:N$2001))/STDEV(N$2:N$2001)</f>
        <v>0.126631431898395</v>
      </c>
      <c r="AG1115" s="13" t="n">
        <f aca="false">(O1115-AVERAGE(O$2:O$2001))/STDEV(O$2:O$2001)</f>
        <v>0.0301257460512454</v>
      </c>
      <c r="AH1115" s="0" t="str">
        <f aca="false">IF(B1115="Company","C3 - Corporate Buyers",IF(AND(H1115="Investment",M1115&gt;'Segmentation Summary'!$C$1),"C1 - Global Investors",IF(AND(I1115&gt;=4,M1115&gt;'Segmentation Summary'!$C$1),"C4 - Luxury Investors",IF(AND(D1115&lt;'Segmentation Summary'!$C$2,J1115=1),"C2 - First-Time Buyers","C5 - Other Individual Buyers"))))</f>
        <v>C1 - Global Investors</v>
      </c>
    </row>
    <row r="1116" customFormat="false" ht="15" hidden="false" customHeight="true" outlineLevel="0" collapsed="false">
      <c r="A1116" s="13" t="s">
        <v>2256</v>
      </c>
      <c r="B1116" s="13" t="s">
        <v>34</v>
      </c>
      <c r="C1116" s="13" t="s">
        <v>2257</v>
      </c>
      <c r="D1116" s="13" t="n">
        <v>58</v>
      </c>
      <c r="E1116" s="13" t="s">
        <v>90</v>
      </c>
      <c r="F1116" s="13" t="s">
        <v>45</v>
      </c>
      <c r="G1116" s="13" t="s">
        <v>347</v>
      </c>
      <c r="H1116" s="13" t="s">
        <v>43</v>
      </c>
      <c r="I1116" s="13" t="n">
        <v>3</v>
      </c>
      <c r="J1116" s="13" t="n">
        <v>0</v>
      </c>
      <c r="K1116" s="13" t="s">
        <v>85</v>
      </c>
      <c r="L1116" s="13" t="n">
        <v>3</v>
      </c>
      <c r="M1116" s="13" t="n">
        <v>809731.07</v>
      </c>
      <c r="N1116" s="13" t="n">
        <v>269910.356666667</v>
      </c>
      <c r="O1116" s="13" t="n">
        <v>899.99</v>
      </c>
      <c r="P1116" s="13" t="n">
        <v>0</v>
      </c>
      <c r="Q1116" s="13" t="n">
        <v>3</v>
      </c>
      <c r="R1116" s="13" t="s">
        <v>101</v>
      </c>
      <c r="S1116" s="13" t="s">
        <v>164</v>
      </c>
      <c r="T1116" s="13" t="n">
        <v>1</v>
      </c>
      <c r="U1116" s="13" t="n">
        <f aca="false">IF(B1116="Individual",1,0)</f>
        <v>1</v>
      </c>
      <c r="V1116" s="13" t="n">
        <f aca="false">IF(B1116="Company",1,0)</f>
        <v>0</v>
      </c>
      <c r="W1116" s="13" t="n">
        <f aca="false">IF(H1116="Home",1,0)</f>
        <v>0</v>
      </c>
      <c r="X1116" s="13" t="n">
        <f aca="false">IF(H1116="Investment",1,0)</f>
        <v>1</v>
      </c>
      <c r="Y1116" s="13" t="n">
        <f aca="false">IF(K1116="Website",1,0)</f>
        <v>1</v>
      </c>
      <c r="Z1116" s="13" t="n">
        <f aca="false">IF(K1116="Agency",1,0)</f>
        <v>0</v>
      </c>
      <c r="AA1116" s="13" t="n">
        <f aca="false">IF(K1116="Client",1,0)</f>
        <v>0</v>
      </c>
      <c r="AB1116" s="13" t="n">
        <f aca="false">(D1116-AVERAGE(D$2:D$2001))/STDEV(D$2:D$2001)</f>
        <v>0.222750065550728</v>
      </c>
      <c r="AC1116" s="13" t="n">
        <f aca="false">(I1116-AVERAGE(I$2:I$2001))/STDEV(I$2:I$2001)</f>
        <v>-0.0205155458339628</v>
      </c>
      <c r="AD1116" s="13" t="n">
        <f aca="false">(L1116-AVERAGE(L$2:L$2001))/STDEV(L$2:L$2001)</f>
        <v>-0.777063122173208</v>
      </c>
      <c r="AE1116" s="13" t="n">
        <f aca="false">(M1116-AVERAGE(M$2:M$2001))/STDEV(M$2:M$2001)</f>
        <v>-1.29558562826406</v>
      </c>
      <c r="AF1116" s="13" t="n">
        <f aca="false">(N1116-AVERAGE(N$2:N$2001))/STDEV(N$2:N$2001)</f>
        <v>-1.10696475213127</v>
      </c>
      <c r="AG1116" s="13" t="n">
        <f aca="false">(O1116-AVERAGE(O$2:O$2001))/STDEV(O$2:O$2001)</f>
        <v>-1.12534902128702</v>
      </c>
      <c r="AH1116" s="0" t="str">
        <f aca="false">IF(B1116="Company","C3 - Corporate Buyers",IF(AND(H1116="Investment",M1116&gt;'Segmentation Summary'!$C$1),"C1 - Global Investors",IF(AND(I1116&gt;=4,M1116&gt;'Segmentation Summary'!$C$1),"C4 - Luxury Investors",IF(AND(D1116&lt;'Segmentation Summary'!$C$2,J1116=1),"C2 - First-Time Buyers","C5 - Other Individual Buyers"))))</f>
        <v>C5 - Other Individual Buyers</v>
      </c>
    </row>
    <row r="1117" customFormat="false" ht="15" hidden="false" customHeight="true" outlineLevel="0" collapsed="false">
      <c r="A1117" s="13" t="s">
        <v>2258</v>
      </c>
      <c r="B1117" s="13" t="s">
        <v>34</v>
      </c>
      <c r="C1117" s="13" t="s">
        <v>2259</v>
      </c>
      <c r="D1117" s="13" t="n">
        <v>41</v>
      </c>
      <c r="E1117" s="13" t="s">
        <v>90</v>
      </c>
      <c r="F1117" s="13" t="s">
        <v>33</v>
      </c>
      <c r="G1117" s="13" t="s">
        <v>162</v>
      </c>
      <c r="H1117" s="13" t="s">
        <v>43</v>
      </c>
      <c r="I1117" s="13" t="n">
        <v>5</v>
      </c>
      <c r="J1117" s="13" t="n">
        <v>0</v>
      </c>
      <c r="K1117" s="13" t="s">
        <v>91</v>
      </c>
      <c r="L1117" s="13" t="n">
        <v>3</v>
      </c>
      <c r="M1117" s="13" t="n">
        <v>528432.48</v>
      </c>
      <c r="N1117" s="13" t="n">
        <v>176144.16</v>
      </c>
      <c r="O1117" s="13" t="n">
        <v>610.62</v>
      </c>
      <c r="P1117" s="13" t="n">
        <v>0</v>
      </c>
      <c r="Q1117" s="13" t="n">
        <v>3</v>
      </c>
      <c r="R1117" s="13" t="s">
        <v>128</v>
      </c>
      <c r="S1117" s="13" t="s">
        <v>128</v>
      </c>
      <c r="T1117" s="13" t="n">
        <v>1</v>
      </c>
      <c r="U1117" s="13" t="n">
        <f aca="false">IF(B1117="Individual",1,0)</f>
        <v>1</v>
      </c>
      <c r="V1117" s="13" t="n">
        <f aca="false">IF(B1117="Company",1,0)</f>
        <v>0</v>
      </c>
      <c r="W1117" s="13" t="n">
        <f aca="false">IF(H1117="Home",1,0)</f>
        <v>0</v>
      </c>
      <c r="X1117" s="13" t="n">
        <f aca="false">IF(H1117="Investment",1,0)</f>
        <v>1</v>
      </c>
      <c r="Y1117" s="13" t="n">
        <f aca="false">IF(K1117="Website",1,0)</f>
        <v>0</v>
      </c>
      <c r="Z1117" s="13" t="n">
        <f aca="false">IF(K1117="Agency",1,0)</f>
        <v>1</v>
      </c>
      <c r="AA1117" s="13" t="n">
        <f aca="false">IF(K1117="Client",1,0)</f>
        <v>0</v>
      </c>
      <c r="AB1117" s="13" t="n">
        <f aca="false">(D1117-AVERAGE(D$2:D$2001))/STDEV(D$2:D$2001)</f>
        <v>-0.757511677747842</v>
      </c>
      <c r="AC1117" s="13" t="n">
        <f aca="false">(I1117-AVERAGE(I$2:I$2001))/STDEV(I$2:I$2001)</f>
        <v>1.39434968409451</v>
      </c>
      <c r="AD1117" s="13" t="n">
        <f aca="false">(L1117-AVERAGE(L$2:L$2001))/STDEV(L$2:L$2001)</f>
        <v>-0.777063122173208</v>
      </c>
      <c r="AE1117" s="13" t="n">
        <f aca="false">(M1117-AVERAGE(M$2:M$2001))/STDEV(M$2:M$2001)</f>
        <v>-2.10430843060678</v>
      </c>
      <c r="AF1117" s="13" t="n">
        <f aca="false">(N1117-AVERAGE(N$2:N$2001))/STDEV(N$2:N$2001)</f>
        <v>-2.451826292279</v>
      </c>
      <c r="AG1117" s="13" t="n">
        <f aca="false">(O1117-AVERAGE(O$2:O$2001))/STDEV(O$2:O$2001)</f>
        <v>-2.44113019683618</v>
      </c>
      <c r="AH1117" s="0" t="str">
        <f aca="false">IF(B1117="Company","C3 - Corporate Buyers",IF(AND(H1117="Investment",M1117&gt;'Segmentation Summary'!$C$1),"C1 - Global Investors",IF(AND(I1117&gt;=4,M1117&gt;'Segmentation Summary'!$C$1),"C4 - Luxury Investors",IF(AND(D1117&lt;'Segmentation Summary'!$C$2,J1117=1),"C2 - First-Time Buyers","C5 - Other Individual Buyers"))))</f>
        <v>C5 - Other Individual Buyers</v>
      </c>
    </row>
    <row r="1118" customFormat="false" ht="15" hidden="false" customHeight="true" outlineLevel="0" collapsed="false">
      <c r="A1118" s="13" t="s">
        <v>2260</v>
      </c>
      <c r="B1118" s="13" t="s">
        <v>34</v>
      </c>
      <c r="C1118" s="13" t="s">
        <v>2261</v>
      </c>
      <c r="D1118" s="13" t="n">
        <v>38</v>
      </c>
      <c r="E1118" s="13" t="s">
        <v>90</v>
      </c>
      <c r="F1118" s="13" t="s">
        <v>33</v>
      </c>
      <c r="G1118" s="13" t="s">
        <v>95</v>
      </c>
      <c r="H1118" s="13" t="s">
        <v>43</v>
      </c>
      <c r="I1118" s="13" t="n">
        <v>4</v>
      </c>
      <c r="J1118" s="13" t="n">
        <v>0</v>
      </c>
      <c r="K1118" s="13" t="s">
        <v>85</v>
      </c>
      <c r="L1118" s="13" t="n">
        <v>4</v>
      </c>
      <c r="M1118" s="13" t="n">
        <v>1733438.52</v>
      </c>
      <c r="N1118" s="13" t="n">
        <v>433359.63</v>
      </c>
      <c r="O1118" s="13" t="n">
        <v>1365.945</v>
      </c>
      <c r="P1118" s="13" t="n">
        <v>0</v>
      </c>
      <c r="Q1118" s="13" t="n">
        <v>4</v>
      </c>
      <c r="R1118" s="13" t="s">
        <v>92</v>
      </c>
      <c r="S1118" s="13" t="s">
        <v>114</v>
      </c>
      <c r="T1118" s="13" t="n">
        <v>1</v>
      </c>
      <c r="U1118" s="13" t="n">
        <f aca="false">IF(B1118="Individual",1,0)</f>
        <v>1</v>
      </c>
      <c r="V1118" s="13" t="n">
        <f aca="false">IF(B1118="Company",1,0)</f>
        <v>0</v>
      </c>
      <c r="W1118" s="13" t="n">
        <f aca="false">IF(H1118="Home",1,0)</f>
        <v>0</v>
      </c>
      <c r="X1118" s="13" t="n">
        <f aca="false">IF(H1118="Investment",1,0)</f>
        <v>1</v>
      </c>
      <c r="Y1118" s="13" t="n">
        <f aca="false">IF(K1118="Website",1,0)</f>
        <v>1</v>
      </c>
      <c r="Z1118" s="13" t="n">
        <f aca="false">IF(K1118="Agency",1,0)</f>
        <v>0</v>
      </c>
      <c r="AA1118" s="13" t="n">
        <f aca="false">IF(K1118="Client",1,0)</f>
        <v>0</v>
      </c>
      <c r="AB1118" s="13" t="n">
        <f aca="false">(D1118-AVERAGE(D$2:D$2001))/STDEV(D$2:D$2001)</f>
        <v>-0.930499044212296</v>
      </c>
      <c r="AC1118" s="13" t="n">
        <f aca="false">(I1118-AVERAGE(I$2:I$2001))/STDEV(I$2:I$2001)</f>
        <v>0.686917069130275</v>
      </c>
      <c r="AD1118" s="13" t="n">
        <f aca="false">(L1118-AVERAGE(L$2:L$2001))/STDEV(L$2:L$2001)</f>
        <v>0.413838214490712</v>
      </c>
      <c r="AE1118" s="13" t="n">
        <f aca="false">(M1118-AVERAGE(M$2:M$2001))/STDEV(M$2:M$2001)</f>
        <v>1.36003833881251</v>
      </c>
      <c r="AF1118" s="13" t="n">
        <f aca="false">(N1118-AVERAGE(N$2:N$2001))/STDEV(N$2:N$2001)</f>
        <v>1.23734107753279</v>
      </c>
      <c r="AG1118" s="13" t="n">
        <f aca="false">(O1118-AVERAGE(O$2:O$2001))/STDEV(O$2:O$2001)</f>
        <v>0.993373782227537</v>
      </c>
      <c r="AH1118" s="0" t="str">
        <f aca="false">IF(B1118="Company","C3 - Corporate Buyers",IF(AND(H1118="Investment",M1118&gt;'Segmentation Summary'!$C$1),"C1 - Global Investors",IF(AND(I1118&gt;=4,M1118&gt;'Segmentation Summary'!$C$1),"C4 - Luxury Investors",IF(AND(D1118&lt;'Segmentation Summary'!$C$2,J1118=1),"C2 - First-Time Buyers","C5 - Other Individual Buyers"))))</f>
        <v>C1 - Global Investors</v>
      </c>
    </row>
    <row r="1119" customFormat="false" ht="15" hidden="false" customHeight="true" outlineLevel="0" collapsed="false">
      <c r="A1119" s="13" t="s">
        <v>2262</v>
      </c>
      <c r="B1119" s="13" t="s">
        <v>34</v>
      </c>
      <c r="C1119" s="13" t="s">
        <v>2263</v>
      </c>
      <c r="D1119" s="13" t="n">
        <v>64</v>
      </c>
      <c r="E1119" s="13" t="s">
        <v>90</v>
      </c>
      <c r="F1119" s="13" t="s">
        <v>33</v>
      </c>
      <c r="G1119" s="13" t="s">
        <v>95</v>
      </c>
      <c r="H1119" s="13" t="s">
        <v>43</v>
      </c>
      <c r="I1119" s="13" t="n">
        <v>1</v>
      </c>
      <c r="J1119" s="13" t="n">
        <v>1</v>
      </c>
      <c r="K1119" s="13" t="s">
        <v>85</v>
      </c>
      <c r="L1119" s="13" t="n">
        <v>4</v>
      </c>
      <c r="M1119" s="13" t="n">
        <v>1213775.31</v>
      </c>
      <c r="N1119" s="13" t="n">
        <v>303443.8275</v>
      </c>
      <c r="O1119" s="13" t="n">
        <v>958.755</v>
      </c>
      <c r="P1119" s="13" t="n">
        <v>1</v>
      </c>
      <c r="Q1119" s="13" t="n">
        <v>3</v>
      </c>
      <c r="R1119" s="13" t="s">
        <v>101</v>
      </c>
      <c r="S1119" s="13" t="s">
        <v>125</v>
      </c>
      <c r="T1119" s="13" t="n">
        <v>1</v>
      </c>
      <c r="U1119" s="13" t="n">
        <f aca="false">IF(B1119="Individual",1,0)</f>
        <v>1</v>
      </c>
      <c r="V1119" s="13" t="n">
        <f aca="false">IF(B1119="Company",1,0)</f>
        <v>0</v>
      </c>
      <c r="W1119" s="13" t="n">
        <f aca="false">IF(H1119="Home",1,0)</f>
        <v>0</v>
      </c>
      <c r="X1119" s="13" t="n">
        <f aca="false">IF(H1119="Investment",1,0)</f>
        <v>1</v>
      </c>
      <c r="Y1119" s="13" t="n">
        <f aca="false">IF(K1119="Website",1,0)</f>
        <v>1</v>
      </c>
      <c r="Z1119" s="13" t="n">
        <f aca="false">IF(K1119="Agency",1,0)</f>
        <v>0</v>
      </c>
      <c r="AA1119" s="13" t="n">
        <f aca="false">IF(K1119="Client",1,0)</f>
        <v>0</v>
      </c>
      <c r="AB1119" s="13" t="n">
        <f aca="false">(D1119-AVERAGE(D$2:D$2001))/STDEV(D$2:D$2001)</f>
        <v>0.568724798479635</v>
      </c>
      <c r="AC1119" s="13" t="n">
        <f aca="false">(I1119-AVERAGE(I$2:I$2001))/STDEV(I$2:I$2001)</f>
        <v>-1.43538077576244</v>
      </c>
      <c r="AD1119" s="13" t="n">
        <f aca="false">(L1119-AVERAGE(L$2:L$2001))/STDEV(L$2:L$2001)</f>
        <v>0.413838214490712</v>
      </c>
      <c r="AE1119" s="13" t="n">
        <f aca="false">(M1119-AVERAGE(M$2:M$2001))/STDEV(M$2:M$2001)</f>
        <v>-0.133973726678512</v>
      </c>
      <c r="AF1119" s="13" t="n">
        <f aca="false">(N1119-AVERAGE(N$2:N$2001))/STDEV(N$2:N$2001)</f>
        <v>-0.626003842607176</v>
      </c>
      <c r="AG1119" s="13" t="n">
        <f aca="false">(O1119-AVERAGE(O$2:O$2001))/STDEV(O$2:O$2001)</f>
        <v>-0.85814136057186</v>
      </c>
      <c r="AH1119" s="0" t="str">
        <f aca="false">IF(B1119="Company","C3 - Corporate Buyers",IF(AND(H1119="Investment",M1119&gt;'Segmentation Summary'!$C$1),"C1 - Global Investors",IF(AND(I1119&gt;=4,M1119&gt;'Segmentation Summary'!$C$1),"C4 - Luxury Investors",IF(AND(D1119&lt;'Segmentation Summary'!$C$2,J1119=1),"C2 - First-Time Buyers","C5 - Other Individual Buyers"))))</f>
        <v>C5 - Other Individual Buyers</v>
      </c>
    </row>
    <row r="1120" customFormat="false" ht="15" hidden="false" customHeight="true" outlineLevel="0" collapsed="false">
      <c r="A1120" s="13" t="s">
        <v>2264</v>
      </c>
      <c r="B1120" s="13" t="s">
        <v>34</v>
      </c>
      <c r="C1120" s="13" t="s">
        <v>2265</v>
      </c>
      <c r="D1120" s="13" t="n">
        <v>58</v>
      </c>
      <c r="E1120" s="13" t="s">
        <v>90</v>
      </c>
      <c r="F1120" s="13" t="s">
        <v>33</v>
      </c>
      <c r="G1120" s="13" t="s">
        <v>110</v>
      </c>
      <c r="H1120" s="13" t="s">
        <v>43</v>
      </c>
      <c r="I1120" s="13" t="n">
        <v>1</v>
      </c>
      <c r="J1120" s="13" t="n">
        <v>0</v>
      </c>
      <c r="K1120" s="13" t="s">
        <v>116</v>
      </c>
      <c r="L1120" s="13" t="n">
        <v>3</v>
      </c>
      <c r="M1120" s="13" t="n">
        <v>1150084.72</v>
      </c>
      <c r="N1120" s="13" t="n">
        <v>383361.573333333</v>
      </c>
      <c r="O1120" s="13" t="n">
        <v>1176.23666666667</v>
      </c>
      <c r="P1120" s="13" t="n">
        <v>1</v>
      </c>
      <c r="Q1120" s="13" t="n">
        <v>2</v>
      </c>
      <c r="R1120" s="13" t="s">
        <v>86</v>
      </c>
      <c r="S1120" s="13" t="s">
        <v>107</v>
      </c>
      <c r="T1120" s="13" t="n">
        <v>1</v>
      </c>
      <c r="U1120" s="13" t="n">
        <f aca="false">IF(B1120="Individual",1,0)</f>
        <v>1</v>
      </c>
      <c r="V1120" s="13" t="n">
        <f aca="false">IF(B1120="Company",1,0)</f>
        <v>0</v>
      </c>
      <c r="W1120" s="13" t="n">
        <f aca="false">IF(H1120="Home",1,0)</f>
        <v>0</v>
      </c>
      <c r="X1120" s="13" t="n">
        <f aca="false">IF(H1120="Investment",1,0)</f>
        <v>1</v>
      </c>
      <c r="Y1120" s="13" t="n">
        <f aca="false">IF(K1120="Website",1,0)</f>
        <v>0</v>
      </c>
      <c r="Z1120" s="13" t="n">
        <f aca="false">IF(K1120="Agency",1,0)</f>
        <v>0</v>
      </c>
      <c r="AA1120" s="13" t="n">
        <f aca="false">IF(K1120="Client",1,0)</f>
        <v>1</v>
      </c>
      <c r="AB1120" s="13" t="n">
        <f aca="false">(D1120-AVERAGE(D$2:D$2001))/STDEV(D$2:D$2001)</f>
        <v>0.222750065550728</v>
      </c>
      <c r="AC1120" s="13" t="n">
        <f aca="false">(I1120-AVERAGE(I$2:I$2001))/STDEV(I$2:I$2001)</f>
        <v>-1.43538077576244</v>
      </c>
      <c r="AD1120" s="13" t="n">
        <f aca="false">(L1120-AVERAGE(L$2:L$2001))/STDEV(L$2:L$2001)</f>
        <v>-0.777063122173208</v>
      </c>
      <c r="AE1120" s="13" t="n">
        <f aca="false">(M1120-AVERAGE(M$2:M$2001))/STDEV(M$2:M$2001)</f>
        <v>-0.317081762974255</v>
      </c>
      <c r="AF1120" s="13" t="n">
        <f aca="false">(N1120-AVERAGE(N$2:N$2001))/STDEV(N$2:N$2001)</f>
        <v>0.520233357656263</v>
      </c>
      <c r="AG1120" s="13" t="n">
        <f aca="false">(O1120-AVERAGE(O$2:O$2001))/STDEV(O$2:O$2001)</f>
        <v>0.130759641698801</v>
      </c>
      <c r="AH1120" s="0" t="str">
        <f aca="false">IF(B1120="Company","C3 - Corporate Buyers",IF(AND(H1120="Investment",M1120&gt;'Segmentation Summary'!$C$1),"C1 - Global Investors",IF(AND(I1120&gt;=4,M1120&gt;'Segmentation Summary'!$C$1),"C4 - Luxury Investors",IF(AND(D1120&lt;'Segmentation Summary'!$C$2,J1120=1),"C2 - First-Time Buyers","C5 - Other Individual Buyers"))))</f>
        <v>C5 - Other Individual Buyers</v>
      </c>
    </row>
    <row r="1121" customFormat="false" ht="15" hidden="false" customHeight="true" outlineLevel="0" collapsed="false">
      <c r="A1121" s="13" t="s">
        <v>2266</v>
      </c>
      <c r="B1121" s="13" t="s">
        <v>34</v>
      </c>
      <c r="C1121" s="13" t="s">
        <v>2267</v>
      </c>
      <c r="D1121" s="13" t="n">
        <v>43</v>
      </c>
      <c r="E1121" s="13" t="s">
        <v>90</v>
      </c>
      <c r="F1121" s="13" t="s">
        <v>33</v>
      </c>
      <c r="G1121" s="13" t="s">
        <v>157</v>
      </c>
      <c r="H1121" s="13" t="s">
        <v>41</v>
      </c>
      <c r="I1121" s="13" t="n">
        <v>1</v>
      </c>
      <c r="J1121" s="13" t="n">
        <v>0</v>
      </c>
      <c r="K1121" s="13" t="s">
        <v>85</v>
      </c>
      <c r="L1121" s="13" t="n">
        <v>4</v>
      </c>
      <c r="M1121" s="13" t="n">
        <v>1401670.45</v>
      </c>
      <c r="N1121" s="13" t="n">
        <v>350417.6125</v>
      </c>
      <c r="O1121" s="13" t="n">
        <v>1186.5225</v>
      </c>
      <c r="P1121" s="13" t="n">
        <v>0</v>
      </c>
      <c r="Q1121" s="13" t="n">
        <v>4</v>
      </c>
      <c r="R1121" s="13" t="s">
        <v>86</v>
      </c>
      <c r="S1121" s="13" t="s">
        <v>112</v>
      </c>
      <c r="T1121" s="13" t="n">
        <v>1</v>
      </c>
      <c r="U1121" s="13" t="n">
        <f aca="false">IF(B1121="Individual",1,0)</f>
        <v>1</v>
      </c>
      <c r="V1121" s="13" t="n">
        <f aca="false">IF(B1121="Company",1,0)</f>
        <v>0</v>
      </c>
      <c r="W1121" s="13" t="n">
        <f aca="false">IF(H1121="Home",1,0)</f>
        <v>1</v>
      </c>
      <c r="X1121" s="13" t="n">
        <f aca="false">IF(H1121="Investment",1,0)</f>
        <v>0</v>
      </c>
      <c r="Y1121" s="13" t="n">
        <f aca="false">IF(K1121="Website",1,0)</f>
        <v>1</v>
      </c>
      <c r="Z1121" s="13" t="n">
        <f aca="false">IF(K1121="Agency",1,0)</f>
        <v>0</v>
      </c>
      <c r="AA1121" s="13" t="n">
        <f aca="false">IF(K1121="Client",1,0)</f>
        <v>0</v>
      </c>
      <c r="AB1121" s="13" t="n">
        <f aca="false">(D1121-AVERAGE(D$2:D$2001))/STDEV(D$2:D$2001)</f>
        <v>-0.64218676677154</v>
      </c>
      <c r="AC1121" s="13" t="n">
        <f aca="false">(I1121-AVERAGE(I$2:I$2001))/STDEV(I$2:I$2001)</f>
        <v>-1.43538077576244</v>
      </c>
      <c r="AD1121" s="13" t="n">
        <f aca="false">(L1121-AVERAGE(L$2:L$2001))/STDEV(L$2:L$2001)</f>
        <v>0.413838214490712</v>
      </c>
      <c r="AE1121" s="13" t="n">
        <f aca="false">(M1121-AVERAGE(M$2:M$2001))/STDEV(M$2:M$2001)</f>
        <v>0.406217691157523</v>
      </c>
      <c r="AF1121" s="13" t="n">
        <f aca="false">(N1121-AVERAGE(N$2:N$2001))/STDEV(N$2:N$2001)</f>
        <v>0.0477276201954102</v>
      </c>
      <c r="AG1121" s="13" t="n">
        <f aca="false">(O1121-AVERAGE(O$2:O$2001))/STDEV(O$2:O$2001)</f>
        <v>0.177529886972436</v>
      </c>
      <c r="AH1121" s="0" t="str">
        <f aca="false">IF(B1121="Company","C3 - Corporate Buyers",IF(AND(H1121="Investment",M1121&gt;'Segmentation Summary'!$C$1),"C1 - Global Investors",IF(AND(I1121&gt;=4,M1121&gt;'Segmentation Summary'!$C$1),"C4 - Luxury Investors",IF(AND(D1121&lt;'Segmentation Summary'!$C$2,J1121=1),"C2 - First-Time Buyers","C5 - Other Individual Buyers"))))</f>
        <v>C5 - Other Individual Buyers</v>
      </c>
    </row>
    <row r="1122" customFormat="false" ht="15" hidden="false" customHeight="true" outlineLevel="0" collapsed="false">
      <c r="A1122" s="13" t="s">
        <v>2268</v>
      </c>
      <c r="B1122" s="13" t="s">
        <v>34</v>
      </c>
      <c r="C1122" s="13" t="s">
        <v>2269</v>
      </c>
      <c r="D1122" s="13" t="n">
        <v>57</v>
      </c>
      <c r="E1122" s="13" t="s">
        <v>90</v>
      </c>
      <c r="F1122" s="13" t="s">
        <v>33</v>
      </c>
      <c r="G1122" s="13" t="s">
        <v>95</v>
      </c>
      <c r="H1122" s="13" t="s">
        <v>41</v>
      </c>
      <c r="I1122" s="13" t="n">
        <v>2</v>
      </c>
      <c r="J1122" s="13" t="n">
        <v>0</v>
      </c>
      <c r="K1122" s="13" t="s">
        <v>91</v>
      </c>
      <c r="L1122" s="13" t="n">
        <v>3</v>
      </c>
      <c r="M1122" s="13" t="n">
        <v>1028747.3</v>
      </c>
      <c r="N1122" s="13" t="n">
        <v>342915.766666667</v>
      </c>
      <c r="O1122" s="13" t="n">
        <v>1146.26333333333</v>
      </c>
      <c r="P1122" s="13" t="n">
        <v>0</v>
      </c>
      <c r="Q1122" s="13" t="n">
        <v>3</v>
      </c>
      <c r="R1122" s="13" t="s">
        <v>92</v>
      </c>
      <c r="S1122" s="13" t="s">
        <v>111</v>
      </c>
      <c r="T1122" s="13" t="n">
        <v>1</v>
      </c>
      <c r="U1122" s="13" t="n">
        <f aca="false">IF(B1122="Individual",1,0)</f>
        <v>1</v>
      </c>
      <c r="V1122" s="13" t="n">
        <f aca="false">IF(B1122="Company",1,0)</f>
        <v>0</v>
      </c>
      <c r="W1122" s="13" t="n">
        <f aca="false">IF(H1122="Home",1,0)</f>
        <v>1</v>
      </c>
      <c r="X1122" s="13" t="n">
        <f aca="false">IF(H1122="Investment",1,0)</f>
        <v>0</v>
      </c>
      <c r="Y1122" s="13" t="n">
        <f aca="false">IF(K1122="Website",1,0)</f>
        <v>0</v>
      </c>
      <c r="Z1122" s="13" t="n">
        <f aca="false">IF(K1122="Agency",1,0)</f>
        <v>1</v>
      </c>
      <c r="AA1122" s="13" t="n">
        <f aca="false">IF(K1122="Client",1,0)</f>
        <v>0</v>
      </c>
      <c r="AB1122" s="13" t="n">
        <f aca="false">(D1122-AVERAGE(D$2:D$2001))/STDEV(D$2:D$2001)</f>
        <v>0.165087610062577</v>
      </c>
      <c r="AC1122" s="13" t="n">
        <f aca="false">(I1122-AVERAGE(I$2:I$2001))/STDEV(I$2:I$2001)</f>
        <v>-0.727948160798201</v>
      </c>
      <c r="AD1122" s="13" t="n">
        <f aca="false">(L1122-AVERAGE(L$2:L$2001))/STDEV(L$2:L$2001)</f>
        <v>-0.777063122173208</v>
      </c>
      <c r="AE1122" s="13" t="n">
        <f aca="false">(M1122-AVERAGE(M$2:M$2001))/STDEV(M$2:M$2001)</f>
        <v>-0.66592225425235</v>
      </c>
      <c r="AF1122" s="13" t="n">
        <f aca="false">(N1122-AVERAGE(N$2:N$2001))/STDEV(N$2:N$2001)</f>
        <v>-0.0598691929421922</v>
      </c>
      <c r="AG1122" s="13" t="n">
        <f aca="false">(O1122-AVERAGE(O$2:O$2001))/STDEV(O$2:O$2001)</f>
        <v>-0.0055307400562842</v>
      </c>
      <c r="AH1122" s="0" t="str">
        <f aca="false">IF(B1122="Company","C3 - Corporate Buyers",IF(AND(H1122="Investment",M1122&gt;'Segmentation Summary'!$C$1),"C1 - Global Investors",IF(AND(I1122&gt;=4,M1122&gt;'Segmentation Summary'!$C$1),"C4 - Luxury Investors",IF(AND(D1122&lt;'Segmentation Summary'!$C$2,J1122=1),"C2 - First-Time Buyers","C5 - Other Individual Buyers"))))</f>
        <v>C5 - Other Individual Buyers</v>
      </c>
    </row>
    <row r="1123" customFormat="false" ht="15" hidden="false" customHeight="true" outlineLevel="0" collapsed="false">
      <c r="A1123" s="13" t="s">
        <v>2270</v>
      </c>
      <c r="B1123" s="13" t="s">
        <v>34</v>
      </c>
      <c r="C1123" s="13" t="s">
        <v>2271</v>
      </c>
      <c r="D1123" s="13" t="n">
        <v>74</v>
      </c>
      <c r="E1123" s="13" t="s">
        <v>90</v>
      </c>
      <c r="F1123" s="13" t="s">
        <v>33</v>
      </c>
      <c r="G1123" s="13" t="s">
        <v>95</v>
      </c>
      <c r="H1123" s="13" t="s">
        <v>41</v>
      </c>
      <c r="I1123" s="13" t="n">
        <v>2</v>
      </c>
      <c r="J1123" s="13" t="n">
        <v>1</v>
      </c>
      <c r="K1123" s="13" t="s">
        <v>116</v>
      </c>
      <c r="L1123" s="13" t="n">
        <v>4</v>
      </c>
      <c r="M1123" s="13" t="n">
        <v>1507583.69</v>
      </c>
      <c r="N1123" s="13" t="n">
        <v>376895.9225</v>
      </c>
      <c r="O1123" s="13" t="n">
        <v>1333.2775</v>
      </c>
      <c r="P1123" s="13" t="n">
        <v>0</v>
      </c>
      <c r="Q1123" s="13" t="n">
        <v>4</v>
      </c>
      <c r="R1123" s="13" t="s">
        <v>121</v>
      </c>
      <c r="S1123" s="13" t="s">
        <v>135</v>
      </c>
      <c r="T1123" s="13" t="n">
        <v>1</v>
      </c>
      <c r="U1123" s="13" t="n">
        <f aca="false">IF(B1123="Individual",1,0)</f>
        <v>1</v>
      </c>
      <c r="V1123" s="13" t="n">
        <f aca="false">IF(B1123="Company",1,0)</f>
        <v>0</v>
      </c>
      <c r="W1123" s="13" t="n">
        <f aca="false">IF(H1123="Home",1,0)</f>
        <v>1</v>
      </c>
      <c r="X1123" s="13" t="n">
        <f aca="false">IF(H1123="Investment",1,0)</f>
        <v>0</v>
      </c>
      <c r="Y1123" s="13" t="n">
        <f aca="false">IF(K1123="Website",1,0)</f>
        <v>0</v>
      </c>
      <c r="Z1123" s="13" t="n">
        <f aca="false">IF(K1123="Agency",1,0)</f>
        <v>0</v>
      </c>
      <c r="AA1123" s="13" t="n">
        <f aca="false">IF(K1123="Client",1,0)</f>
        <v>1</v>
      </c>
      <c r="AB1123" s="13" t="n">
        <f aca="false">(D1123-AVERAGE(D$2:D$2001))/STDEV(D$2:D$2001)</f>
        <v>1.14534935336115</v>
      </c>
      <c r="AC1123" s="13" t="n">
        <f aca="false">(I1123-AVERAGE(I$2:I$2001))/STDEV(I$2:I$2001)</f>
        <v>-0.727948160798201</v>
      </c>
      <c r="AD1123" s="13" t="n">
        <f aca="false">(L1123-AVERAGE(L$2:L$2001))/STDEV(L$2:L$2001)</f>
        <v>0.413838214490712</v>
      </c>
      <c r="AE1123" s="13" t="n">
        <f aca="false">(M1123-AVERAGE(M$2:M$2001))/STDEV(M$2:M$2001)</f>
        <v>0.710714248562937</v>
      </c>
      <c r="AF1123" s="13" t="n">
        <f aca="false">(N1123-AVERAGE(N$2:N$2001))/STDEV(N$2:N$2001)</f>
        <v>0.427498390825036</v>
      </c>
      <c r="AG1123" s="13" t="n">
        <f aca="false">(O1123-AVERAGE(O$2:O$2001))/STDEV(O$2:O$2001)</f>
        <v>0.844832877668488</v>
      </c>
      <c r="AH1123" s="0" t="str">
        <f aca="false">IF(B1123="Company","C3 - Corporate Buyers",IF(AND(H1123="Investment",M1123&gt;'Segmentation Summary'!$C$1),"C1 - Global Investors",IF(AND(I1123&gt;=4,M1123&gt;'Segmentation Summary'!$C$1),"C4 - Luxury Investors",IF(AND(D1123&lt;'Segmentation Summary'!$C$2,J1123=1),"C2 - First-Time Buyers","C5 - Other Individual Buyers"))))</f>
        <v>C5 - Other Individual Buyers</v>
      </c>
    </row>
    <row r="1124" customFormat="false" ht="15" hidden="false" customHeight="true" outlineLevel="0" collapsed="false">
      <c r="A1124" s="13" t="s">
        <v>2272</v>
      </c>
      <c r="B1124" s="13" t="s">
        <v>34</v>
      </c>
      <c r="C1124" s="13" t="s">
        <v>2273</v>
      </c>
      <c r="D1124" s="13" t="n">
        <v>30</v>
      </c>
      <c r="E1124" s="13" t="s">
        <v>90</v>
      </c>
      <c r="F1124" s="13" t="s">
        <v>33</v>
      </c>
      <c r="G1124" s="13" t="s">
        <v>157</v>
      </c>
      <c r="H1124" s="13" t="s">
        <v>41</v>
      </c>
      <c r="I1124" s="13" t="n">
        <v>4</v>
      </c>
      <c r="J1124" s="13" t="n">
        <v>0</v>
      </c>
      <c r="K1124" s="13" t="s">
        <v>85</v>
      </c>
      <c r="L1124" s="13" t="n">
        <v>3</v>
      </c>
      <c r="M1124" s="13" t="n">
        <v>1060233.46</v>
      </c>
      <c r="N1124" s="13" t="n">
        <v>353411.153333333</v>
      </c>
      <c r="O1124" s="13" t="n">
        <v>1111.29666666667</v>
      </c>
      <c r="P1124" s="13" t="n">
        <v>0</v>
      </c>
      <c r="Q1124" s="13" t="n">
        <v>3</v>
      </c>
      <c r="R1124" s="13" t="s">
        <v>111</v>
      </c>
      <c r="S1124" s="13" t="s">
        <v>150</v>
      </c>
      <c r="T1124" s="13" t="n">
        <v>1</v>
      </c>
      <c r="U1124" s="13" t="n">
        <f aca="false">IF(B1124="Individual",1,0)</f>
        <v>1</v>
      </c>
      <c r="V1124" s="13" t="n">
        <f aca="false">IF(B1124="Company",1,0)</f>
        <v>0</v>
      </c>
      <c r="W1124" s="13" t="n">
        <f aca="false">IF(H1124="Home",1,0)</f>
        <v>1</v>
      </c>
      <c r="X1124" s="13" t="n">
        <f aca="false">IF(H1124="Investment",1,0)</f>
        <v>0</v>
      </c>
      <c r="Y1124" s="13" t="n">
        <f aca="false">IF(K1124="Website",1,0)</f>
        <v>1</v>
      </c>
      <c r="Z1124" s="13" t="n">
        <f aca="false">IF(K1124="Agency",1,0)</f>
        <v>0</v>
      </c>
      <c r="AA1124" s="13" t="n">
        <f aca="false">IF(K1124="Client",1,0)</f>
        <v>0</v>
      </c>
      <c r="AB1124" s="13" t="n">
        <f aca="false">(D1124-AVERAGE(D$2:D$2001))/STDEV(D$2:D$2001)</f>
        <v>-1.39179868811751</v>
      </c>
      <c r="AC1124" s="13" t="n">
        <f aca="false">(I1124-AVERAGE(I$2:I$2001))/STDEV(I$2:I$2001)</f>
        <v>0.686917069130275</v>
      </c>
      <c r="AD1124" s="13" t="n">
        <f aca="false">(L1124-AVERAGE(L$2:L$2001))/STDEV(L$2:L$2001)</f>
        <v>-0.777063122173208</v>
      </c>
      <c r="AE1124" s="13" t="n">
        <f aca="false">(M1124-AVERAGE(M$2:M$2001))/STDEV(M$2:M$2001)</f>
        <v>-0.575400735640361</v>
      </c>
      <c r="AF1124" s="13" t="n">
        <f aca="false">(N1124-AVERAGE(N$2:N$2001))/STDEV(N$2:N$2001)</f>
        <v>0.0906631137819011</v>
      </c>
      <c r="AG1124" s="13" t="n">
        <f aca="false">(O1124-AVERAGE(O$2:O$2001))/STDEV(O$2:O$2001)</f>
        <v>-0.16452608087148</v>
      </c>
      <c r="AH1124" s="0" t="str">
        <f aca="false">IF(B1124="Company","C3 - Corporate Buyers",IF(AND(H1124="Investment",M1124&gt;'Segmentation Summary'!$C$1),"C1 - Global Investors",IF(AND(I1124&gt;=4,M1124&gt;'Segmentation Summary'!$C$1),"C4 - Luxury Investors",IF(AND(D1124&lt;'Segmentation Summary'!$C$2,J1124=1),"C2 - First-Time Buyers","C5 - Other Individual Buyers"))))</f>
        <v>C5 - Other Individual Buyers</v>
      </c>
    </row>
    <row r="1125" customFormat="false" ht="15" hidden="false" customHeight="true" outlineLevel="0" collapsed="false">
      <c r="A1125" s="13" t="s">
        <v>2274</v>
      </c>
      <c r="B1125" s="13" t="s">
        <v>34</v>
      </c>
      <c r="C1125" s="13" t="s">
        <v>2275</v>
      </c>
      <c r="D1125" s="13" t="n">
        <v>76</v>
      </c>
      <c r="E1125" s="13" t="s">
        <v>90</v>
      </c>
      <c r="F1125" s="13" t="s">
        <v>33</v>
      </c>
      <c r="G1125" s="13" t="s">
        <v>162</v>
      </c>
      <c r="H1125" s="13" t="s">
        <v>41</v>
      </c>
      <c r="I1125" s="13" t="n">
        <v>2</v>
      </c>
      <c r="J1125" s="13" t="n">
        <v>1</v>
      </c>
      <c r="K1125" s="13" t="s">
        <v>91</v>
      </c>
      <c r="L1125" s="13" t="n">
        <v>4</v>
      </c>
      <c r="M1125" s="13" t="n">
        <v>1492680.13</v>
      </c>
      <c r="N1125" s="13" t="n">
        <v>373170.0325</v>
      </c>
      <c r="O1125" s="13" t="n">
        <v>1222.37</v>
      </c>
      <c r="P1125" s="13" t="n">
        <v>0</v>
      </c>
      <c r="Q1125" s="13" t="n">
        <v>4</v>
      </c>
      <c r="R1125" s="13" t="s">
        <v>86</v>
      </c>
      <c r="S1125" s="13" t="s">
        <v>215</v>
      </c>
      <c r="T1125" s="13" t="n">
        <v>1</v>
      </c>
      <c r="U1125" s="13" t="n">
        <f aca="false">IF(B1125="Individual",1,0)</f>
        <v>1</v>
      </c>
      <c r="V1125" s="13" t="n">
        <f aca="false">IF(B1125="Company",1,0)</f>
        <v>0</v>
      </c>
      <c r="W1125" s="13" t="n">
        <f aca="false">IF(H1125="Home",1,0)</f>
        <v>1</v>
      </c>
      <c r="X1125" s="13" t="n">
        <f aca="false">IF(H1125="Investment",1,0)</f>
        <v>0</v>
      </c>
      <c r="Y1125" s="13" t="n">
        <f aca="false">IF(K1125="Website",1,0)</f>
        <v>0</v>
      </c>
      <c r="Z1125" s="13" t="n">
        <f aca="false">IF(K1125="Agency",1,0)</f>
        <v>1</v>
      </c>
      <c r="AA1125" s="13" t="n">
        <f aca="false">IF(K1125="Client",1,0)</f>
        <v>0</v>
      </c>
      <c r="AB1125" s="13" t="n">
        <f aca="false">(D1125-AVERAGE(D$2:D$2001))/STDEV(D$2:D$2001)</f>
        <v>1.26067426433745</v>
      </c>
      <c r="AC1125" s="13" t="n">
        <f aca="false">(I1125-AVERAGE(I$2:I$2001))/STDEV(I$2:I$2001)</f>
        <v>-0.727948160798201</v>
      </c>
      <c r="AD1125" s="13" t="n">
        <f aca="false">(L1125-AVERAGE(L$2:L$2001))/STDEV(L$2:L$2001)</f>
        <v>0.413838214490712</v>
      </c>
      <c r="AE1125" s="13" t="n">
        <f aca="false">(M1125-AVERAGE(M$2:M$2001))/STDEV(M$2:M$2001)</f>
        <v>0.667867077490793</v>
      </c>
      <c r="AF1125" s="13" t="n">
        <f aca="false">(N1125-AVERAGE(N$2:N$2001))/STDEV(N$2:N$2001)</f>
        <v>0.37405902416677</v>
      </c>
      <c r="AG1125" s="13" t="n">
        <f aca="false">(O1125-AVERAGE(O$2:O$2001))/STDEV(O$2:O$2001)</f>
        <v>0.340530425005052</v>
      </c>
      <c r="AH1125" s="0" t="str">
        <f aca="false">IF(B1125="Company","C3 - Corporate Buyers",IF(AND(H1125="Investment",M1125&gt;'Segmentation Summary'!$C$1),"C1 - Global Investors",IF(AND(I1125&gt;=4,M1125&gt;'Segmentation Summary'!$C$1),"C4 - Luxury Investors",IF(AND(D1125&lt;'Segmentation Summary'!$C$2,J1125=1),"C2 - First-Time Buyers","C5 - Other Individual Buyers"))))</f>
        <v>C5 - Other Individual Buyers</v>
      </c>
    </row>
    <row r="1126" customFormat="false" ht="15" hidden="false" customHeight="true" outlineLevel="0" collapsed="false">
      <c r="A1126" s="13" t="s">
        <v>2276</v>
      </c>
      <c r="B1126" s="13" t="s">
        <v>34</v>
      </c>
      <c r="C1126" s="13" t="s">
        <v>2277</v>
      </c>
      <c r="D1126" s="13" t="n">
        <v>25</v>
      </c>
      <c r="E1126" s="13" t="s">
        <v>90</v>
      </c>
      <c r="F1126" s="13" t="s">
        <v>33</v>
      </c>
      <c r="G1126" s="13" t="s">
        <v>145</v>
      </c>
      <c r="H1126" s="13" t="s">
        <v>41</v>
      </c>
      <c r="I1126" s="13" t="n">
        <v>4</v>
      </c>
      <c r="J1126" s="13" t="n">
        <v>0</v>
      </c>
      <c r="K1126" s="13" t="s">
        <v>85</v>
      </c>
      <c r="L1126" s="13" t="n">
        <v>4</v>
      </c>
      <c r="M1126" s="13" t="n">
        <v>1167212.02</v>
      </c>
      <c r="N1126" s="13" t="n">
        <v>291803.005</v>
      </c>
      <c r="O1126" s="13" t="n">
        <v>939.4875</v>
      </c>
      <c r="P1126" s="13" t="n">
        <v>1</v>
      </c>
      <c r="Q1126" s="13" t="n">
        <v>3</v>
      </c>
      <c r="R1126" s="13" t="s">
        <v>117</v>
      </c>
      <c r="S1126" s="13" t="s">
        <v>114</v>
      </c>
      <c r="T1126" s="13" t="n">
        <v>1</v>
      </c>
      <c r="U1126" s="13" t="n">
        <f aca="false">IF(B1126="Individual",1,0)</f>
        <v>1</v>
      </c>
      <c r="V1126" s="13" t="n">
        <f aca="false">IF(B1126="Company",1,0)</f>
        <v>0</v>
      </c>
      <c r="W1126" s="13" t="n">
        <f aca="false">IF(H1126="Home",1,0)</f>
        <v>1</v>
      </c>
      <c r="X1126" s="13" t="n">
        <f aca="false">IF(H1126="Investment",1,0)</f>
        <v>0</v>
      </c>
      <c r="Y1126" s="13" t="n">
        <f aca="false">IF(K1126="Website",1,0)</f>
        <v>1</v>
      </c>
      <c r="Z1126" s="13" t="n">
        <f aca="false">IF(K1126="Agency",1,0)</f>
        <v>0</v>
      </c>
      <c r="AA1126" s="13" t="n">
        <f aca="false">IF(K1126="Client",1,0)</f>
        <v>0</v>
      </c>
      <c r="AB1126" s="13" t="n">
        <f aca="false">(D1126-AVERAGE(D$2:D$2001))/STDEV(D$2:D$2001)</f>
        <v>-1.68011096555826</v>
      </c>
      <c r="AC1126" s="13" t="n">
        <f aca="false">(I1126-AVERAGE(I$2:I$2001))/STDEV(I$2:I$2001)</f>
        <v>0.686917069130275</v>
      </c>
      <c r="AD1126" s="13" t="n">
        <f aca="false">(L1126-AVERAGE(L$2:L$2001))/STDEV(L$2:L$2001)</f>
        <v>0.413838214490712</v>
      </c>
      <c r="AE1126" s="13" t="n">
        <f aca="false">(M1126-AVERAGE(M$2:M$2001))/STDEV(M$2:M$2001)</f>
        <v>-0.267841423545022</v>
      </c>
      <c r="AF1126" s="13" t="n">
        <f aca="false">(N1126-AVERAGE(N$2:N$2001))/STDEV(N$2:N$2001)</f>
        <v>-0.79296480543251</v>
      </c>
      <c r="AG1126" s="13" t="n">
        <f aca="false">(O1126-AVERAGE(O$2:O$2001))/STDEV(O$2:O$2001)</f>
        <v>-0.945751734141662</v>
      </c>
      <c r="AH1126" s="0" t="str">
        <f aca="false">IF(B1126="Company","C3 - Corporate Buyers",IF(AND(H1126="Investment",M1126&gt;'Segmentation Summary'!$C$1),"C1 - Global Investors",IF(AND(I1126&gt;=4,M1126&gt;'Segmentation Summary'!$C$1),"C4 - Luxury Investors",IF(AND(D1126&lt;'Segmentation Summary'!$C$2,J1126=1),"C2 - First-Time Buyers","C5 - Other Individual Buyers"))))</f>
        <v>C5 - Other Individual Buyers</v>
      </c>
    </row>
    <row r="1127" customFormat="false" ht="15" hidden="false" customHeight="true" outlineLevel="0" collapsed="false">
      <c r="A1127" s="13" t="s">
        <v>2278</v>
      </c>
      <c r="B1127" s="13" t="s">
        <v>34</v>
      </c>
      <c r="C1127" s="13" t="s">
        <v>2277</v>
      </c>
      <c r="D1127" s="13" t="n">
        <v>66</v>
      </c>
      <c r="E1127" s="13" t="s">
        <v>90</v>
      </c>
      <c r="F1127" s="13" t="s">
        <v>33</v>
      </c>
      <c r="G1127" s="13" t="s">
        <v>162</v>
      </c>
      <c r="H1127" s="13" t="s">
        <v>41</v>
      </c>
      <c r="I1127" s="13" t="n">
        <v>2</v>
      </c>
      <c r="J1127" s="13" t="n">
        <v>0</v>
      </c>
      <c r="K1127" s="13" t="s">
        <v>85</v>
      </c>
      <c r="L1127" s="13" t="n">
        <v>3</v>
      </c>
      <c r="M1127" s="13" t="n">
        <v>1571251.03</v>
      </c>
      <c r="N1127" s="13" t="n">
        <v>523750.343333333</v>
      </c>
      <c r="O1127" s="13" t="n">
        <v>1599.34333333333</v>
      </c>
      <c r="P1127" s="13" t="n">
        <v>0</v>
      </c>
      <c r="Q1127" s="13" t="n">
        <v>3</v>
      </c>
      <c r="R1127" s="13" t="s">
        <v>86</v>
      </c>
      <c r="S1127" s="13" t="s">
        <v>135</v>
      </c>
      <c r="T1127" s="13" t="n">
        <v>1</v>
      </c>
      <c r="U1127" s="13" t="n">
        <f aca="false">IF(B1127="Individual",1,0)</f>
        <v>1</v>
      </c>
      <c r="V1127" s="13" t="n">
        <f aca="false">IF(B1127="Company",1,0)</f>
        <v>0</v>
      </c>
      <c r="W1127" s="13" t="n">
        <f aca="false">IF(H1127="Home",1,0)</f>
        <v>1</v>
      </c>
      <c r="X1127" s="13" t="n">
        <f aca="false">IF(H1127="Investment",1,0)</f>
        <v>0</v>
      </c>
      <c r="Y1127" s="13" t="n">
        <f aca="false">IF(K1127="Website",1,0)</f>
        <v>1</v>
      </c>
      <c r="Z1127" s="13" t="n">
        <f aca="false">IF(K1127="Agency",1,0)</f>
        <v>0</v>
      </c>
      <c r="AA1127" s="13" t="n">
        <f aca="false">IF(K1127="Client",1,0)</f>
        <v>0</v>
      </c>
      <c r="AB1127" s="13" t="n">
        <f aca="false">(D1127-AVERAGE(D$2:D$2001))/STDEV(D$2:D$2001)</f>
        <v>0.684049709455938</v>
      </c>
      <c r="AC1127" s="13" t="n">
        <f aca="false">(I1127-AVERAGE(I$2:I$2001))/STDEV(I$2:I$2001)</f>
        <v>-0.727948160798201</v>
      </c>
      <c r="AD1127" s="13" t="n">
        <f aca="false">(L1127-AVERAGE(L$2:L$2001))/STDEV(L$2:L$2001)</f>
        <v>-0.777063122173208</v>
      </c>
      <c r="AE1127" s="13" t="n">
        <f aca="false">(M1127-AVERAGE(M$2:M$2001))/STDEV(M$2:M$2001)</f>
        <v>0.893755441988424</v>
      </c>
      <c r="AF1127" s="13" t="n">
        <f aca="false">(N1127-AVERAGE(N$2:N$2001))/STDEV(N$2:N$2001)</f>
        <v>2.53378903287289</v>
      </c>
      <c r="AG1127" s="13" t="n">
        <f aca="false">(O1127-AVERAGE(O$2:O$2001))/STDEV(O$2:O$2001)</f>
        <v>2.05464873610853</v>
      </c>
      <c r="AH1127" s="0" t="str">
        <f aca="false">IF(B1127="Company","C3 - Corporate Buyers",IF(AND(H1127="Investment",M1127&gt;'Segmentation Summary'!$C$1),"C1 - Global Investors",IF(AND(I1127&gt;=4,M1127&gt;'Segmentation Summary'!$C$1),"C4 - Luxury Investors",IF(AND(D1127&lt;'Segmentation Summary'!$C$2,J1127=1),"C2 - First-Time Buyers","C5 - Other Individual Buyers"))))</f>
        <v>C5 - Other Individual Buyers</v>
      </c>
    </row>
    <row r="1128" customFormat="false" ht="15" hidden="false" customHeight="true" outlineLevel="0" collapsed="false">
      <c r="A1128" s="13" t="s">
        <v>2279</v>
      </c>
      <c r="B1128" s="13" t="s">
        <v>34</v>
      </c>
      <c r="C1128" s="13" t="s">
        <v>2280</v>
      </c>
      <c r="D1128" s="13" t="n">
        <v>33</v>
      </c>
      <c r="E1128" s="13" t="s">
        <v>90</v>
      </c>
      <c r="F1128" s="13" t="s">
        <v>38</v>
      </c>
      <c r="G1128" s="13" t="s">
        <v>665</v>
      </c>
      <c r="H1128" s="13" t="s">
        <v>41</v>
      </c>
      <c r="I1128" s="13" t="n">
        <v>5</v>
      </c>
      <c r="J1128" s="13" t="n">
        <v>0</v>
      </c>
      <c r="K1128" s="13" t="s">
        <v>85</v>
      </c>
      <c r="L1128" s="13" t="n">
        <v>4</v>
      </c>
      <c r="M1128" s="13" t="n">
        <v>743296.88</v>
      </c>
      <c r="N1128" s="13" t="n">
        <v>185824.22</v>
      </c>
      <c r="O1128" s="13" t="n">
        <v>632.215</v>
      </c>
      <c r="P1128" s="13" t="n">
        <v>0</v>
      </c>
      <c r="Q1128" s="13" t="n">
        <v>4</v>
      </c>
      <c r="R1128" s="13" t="s">
        <v>128</v>
      </c>
      <c r="S1128" s="13" t="s">
        <v>154</v>
      </c>
      <c r="T1128" s="13" t="n">
        <v>1</v>
      </c>
      <c r="U1128" s="13" t="n">
        <f aca="false">IF(B1128="Individual",1,0)</f>
        <v>1</v>
      </c>
      <c r="V1128" s="13" t="n">
        <f aca="false">IF(B1128="Company",1,0)</f>
        <v>0</v>
      </c>
      <c r="W1128" s="13" t="n">
        <f aca="false">IF(H1128="Home",1,0)</f>
        <v>1</v>
      </c>
      <c r="X1128" s="13" t="n">
        <f aca="false">IF(H1128="Investment",1,0)</f>
        <v>0</v>
      </c>
      <c r="Y1128" s="13" t="n">
        <f aca="false">IF(K1128="Website",1,0)</f>
        <v>1</v>
      </c>
      <c r="Z1128" s="13" t="n">
        <f aca="false">IF(K1128="Agency",1,0)</f>
        <v>0</v>
      </c>
      <c r="AA1128" s="13" t="n">
        <f aca="false">IF(K1128="Client",1,0)</f>
        <v>0</v>
      </c>
      <c r="AB1128" s="13" t="n">
        <f aca="false">(D1128-AVERAGE(D$2:D$2001))/STDEV(D$2:D$2001)</f>
        <v>-1.21881132165305</v>
      </c>
      <c r="AC1128" s="13" t="n">
        <f aca="false">(I1128-AVERAGE(I$2:I$2001))/STDEV(I$2:I$2001)</f>
        <v>1.39434968409451</v>
      </c>
      <c r="AD1128" s="13" t="n">
        <f aca="false">(L1128-AVERAGE(L$2:L$2001))/STDEV(L$2:L$2001)</f>
        <v>0.413838214490712</v>
      </c>
      <c r="AE1128" s="13" t="n">
        <f aca="false">(M1128-AVERAGE(M$2:M$2001))/STDEV(M$2:M$2001)</f>
        <v>-1.48658141074619</v>
      </c>
      <c r="AF1128" s="13" t="n">
        <f aca="false">(N1128-AVERAGE(N$2:N$2001))/STDEV(N$2:N$2001)</f>
        <v>-2.31298798099928</v>
      </c>
      <c r="AG1128" s="13" t="n">
        <f aca="false">(O1128-AVERAGE(O$2:O$2001))/STDEV(O$2:O$2001)</f>
        <v>-2.34293655379791</v>
      </c>
      <c r="AH1128" s="0" t="str">
        <f aca="false">IF(B1128="Company","C3 - Corporate Buyers",IF(AND(H1128="Investment",M1128&gt;'Segmentation Summary'!$C$1),"C1 - Global Investors",IF(AND(I1128&gt;=4,M1128&gt;'Segmentation Summary'!$C$1),"C4 - Luxury Investors",IF(AND(D1128&lt;'Segmentation Summary'!$C$2,J1128=1),"C2 - First-Time Buyers","C5 - Other Individual Buyers"))))</f>
        <v>C5 - Other Individual Buyers</v>
      </c>
    </row>
    <row r="1129" customFormat="false" ht="15" hidden="false" customHeight="true" outlineLevel="0" collapsed="false">
      <c r="A1129" s="13" t="s">
        <v>2281</v>
      </c>
      <c r="B1129" s="13" t="s">
        <v>34</v>
      </c>
      <c r="C1129" s="13" t="s">
        <v>2282</v>
      </c>
      <c r="D1129" s="13" t="n">
        <v>78</v>
      </c>
      <c r="E1129" s="13" t="s">
        <v>90</v>
      </c>
      <c r="F1129" s="13" t="s">
        <v>35</v>
      </c>
      <c r="G1129" s="13" t="s">
        <v>374</v>
      </c>
      <c r="H1129" s="13" t="s">
        <v>41</v>
      </c>
      <c r="I1129" s="13" t="n">
        <v>5</v>
      </c>
      <c r="J1129" s="13" t="n">
        <v>0</v>
      </c>
      <c r="K1129" s="13" t="s">
        <v>85</v>
      </c>
      <c r="L1129" s="13" t="n">
        <v>4</v>
      </c>
      <c r="M1129" s="13" t="n">
        <v>1233852.38</v>
      </c>
      <c r="N1129" s="13" t="n">
        <v>308463.095</v>
      </c>
      <c r="O1129" s="13" t="n">
        <v>1012.5575</v>
      </c>
      <c r="P1129" s="13" t="n">
        <v>0</v>
      </c>
      <c r="Q1129" s="13" t="n">
        <v>4</v>
      </c>
      <c r="R1129" s="13" t="s">
        <v>124</v>
      </c>
      <c r="S1129" s="13" t="s">
        <v>133</v>
      </c>
      <c r="T1129" s="13" t="n">
        <v>1</v>
      </c>
      <c r="U1129" s="13" t="n">
        <f aca="false">IF(B1129="Individual",1,0)</f>
        <v>1</v>
      </c>
      <c r="V1129" s="13" t="n">
        <f aca="false">IF(B1129="Company",1,0)</f>
        <v>0</v>
      </c>
      <c r="W1129" s="13" t="n">
        <f aca="false">IF(H1129="Home",1,0)</f>
        <v>1</v>
      </c>
      <c r="X1129" s="13" t="n">
        <f aca="false">IF(H1129="Investment",1,0)</f>
        <v>0</v>
      </c>
      <c r="Y1129" s="13" t="n">
        <f aca="false">IF(K1129="Website",1,0)</f>
        <v>1</v>
      </c>
      <c r="Z1129" s="13" t="n">
        <f aca="false">IF(K1129="Agency",1,0)</f>
        <v>0</v>
      </c>
      <c r="AA1129" s="13" t="n">
        <f aca="false">IF(K1129="Client",1,0)</f>
        <v>0</v>
      </c>
      <c r="AB1129" s="13" t="n">
        <f aca="false">(D1129-AVERAGE(D$2:D$2001))/STDEV(D$2:D$2001)</f>
        <v>1.37599917531375</v>
      </c>
      <c r="AC1129" s="13" t="n">
        <f aca="false">(I1129-AVERAGE(I$2:I$2001))/STDEV(I$2:I$2001)</f>
        <v>1.39434968409451</v>
      </c>
      <c r="AD1129" s="13" t="n">
        <f aca="false">(L1129-AVERAGE(L$2:L$2001))/STDEV(L$2:L$2001)</f>
        <v>0.413838214490712</v>
      </c>
      <c r="AE1129" s="13" t="n">
        <f aca="false">(M1129-AVERAGE(M$2:M$2001))/STDEV(M$2:M$2001)</f>
        <v>-0.0762529101140534</v>
      </c>
      <c r="AF1129" s="13" t="n">
        <f aca="false">(N1129-AVERAGE(N$2:N$2001))/STDEV(N$2:N$2001)</f>
        <v>-0.554013935151933</v>
      </c>
      <c r="AG1129" s="13" t="n">
        <f aca="false">(O1129-AVERAGE(O$2:O$2001))/STDEV(O$2:O$2001)</f>
        <v>-0.613498458068202</v>
      </c>
      <c r="AH1129" s="0" t="str">
        <f aca="false">IF(B1129="Company","C3 - Corporate Buyers",IF(AND(H1129="Investment",M1129&gt;'Segmentation Summary'!$C$1),"C1 - Global Investors",IF(AND(I1129&gt;=4,M1129&gt;'Segmentation Summary'!$C$1),"C4 - Luxury Investors",IF(AND(D1129&lt;'Segmentation Summary'!$C$2,J1129=1),"C2 - First-Time Buyers","C5 - Other Individual Buyers"))))</f>
        <v>C4 - Luxury Investors</v>
      </c>
    </row>
    <row r="1130" customFormat="false" ht="15" hidden="false" customHeight="true" outlineLevel="0" collapsed="false">
      <c r="A1130" s="13" t="s">
        <v>2283</v>
      </c>
      <c r="B1130" s="13" t="s">
        <v>34</v>
      </c>
      <c r="C1130" s="13" t="s">
        <v>2284</v>
      </c>
      <c r="D1130" s="13" t="n">
        <v>33</v>
      </c>
      <c r="E1130" s="13" t="s">
        <v>90</v>
      </c>
      <c r="F1130" s="13" t="s">
        <v>33</v>
      </c>
      <c r="G1130" s="13" t="s">
        <v>120</v>
      </c>
      <c r="H1130" s="13" t="s">
        <v>41</v>
      </c>
      <c r="I1130" s="13" t="n">
        <v>2</v>
      </c>
      <c r="J1130" s="13" t="n">
        <v>0</v>
      </c>
      <c r="K1130" s="13" t="s">
        <v>85</v>
      </c>
      <c r="L1130" s="13" t="n">
        <v>3</v>
      </c>
      <c r="M1130" s="13" t="n">
        <v>1000841.18</v>
      </c>
      <c r="N1130" s="13" t="n">
        <v>333613.726666667</v>
      </c>
      <c r="O1130" s="13" t="n">
        <v>1144.80333333333</v>
      </c>
      <c r="P1130" s="13" t="n">
        <v>0</v>
      </c>
      <c r="Q1130" s="13" t="n">
        <v>3</v>
      </c>
      <c r="R1130" s="13" t="s">
        <v>101</v>
      </c>
      <c r="S1130" s="13" t="s">
        <v>150</v>
      </c>
      <c r="T1130" s="13" t="n">
        <v>1</v>
      </c>
      <c r="U1130" s="13" t="n">
        <f aca="false">IF(B1130="Individual",1,0)</f>
        <v>1</v>
      </c>
      <c r="V1130" s="13" t="n">
        <f aca="false">IF(B1130="Company",1,0)</f>
        <v>0</v>
      </c>
      <c r="W1130" s="13" t="n">
        <f aca="false">IF(H1130="Home",1,0)</f>
        <v>1</v>
      </c>
      <c r="X1130" s="13" t="n">
        <f aca="false">IF(H1130="Investment",1,0)</f>
        <v>0</v>
      </c>
      <c r="Y1130" s="13" t="n">
        <f aca="false">IF(K1130="Website",1,0)</f>
        <v>1</v>
      </c>
      <c r="Z1130" s="13" t="n">
        <f aca="false">IF(K1130="Agency",1,0)</f>
        <v>0</v>
      </c>
      <c r="AA1130" s="13" t="n">
        <f aca="false">IF(K1130="Client",1,0)</f>
        <v>0</v>
      </c>
      <c r="AB1130" s="13" t="n">
        <f aca="false">(D1130-AVERAGE(D$2:D$2001))/STDEV(D$2:D$2001)</f>
        <v>-1.21881132165305</v>
      </c>
      <c r="AC1130" s="13" t="n">
        <f aca="false">(I1130-AVERAGE(I$2:I$2001))/STDEV(I$2:I$2001)</f>
        <v>-0.727948160798201</v>
      </c>
      <c r="AD1130" s="13" t="n">
        <f aca="false">(L1130-AVERAGE(L$2:L$2001))/STDEV(L$2:L$2001)</f>
        <v>-0.777063122173208</v>
      </c>
      <c r="AE1130" s="13" t="n">
        <f aca="false">(M1130-AVERAGE(M$2:M$2001))/STDEV(M$2:M$2001)</f>
        <v>-0.746151293327562</v>
      </c>
      <c r="AF1130" s="13" t="n">
        <f aca="false">(N1130-AVERAGE(N$2:N$2001))/STDEV(N$2:N$2001)</f>
        <v>-0.193285672288027</v>
      </c>
      <c r="AG1130" s="13" t="n">
        <f aca="false">(O1130-AVERAGE(O$2:O$2001))/STDEV(O$2:O$2001)</f>
        <v>-0.0121694397013805</v>
      </c>
      <c r="AH1130" s="0" t="str">
        <f aca="false">IF(B1130="Company","C3 - Corporate Buyers",IF(AND(H1130="Investment",M1130&gt;'Segmentation Summary'!$C$1),"C1 - Global Investors",IF(AND(I1130&gt;=4,M1130&gt;'Segmentation Summary'!$C$1),"C4 - Luxury Investors",IF(AND(D1130&lt;'Segmentation Summary'!$C$2,J1130=1),"C2 - First-Time Buyers","C5 - Other Individual Buyers"))))</f>
        <v>C5 - Other Individual Buyers</v>
      </c>
    </row>
    <row r="1131" customFormat="false" ht="15" hidden="false" customHeight="true" outlineLevel="0" collapsed="false">
      <c r="A1131" s="13" t="s">
        <v>2285</v>
      </c>
      <c r="B1131" s="13" t="s">
        <v>34</v>
      </c>
      <c r="C1131" s="13" t="s">
        <v>2286</v>
      </c>
      <c r="D1131" s="13" t="n">
        <v>52</v>
      </c>
      <c r="E1131" s="13" t="s">
        <v>90</v>
      </c>
      <c r="F1131" s="13" t="s">
        <v>35</v>
      </c>
      <c r="G1131" s="13" t="s">
        <v>267</v>
      </c>
      <c r="H1131" s="13" t="s">
        <v>43</v>
      </c>
      <c r="I1131" s="13" t="n">
        <v>5</v>
      </c>
      <c r="J1131" s="13" t="n">
        <v>0</v>
      </c>
      <c r="K1131" s="13" t="s">
        <v>91</v>
      </c>
      <c r="L1131" s="13" t="n">
        <v>4</v>
      </c>
      <c r="M1131" s="13" t="n">
        <v>1709184.75</v>
      </c>
      <c r="N1131" s="13" t="n">
        <v>427296.1875</v>
      </c>
      <c r="O1131" s="13" t="n">
        <v>1422.9925</v>
      </c>
      <c r="P1131" s="13" t="n">
        <v>0</v>
      </c>
      <c r="Q1131" s="13" t="n">
        <v>4</v>
      </c>
      <c r="R1131" s="13" t="s">
        <v>98</v>
      </c>
      <c r="S1131" s="13" t="s">
        <v>111</v>
      </c>
      <c r="T1131" s="13" t="n">
        <v>1</v>
      </c>
      <c r="U1131" s="13" t="n">
        <f aca="false">IF(B1131="Individual",1,0)</f>
        <v>1</v>
      </c>
      <c r="V1131" s="13" t="n">
        <f aca="false">IF(B1131="Company",1,0)</f>
        <v>0</v>
      </c>
      <c r="W1131" s="13" t="n">
        <f aca="false">IF(H1131="Home",1,0)</f>
        <v>0</v>
      </c>
      <c r="X1131" s="13" t="n">
        <f aca="false">IF(H1131="Investment",1,0)</f>
        <v>1</v>
      </c>
      <c r="Y1131" s="13" t="n">
        <f aca="false">IF(K1131="Website",1,0)</f>
        <v>0</v>
      </c>
      <c r="Z1131" s="13" t="n">
        <f aca="false">IF(K1131="Agency",1,0)</f>
        <v>1</v>
      </c>
      <c r="AA1131" s="13" t="n">
        <f aca="false">IF(K1131="Client",1,0)</f>
        <v>0</v>
      </c>
      <c r="AB1131" s="13" t="n">
        <f aca="false">(D1131-AVERAGE(D$2:D$2001))/STDEV(D$2:D$2001)</f>
        <v>-0.123224667378179</v>
      </c>
      <c r="AC1131" s="13" t="n">
        <f aca="false">(I1131-AVERAGE(I$2:I$2001))/STDEV(I$2:I$2001)</f>
        <v>1.39434968409451</v>
      </c>
      <c r="AD1131" s="13" t="n">
        <f aca="false">(L1131-AVERAGE(L$2:L$2001))/STDEV(L$2:L$2001)</f>
        <v>0.413838214490712</v>
      </c>
      <c r="AE1131" s="13" t="n">
        <f aca="false">(M1131-AVERAGE(M$2:M$2001))/STDEV(M$2:M$2001)</f>
        <v>1.29030966778798</v>
      </c>
      <c r="AF1131" s="13" t="n">
        <f aca="false">(N1131-AVERAGE(N$2:N$2001))/STDEV(N$2:N$2001)</f>
        <v>1.1503748689306</v>
      </c>
      <c r="AG1131" s="13" t="n">
        <f aca="false">(O1131-AVERAGE(O$2:O$2001))/STDEV(O$2:O$2001)</f>
        <v>1.25277187675061</v>
      </c>
      <c r="AH1131" s="0" t="str">
        <f aca="false">IF(B1131="Company","C3 - Corporate Buyers",IF(AND(H1131="Investment",M1131&gt;'Segmentation Summary'!$C$1),"C1 - Global Investors",IF(AND(I1131&gt;=4,M1131&gt;'Segmentation Summary'!$C$1),"C4 - Luxury Investors",IF(AND(D1131&lt;'Segmentation Summary'!$C$2,J1131=1),"C2 - First-Time Buyers","C5 - Other Individual Buyers"))))</f>
        <v>C1 - Global Investors</v>
      </c>
    </row>
    <row r="1132" customFormat="false" ht="15" hidden="false" customHeight="true" outlineLevel="0" collapsed="false">
      <c r="A1132" s="13" t="s">
        <v>2287</v>
      </c>
      <c r="B1132" s="13" t="s">
        <v>34</v>
      </c>
      <c r="C1132" s="13" t="s">
        <v>2288</v>
      </c>
      <c r="D1132" s="13" t="n">
        <v>81</v>
      </c>
      <c r="E1132" s="13" t="s">
        <v>90</v>
      </c>
      <c r="F1132" s="13" t="s">
        <v>33</v>
      </c>
      <c r="G1132" s="13" t="s">
        <v>162</v>
      </c>
      <c r="H1132" s="13" t="s">
        <v>43</v>
      </c>
      <c r="I1132" s="13" t="n">
        <v>5</v>
      </c>
      <c r="J1132" s="13" t="n">
        <v>1</v>
      </c>
      <c r="K1132" s="13" t="s">
        <v>116</v>
      </c>
      <c r="L1132" s="13" t="n">
        <v>4</v>
      </c>
      <c r="M1132" s="13" t="n">
        <v>1397057.95</v>
      </c>
      <c r="N1132" s="13" t="n">
        <v>349264.4875</v>
      </c>
      <c r="O1132" s="13" t="n">
        <v>1102.2725</v>
      </c>
      <c r="P1132" s="13" t="n">
        <v>1</v>
      </c>
      <c r="Q1132" s="13" t="n">
        <v>3</v>
      </c>
      <c r="R1132" s="13" t="s">
        <v>98</v>
      </c>
      <c r="S1132" s="13" t="s">
        <v>133</v>
      </c>
      <c r="T1132" s="13" t="n">
        <v>1</v>
      </c>
      <c r="U1132" s="13" t="n">
        <f aca="false">IF(B1132="Individual",1,0)</f>
        <v>1</v>
      </c>
      <c r="V1132" s="13" t="n">
        <f aca="false">IF(B1132="Company",1,0)</f>
        <v>0</v>
      </c>
      <c r="W1132" s="13" t="n">
        <f aca="false">IF(H1132="Home",1,0)</f>
        <v>0</v>
      </c>
      <c r="X1132" s="13" t="n">
        <f aca="false">IF(H1132="Investment",1,0)</f>
        <v>1</v>
      </c>
      <c r="Y1132" s="13" t="n">
        <f aca="false">IF(K1132="Website",1,0)</f>
        <v>0</v>
      </c>
      <c r="Z1132" s="13" t="n">
        <f aca="false">IF(K1132="Agency",1,0)</f>
        <v>0</v>
      </c>
      <c r="AA1132" s="13" t="n">
        <f aca="false">IF(K1132="Client",1,0)</f>
        <v>1</v>
      </c>
      <c r="AB1132" s="13" t="n">
        <f aca="false">(D1132-AVERAGE(D$2:D$2001))/STDEV(D$2:D$2001)</f>
        <v>1.54898654177821</v>
      </c>
      <c r="AC1132" s="13" t="n">
        <f aca="false">(I1132-AVERAGE(I$2:I$2001))/STDEV(I$2:I$2001)</f>
        <v>1.39434968409451</v>
      </c>
      <c r="AD1132" s="13" t="n">
        <f aca="false">(L1132-AVERAGE(L$2:L$2001))/STDEV(L$2:L$2001)</f>
        <v>0.413838214490712</v>
      </c>
      <c r="AE1132" s="13" t="n">
        <f aca="false">(M1132-AVERAGE(M$2:M$2001))/STDEV(M$2:M$2001)</f>
        <v>0.39295692818745</v>
      </c>
      <c r="AF1132" s="13" t="n">
        <f aca="false">(N1132-AVERAGE(N$2:N$2001))/STDEV(N$2:N$2001)</f>
        <v>0.0311886805923054</v>
      </c>
      <c r="AG1132" s="13" t="n">
        <f aca="false">(O1132-AVERAGE(O$2:O$2001))/STDEV(O$2:O$2001)</f>
        <v>-0.205559458986083</v>
      </c>
      <c r="AH1132" s="0" t="str">
        <f aca="false">IF(B1132="Company","C3 - Corporate Buyers",IF(AND(H1132="Investment",M1132&gt;'Segmentation Summary'!$C$1),"C1 - Global Investors",IF(AND(I1132&gt;=4,M1132&gt;'Segmentation Summary'!$C$1),"C4 - Luxury Investors",IF(AND(D1132&lt;'Segmentation Summary'!$C$2,J1132=1),"C2 - First-Time Buyers","C5 - Other Individual Buyers"))))</f>
        <v>C1 - Global Investors</v>
      </c>
    </row>
    <row r="1133" customFormat="false" ht="15" hidden="false" customHeight="true" outlineLevel="0" collapsed="false">
      <c r="A1133" s="13" t="s">
        <v>2289</v>
      </c>
      <c r="B1133" s="13" t="s">
        <v>34</v>
      </c>
      <c r="C1133" s="13" t="s">
        <v>2290</v>
      </c>
      <c r="D1133" s="13" t="n">
        <v>57</v>
      </c>
      <c r="E1133" s="13" t="s">
        <v>90</v>
      </c>
      <c r="F1133" s="13" t="s">
        <v>33</v>
      </c>
      <c r="G1133" s="13" t="s">
        <v>95</v>
      </c>
      <c r="H1133" s="13" t="s">
        <v>41</v>
      </c>
      <c r="I1133" s="13" t="n">
        <v>4</v>
      </c>
      <c r="J1133" s="13" t="n">
        <v>0</v>
      </c>
      <c r="K1133" s="13" t="s">
        <v>85</v>
      </c>
      <c r="L1133" s="13" t="n">
        <v>3</v>
      </c>
      <c r="M1133" s="13" t="n">
        <v>1027140.61</v>
      </c>
      <c r="N1133" s="13" t="n">
        <v>342380.203333333</v>
      </c>
      <c r="O1133" s="13" t="n">
        <v>1161.54333333333</v>
      </c>
      <c r="P1133" s="13" t="n">
        <v>0</v>
      </c>
      <c r="Q1133" s="13" t="n">
        <v>3</v>
      </c>
      <c r="R1133" s="13" t="s">
        <v>92</v>
      </c>
      <c r="S1133" s="13" t="s">
        <v>121</v>
      </c>
      <c r="T1133" s="13" t="n">
        <v>1</v>
      </c>
      <c r="U1133" s="13" t="n">
        <f aca="false">IF(B1133="Individual",1,0)</f>
        <v>1</v>
      </c>
      <c r="V1133" s="13" t="n">
        <f aca="false">IF(B1133="Company",1,0)</f>
        <v>0</v>
      </c>
      <c r="W1133" s="13" t="n">
        <f aca="false">IF(H1133="Home",1,0)</f>
        <v>1</v>
      </c>
      <c r="X1133" s="13" t="n">
        <f aca="false">IF(H1133="Investment",1,0)</f>
        <v>0</v>
      </c>
      <c r="Y1133" s="13" t="n">
        <f aca="false">IF(K1133="Website",1,0)</f>
        <v>1</v>
      </c>
      <c r="Z1133" s="13" t="n">
        <f aca="false">IF(K1133="Agency",1,0)</f>
        <v>0</v>
      </c>
      <c r="AA1133" s="13" t="n">
        <f aca="false">IF(K1133="Client",1,0)</f>
        <v>0</v>
      </c>
      <c r="AB1133" s="13" t="n">
        <f aca="false">(D1133-AVERAGE(D$2:D$2001))/STDEV(D$2:D$2001)</f>
        <v>0.165087610062577</v>
      </c>
      <c r="AC1133" s="13" t="n">
        <f aca="false">(I1133-AVERAGE(I$2:I$2001))/STDEV(I$2:I$2001)</f>
        <v>0.686917069130275</v>
      </c>
      <c r="AD1133" s="13" t="n">
        <f aca="false">(L1133-AVERAGE(L$2:L$2001))/STDEV(L$2:L$2001)</f>
        <v>-0.777063122173208</v>
      </c>
      <c r="AE1133" s="13" t="n">
        <f aca="false">(M1133-AVERAGE(M$2:M$2001))/STDEV(M$2:M$2001)</f>
        <v>-0.670541427207664</v>
      </c>
      <c r="AF1133" s="13" t="n">
        <f aca="false">(N1133-AVERAGE(N$2:N$2001))/STDEV(N$2:N$2001)</f>
        <v>-0.0675506235101258</v>
      </c>
      <c r="AG1133" s="13" t="n">
        <f aca="false">(O1133-AVERAGE(O$2:O$2001))/STDEV(O$2:O$2001)</f>
        <v>0.0639482534896653</v>
      </c>
      <c r="AH1133" s="0" t="str">
        <f aca="false">IF(B1133="Company","C3 - Corporate Buyers",IF(AND(H1133="Investment",M1133&gt;'Segmentation Summary'!$C$1),"C1 - Global Investors",IF(AND(I1133&gt;=4,M1133&gt;'Segmentation Summary'!$C$1),"C4 - Luxury Investors",IF(AND(D1133&lt;'Segmentation Summary'!$C$2,J1133=1),"C2 - First-Time Buyers","C5 - Other Individual Buyers"))))</f>
        <v>C5 - Other Individual Buyers</v>
      </c>
    </row>
    <row r="1134" customFormat="false" ht="15" hidden="false" customHeight="true" outlineLevel="0" collapsed="false">
      <c r="A1134" s="13" t="s">
        <v>2291</v>
      </c>
      <c r="B1134" s="13" t="s">
        <v>34</v>
      </c>
      <c r="C1134" s="13" t="s">
        <v>2292</v>
      </c>
      <c r="D1134" s="13" t="n">
        <v>69</v>
      </c>
      <c r="E1134" s="13" t="s">
        <v>90</v>
      </c>
      <c r="F1134" s="13" t="s">
        <v>45</v>
      </c>
      <c r="G1134" s="13" t="s">
        <v>196</v>
      </c>
      <c r="H1134" s="13" t="s">
        <v>41</v>
      </c>
      <c r="I1134" s="13" t="n">
        <v>5</v>
      </c>
      <c r="J1134" s="13" t="n">
        <v>0</v>
      </c>
      <c r="K1134" s="13" t="s">
        <v>85</v>
      </c>
      <c r="L1134" s="13" t="n">
        <v>4</v>
      </c>
      <c r="M1134" s="13" t="n">
        <v>1378636.21</v>
      </c>
      <c r="N1134" s="13" t="n">
        <v>344659.0525</v>
      </c>
      <c r="O1134" s="13" t="n">
        <v>1184.9475</v>
      </c>
      <c r="P1134" s="13" t="n">
        <v>1</v>
      </c>
      <c r="Q1134" s="13" t="n">
        <v>3</v>
      </c>
      <c r="R1134" s="13" t="s">
        <v>111</v>
      </c>
      <c r="S1134" s="13" t="s">
        <v>133</v>
      </c>
      <c r="T1134" s="13" t="n">
        <v>1</v>
      </c>
      <c r="U1134" s="13" t="n">
        <f aca="false">IF(B1134="Individual",1,0)</f>
        <v>1</v>
      </c>
      <c r="V1134" s="13" t="n">
        <f aca="false">IF(B1134="Company",1,0)</f>
        <v>0</v>
      </c>
      <c r="W1134" s="13" t="n">
        <f aca="false">IF(H1134="Home",1,0)</f>
        <v>1</v>
      </c>
      <c r="X1134" s="13" t="n">
        <f aca="false">IF(H1134="Investment",1,0)</f>
        <v>0</v>
      </c>
      <c r="Y1134" s="13" t="n">
        <f aca="false">IF(K1134="Website",1,0)</f>
        <v>1</v>
      </c>
      <c r="Z1134" s="13" t="n">
        <f aca="false">IF(K1134="Agency",1,0)</f>
        <v>0</v>
      </c>
      <c r="AA1134" s="13" t="n">
        <f aca="false">IF(K1134="Client",1,0)</f>
        <v>0</v>
      </c>
      <c r="AB1134" s="13" t="n">
        <f aca="false">(D1134-AVERAGE(D$2:D$2001))/STDEV(D$2:D$2001)</f>
        <v>0.857037075920391</v>
      </c>
      <c r="AC1134" s="13" t="n">
        <f aca="false">(I1134-AVERAGE(I$2:I$2001))/STDEV(I$2:I$2001)</f>
        <v>1.39434968409451</v>
      </c>
      <c r="AD1134" s="13" t="n">
        <f aca="false">(L1134-AVERAGE(L$2:L$2001))/STDEV(L$2:L$2001)</f>
        <v>0.413838214490712</v>
      </c>
      <c r="AE1134" s="13" t="n">
        <f aca="false">(M1134-AVERAGE(M$2:M$2001))/STDEV(M$2:M$2001)</f>
        <v>0.339995122737842</v>
      </c>
      <c r="AF1134" s="13" t="n">
        <f aca="false">(N1134-AVERAGE(N$2:N$2001))/STDEV(N$2:N$2001)</f>
        <v>-0.0348657465608871</v>
      </c>
      <c r="AG1134" s="13" t="n">
        <f aca="false">(O1134-AVERAGE(O$2:O$2001))/STDEV(O$2:O$2001)</f>
        <v>0.170368276053923</v>
      </c>
      <c r="AH1134" s="0" t="str">
        <f aca="false">IF(B1134="Company","C3 - Corporate Buyers",IF(AND(H1134="Investment",M1134&gt;'Segmentation Summary'!$C$1),"C1 - Global Investors",IF(AND(I1134&gt;=4,M1134&gt;'Segmentation Summary'!$C$1),"C4 - Luxury Investors",IF(AND(D1134&lt;'Segmentation Summary'!$C$2,J1134=1),"C2 - First-Time Buyers","C5 - Other Individual Buyers"))))</f>
        <v>C4 - Luxury Investors</v>
      </c>
    </row>
    <row r="1135" customFormat="false" ht="15" hidden="false" customHeight="true" outlineLevel="0" collapsed="false">
      <c r="A1135" s="13" t="s">
        <v>2293</v>
      </c>
      <c r="B1135" s="13" t="s">
        <v>34</v>
      </c>
      <c r="C1135" s="13" t="s">
        <v>2292</v>
      </c>
      <c r="D1135" s="13" t="n">
        <v>63</v>
      </c>
      <c r="E1135" s="13" t="s">
        <v>90</v>
      </c>
      <c r="F1135" s="13" t="s">
        <v>33</v>
      </c>
      <c r="G1135" s="13" t="s">
        <v>106</v>
      </c>
      <c r="H1135" s="13" t="s">
        <v>41</v>
      </c>
      <c r="I1135" s="13" t="n">
        <v>4</v>
      </c>
      <c r="J1135" s="13" t="n">
        <v>0</v>
      </c>
      <c r="K1135" s="13" t="s">
        <v>91</v>
      </c>
      <c r="L1135" s="13" t="n">
        <v>4</v>
      </c>
      <c r="M1135" s="13" t="n">
        <v>1307567.64</v>
      </c>
      <c r="N1135" s="13" t="n">
        <v>326891.91</v>
      </c>
      <c r="O1135" s="13" t="n">
        <v>1255.1325</v>
      </c>
      <c r="P1135" s="13" t="n">
        <v>0</v>
      </c>
      <c r="Q1135" s="13" t="n">
        <v>4</v>
      </c>
      <c r="R1135" s="13" t="s">
        <v>111</v>
      </c>
      <c r="S1135" s="13" t="s">
        <v>133</v>
      </c>
      <c r="T1135" s="13" t="n">
        <v>1</v>
      </c>
      <c r="U1135" s="13" t="n">
        <f aca="false">IF(B1135="Individual",1,0)</f>
        <v>1</v>
      </c>
      <c r="V1135" s="13" t="n">
        <f aca="false">IF(B1135="Company",1,0)</f>
        <v>0</v>
      </c>
      <c r="W1135" s="13" t="n">
        <f aca="false">IF(H1135="Home",1,0)</f>
        <v>1</v>
      </c>
      <c r="X1135" s="13" t="n">
        <f aca="false">IF(H1135="Investment",1,0)</f>
        <v>0</v>
      </c>
      <c r="Y1135" s="13" t="n">
        <f aca="false">IF(K1135="Website",1,0)</f>
        <v>0</v>
      </c>
      <c r="Z1135" s="13" t="n">
        <f aca="false">IF(K1135="Agency",1,0)</f>
        <v>1</v>
      </c>
      <c r="AA1135" s="13" t="n">
        <f aca="false">IF(K1135="Client",1,0)</f>
        <v>0</v>
      </c>
      <c r="AB1135" s="13" t="n">
        <f aca="false">(D1135-AVERAGE(D$2:D$2001))/STDEV(D$2:D$2001)</f>
        <v>0.511062342991484</v>
      </c>
      <c r="AC1135" s="13" t="n">
        <f aca="false">(I1135-AVERAGE(I$2:I$2001))/STDEV(I$2:I$2001)</f>
        <v>0.686917069130275</v>
      </c>
      <c r="AD1135" s="13" t="n">
        <f aca="false">(L1135-AVERAGE(L$2:L$2001))/STDEV(L$2:L$2001)</f>
        <v>0.413838214490712</v>
      </c>
      <c r="AE1135" s="13" t="n">
        <f aca="false">(M1135-AVERAGE(M$2:M$2001))/STDEV(M$2:M$2001)</f>
        <v>0.135675673113549</v>
      </c>
      <c r="AF1135" s="13" t="n">
        <f aca="false">(N1135-AVERAGE(N$2:N$2001))/STDEV(N$2:N$2001)</f>
        <v>-0.289694751852818</v>
      </c>
      <c r="AG1135" s="13" t="n">
        <f aca="false">(O1135-AVERAGE(O$2:O$2001))/STDEV(O$2:O$2001)</f>
        <v>0.489503299746488</v>
      </c>
      <c r="AH1135" s="0" t="str">
        <f aca="false">IF(B1135="Company","C3 - Corporate Buyers",IF(AND(H1135="Investment",M1135&gt;'Segmentation Summary'!$C$1),"C1 - Global Investors",IF(AND(I1135&gt;=4,M1135&gt;'Segmentation Summary'!$C$1),"C4 - Luxury Investors",IF(AND(D1135&lt;'Segmentation Summary'!$C$2,J1135=1),"C2 - First-Time Buyers","C5 - Other Individual Buyers"))))</f>
        <v>C4 - Luxury Investors</v>
      </c>
    </row>
    <row r="1136" customFormat="false" ht="15" hidden="false" customHeight="true" outlineLevel="0" collapsed="false">
      <c r="A1136" s="13" t="s">
        <v>2294</v>
      </c>
      <c r="B1136" s="13" t="s">
        <v>34</v>
      </c>
      <c r="C1136" s="13" t="s">
        <v>2295</v>
      </c>
      <c r="D1136" s="13" t="n">
        <v>75</v>
      </c>
      <c r="E1136" s="13" t="s">
        <v>90</v>
      </c>
      <c r="F1136" s="13" t="s">
        <v>45</v>
      </c>
      <c r="G1136" s="13" t="s">
        <v>405</v>
      </c>
      <c r="H1136" s="13" t="s">
        <v>41</v>
      </c>
      <c r="I1136" s="13" t="n">
        <v>3</v>
      </c>
      <c r="J1136" s="13" t="n">
        <v>0</v>
      </c>
      <c r="K1136" s="13" t="s">
        <v>85</v>
      </c>
      <c r="L1136" s="13" t="n">
        <v>3</v>
      </c>
      <c r="M1136" s="13" t="n">
        <v>1282946.7</v>
      </c>
      <c r="N1136" s="13" t="n">
        <v>427648.9</v>
      </c>
      <c r="O1136" s="13" t="n">
        <v>1476.94333333333</v>
      </c>
      <c r="P1136" s="13" t="n">
        <v>1</v>
      </c>
      <c r="Q1136" s="13" t="n">
        <v>2</v>
      </c>
      <c r="R1136" s="13" t="s">
        <v>124</v>
      </c>
      <c r="S1136" s="13" t="s">
        <v>141</v>
      </c>
      <c r="T1136" s="13" t="n">
        <v>1</v>
      </c>
      <c r="U1136" s="13" t="n">
        <f aca="false">IF(B1136="Individual",1,0)</f>
        <v>1</v>
      </c>
      <c r="V1136" s="13" t="n">
        <f aca="false">IF(B1136="Company",1,0)</f>
        <v>0</v>
      </c>
      <c r="W1136" s="13" t="n">
        <f aca="false">IF(H1136="Home",1,0)</f>
        <v>1</v>
      </c>
      <c r="X1136" s="13" t="n">
        <f aca="false">IF(H1136="Investment",1,0)</f>
        <v>0</v>
      </c>
      <c r="Y1136" s="13" t="n">
        <f aca="false">IF(K1136="Website",1,0)</f>
        <v>1</v>
      </c>
      <c r="Z1136" s="13" t="n">
        <f aca="false">IF(K1136="Agency",1,0)</f>
        <v>0</v>
      </c>
      <c r="AA1136" s="13" t="n">
        <f aca="false">IF(K1136="Client",1,0)</f>
        <v>0</v>
      </c>
      <c r="AB1136" s="13" t="n">
        <f aca="false">(D1136-AVERAGE(D$2:D$2001))/STDEV(D$2:D$2001)</f>
        <v>1.2030118088493</v>
      </c>
      <c r="AC1136" s="13" t="n">
        <f aca="false">(I1136-AVERAGE(I$2:I$2001))/STDEV(I$2:I$2001)</f>
        <v>-0.0205155458339628</v>
      </c>
      <c r="AD1136" s="13" t="n">
        <f aca="false">(L1136-AVERAGE(L$2:L$2001))/STDEV(L$2:L$2001)</f>
        <v>-0.777063122173208</v>
      </c>
      <c r="AE1136" s="13" t="n">
        <f aca="false">(M1136-AVERAGE(M$2:M$2001))/STDEV(M$2:M$2001)</f>
        <v>0.064891402232163</v>
      </c>
      <c r="AF1136" s="13" t="n">
        <f aca="false">(N1136-AVERAGE(N$2:N$2001))/STDEV(N$2:N$2001)</f>
        <v>1.15543372268432</v>
      </c>
      <c r="AG1136" s="13" t="n">
        <f aca="false">(O1136-AVERAGE(O$2:O$2001))/STDEV(O$2:O$2001)</f>
        <v>1.49808925901271</v>
      </c>
      <c r="AH1136" s="0" t="str">
        <f aca="false">IF(B1136="Company","C3 - Corporate Buyers",IF(AND(H1136="Investment",M1136&gt;'Segmentation Summary'!$C$1),"C1 - Global Investors",IF(AND(I1136&gt;=4,M1136&gt;'Segmentation Summary'!$C$1),"C4 - Luxury Investors",IF(AND(D1136&lt;'Segmentation Summary'!$C$2,J1136=1),"C2 - First-Time Buyers","C5 - Other Individual Buyers"))))</f>
        <v>C5 - Other Individual Buyers</v>
      </c>
    </row>
    <row r="1137" customFormat="false" ht="15" hidden="false" customHeight="true" outlineLevel="0" collapsed="false">
      <c r="A1137" s="13" t="s">
        <v>2296</v>
      </c>
      <c r="B1137" s="13" t="s">
        <v>34</v>
      </c>
      <c r="C1137" s="13" t="s">
        <v>2297</v>
      </c>
      <c r="D1137" s="13" t="n">
        <v>61</v>
      </c>
      <c r="E1137" s="13" t="s">
        <v>90</v>
      </c>
      <c r="F1137" s="13" t="s">
        <v>33</v>
      </c>
      <c r="G1137" s="13" t="s">
        <v>100</v>
      </c>
      <c r="H1137" s="13" t="s">
        <v>43</v>
      </c>
      <c r="I1137" s="13" t="n">
        <v>1</v>
      </c>
      <c r="J1137" s="13" t="n">
        <v>1</v>
      </c>
      <c r="K1137" s="13" t="s">
        <v>91</v>
      </c>
      <c r="L1137" s="13" t="n">
        <v>3</v>
      </c>
      <c r="M1137" s="13" t="n">
        <v>1013364.3</v>
      </c>
      <c r="N1137" s="13" t="n">
        <v>337788.1</v>
      </c>
      <c r="O1137" s="13" t="n">
        <v>1074.62333333333</v>
      </c>
      <c r="P1137" s="13" t="n">
        <v>1</v>
      </c>
      <c r="Q1137" s="13" t="n">
        <v>2</v>
      </c>
      <c r="R1137" s="13" t="s">
        <v>93</v>
      </c>
      <c r="S1137" s="13" t="s">
        <v>107</v>
      </c>
      <c r="T1137" s="13" t="n">
        <v>1</v>
      </c>
      <c r="U1137" s="13" t="n">
        <f aca="false">IF(B1137="Individual",1,0)</f>
        <v>1</v>
      </c>
      <c r="V1137" s="13" t="n">
        <f aca="false">IF(B1137="Company",1,0)</f>
        <v>0</v>
      </c>
      <c r="W1137" s="13" t="n">
        <f aca="false">IF(H1137="Home",1,0)</f>
        <v>0</v>
      </c>
      <c r="X1137" s="13" t="n">
        <f aca="false">IF(H1137="Investment",1,0)</f>
        <v>1</v>
      </c>
      <c r="Y1137" s="13" t="n">
        <f aca="false">IF(K1137="Website",1,0)</f>
        <v>0</v>
      </c>
      <c r="Z1137" s="13" t="n">
        <f aca="false">IF(K1137="Agency",1,0)</f>
        <v>1</v>
      </c>
      <c r="AA1137" s="13" t="n">
        <f aca="false">IF(K1137="Client",1,0)</f>
        <v>0</v>
      </c>
      <c r="AB1137" s="13" t="n">
        <f aca="false">(D1137-AVERAGE(D$2:D$2001))/STDEV(D$2:D$2001)</f>
        <v>0.395737432015182</v>
      </c>
      <c r="AC1137" s="13" t="n">
        <f aca="false">(I1137-AVERAGE(I$2:I$2001))/STDEV(I$2:I$2001)</f>
        <v>-1.43538077576244</v>
      </c>
      <c r="AD1137" s="13" t="n">
        <f aca="false">(L1137-AVERAGE(L$2:L$2001))/STDEV(L$2:L$2001)</f>
        <v>-0.777063122173208</v>
      </c>
      <c r="AE1137" s="13" t="n">
        <f aca="false">(M1137-AVERAGE(M$2:M$2001))/STDEV(M$2:M$2001)</f>
        <v>-0.710147797183219</v>
      </c>
      <c r="AF1137" s="13" t="n">
        <f aca="false">(N1137-AVERAGE(N$2:N$2001))/STDEV(N$2:N$2001)</f>
        <v>-0.133413838409822</v>
      </c>
      <c r="AG1137" s="13" t="n">
        <f aca="false">(O1137-AVERAGE(O$2:O$2001))/STDEV(O$2:O$2001)</f>
        <v>-0.331281728121189</v>
      </c>
      <c r="AH1137" s="0" t="str">
        <f aca="false">IF(B1137="Company","C3 - Corporate Buyers",IF(AND(H1137="Investment",M1137&gt;'Segmentation Summary'!$C$1),"C1 - Global Investors",IF(AND(I1137&gt;=4,M1137&gt;'Segmentation Summary'!$C$1),"C4 - Luxury Investors",IF(AND(D1137&lt;'Segmentation Summary'!$C$2,J1137=1),"C2 - First-Time Buyers","C5 - Other Individual Buyers"))))</f>
        <v>C5 - Other Individual Buyers</v>
      </c>
    </row>
    <row r="1138" customFormat="false" ht="15" hidden="false" customHeight="true" outlineLevel="0" collapsed="false">
      <c r="A1138" s="13" t="s">
        <v>2298</v>
      </c>
      <c r="B1138" s="13" t="s">
        <v>34</v>
      </c>
      <c r="C1138" s="13" t="s">
        <v>2299</v>
      </c>
      <c r="D1138" s="13" t="n">
        <v>71</v>
      </c>
      <c r="E1138" s="13" t="s">
        <v>90</v>
      </c>
      <c r="F1138" s="13" t="s">
        <v>33</v>
      </c>
      <c r="G1138" s="13" t="s">
        <v>157</v>
      </c>
      <c r="H1138" s="13" t="s">
        <v>41</v>
      </c>
      <c r="I1138" s="13" t="n">
        <v>4</v>
      </c>
      <c r="J1138" s="13" t="n">
        <v>1</v>
      </c>
      <c r="K1138" s="13" t="s">
        <v>116</v>
      </c>
      <c r="L1138" s="13" t="n">
        <v>3</v>
      </c>
      <c r="M1138" s="13" t="n">
        <v>890250.61</v>
      </c>
      <c r="N1138" s="13" t="n">
        <v>296750.203333333</v>
      </c>
      <c r="O1138" s="13" t="n">
        <v>874.19</v>
      </c>
      <c r="P1138" s="13" t="n">
        <v>0</v>
      </c>
      <c r="Q1138" s="13" t="n">
        <v>3</v>
      </c>
      <c r="R1138" s="13" t="s">
        <v>111</v>
      </c>
      <c r="S1138" s="13" t="s">
        <v>87</v>
      </c>
      <c r="T1138" s="13" t="n">
        <v>1</v>
      </c>
      <c r="U1138" s="13" t="n">
        <f aca="false">IF(B1138="Individual",1,0)</f>
        <v>1</v>
      </c>
      <c r="V1138" s="13" t="n">
        <f aca="false">IF(B1138="Company",1,0)</f>
        <v>0</v>
      </c>
      <c r="W1138" s="13" t="n">
        <f aca="false">IF(H1138="Home",1,0)</f>
        <v>1</v>
      </c>
      <c r="X1138" s="13" t="n">
        <f aca="false">IF(H1138="Investment",1,0)</f>
        <v>0</v>
      </c>
      <c r="Y1138" s="13" t="n">
        <f aca="false">IF(K1138="Website",1,0)</f>
        <v>0</v>
      </c>
      <c r="Z1138" s="13" t="n">
        <f aca="false">IF(K1138="Agency",1,0)</f>
        <v>0</v>
      </c>
      <c r="AA1138" s="13" t="n">
        <f aca="false">IF(K1138="Client",1,0)</f>
        <v>1</v>
      </c>
      <c r="AB1138" s="13" t="n">
        <f aca="false">(D1138-AVERAGE(D$2:D$2001))/STDEV(D$2:D$2001)</f>
        <v>0.972361986896694</v>
      </c>
      <c r="AC1138" s="13" t="n">
        <f aca="false">(I1138-AVERAGE(I$2:I$2001))/STDEV(I$2:I$2001)</f>
        <v>0.686917069130275</v>
      </c>
      <c r="AD1138" s="13" t="n">
        <f aca="false">(L1138-AVERAGE(L$2:L$2001))/STDEV(L$2:L$2001)</f>
        <v>-0.777063122173208</v>
      </c>
      <c r="AE1138" s="13" t="n">
        <f aca="false">(M1138-AVERAGE(M$2:M$2001))/STDEV(M$2:M$2001)</f>
        <v>-1.06409499749998</v>
      </c>
      <c r="AF1138" s="13" t="n">
        <f aca="false">(N1138-AVERAGE(N$2:N$2001))/STDEV(N$2:N$2001)</f>
        <v>-0.722008565268109</v>
      </c>
      <c r="AG1138" s="13" t="n">
        <f aca="false">(O1138-AVERAGE(O$2:O$2001))/STDEV(O$2:O$2001)</f>
        <v>-1.24266302871408</v>
      </c>
      <c r="AH1138" s="0" t="str">
        <f aca="false">IF(B1138="Company","C3 - Corporate Buyers",IF(AND(H1138="Investment",M1138&gt;'Segmentation Summary'!$C$1),"C1 - Global Investors",IF(AND(I1138&gt;=4,M1138&gt;'Segmentation Summary'!$C$1),"C4 - Luxury Investors",IF(AND(D1138&lt;'Segmentation Summary'!$C$2,J1138=1),"C2 - First-Time Buyers","C5 - Other Individual Buyers"))))</f>
        <v>C5 - Other Individual Buyers</v>
      </c>
    </row>
    <row r="1139" customFormat="false" ht="15" hidden="false" customHeight="true" outlineLevel="0" collapsed="false">
      <c r="A1139" s="13" t="s">
        <v>2300</v>
      </c>
      <c r="B1139" s="13" t="s">
        <v>34</v>
      </c>
      <c r="C1139" s="13" t="s">
        <v>2301</v>
      </c>
      <c r="D1139" s="13" t="n">
        <v>73</v>
      </c>
      <c r="E1139" s="13" t="s">
        <v>90</v>
      </c>
      <c r="F1139" s="13" t="s">
        <v>33</v>
      </c>
      <c r="G1139" s="13" t="s">
        <v>95</v>
      </c>
      <c r="H1139" s="13" t="s">
        <v>43</v>
      </c>
      <c r="I1139" s="13" t="n">
        <v>1</v>
      </c>
      <c r="J1139" s="13" t="n">
        <v>0</v>
      </c>
      <c r="K1139" s="13" t="s">
        <v>91</v>
      </c>
      <c r="L1139" s="13" t="n">
        <v>3</v>
      </c>
      <c r="M1139" s="13" t="n">
        <v>1098189.89</v>
      </c>
      <c r="N1139" s="13" t="n">
        <v>366063.296666667</v>
      </c>
      <c r="O1139" s="13" t="n">
        <v>1308.51333333333</v>
      </c>
      <c r="P1139" s="13" t="n">
        <v>0</v>
      </c>
      <c r="Q1139" s="13" t="n">
        <v>3</v>
      </c>
      <c r="R1139" s="13" t="s">
        <v>86</v>
      </c>
      <c r="S1139" s="13" t="s">
        <v>114</v>
      </c>
      <c r="T1139" s="13" t="n">
        <v>1</v>
      </c>
      <c r="U1139" s="13" t="n">
        <f aca="false">IF(B1139="Individual",1,0)</f>
        <v>1</v>
      </c>
      <c r="V1139" s="13" t="n">
        <f aca="false">IF(B1139="Company",1,0)</f>
        <v>0</v>
      </c>
      <c r="W1139" s="13" t="n">
        <f aca="false">IF(H1139="Home",1,0)</f>
        <v>0</v>
      </c>
      <c r="X1139" s="13" t="n">
        <f aca="false">IF(H1139="Investment",1,0)</f>
        <v>1</v>
      </c>
      <c r="Y1139" s="13" t="n">
        <f aca="false">IF(K1139="Website",1,0)</f>
        <v>0</v>
      </c>
      <c r="Z1139" s="13" t="n">
        <f aca="false">IF(K1139="Agency",1,0)</f>
        <v>1</v>
      </c>
      <c r="AA1139" s="13" t="n">
        <f aca="false">IF(K1139="Client",1,0)</f>
        <v>0</v>
      </c>
      <c r="AB1139" s="13" t="n">
        <f aca="false">(D1139-AVERAGE(D$2:D$2001))/STDEV(D$2:D$2001)</f>
        <v>1.087686897873</v>
      </c>
      <c r="AC1139" s="13" t="n">
        <f aca="false">(I1139-AVERAGE(I$2:I$2001))/STDEV(I$2:I$2001)</f>
        <v>-1.43538077576244</v>
      </c>
      <c r="AD1139" s="13" t="n">
        <f aca="false">(L1139-AVERAGE(L$2:L$2001))/STDEV(L$2:L$2001)</f>
        <v>-0.777063122173208</v>
      </c>
      <c r="AE1139" s="13" t="n">
        <f aca="false">(M1139-AVERAGE(M$2:M$2001))/STDEV(M$2:M$2001)</f>
        <v>-0.466277435603467</v>
      </c>
      <c r="AF1139" s="13" t="n">
        <f aca="false">(N1139-AVERAGE(N$2:N$2001))/STDEV(N$2:N$2001)</f>
        <v>0.272129159908589</v>
      </c>
      <c r="AG1139" s="13" t="n">
        <f aca="false">(O1139-AVERAGE(O$2:O$2001))/STDEV(O$2:O$2001)</f>
        <v>0.732228860914276</v>
      </c>
      <c r="AH1139" s="0" t="str">
        <f aca="false">IF(B1139="Company","C3 - Corporate Buyers",IF(AND(H1139="Investment",M1139&gt;'Segmentation Summary'!$C$1),"C1 - Global Investors",IF(AND(I1139&gt;=4,M1139&gt;'Segmentation Summary'!$C$1),"C4 - Luxury Investors",IF(AND(D1139&lt;'Segmentation Summary'!$C$2,J1139=1),"C2 - First-Time Buyers","C5 - Other Individual Buyers"))))</f>
        <v>C5 - Other Individual Buyers</v>
      </c>
    </row>
    <row r="1140" customFormat="false" ht="15" hidden="false" customHeight="true" outlineLevel="0" collapsed="false">
      <c r="A1140" s="13" t="s">
        <v>2302</v>
      </c>
      <c r="B1140" s="13" t="s">
        <v>34</v>
      </c>
      <c r="C1140" s="13" t="s">
        <v>2303</v>
      </c>
      <c r="D1140" s="13" t="n">
        <v>72</v>
      </c>
      <c r="E1140" s="13" t="s">
        <v>90</v>
      </c>
      <c r="F1140" s="13" t="s">
        <v>33</v>
      </c>
      <c r="G1140" s="13" t="s">
        <v>162</v>
      </c>
      <c r="H1140" s="13" t="s">
        <v>41</v>
      </c>
      <c r="I1140" s="13" t="n">
        <v>5</v>
      </c>
      <c r="J1140" s="13" t="n">
        <v>1</v>
      </c>
      <c r="K1140" s="13" t="s">
        <v>85</v>
      </c>
      <c r="L1140" s="13" t="n">
        <v>3</v>
      </c>
      <c r="M1140" s="13" t="n">
        <v>756694.83</v>
      </c>
      <c r="N1140" s="13" t="n">
        <v>252231.61</v>
      </c>
      <c r="O1140" s="13" t="n">
        <v>952.263333333333</v>
      </c>
      <c r="P1140" s="13" t="n">
        <v>0</v>
      </c>
      <c r="Q1140" s="13" t="n">
        <v>3</v>
      </c>
      <c r="R1140" s="13" t="s">
        <v>101</v>
      </c>
      <c r="S1140" s="13" t="s">
        <v>93</v>
      </c>
      <c r="T1140" s="13" t="n">
        <v>1</v>
      </c>
      <c r="U1140" s="13" t="n">
        <f aca="false">IF(B1140="Individual",1,0)</f>
        <v>1</v>
      </c>
      <c r="V1140" s="13" t="n">
        <f aca="false">IF(B1140="Company",1,0)</f>
        <v>0</v>
      </c>
      <c r="W1140" s="13" t="n">
        <f aca="false">IF(H1140="Home",1,0)</f>
        <v>1</v>
      </c>
      <c r="X1140" s="13" t="n">
        <f aca="false">IF(H1140="Investment",1,0)</f>
        <v>0</v>
      </c>
      <c r="Y1140" s="13" t="n">
        <f aca="false">IF(K1140="Website",1,0)</f>
        <v>1</v>
      </c>
      <c r="Z1140" s="13" t="n">
        <f aca="false">IF(K1140="Agency",1,0)</f>
        <v>0</v>
      </c>
      <c r="AA1140" s="13" t="n">
        <f aca="false">IF(K1140="Client",1,0)</f>
        <v>0</v>
      </c>
      <c r="AB1140" s="13" t="n">
        <f aca="false">(D1140-AVERAGE(D$2:D$2001))/STDEV(D$2:D$2001)</f>
        <v>1.03002444238485</v>
      </c>
      <c r="AC1140" s="13" t="n">
        <f aca="false">(I1140-AVERAGE(I$2:I$2001))/STDEV(I$2:I$2001)</f>
        <v>1.39434968409451</v>
      </c>
      <c r="AD1140" s="13" t="n">
        <f aca="false">(L1140-AVERAGE(L$2:L$2001))/STDEV(L$2:L$2001)</f>
        <v>-0.777063122173208</v>
      </c>
      <c r="AE1140" s="13" t="n">
        <f aca="false">(M1140-AVERAGE(M$2:M$2001))/STDEV(M$2:M$2001)</f>
        <v>-1.44806281145407</v>
      </c>
      <c r="AF1140" s="13" t="n">
        <f aca="false">(N1140-AVERAGE(N$2:N$2001))/STDEV(N$2:N$2001)</f>
        <v>-1.36052592145688</v>
      </c>
      <c r="AG1140" s="13" t="n">
        <f aca="false">(O1140-AVERAGE(O$2:O$2001))/STDEV(O$2:O$2001)</f>
        <v>-0.887659323034936</v>
      </c>
      <c r="AH1140" s="0" t="str">
        <f aca="false">IF(B1140="Company","C3 - Corporate Buyers",IF(AND(H1140="Investment",M1140&gt;'Segmentation Summary'!$C$1),"C1 - Global Investors",IF(AND(I1140&gt;=4,M1140&gt;'Segmentation Summary'!$C$1),"C4 - Luxury Investors",IF(AND(D1140&lt;'Segmentation Summary'!$C$2,J1140=1),"C2 - First-Time Buyers","C5 - Other Individual Buyers"))))</f>
        <v>C5 - Other Individual Buyers</v>
      </c>
    </row>
    <row r="1141" customFormat="false" ht="15" hidden="false" customHeight="true" outlineLevel="0" collapsed="false">
      <c r="A1141" s="13" t="s">
        <v>2304</v>
      </c>
      <c r="B1141" s="13" t="s">
        <v>34</v>
      </c>
      <c r="C1141" s="13" t="s">
        <v>2305</v>
      </c>
      <c r="D1141" s="13" t="n">
        <v>75</v>
      </c>
      <c r="E1141" s="13" t="s">
        <v>90</v>
      </c>
      <c r="F1141" s="13" t="s">
        <v>33</v>
      </c>
      <c r="G1141" s="13" t="s">
        <v>95</v>
      </c>
      <c r="H1141" s="13" t="s">
        <v>41</v>
      </c>
      <c r="I1141" s="13" t="n">
        <v>3</v>
      </c>
      <c r="J1141" s="13" t="n">
        <v>1</v>
      </c>
      <c r="K1141" s="13" t="s">
        <v>91</v>
      </c>
      <c r="L1141" s="13" t="n">
        <v>4</v>
      </c>
      <c r="M1141" s="13" t="n">
        <v>1537205.06</v>
      </c>
      <c r="N1141" s="13" t="n">
        <v>384301.265</v>
      </c>
      <c r="O1141" s="13" t="n">
        <v>1227.17</v>
      </c>
      <c r="P1141" s="13" t="n">
        <v>2</v>
      </c>
      <c r="Q1141" s="13" t="n">
        <v>2</v>
      </c>
      <c r="R1141" s="13" t="s">
        <v>117</v>
      </c>
      <c r="S1141" s="13" t="s">
        <v>114</v>
      </c>
      <c r="T1141" s="13" t="n">
        <v>1</v>
      </c>
      <c r="U1141" s="13" t="n">
        <f aca="false">IF(B1141="Individual",1,0)</f>
        <v>1</v>
      </c>
      <c r="V1141" s="13" t="n">
        <f aca="false">IF(B1141="Company",1,0)</f>
        <v>0</v>
      </c>
      <c r="W1141" s="13" t="n">
        <f aca="false">IF(H1141="Home",1,0)</f>
        <v>1</v>
      </c>
      <c r="X1141" s="13" t="n">
        <f aca="false">IF(H1141="Investment",1,0)</f>
        <v>0</v>
      </c>
      <c r="Y1141" s="13" t="n">
        <f aca="false">IF(K1141="Website",1,0)</f>
        <v>0</v>
      </c>
      <c r="Z1141" s="13" t="n">
        <f aca="false">IF(K1141="Agency",1,0)</f>
        <v>1</v>
      </c>
      <c r="AA1141" s="13" t="n">
        <f aca="false">IF(K1141="Client",1,0)</f>
        <v>0</v>
      </c>
      <c r="AB1141" s="13" t="n">
        <f aca="false">(D1141-AVERAGE(D$2:D$2001))/STDEV(D$2:D$2001)</f>
        <v>1.2030118088493</v>
      </c>
      <c r="AC1141" s="13" t="n">
        <f aca="false">(I1141-AVERAGE(I$2:I$2001))/STDEV(I$2:I$2001)</f>
        <v>-0.0205155458339628</v>
      </c>
      <c r="AD1141" s="13" t="n">
        <f aca="false">(L1141-AVERAGE(L$2:L$2001))/STDEV(L$2:L$2001)</f>
        <v>0.413838214490712</v>
      </c>
      <c r="AE1141" s="13" t="n">
        <f aca="false">(M1141-AVERAGE(M$2:M$2001))/STDEV(M$2:M$2001)</f>
        <v>0.79587456648572</v>
      </c>
      <c r="AF1141" s="13" t="n">
        <f aca="false">(N1141-AVERAGE(N$2:N$2001))/STDEV(N$2:N$2001)</f>
        <v>0.533711084459989</v>
      </c>
      <c r="AG1141" s="13" t="n">
        <f aca="false">(O1141-AVERAGE(O$2:O$2001))/STDEV(O$2:O$2001)</f>
        <v>0.362356286851948</v>
      </c>
      <c r="AH1141" s="0" t="str">
        <f aca="false">IF(B1141="Company","C3 - Corporate Buyers",IF(AND(H1141="Investment",M1141&gt;'Segmentation Summary'!$C$1),"C1 - Global Investors",IF(AND(I1141&gt;=4,M1141&gt;'Segmentation Summary'!$C$1),"C4 - Luxury Investors",IF(AND(D1141&lt;'Segmentation Summary'!$C$2,J1141=1),"C2 - First-Time Buyers","C5 - Other Individual Buyers"))))</f>
        <v>C5 - Other Individual Buyers</v>
      </c>
    </row>
    <row r="1142" customFormat="false" ht="15" hidden="false" customHeight="true" outlineLevel="0" collapsed="false">
      <c r="A1142" s="13" t="s">
        <v>2306</v>
      </c>
      <c r="B1142" s="13" t="s">
        <v>34</v>
      </c>
      <c r="C1142" s="13" t="s">
        <v>2307</v>
      </c>
      <c r="D1142" s="13" t="n">
        <v>27</v>
      </c>
      <c r="E1142" s="13" t="s">
        <v>90</v>
      </c>
      <c r="F1142" s="13" t="s">
        <v>33</v>
      </c>
      <c r="G1142" s="13" t="s">
        <v>100</v>
      </c>
      <c r="H1142" s="13" t="s">
        <v>41</v>
      </c>
      <c r="I1142" s="13" t="n">
        <v>4</v>
      </c>
      <c r="J1142" s="13" t="n">
        <v>0</v>
      </c>
      <c r="K1142" s="13" t="s">
        <v>85</v>
      </c>
      <c r="L1142" s="13" t="n">
        <v>3</v>
      </c>
      <c r="M1142" s="13" t="n">
        <v>1674072.07</v>
      </c>
      <c r="N1142" s="13" t="n">
        <v>558024.023333333</v>
      </c>
      <c r="O1142" s="13" t="n">
        <v>1733.68</v>
      </c>
      <c r="P1142" s="13" t="n">
        <v>1</v>
      </c>
      <c r="Q1142" s="13" t="n">
        <v>2</v>
      </c>
      <c r="R1142" s="13" t="s">
        <v>150</v>
      </c>
      <c r="S1142" s="13" t="s">
        <v>141</v>
      </c>
      <c r="T1142" s="13" t="n">
        <v>1</v>
      </c>
      <c r="U1142" s="13" t="n">
        <f aca="false">IF(B1142="Individual",1,0)</f>
        <v>1</v>
      </c>
      <c r="V1142" s="13" t="n">
        <f aca="false">IF(B1142="Company",1,0)</f>
        <v>0</v>
      </c>
      <c r="W1142" s="13" t="n">
        <f aca="false">IF(H1142="Home",1,0)</f>
        <v>1</v>
      </c>
      <c r="X1142" s="13" t="n">
        <f aca="false">IF(H1142="Investment",1,0)</f>
        <v>0</v>
      </c>
      <c r="Y1142" s="13" t="n">
        <f aca="false">IF(K1142="Website",1,0)</f>
        <v>1</v>
      </c>
      <c r="Z1142" s="13" t="n">
        <f aca="false">IF(K1142="Agency",1,0)</f>
        <v>0</v>
      </c>
      <c r="AA1142" s="13" t="n">
        <f aca="false">IF(K1142="Client",1,0)</f>
        <v>0</v>
      </c>
      <c r="AB1142" s="13" t="n">
        <f aca="false">(D1142-AVERAGE(D$2:D$2001))/STDEV(D$2:D$2001)</f>
        <v>-1.56478605458196</v>
      </c>
      <c r="AC1142" s="13" t="n">
        <f aca="false">(I1142-AVERAGE(I$2:I$2001))/STDEV(I$2:I$2001)</f>
        <v>0.686917069130275</v>
      </c>
      <c r="AD1142" s="13" t="n">
        <f aca="false">(L1142-AVERAGE(L$2:L$2001))/STDEV(L$2:L$2001)</f>
        <v>-0.777063122173208</v>
      </c>
      <c r="AE1142" s="13" t="n">
        <f aca="false">(M1142-AVERAGE(M$2:M$2001))/STDEV(M$2:M$2001)</f>
        <v>1.18936204139794</v>
      </c>
      <c r="AF1142" s="13" t="n">
        <f aca="false">(N1142-AVERAGE(N$2:N$2001))/STDEV(N$2:N$2001)</f>
        <v>3.02536654918391</v>
      </c>
      <c r="AG1142" s="13" t="n">
        <f aca="false">(O1142-AVERAGE(O$2:O$2001))/STDEV(O$2:O$2001)</f>
        <v>2.66548488770001</v>
      </c>
      <c r="AH1142" s="0" t="str">
        <f aca="false">IF(B1142="Company","C3 - Corporate Buyers",IF(AND(H1142="Investment",M1142&gt;'Segmentation Summary'!$C$1),"C1 - Global Investors",IF(AND(I1142&gt;=4,M1142&gt;'Segmentation Summary'!$C$1),"C4 - Luxury Investors",IF(AND(D1142&lt;'Segmentation Summary'!$C$2,J1142=1),"C2 - First-Time Buyers","C5 - Other Individual Buyers"))))</f>
        <v>C4 - Luxury Investors</v>
      </c>
    </row>
    <row r="1143" customFormat="false" ht="15" hidden="false" customHeight="true" outlineLevel="0" collapsed="false">
      <c r="A1143" s="13" t="s">
        <v>2308</v>
      </c>
      <c r="B1143" s="13" t="s">
        <v>34</v>
      </c>
      <c r="C1143" s="13" t="s">
        <v>2309</v>
      </c>
      <c r="D1143" s="13" t="n">
        <v>29</v>
      </c>
      <c r="E1143" s="13" t="s">
        <v>90</v>
      </c>
      <c r="F1143" s="13" t="s">
        <v>33</v>
      </c>
      <c r="G1143" s="13" t="s">
        <v>120</v>
      </c>
      <c r="H1143" s="13" t="s">
        <v>41</v>
      </c>
      <c r="I1143" s="13" t="n">
        <v>4</v>
      </c>
      <c r="J1143" s="13" t="n">
        <v>0</v>
      </c>
      <c r="K1143" s="13" t="s">
        <v>85</v>
      </c>
      <c r="L1143" s="13" t="n">
        <v>3</v>
      </c>
      <c r="M1143" s="13" t="n">
        <v>1089074.71</v>
      </c>
      <c r="N1143" s="13" t="n">
        <v>363024.903333333</v>
      </c>
      <c r="O1143" s="13" t="n">
        <v>1168.38333333333</v>
      </c>
      <c r="P1143" s="13" t="n">
        <v>1</v>
      </c>
      <c r="Q1143" s="13" t="n">
        <v>2</v>
      </c>
      <c r="R1143" s="13" t="s">
        <v>86</v>
      </c>
      <c r="S1143" s="13" t="s">
        <v>154</v>
      </c>
      <c r="T1143" s="13" t="n">
        <v>1</v>
      </c>
      <c r="U1143" s="13" t="n">
        <f aca="false">IF(B1143="Individual",1,0)</f>
        <v>1</v>
      </c>
      <c r="V1143" s="13" t="n">
        <f aca="false">IF(B1143="Company",1,0)</f>
        <v>0</v>
      </c>
      <c r="W1143" s="13" t="n">
        <f aca="false">IF(H1143="Home",1,0)</f>
        <v>1</v>
      </c>
      <c r="X1143" s="13" t="n">
        <f aca="false">IF(H1143="Investment",1,0)</f>
        <v>0</v>
      </c>
      <c r="Y1143" s="13" t="n">
        <f aca="false">IF(K1143="Website",1,0)</f>
        <v>1</v>
      </c>
      <c r="Z1143" s="13" t="n">
        <f aca="false">IF(K1143="Agency",1,0)</f>
        <v>0</v>
      </c>
      <c r="AA1143" s="13" t="n">
        <f aca="false">IF(K1143="Client",1,0)</f>
        <v>0</v>
      </c>
      <c r="AB1143" s="13" t="n">
        <f aca="false">(D1143-AVERAGE(D$2:D$2001))/STDEV(D$2:D$2001)</f>
        <v>-1.44946114360566</v>
      </c>
      <c r="AC1143" s="13" t="n">
        <f aca="false">(I1143-AVERAGE(I$2:I$2001))/STDEV(I$2:I$2001)</f>
        <v>0.686917069130275</v>
      </c>
      <c r="AD1143" s="13" t="n">
        <f aca="false">(L1143-AVERAGE(L$2:L$2001))/STDEV(L$2:L$2001)</f>
        <v>-0.777063122173208</v>
      </c>
      <c r="AE1143" s="13" t="n">
        <f aca="false">(M1143-AVERAGE(M$2:M$2001))/STDEV(M$2:M$2001)</f>
        <v>-0.492483233199034</v>
      </c>
      <c r="AF1143" s="13" t="n">
        <f aca="false">(N1143-AVERAGE(N$2:N$2001))/STDEV(N$2:N$2001)</f>
        <v>0.228550359838789</v>
      </c>
      <c r="AG1143" s="13" t="n">
        <f aca="false">(O1143-AVERAGE(O$2:O$2001))/STDEV(O$2:O$2001)</f>
        <v>0.09505010662149</v>
      </c>
      <c r="AH1143" s="0" t="str">
        <f aca="false">IF(B1143="Company","C3 - Corporate Buyers",IF(AND(H1143="Investment",M1143&gt;'Segmentation Summary'!$C$1),"C1 - Global Investors",IF(AND(I1143&gt;=4,M1143&gt;'Segmentation Summary'!$C$1),"C4 - Luxury Investors",IF(AND(D1143&lt;'Segmentation Summary'!$C$2,J1143=1),"C2 - First-Time Buyers","C5 - Other Individual Buyers"))))</f>
        <v>C5 - Other Individual Buyers</v>
      </c>
    </row>
    <row r="1144" customFormat="false" ht="15" hidden="false" customHeight="true" outlineLevel="0" collapsed="false">
      <c r="A1144" s="13" t="s">
        <v>2310</v>
      </c>
      <c r="B1144" s="13" t="s">
        <v>34</v>
      </c>
      <c r="C1144" s="13" t="s">
        <v>2311</v>
      </c>
      <c r="D1144" s="13" t="n">
        <v>69</v>
      </c>
      <c r="E1144" s="13" t="s">
        <v>90</v>
      </c>
      <c r="F1144" s="13" t="s">
        <v>33</v>
      </c>
      <c r="G1144" s="13" t="s">
        <v>100</v>
      </c>
      <c r="H1144" s="13" t="s">
        <v>43</v>
      </c>
      <c r="I1144" s="13" t="n">
        <v>3</v>
      </c>
      <c r="J1144" s="13" t="n">
        <v>1</v>
      </c>
      <c r="K1144" s="13" t="s">
        <v>85</v>
      </c>
      <c r="L1144" s="13" t="n">
        <v>4</v>
      </c>
      <c r="M1144" s="13" t="n">
        <v>1138394.29</v>
      </c>
      <c r="N1144" s="13" t="n">
        <v>284598.5725</v>
      </c>
      <c r="O1144" s="13" t="n">
        <v>922.66</v>
      </c>
      <c r="P1144" s="13" t="n">
        <v>0</v>
      </c>
      <c r="Q1144" s="13" t="n">
        <v>4</v>
      </c>
      <c r="R1144" s="13" t="s">
        <v>101</v>
      </c>
      <c r="S1144" s="13" t="s">
        <v>141</v>
      </c>
      <c r="T1144" s="13" t="n">
        <v>1</v>
      </c>
      <c r="U1144" s="13" t="n">
        <f aca="false">IF(B1144="Individual",1,0)</f>
        <v>1</v>
      </c>
      <c r="V1144" s="13" t="n">
        <f aca="false">IF(B1144="Company",1,0)</f>
        <v>0</v>
      </c>
      <c r="W1144" s="13" t="n">
        <f aca="false">IF(H1144="Home",1,0)</f>
        <v>0</v>
      </c>
      <c r="X1144" s="13" t="n">
        <f aca="false">IF(H1144="Investment",1,0)</f>
        <v>1</v>
      </c>
      <c r="Y1144" s="13" t="n">
        <f aca="false">IF(K1144="Website",1,0)</f>
        <v>1</v>
      </c>
      <c r="Z1144" s="13" t="n">
        <f aca="false">IF(K1144="Agency",1,0)</f>
        <v>0</v>
      </c>
      <c r="AA1144" s="13" t="n">
        <f aca="false">IF(K1144="Client",1,0)</f>
        <v>0</v>
      </c>
      <c r="AB1144" s="13" t="n">
        <f aca="false">(D1144-AVERAGE(D$2:D$2001))/STDEV(D$2:D$2001)</f>
        <v>0.857037075920391</v>
      </c>
      <c r="AC1144" s="13" t="n">
        <f aca="false">(I1144-AVERAGE(I$2:I$2001))/STDEV(I$2:I$2001)</f>
        <v>-0.0205155458339628</v>
      </c>
      <c r="AD1144" s="13" t="n">
        <f aca="false">(L1144-AVERAGE(L$2:L$2001))/STDEV(L$2:L$2001)</f>
        <v>0.413838214490712</v>
      </c>
      <c r="AE1144" s="13" t="n">
        <f aca="false">(M1144-AVERAGE(M$2:M$2001))/STDEV(M$2:M$2001)</f>
        <v>-0.35069130687631</v>
      </c>
      <c r="AF1144" s="13" t="n">
        <f aca="false">(N1144-AVERAGE(N$2:N$2001))/STDEV(N$2:N$2001)</f>
        <v>-0.896295904829493</v>
      </c>
      <c r="AG1144" s="13" t="n">
        <f aca="false">(O1144-AVERAGE(O$2:O$2001))/STDEV(O$2:O$2001)</f>
        <v>-1.02226729460596</v>
      </c>
      <c r="AH1144" s="0" t="str">
        <f aca="false">IF(B1144="Company","C3 - Corporate Buyers",IF(AND(H1144="Investment",M1144&gt;'Segmentation Summary'!$C$1),"C1 - Global Investors",IF(AND(I1144&gt;=4,M1144&gt;'Segmentation Summary'!$C$1),"C4 - Luxury Investors",IF(AND(D1144&lt;'Segmentation Summary'!$C$2,J1144=1),"C2 - First-Time Buyers","C5 - Other Individual Buyers"))))</f>
        <v>C5 - Other Individual Buyers</v>
      </c>
    </row>
    <row r="1145" customFormat="false" ht="15" hidden="false" customHeight="true" outlineLevel="0" collapsed="false">
      <c r="A1145" s="13" t="s">
        <v>2312</v>
      </c>
      <c r="B1145" s="13" t="s">
        <v>34</v>
      </c>
      <c r="C1145" s="13" t="s">
        <v>2313</v>
      </c>
      <c r="D1145" s="13" t="n">
        <v>33</v>
      </c>
      <c r="E1145" s="13" t="s">
        <v>90</v>
      </c>
      <c r="F1145" s="13" t="s">
        <v>33</v>
      </c>
      <c r="G1145" s="13" t="s">
        <v>106</v>
      </c>
      <c r="H1145" s="13" t="s">
        <v>43</v>
      </c>
      <c r="I1145" s="13" t="n">
        <v>5</v>
      </c>
      <c r="J1145" s="13" t="n">
        <v>1</v>
      </c>
      <c r="K1145" s="13" t="s">
        <v>116</v>
      </c>
      <c r="L1145" s="13" t="n">
        <v>4</v>
      </c>
      <c r="M1145" s="13" t="n">
        <v>1278753.71</v>
      </c>
      <c r="N1145" s="13" t="n">
        <v>319688.4275</v>
      </c>
      <c r="O1145" s="13" t="n">
        <v>1070.72</v>
      </c>
      <c r="P1145" s="13" t="n">
        <v>0</v>
      </c>
      <c r="Q1145" s="13" t="n">
        <v>4</v>
      </c>
      <c r="R1145" s="13" t="s">
        <v>101</v>
      </c>
      <c r="S1145" s="13" t="s">
        <v>164</v>
      </c>
      <c r="T1145" s="13" t="n">
        <v>1</v>
      </c>
      <c r="U1145" s="13" t="n">
        <f aca="false">IF(B1145="Individual",1,0)</f>
        <v>1</v>
      </c>
      <c r="V1145" s="13" t="n">
        <f aca="false">IF(B1145="Company",1,0)</f>
        <v>0</v>
      </c>
      <c r="W1145" s="13" t="n">
        <f aca="false">IF(H1145="Home",1,0)</f>
        <v>0</v>
      </c>
      <c r="X1145" s="13" t="n">
        <f aca="false">IF(H1145="Investment",1,0)</f>
        <v>1</v>
      </c>
      <c r="Y1145" s="13" t="n">
        <f aca="false">IF(K1145="Website",1,0)</f>
        <v>0</v>
      </c>
      <c r="Z1145" s="13" t="n">
        <f aca="false">IF(K1145="Agency",1,0)</f>
        <v>0</v>
      </c>
      <c r="AA1145" s="13" t="n">
        <f aca="false">IF(K1145="Client",1,0)</f>
        <v>1</v>
      </c>
      <c r="AB1145" s="13" t="n">
        <f aca="false">(D1145-AVERAGE(D$2:D$2001))/STDEV(D$2:D$2001)</f>
        <v>-1.21881132165305</v>
      </c>
      <c r="AC1145" s="13" t="n">
        <f aca="false">(I1145-AVERAGE(I$2:I$2001))/STDEV(I$2:I$2001)</f>
        <v>1.39434968409451</v>
      </c>
      <c r="AD1145" s="13" t="n">
        <f aca="false">(L1145-AVERAGE(L$2:L$2001))/STDEV(L$2:L$2001)</f>
        <v>0.413838214490712</v>
      </c>
      <c r="AE1145" s="13" t="n">
        <f aca="false">(M1145-AVERAGE(M$2:M$2001))/STDEV(M$2:M$2001)</f>
        <v>0.0528367146384747</v>
      </c>
      <c r="AF1145" s="13" t="n">
        <f aca="false">(N1145-AVERAGE(N$2:N$2001))/STDEV(N$2:N$2001)</f>
        <v>-0.393012225673542</v>
      </c>
      <c r="AG1145" s="13" t="n">
        <f aca="false">(O1145-AVERAGE(O$2:O$2001))/STDEV(O$2:O$2001)</f>
        <v>-0.349030397720281</v>
      </c>
      <c r="AH1145" s="0" t="str">
        <f aca="false">IF(B1145="Company","C3 - Corporate Buyers",IF(AND(H1145="Investment",M1145&gt;'Segmentation Summary'!$C$1),"C1 - Global Investors",IF(AND(I1145&gt;=4,M1145&gt;'Segmentation Summary'!$C$1),"C4 - Luxury Investors",IF(AND(D1145&lt;'Segmentation Summary'!$C$2,J1145=1),"C2 - First-Time Buyers","C5 - Other Individual Buyers"))))</f>
        <v>C1 - Global Investors</v>
      </c>
    </row>
    <row r="1146" customFormat="false" ht="15" hidden="false" customHeight="true" outlineLevel="0" collapsed="false">
      <c r="A1146" s="13" t="s">
        <v>2314</v>
      </c>
      <c r="B1146" s="13" t="s">
        <v>34</v>
      </c>
      <c r="C1146" s="13" t="s">
        <v>2315</v>
      </c>
      <c r="D1146" s="13" t="n">
        <v>57</v>
      </c>
      <c r="E1146" s="13" t="s">
        <v>90</v>
      </c>
      <c r="F1146" s="13" t="s">
        <v>33</v>
      </c>
      <c r="G1146" s="13" t="s">
        <v>157</v>
      </c>
      <c r="H1146" s="13" t="s">
        <v>41</v>
      </c>
      <c r="I1146" s="13" t="n">
        <v>2</v>
      </c>
      <c r="J1146" s="13" t="n">
        <v>0</v>
      </c>
      <c r="K1146" s="13" t="s">
        <v>91</v>
      </c>
      <c r="L1146" s="13" t="n">
        <v>4</v>
      </c>
      <c r="M1146" s="13" t="n">
        <v>1224023.79</v>
      </c>
      <c r="N1146" s="13" t="n">
        <v>306005.9475</v>
      </c>
      <c r="O1146" s="13" t="n">
        <v>920.7075</v>
      </c>
      <c r="P1146" s="13" t="n">
        <v>2</v>
      </c>
      <c r="Q1146" s="13" t="n">
        <v>2</v>
      </c>
      <c r="R1146" s="13" t="s">
        <v>92</v>
      </c>
      <c r="S1146" s="13" t="s">
        <v>164</v>
      </c>
      <c r="T1146" s="13" t="n">
        <v>1</v>
      </c>
      <c r="U1146" s="13" t="n">
        <f aca="false">IF(B1146="Individual",1,0)</f>
        <v>1</v>
      </c>
      <c r="V1146" s="13" t="n">
        <f aca="false">IF(B1146="Company",1,0)</f>
        <v>0</v>
      </c>
      <c r="W1146" s="13" t="n">
        <f aca="false">IF(H1146="Home",1,0)</f>
        <v>1</v>
      </c>
      <c r="X1146" s="13" t="n">
        <f aca="false">IF(H1146="Investment",1,0)</f>
        <v>0</v>
      </c>
      <c r="Y1146" s="13" t="n">
        <f aca="false">IF(K1146="Website",1,0)</f>
        <v>0</v>
      </c>
      <c r="Z1146" s="13" t="n">
        <f aca="false">IF(K1146="Agency",1,0)</f>
        <v>1</v>
      </c>
      <c r="AA1146" s="13" t="n">
        <f aca="false">IF(K1146="Client",1,0)</f>
        <v>0</v>
      </c>
      <c r="AB1146" s="13" t="n">
        <f aca="false">(D1146-AVERAGE(D$2:D$2001))/STDEV(D$2:D$2001)</f>
        <v>0.165087610062577</v>
      </c>
      <c r="AC1146" s="13" t="n">
        <f aca="false">(I1146-AVERAGE(I$2:I$2001))/STDEV(I$2:I$2001)</f>
        <v>-0.727948160798201</v>
      </c>
      <c r="AD1146" s="13" t="n">
        <f aca="false">(L1146-AVERAGE(L$2:L$2001))/STDEV(L$2:L$2001)</f>
        <v>0.413838214490712</v>
      </c>
      <c r="AE1146" s="13" t="n">
        <f aca="false">(M1146-AVERAGE(M$2:M$2001))/STDEV(M$2:M$2001)</f>
        <v>-0.104509734465279</v>
      </c>
      <c r="AF1146" s="13" t="n">
        <f aca="false">(N1146-AVERAGE(N$2:N$2001))/STDEV(N$2:N$2001)</f>
        <v>-0.589256093719668</v>
      </c>
      <c r="AG1146" s="13" t="n">
        <f aca="false">(O1146-AVERAGE(O$2:O$2001))/STDEV(O$2:O$2001)</f>
        <v>-1.03114541861764</v>
      </c>
      <c r="AH1146" s="0" t="str">
        <f aca="false">IF(B1146="Company","C3 - Corporate Buyers",IF(AND(H1146="Investment",M1146&gt;'Segmentation Summary'!$C$1),"C1 - Global Investors",IF(AND(I1146&gt;=4,M1146&gt;'Segmentation Summary'!$C$1),"C4 - Luxury Investors",IF(AND(D1146&lt;'Segmentation Summary'!$C$2,J1146=1),"C2 - First-Time Buyers","C5 - Other Individual Buyers"))))</f>
        <v>C5 - Other Individual Buyers</v>
      </c>
    </row>
    <row r="1147" customFormat="false" ht="15" hidden="false" customHeight="true" outlineLevel="0" collapsed="false">
      <c r="A1147" s="13" t="s">
        <v>2316</v>
      </c>
      <c r="B1147" s="13" t="s">
        <v>34</v>
      </c>
      <c r="C1147" s="13" t="s">
        <v>2317</v>
      </c>
      <c r="D1147" s="13" t="n">
        <v>56</v>
      </c>
      <c r="E1147" s="13" t="s">
        <v>90</v>
      </c>
      <c r="F1147" s="13" t="s">
        <v>33</v>
      </c>
      <c r="G1147" s="13" t="s">
        <v>110</v>
      </c>
      <c r="H1147" s="13" t="s">
        <v>43</v>
      </c>
      <c r="I1147" s="13" t="n">
        <v>4</v>
      </c>
      <c r="J1147" s="13" t="n">
        <v>0</v>
      </c>
      <c r="K1147" s="13" t="s">
        <v>85</v>
      </c>
      <c r="L1147" s="13" t="n">
        <v>3</v>
      </c>
      <c r="M1147" s="13" t="n">
        <v>822155.05</v>
      </c>
      <c r="N1147" s="13" t="n">
        <v>274051.683333333</v>
      </c>
      <c r="O1147" s="13" t="n">
        <v>1059.34666666667</v>
      </c>
      <c r="P1147" s="13" t="n">
        <v>0</v>
      </c>
      <c r="Q1147" s="13" t="n">
        <v>3</v>
      </c>
      <c r="R1147" s="13" t="s">
        <v>112</v>
      </c>
      <c r="S1147" s="13" t="s">
        <v>114</v>
      </c>
      <c r="T1147" s="13" t="n">
        <v>1</v>
      </c>
      <c r="U1147" s="13" t="n">
        <f aca="false">IF(B1147="Individual",1,0)</f>
        <v>1</v>
      </c>
      <c r="V1147" s="13" t="n">
        <f aca="false">IF(B1147="Company",1,0)</f>
        <v>0</v>
      </c>
      <c r="W1147" s="13" t="n">
        <f aca="false">IF(H1147="Home",1,0)</f>
        <v>0</v>
      </c>
      <c r="X1147" s="13" t="n">
        <f aca="false">IF(H1147="Investment",1,0)</f>
        <v>1</v>
      </c>
      <c r="Y1147" s="13" t="n">
        <f aca="false">IF(K1147="Website",1,0)</f>
        <v>1</v>
      </c>
      <c r="Z1147" s="13" t="n">
        <f aca="false">IF(K1147="Agency",1,0)</f>
        <v>0</v>
      </c>
      <c r="AA1147" s="13" t="n">
        <f aca="false">IF(K1147="Client",1,0)</f>
        <v>0</v>
      </c>
      <c r="AB1147" s="13" t="n">
        <f aca="false">(D1147-AVERAGE(D$2:D$2001))/STDEV(D$2:D$2001)</f>
        <v>0.107425154574426</v>
      </c>
      <c r="AC1147" s="13" t="n">
        <f aca="false">(I1147-AVERAGE(I$2:I$2001))/STDEV(I$2:I$2001)</f>
        <v>0.686917069130275</v>
      </c>
      <c r="AD1147" s="13" t="n">
        <f aca="false">(L1147-AVERAGE(L$2:L$2001))/STDEV(L$2:L$2001)</f>
        <v>-0.777063122173208</v>
      </c>
      <c r="AE1147" s="13" t="n">
        <f aca="false">(M1147-AVERAGE(M$2:M$2001))/STDEV(M$2:M$2001)</f>
        <v>-1.25986715586841</v>
      </c>
      <c r="AF1147" s="13" t="n">
        <f aca="false">(N1147-AVERAGE(N$2:N$2001))/STDEV(N$2:N$2001)</f>
        <v>-1.0475668970707</v>
      </c>
      <c r="AG1147" s="13" t="n">
        <f aca="false">(O1147-AVERAGE(O$2:O$2001))/STDEV(O$2:O$2001)</f>
        <v>-0.400745564818603</v>
      </c>
      <c r="AH1147" s="0" t="str">
        <f aca="false">IF(B1147="Company","C3 - Corporate Buyers",IF(AND(H1147="Investment",M1147&gt;'Segmentation Summary'!$C$1),"C1 - Global Investors",IF(AND(I1147&gt;=4,M1147&gt;'Segmentation Summary'!$C$1),"C4 - Luxury Investors",IF(AND(D1147&lt;'Segmentation Summary'!$C$2,J1147=1),"C2 - First-Time Buyers","C5 - Other Individual Buyers"))))</f>
        <v>C5 - Other Individual Buyers</v>
      </c>
    </row>
    <row r="1148" customFormat="false" ht="15" hidden="false" customHeight="true" outlineLevel="0" collapsed="false">
      <c r="A1148" s="13" t="s">
        <v>2318</v>
      </c>
      <c r="B1148" s="13" t="s">
        <v>34</v>
      </c>
      <c r="C1148" s="13" t="s">
        <v>2319</v>
      </c>
      <c r="D1148" s="13" t="n">
        <v>50</v>
      </c>
      <c r="E1148" s="13" t="s">
        <v>83</v>
      </c>
      <c r="F1148" s="13" t="s">
        <v>33</v>
      </c>
      <c r="G1148" s="13" t="s">
        <v>84</v>
      </c>
      <c r="H1148" s="13" t="s">
        <v>41</v>
      </c>
      <c r="I1148" s="13" t="n">
        <v>2</v>
      </c>
      <c r="J1148" s="13" t="n">
        <v>1</v>
      </c>
      <c r="K1148" s="13" t="s">
        <v>85</v>
      </c>
      <c r="L1148" s="13" t="n">
        <v>4</v>
      </c>
      <c r="M1148" s="13" t="n">
        <v>967474.23</v>
      </c>
      <c r="N1148" s="13" t="n">
        <v>241868.5575</v>
      </c>
      <c r="O1148" s="13" t="n">
        <v>765.085</v>
      </c>
      <c r="P1148" s="13" t="n">
        <v>0</v>
      </c>
      <c r="Q1148" s="13" t="n">
        <v>4</v>
      </c>
      <c r="R1148" s="13" t="s">
        <v>101</v>
      </c>
      <c r="S1148" s="13" t="s">
        <v>114</v>
      </c>
      <c r="T1148" s="13" t="n">
        <v>1</v>
      </c>
      <c r="U1148" s="13" t="n">
        <f aca="false">IF(B1148="Individual",1,0)</f>
        <v>1</v>
      </c>
      <c r="V1148" s="13" t="n">
        <f aca="false">IF(B1148="Company",1,0)</f>
        <v>0</v>
      </c>
      <c r="W1148" s="13" t="n">
        <f aca="false">IF(H1148="Home",1,0)</f>
        <v>1</v>
      </c>
      <c r="X1148" s="13" t="n">
        <f aca="false">IF(H1148="Investment",1,0)</f>
        <v>0</v>
      </c>
      <c r="Y1148" s="13" t="n">
        <f aca="false">IF(K1148="Website",1,0)</f>
        <v>1</v>
      </c>
      <c r="Z1148" s="13" t="n">
        <f aca="false">IF(K1148="Agency",1,0)</f>
        <v>0</v>
      </c>
      <c r="AA1148" s="13" t="n">
        <f aca="false">IF(K1148="Client",1,0)</f>
        <v>0</v>
      </c>
      <c r="AB1148" s="13" t="n">
        <f aca="false">(D1148-AVERAGE(D$2:D$2001))/STDEV(D$2:D$2001)</f>
        <v>-0.238549578354482</v>
      </c>
      <c r="AC1148" s="13" t="n">
        <f aca="false">(I1148-AVERAGE(I$2:I$2001))/STDEV(I$2:I$2001)</f>
        <v>-0.727948160798201</v>
      </c>
      <c r="AD1148" s="13" t="n">
        <f aca="false">(L1148-AVERAGE(L$2:L$2001))/STDEV(L$2:L$2001)</f>
        <v>0.413838214490712</v>
      </c>
      <c r="AE1148" s="13" t="n">
        <f aca="false">(M1148-AVERAGE(M$2:M$2001))/STDEV(M$2:M$2001)</f>
        <v>-0.842080012023342</v>
      </c>
      <c r="AF1148" s="13" t="n">
        <f aca="false">(N1148-AVERAGE(N$2:N$2001))/STDEV(N$2:N$2001)</f>
        <v>-1.50916019736045</v>
      </c>
      <c r="AG1148" s="13" t="n">
        <f aca="false">(O1148-AVERAGE(O$2:O$2001))/STDEV(O$2:O$2001)</f>
        <v>-1.73876941554855</v>
      </c>
      <c r="AH1148" s="0" t="str">
        <f aca="false">IF(B1148="Company","C3 - Corporate Buyers",IF(AND(H1148="Investment",M1148&gt;'Segmentation Summary'!$C$1),"C1 - Global Investors",IF(AND(I1148&gt;=4,M1148&gt;'Segmentation Summary'!$C$1),"C4 - Luxury Investors",IF(AND(D1148&lt;'Segmentation Summary'!$C$2,J1148=1),"C2 - First-Time Buyers","C5 - Other Individual Buyers"))))</f>
        <v>C2 - First-Time Buyers</v>
      </c>
    </row>
    <row r="1149" customFormat="false" ht="15" hidden="false" customHeight="true" outlineLevel="0" collapsed="false">
      <c r="A1149" s="13" t="s">
        <v>2320</v>
      </c>
      <c r="B1149" s="13" t="s">
        <v>34</v>
      </c>
      <c r="C1149" s="13" t="s">
        <v>2321</v>
      </c>
      <c r="D1149" s="13" t="n">
        <v>72</v>
      </c>
      <c r="E1149" s="13" t="s">
        <v>83</v>
      </c>
      <c r="F1149" s="13" t="s">
        <v>33</v>
      </c>
      <c r="G1149" s="13" t="s">
        <v>97</v>
      </c>
      <c r="H1149" s="13" t="s">
        <v>41</v>
      </c>
      <c r="I1149" s="13" t="n">
        <v>2</v>
      </c>
      <c r="J1149" s="13" t="n">
        <v>0</v>
      </c>
      <c r="K1149" s="13" t="s">
        <v>85</v>
      </c>
      <c r="L1149" s="13" t="n">
        <v>4</v>
      </c>
      <c r="M1149" s="13" t="n">
        <v>1632999.56</v>
      </c>
      <c r="N1149" s="13" t="n">
        <v>408249.89</v>
      </c>
      <c r="O1149" s="13" t="n">
        <v>1312.8225</v>
      </c>
      <c r="P1149" s="13" t="n">
        <v>1</v>
      </c>
      <c r="Q1149" s="13" t="n">
        <v>3</v>
      </c>
      <c r="R1149" s="13" t="s">
        <v>101</v>
      </c>
      <c r="S1149" s="13" t="s">
        <v>133</v>
      </c>
      <c r="T1149" s="13" t="n">
        <v>1</v>
      </c>
      <c r="U1149" s="13" t="n">
        <f aca="false">IF(B1149="Individual",1,0)</f>
        <v>1</v>
      </c>
      <c r="V1149" s="13" t="n">
        <f aca="false">IF(B1149="Company",1,0)</f>
        <v>0</v>
      </c>
      <c r="W1149" s="13" t="n">
        <f aca="false">IF(H1149="Home",1,0)</f>
        <v>1</v>
      </c>
      <c r="X1149" s="13" t="n">
        <f aca="false">IF(H1149="Investment",1,0)</f>
        <v>0</v>
      </c>
      <c r="Y1149" s="13" t="n">
        <f aca="false">IF(K1149="Website",1,0)</f>
        <v>1</v>
      </c>
      <c r="Z1149" s="13" t="n">
        <f aca="false">IF(K1149="Agency",1,0)</f>
        <v>0</v>
      </c>
      <c r="AA1149" s="13" t="n">
        <f aca="false">IF(K1149="Client",1,0)</f>
        <v>0</v>
      </c>
      <c r="AB1149" s="13" t="n">
        <f aca="false">(D1149-AVERAGE(D$2:D$2001))/STDEV(D$2:D$2001)</f>
        <v>1.03002444238485</v>
      </c>
      <c r="AC1149" s="13" t="n">
        <f aca="false">(I1149-AVERAGE(I$2:I$2001))/STDEV(I$2:I$2001)</f>
        <v>-0.727948160798201</v>
      </c>
      <c r="AD1149" s="13" t="n">
        <f aca="false">(L1149-AVERAGE(L$2:L$2001))/STDEV(L$2:L$2001)</f>
        <v>0.413838214490712</v>
      </c>
      <c r="AE1149" s="13" t="n">
        <f aca="false">(M1149-AVERAGE(M$2:M$2001))/STDEV(M$2:M$2001)</f>
        <v>1.07128012926874</v>
      </c>
      <c r="AF1149" s="13" t="n">
        <f aca="false">(N1149-AVERAGE(N$2:N$2001))/STDEV(N$2:N$2001)</f>
        <v>0.877199312060992</v>
      </c>
      <c r="AG1149" s="13" t="n">
        <f aca="false">(O1149-AVERAGE(O$2:O$2001))/STDEV(O$2:O$2001)</f>
        <v>0.751822876818856</v>
      </c>
      <c r="AH1149" s="0" t="str">
        <f aca="false">IF(B1149="Company","C3 - Corporate Buyers",IF(AND(H1149="Investment",M1149&gt;'Segmentation Summary'!$C$1),"C1 - Global Investors",IF(AND(I1149&gt;=4,M1149&gt;'Segmentation Summary'!$C$1),"C4 - Luxury Investors",IF(AND(D1149&lt;'Segmentation Summary'!$C$2,J1149=1),"C2 - First-Time Buyers","C5 - Other Individual Buyers"))))</f>
        <v>C5 - Other Individual Buyers</v>
      </c>
    </row>
    <row r="1150" customFormat="false" ht="15" hidden="false" customHeight="true" outlineLevel="0" collapsed="false">
      <c r="A1150" s="13" t="s">
        <v>2322</v>
      </c>
      <c r="B1150" s="13" t="s">
        <v>34</v>
      </c>
      <c r="C1150" s="13" t="s">
        <v>2323</v>
      </c>
      <c r="D1150" s="13" t="n">
        <v>81</v>
      </c>
      <c r="E1150" s="13" t="s">
        <v>83</v>
      </c>
      <c r="F1150" s="13" t="s">
        <v>33</v>
      </c>
      <c r="G1150" s="13" t="s">
        <v>162</v>
      </c>
      <c r="H1150" s="13" t="s">
        <v>41</v>
      </c>
      <c r="I1150" s="13" t="n">
        <v>2</v>
      </c>
      <c r="J1150" s="13" t="n">
        <v>0</v>
      </c>
      <c r="K1150" s="13" t="s">
        <v>85</v>
      </c>
      <c r="L1150" s="13" t="n">
        <v>4</v>
      </c>
      <c r="M1150" s="13" t="n">
        <v>1013002.89</v>
      </c>
      <c r="N1150" s="13" t="n">
        <v>253250.7225</v>
      </c>
      <c r="O1150" s="13" t="n">
        <v>910.2925</v>
      </c>
      <c r="P1150" s="13" t="n">
        <v>1</v>
      </c>
      <c r="Q1150" s="13" t="n">
        <v>3</v>
      </c>
      <c r="R1150" s="13" t="s">
        <v>121</v>
      </c>
      <c r="S1150" s="13" t="s">
        <v>141</v>
      </c>
      <c r="T1150" s="13" t="n">
        <v>1</v>
      </c>
      <c r="U1150" s="13" t="n">
        <f aca="false">IF(B1150="Individual",1,0)</f>
        <v>1</v>
      </c>
      <c r="V1150" s="13" t="n">
        <f aca="false">IF(B1150="Company",1,0)</f>
        <v>0</v>
      </c>
      <c r="W1150" s="13" t="n">
        <f aca="false">IF(H1150="Home",1,0)</f>
        <v>1</v>
      </c>
      <c r="X1150" s="13" t="n">
        <f aca="false">IF(H1150="Investment",1,0)</f>
        <v>0</v>
      </c>
      <c r="Y1150" s="13" t="n">
        <f aca="false">IF(K1150="Website",1,0)</f>
        <v>1</v>
      </c>
      <c r="Z1150" s="13" t="n">
        <f aca="false">IF(K1150="Agency",1,0)</f>
        <v>0</v>
      </c>
      <c r="AA1150" s="13" t="n">
        <f aca="false">IF(K1150="Client",1,0)</f>
        <v>0</v>
      </c>
      <c r="AB1150" s="13" t="n">
        <f aca="false">(D1150-AVERAGE(D$2:D$2001))/STDEV(D$2:D$2001)</f>
        <v>1.54898654177821</v>
      </c>
      <c r="AC1150" s="13" t="n">
        <f aca="false">(I1150-AVERAGE(I$2:I$2001))/STDEV(I$2:I$2001)</f>
        <v>-0.727948160798201</v>
      </c>
      <c r="AD1150" s="13" t="n">
        <f aca="false">(L1150-AVERAGE(L$2:L$2001))/STDEV(L$2:L$2001)</f>
        <v>0.413838214490712</v>
      </c>
      <c r="AE1150" s="13" t="n">
        <f aca="false">(M1150-AVERAGE(M$2:M$2001))/STDEV(M$2:M$2001)</f>
        <v>-0.711186837258019</v>
      </c>
      <c r="AF1150" s="13" t="n">
        <f aca="false">(N1150-AVERAGE(N$2:N$2001))/STDEV(N$2:N$2001)</f>
        <v>-1.3459090845257</v>
      </c>
      <c r="AG1150" s="13" t="n">
        <f aca="false">(O1150-AVERAGE(O$2:O$2001))/STDEV(O$2:O$2001)</f>
        <v>-1.07850299177085</v>
      </c>
      <c r="AH1150" s="0" t="str">
        <f aca="false">IF(B1150="Company","C3 - Corporate Buyers",IF(AND(H1150="Investment",M1150&gt;'Segmentation Summary'!$C$1),"C1 - Global Investors",IF(AND(I1150&gt;=4,M1150&gt;'Segmentation Summary'!$C$1),"C4 - Luxury Investors",IF(AND(D1150&lt;'Segmentation Summary'!$C$2,J1150=1),"C2 - First-Time Buyers","C5 - Other Individual Buyers"))))</f>
        <v>C5 - Other Individual Buyers</v>
      </c>
    </row>
    <row r="1151" customFormat="false" ht="15" hidden="false" customHeight="true" outlineLevel="0" collapsed="false">
      <c r="A1151" s="13" t="s">
        <v>2324</v>
      </c>
      <c r="B1151" s="13" t="s">
        <v>34</v>
      </c>
      <c r="C1151" s="13" t="s">
        <v>2325</v>
      </c>
      <c r="D1151" s="13" t="n">
        <v>68</v>
      </c>
      <c r="E1151" s="13" t="s">
        <v>83</v>
      </c>
      <c r="F1151" s="13" t="s">
        <v>33</v>
      </c>
      <c r="G1151" s="13" t="s">
        <v>100</v>
      </c>
      <c r="H1151" s="13" t="s">
        <v>41</v>
      </c>
      <c r="I1151" s="13" t="n">
        <v>4</v>
      </c>
      <c r="J1151" s="13" t="n">
        <v>0</v>
      </c>
      <c r="K1151" s="13" t="s">
        <v>85</v>
      </c>
      <c r="L1151" s="13" t="n">
        <v>4</v>
      </c>
      <c r="M1151" s="13" t="n">
        <v>1646338.36</v>
      </c>
      <c r="N1151" s="13" t="n">
        <v>411584.59</v>
      </c>
      <c r="O1151" s="13" t="n">
        <v>1358.9675</v>
      </c>
      <c r="P1151" s="13" t="n">
        <v>0</v>
      </c>
      <c r="Q1151" s="13" t="n">
        <v>4</v>
      </c>
      <c r="R1151" s="13" t="s">
        <v>98</v>
      </c>
      <c r="S1151" s="13" t="s">
        <v>164</v>
      </c>
      <c r="T1151" s="13" t="n">
        <v>1</v>
      </c>
      <c r="U1151" s="13" t="n">
        <f aca="false">IF(B1151="Individual",1,0)</f>
        <v>1</v>
      </c>
      <c r="V1151" s="13" t="n">
        <f aca="false">IF(B1151="Company",1,0)</f>
        <v>0</v>
      </c>
      <c r="W1151" s="13" t="n">
        <f aca="false">IF(H1151="Home",1,0)</f>
        <v>1</v>
      </c>
      <c r="X1151" s="13" t="n">
        <f aca="false">IF(H1151="Investment",1,0)</f>
        <v>0</v>
      </c>
      <c r="Y1151" s="13" t="n">
        <f aca="false">IF(K1151="Website",1,0)</f>
        <v>1</v>
      </c>
      <c r="Z1151" s="13" t="n">
        <f aca="false">IF(K1151="Agency",1,0)</f>
        <v>0</v>
      </c>
      <c r="AA1151" s="13" t="n">
        <f aca="false">IF(K1151="Client",1,0)</f>
        <v>0</v>
      </c>
      <c r="AB1151" s="13" t="n">
        <f aca="false">(D1151-AVERAGE(D$2:D$2001))/STDEV(D$2:D$2001)</f>
        <v>0.79937462043224</v>
      </c>
      <c r="AC1151" s="13" t="n">
        <f aca="false">(I1151-AVERAGE(I$2:I$2001))/STDEV(I$2:I$2001)</f>
        <v>0.686917069130275</v>
      </c>
      <c r="AD1151" s="13" t="n">
        <f aca="false">(L1151-AVERAGE(L$2:L$2001))/STDEV(L$2:L$2001)</f>
        <v>0.413838214490712</v>
      </c>
      <c r="AE1151" s="13" t="n">
        <f aca="false">(M1151-AVERAGE(M$2:M$2001))/STDEV(M$2:M$2001)</f>
        <v>1.109628674549</v>
      </c>
      <c r="AF1151" s="13" t="n">
        <f aca="false">(N1151-AVERAGE(N$2:N$2001))/STDEV(N$2:N$2001)</f>
        <v>0.925027953270292</v>
      </c>
      <c r="AG1151" s="13" t="n">
        <f aca="false">(O1151-AVERAGE(O$2:O$2001))/STDEV(O$2:O$2001)</f>
        <v>0.96164670909489</v>
      </c>
      <c r="AH1151" s="0" t="str">
        <f aca="false">IF(B1151="Company","C3 - Corporate Buyers",IF(AND(H1151="Investment",M1151&gt;'Segmentation Summary'!$C$1),"C1 - Global Investors",IF(AND(I1151&gt;=4,M1151&gt;'Segmentation Summary'!$C$1),"C4 - Luxury Investors",IF(AND(D1151&lt;'Segmentation Summary'!$C$2,J1151=1),"C2 - First-Time Buyers","C5 - Other Individual Buyers"))))</f>
        <v>C4 - Luxury Investors</v>
      </c>
    </row>
    <row r="1152" customFormat="false" ht="15" hidden="false" customHeight="true" outlineLevel="0" collapsed="false">
      <c r="A1152" s="13" t="s">
        <v>2326</v>
      </c>
      <c r="B1152" s="13" t="s">
        <v>34</v>
      </c>
      <c r="C1152" s="13" t="s">
        <v>2327</v>
      </c>
      <c r="D1152" s="13" t="n">
        <v>52</v>
      </c>
      <c r="E1152" s="13" t="s">
        <v>83</v>
      </c>
      <c r="F1152" s="13" t="s">
        <v>33</v>
      </c>
      <c r="G1152" s="13" t="s">
        <v>162</v>
      </c>
      <c r="H1152" s="13" t="s">
        <v>43</v>
      </c>
      <c r="I1152" s="13" t="n">
        <v>1</v>
      </c>
      <c r="J1152" s="13" t="n">
        <v>0</v>
      </c>
      <c r="K1152" s="13" t="s">
        <v>91</v>
      </c>
      <c r="L1152" s="13" t="n">
        <v>3</v>
      </c>
      <c r="M1152" s="13" t="n">
        <v>1058361.99</v>
      </c>
      <c r="N1152" s="13" t="n">
        <v>352787.33</v>
      </c>
      <c r="O1152" s="13" t="n">
        <v>1125.17</v>
      </c>
      <c r="P1152" s="13" t="n">
        <v>0</v>
      </c>
      <c r="Q1152" s="13" t="n">
        <v>3</v>
      </c>
      <c r="R1152" s="13" t="s">
        <v>101</v>
      </c>
      <c r="S1152" s="13" t="s">
        <v>150</v>
      </c>
      <c r="T1152" s="13" t="n">
        <v>1</v>
      </c>
      <c r="U1152" s="13" t="n">
        <f aca="false">IF(B1152="Individual",1,0)</f>
        <v>1</v>
      </c>
      <c r="V1152" s="13" t="n">
        <f aca="false">IF(B1152="Company",1,0)</f>
        <v>0</v>
      </c>
      <c r="W1152" s="13" t="n">
        <f aca="false">IF(H1152="Home",1,0)</f>
        <v>0</v>
      </c>
      <c r="X1152" s="13" t="n">
        <f aca="false">IF(H1152="Investment",1,0)</f>
        <v>1</v>
      </c>
      <c r="Y1152" s="13" t="n">
        <f aca="false">IF(K1152="Website",1,0)</f>
        <v>0</v>
      </c>
      <c r="Z1152" s="13" t="n">
        <f aca="false">IF(K1152="Agency",1,0)</f>
        <v>1</v>
      </c>
      <c r="AA1152" s="13" t="n">
        <f aca="false">IF(K1152="Client",1,0)</f>
        <v>0</v>
      </c>
      <c r="AB1152" s="13" t="n">
        <f aca="false">(D1152-AVERAGE(D$2:D$2001))/STDEV(D$2:D$2001)</f>
        <v>-0.123224667378179</v>
      </c>
      <c r="AC1152" s="13" t="n">
        <f aca="false">(I1152-AVERAGE(I$2:I$2001))/STDEV(I$2:I$2001)</f>
        <v>-1.43538077576244</v>
      </c>
      <c r="AD1152" s="13" t="n">
        <f aca="false">(L1152-AVERAGE(L$2:L$2001))/STDEV(L$2:L$2001)</f>
        <v>-0.777063122173208</v>
      </c>
      <c r="AE1152" s="13" t="n">
        <f aca="false">(M1152-AVERAGE(M$2:M$2001))/STDEV(M$2:M$2001)</f>
        <v>-0.580781141076806</v>
      </c>
      <c r="AF1152" s="13" t="n">
        <f aca="false">(N1152-AVERAGE(N$2:N$2001))/STDEV(N$2:N$2001)</f>
        <v>0.0817157954660193</v>
      </c>
      <c r="AG1152" s="13" t="n">
        <f aca="false">(O1152-AVERAGE(O$2:O$2001))/STDEV(O$2:O$2001)</f>
        <v>-0.101443277394567</v>
      </c>
      <c r="AH1152" s="0" t="str">
        <f aca="false">IF(B1152="Company","C3 - Corporate Buyers",IF(AND(H1152="Investment",M1152&gt;'Segmentation Summary'!$C$1),"C1 - Global Investors",IF(AND(I1152&gt;=4,M1152&gt;'Segmentation Summary'!$C$1),"C4 - Luxury Investors",IF(AND(D1152&lt;'Segmentation Summary'!$C$2,J1152=1),"C2 - First-Time Buyers","C5 - Other Individual Buyers"))))</f>
        <v>C5 - Other Individual Buyers</v>
      </c>
    </row>
    <row r="1153" customFormat="false" ht="15" hidden="false" customHeight="true" outlineLevel="0" collapsed="false">
      <c r="A1153" s="13" t="s">
        <v>2328</v>
      </c>
      <c r="B1153" s="13" t="s">
        <v>34</v>
      </c>
      <c r="C1153" s="13" t="s">
        <v>2329</v>
      </c>
      <c r="D1153" s="13" t="n">
        <v>39</v>
      </c>
      <c r="E1153" s="13" t="s">
        <v>83</v>
      </c>
      <c r="F1153" s="13" t="s">
        <v>33</v>
      </c>
      <c r="G1153" s="13" t="s">
        <v>157</v>
      </c>
      <c r="H1153" s="13" t="s">
        <v>41</v>
      </c>
      <c r="I1153" s="13" t="n">
        <v>5</v>
      </c>
      <c r="J1153" s="13" t="n">
        <v>0</v>
      </c>
      <c r="K1153" s="13" t="s">
        <v>85</v>
      </c>
      <c r="L1153" s="13" t="n">
        <v>4</v>
      </c>
      <c r="M1153" s="13" t="n">
        <v>1763602.47</v>
      </c>
      <c r="N1153" s="13" t="n">
        <v>440900.6175</v>
      </c>
      <c r="O1153" s="13" t="n">
        <v>1454.35</v>
      </c>
      <c r="P1153" s="13" t="n">
        <v>0</v>
      </c>
      <c r="Q1153" s="13" t="n">
        <v>4</v>
      </c>
      <c r="R1153" s="13" t="s">
        <v>92</v>
      </c>
      <c r="S1153" s="13" t="s">
        <v>150</v>
      </c>
      <c r="T1153" s="13" t="n">
        <v>1</v>
      </c>
      <c r="U1153" s="13" t="n">
        <f aca="false">IF(B1153="Individual",1,0)</f>
        <v>1</v>
      </c>
      <c r="V1153" s="13" t="n">
        <f aca="false">IF(B1153="Company",1,0)</f>
        <v>0</v>
      </c>
      <c r="W1153" s="13" t="n">
        <f aca="false">IF(H1153="Home",1,0)</f>
        <v>1</v>
      </c>
      <c r="X1153" s="13" t="n">
        <f aca="false">IF(H1153="Investment",1,0)</f>
        <v>0</v>
      </c>
      <c r="Y1153" s="13" t="n">
        <f aca="false">IF(K1153="Website",1,0)</f>
        <v>1</v>
      </c>
      <c r="Z1153" s="13" t="n">
        <f aca="false">IF(K1153="Agency",1,0)</f>
        <v>0</v>
      </c>
      <c r="AA1153" s="13" t="n">
        <f aca="false">IF(K1153="Client",1,0)</f>
        <v>0</v>
      </c>
      <c r="AB1153" s="13" t="n">
        <f aca="false">(D1153-AVERAGE(D$2:D$2001))/STDEV(D$2:D$2001)</f>
        <v>-0.872836588724145</v>
      </c>
      <c r="AC1153" s="13" t="n">
        <f aca="false">(I1153-AVERAGE(I$2:I$2001))/STDEV(I$2:I$2001)</f>
        <v>1.39434968409451</v>
      </c>
      <c r="AD1153" s="13" t="n">
        <f aca="false">(L1153-AVERAGE(L$2:L$2001))/STDEV(L$2:L$2001)</f>
        <v>0.413838214490712</v>
      </c>
      <c r="AE1153" s="13" t="n">
        <f aca="false">(M1153-AVERAGE(M$2:M$2001))/STDEV(M$2:M$2001)</f>
        <v>1.4467585537049</v>
      </c>
      <c r="AF1153" s="13" t="n">
        <f aca="false">(N1153-AVERAGE(N$2:N$2001))/STDEV(N$2:N$2001)</f>
        <v>1.34549928831676</v>
      </c>
      <c r="AG1153" s="13" t="n">
        <f aca="false">(O1153-AVERAGE(O$2:O$2001))/STDEV(O$2:O$2001)</f>
        <v>1.39535613984727</v>
      </c>
      <c r="AH1153" s="0" t="str">
        <f aca="false">IF(B1153="Company","C3 - Corporate Buyers",IF(AND(H1153="Investment",M1153&gt;'Segmentation Summary'!$C$1),"C1 - Global Investors",IF(AND(I1153&gt;=4,M1153&gt;'Segmentation Summary'!$C$1),"C4 - Luxury Investors",IF(AND(D1153&lt;'Segmentation Summary'!$C$2,J1153=1),"C2 - First-Time Buyers","C5 - Other Individual Buyers"))))</f>
        <v>C4 - Luxury Investors</v>
      </c>
    </row>
    <row r="1154" customFormat="false" ht="15" hidden="false" customHeight="true" outlineLevel="0" collapsed="false">
      <c r="A1154" s="13" t="s">
        <v>2330</v>
      </c>
      <c r="B1154" s="13" t="s">
        <v>34</v>
      </c>
      <c r="C1154" s="13" t="s">
        <v>2331</v>
      </c>
      <c r="D1154" s="13" t="n">
        <v>60</v>
      </c>
      <c r="E1154" s="13" t="s">
        <v>83</v>
      </c>
      <c r="F1154" s="13" t="s">
        <v>33</v>
      </c>
      <c r="G1154" s="13" t="s">
        <v>95</v>
      </c>
      <c r="H1154" s="13" t="s">
        <v>43</v>
      </c>
      <c r="I1154" s="13" t="n">
        <v>2</v>
      </c>
      <c r="J1154" s="13" t="n">
        <v>0</v>
      </c>
      <c r="K1154" s="13" t="s">
        <v>85</v>
      </c>
      <c r="L1154" s="13" t="n">
        <v>3</v>
      </c>
      <c r="M1154" s="13" t="n">
        <v>804844.43</v>
      </c>
      <c r="N1154" s="13" t="n">
        <v>268281.476666667</v>
      </c>
      <c r="O1154" s="13" t="n">
        <v>900.46</v>
      </c>
      <c r="P1154" s="13" t="n">
        <v>0</v>
      </c>
      <c r="Q1154" s="13" t="n">
        <v>3</v>
      </c>
      <c r="R1154" s="13" t="s">
        <v>128</v>
      </c>
      <c r="S1154" s="13" t="s">
        <v>103</v>
      </c>
      <c r="T1154" s="13" t="n">
        <v>1</v>
      </c>
      <c r="U1154" s="13" t="n">
        <f aca="false">IF(B1154="Individual",1,0)</f>
        <v>1</v>
      </c>
      <c r="V1154" s="13" t="n">
        <f aca="false">IF(B1154="Company",1,0)</f>
        <v>0</v>
      </c>
      <c r="W1154" s="13" t="n">
        <f aca="false">IF(H1154="Home",1,0)</f>
        <v>0</v>
      </c>
      <c r="X1154" s="13" t="n">
        <f aca="false">IF(H1154="Investment",1,0)</f>
        <v>1</v>
      </c>
      <c r="Y1154" s="13" t="n">
        <f aca="false">IF(K1154="Website",1,0)</f>
        <v>1</v>
      </c>
      <c r="Z1154" s="13" t="n">
        <f aca="false">IF(K1154="Agency",1,0)</f>
        <v>0</v>
      </c>
      <c r="AA1154" s="13" t="n">
        <f aca="false">IF(K1154="Client",1,0)</f>
        <v>0</v>
      </c>
      <c r="AB1154" s="13" t="n">
        <f aca="false">(D1154-AVERAGE(D$2:D$2001))/STDEV(D$2:D$2001)</f>
        <v>0.338074976527031</v>
      </c>
      <c r="AC1154" s="13" t="n">
        <f aca="false">(I1154-AVERAGE(I$2:I$2001))/STDEV(I$2:I$2001)</f>
        <v>-0.727948160798201</v>
      </c>
      <c r="AD1154" s="13" t="n">
        <f aca="false">(L1154-AVERAGE(L$2:L$2001))/STDEV(L$2:L$2001)</f>
        <v>-0.777063122173208</v>
      </c>
      <c r="AE1154" s="13" t="n">
        <f aca="false">(M1154-AVERAGE(M$2:M$2001))/STDEV(M$2:M$2001)</f>
        <v>-1.3096345333611</v>
      </c>
      <c r="AF1154" s="13" t="n">
        <f aca="false">(N1154-AVERAGE(N$2:N$2001))/STDEV(N$2:N$2001)</f>
        <v>-1.13032730861102</v>
      </c>
      <c r="AG1154" s="13" t="n">
        <f aca="false">(O1154-AVERAGE(O$2:O$2001))/STDEV(O$2:O$2001)</f>
        <v>-1.12321190564785</v>
      </c>
      <c r="AH1154" s="0" t="str">
        <f aca="false">IF(B1154="Company","C3 - Corporate Buyers",IF(AND(H1154="Investment",M1154&gt;'Segmentation Summary'!$C$1),"C1 - Global Investors",IF(AND(I1154&gt;=4,M1154&gt;'Segmentation Summary'!$C$1),"C4 - Luxury Investors",IF(AND(D1154&lt;'Segmentation Summary'!$C$2,J1154=1),"C2 - First-Time Buyers","C5 - Other Individual Buyers"))))</f>
        <v>C5 - Other Individual Buyers</v>
      </c>
    </row>
    <row r="1155" customFormat="false" ht="15" hidden="false" customHeight="true" outlineLevel="0" collapsed="false">
      <c r="A1155" s="13" t="s">
        <v>2332</v>
      </c>
      <c r="B1155" s="13" t="s">
        <v>34</v>
      </c>
      <c r="C1155" s="13" t="s">
        <v>2333</v>
      </c>
      <c r="D1155" s="13" t="n">
        <v>77</v>
      </c>
      <c r="E1155" s="13" t="s">
        <v>83</v>
      </c>
      <c r="F1155" s="13" t="s">
        <v>35</v>
      </c>
      <c r="G1155" s="13" t="s">
        <v>374</v>
      </c>
      <c r="H1155" s="13" t="s">
        <v>41</v>
      </c>
      <c r="I1155" s="13" t="n">
        <v>2</v>
      </c>
      <c r="J1155" s="13" t="n">
        <v>0</v>
      </c>
      <c r="K1155" s="13" t="s">
        <v>91</v>
      </c>
      <c r="L1155" s="13" t="n">
        <v>3</v>
      </c>
      <c r="M1155" s="13" t="n">
        <v>982306.66</v>
      </c>
      <c r="N1155" s="13" t="n">
        <v>327435.553333333</v>
      </c>
      <c r="O1155" s="13" t="n">
        <v>1076.69</v>
      </c>
      <c r="P1155" s="13" t="n">
        <v>0</v>
      </c>
      <c r="Q1155" s="13" t="n">
        <v>3</v>
      </c>
      <c r="R1155" s="13" t="s">
        <v>92</v>
      </c>
      <c r="S1155" s="13" t="s">
        <v>103</v>
      </c>
      <c r="T1155" s="13" t="n">
        <v>1</v>
      </c>
      <c r="U1155" s="13" t="n">
        <f aca="false">IF(B1155="Individual",1,0)</f>
        <v>1</v>
      </c>
      <c r="V1155" s="13" t="n">
        <f aca="false">IF(B1155="Company",1,0)</f>
        <v>0</v>
      </c>
      <c r="W1155" s="13" t="n">
        <f aca="false">IF(H1155="Home",1,0)</f>
        <v>1</v>
      </c>
      <c r="X1155" s="13" t="n">
        <f aca="false">IF(H1155="Investment",1,0)</f>
        <v>0</v>
      </c>
      <c r="Y1155" s="13" t="n">
        <f aca="false">IF(K1155="Website",1,0)</f>
        <v>0</v>
      </c>
      <c r="Z1155" s="13" t="n">
        <f aca="false">IF(K1155="Agency",1,0)</f>
        <v>1</v>
      </c>
      <c r="AA1155" s="13" t="n">
        <f aca="false">IF(K1155="Client",1,0)</f>
        <v>0</v>
      </c>
      <c r="AB1155" s="13" t="n">
        <f aca="false">(D1155-AVERAGE(D$2:D$2001))/STDEV(D$2:D$2001)</f>
        <v>1.3183367198256</v>
      </c>
      <c r="AC1155" s="13" t="n">
        <f aca="false">(I1155-AVERAGE(I$2:I$2001))/STDEV(I$2:I$2001)</f>
        <v>-0.727948160798201</v>
      </c>
      <c r="AD1155" s="13" t="n">
        <f aca="false">(L1155-AVERAGE(L$2:L$2001))/STDEV(L$2:L$2001)</f>
        <v>-0.777063122173208</v>
      </c>
      <c r="AE1155" s="13" t="n">
        <f aca="false">(M1155-AVERAGE(M$2:M$2001))/STDEV(M$2:M$2001)</f>
        <v>-0.799437337009748</v>
      </c>
      <c r="AF1155" s="13" t="n">
        <f aca="false">(N1155-AVERAGE(N$2:N$2001))/STDEV(N$2:N$2001)</f>
        <v>-0.281897432173143</v>
      </c>
      <c r="AG1155" s="13" t="n">
        <f aca="false">(O1155-AVERAGE(O$2:O$2001))/STDEV(O$2:O$2001)</f>
        <v>-0.321884482048205</v>
      </c>
      <c r="AH1155" s="0" t="str">
        <f aca="false">IF(B1155="Company","C3 - Corporate Buyers",IF(AND(H1155="Investment",M1155&gt;'Segmentation Summary'!$C$1),"C1 - Global Investors",IF(AND(I1155&gt;=4,M1155&gt;'Segmentation Summary'!$C$1),"C4 - Luxury Investors",IF(AND(D1155&lt;'Segmentation Summary'!$C$2,J1155=1),"C2 - First-Time Buyers","C5 - Other Individual Buyers"))))</f>
        <v>C5 - Other Individual Buyers</v>
      </c>
    </row>
    <row r="1156" customFormat="false" ht="15" hidden="false" customHeight="true" outlineLevel="0" collapsed="false">
      <c r="A1156" s="13" t="s">
        <v>2334</v>
      </c>
      <c r="B1156" s="13" t="s">
        <v>34</v>
      </c>
      <c r="C1156" s="13" t="s">
        <v>2333</v>
      </c>
      <c r="D1156" s="13" t="n">
        <v>42</v>
      </c>
      <c r="E1156" s="13" t="s">
        <v>83</v>
      </c>
      <c r="F1156" s="13" t="s">
        <v>37</v>
      </c>
      <c r="G1156" s="13" t="s">
        <v>572</v>
      </c>
      <c r="H1156" s="13" t="s">
        <v>41</v>
      </c>
      <c r="I1156" s="13" t="n">
        <v>4</v>
      </c>
      <c r="J1156" s="13" t="n">
        <v>0</v>
      </c>
      <c r="K1156" s="13" t="s">
        <v>91</v>
      </c>
      <c r="L1156" s="13" t="n">
        <v>4</v>
      </c>
      <c r="M1156" s="13" t="n">
        <v>1357680.7</v>
      </c>
      <c r="N1156" s="13" t="n">
        <v>339420.175</v>
      </c>
      <c r="O1156" s="13" t="n">
        <v>1151.37</v>
      </c>
      <c r="P1156" s="13" t="n">
        <v>1</v>
      </c>
      <c r="Q1156" s="13" t="n">
        <v>3</v>
      </c>
      <c r="R1156" s="13" t="s">
        <v>150</v>
      </c>
      <c r="S1156" s="13" t="s">
        <v>87</v>
      </c>
      <c r="T1156" s="13" t="n">
        <v>1</v>
      </c>
      <c r="U1156" s="13" t="n">
        <f aca="false">IF(B1156="Individual",1,0)</f>
        <v>1</v>
      </c>
      <c r="V1156" s="13" t="n">
        <f aca="false">IF(B1156="Company",1,0)</f>
        <v>0</v>
      </c>
      <c r="W1156" s="13" t="n">
        <f aca="false">IF(H1156="Home",1,0)</f>
        <v>1</v>
      </c>
      <c r="X1156" s="13" t="n">
        <f aca="false">IF(H1156="Investment",1,0)</f>
        <v>0</v>
      </c>
      <c r="Y1156" s="13" t="n">
        <f aca="false">IF(K1156="Website",1,0)</f>
        <v>0</v>
      </c>
      <c r="Z1156" s="13" t="n">
        <f aca="false">IF(K1156="Agency",1,0)</f>
        <v>1</v>
      </c>
      <c r="AA1156" s="13" t="n">
        <f aca="false">IF(K1156="Client",1,0)</f>
        <v>0</v>
      </c>
      <c r="AB1156" s="13" t="n">
        <f aca="false">(D1156-AVERAGE(D$2:D$2001))/STDEV(D$2:D$2001)</f>
        <v>-0.699849222259691</v>
      </c>
      <c r="AC1156" s="13" t="n">
        <f aca="false">(I1156-AVERAGE(I$2:I$2001))/STDEV(I$2:I$2001)</f>
        <v>0.686917069130275</v>
      </c>
      <c r="AD1156" s="13" t="n">
        <f aca="false">(L1156-AVERAGE(L$2:L$2001))/STDEV(L$2:L$2001)</f>
        <v>0.413838214490712</v>
      </c>
      <c r="AE1156" s="13" t="n">
        <f aca="false">(M1156-AVERAGE(M$2:M$2001))/STDEV(M$2:M$2001)</f>
        <v>0.279748824412206</v>
      </c>
      <c r="AF1156" s="13" t="n">
        <f aca="false">(N1156-AVERAGE(N$2:N$2001))/STDEV(N$2:N$2001)</f>
        <v>-0.110005456965713</v>
      </c>
      <c r="AG1156" s="13" t="n">
        <f aca="false">(O1156-AVERAGE(O$2:O$2001))/STDEV(O$2:O$2001)</f>
        <v>0.0176895518530662</v>
      </c>
      <c r="AH1156" s="0" t="str">
        <f aca="false">IF(B1156="Company","C3 - Corporate Buyers",IF(AND(H1156="Investment",M1156&gt;'Segmentation Summary'!$C$1),"C1 - Global Investors",IF(AND(I1156&gt;=4,M1156&gt;'Segmentation Summary'!$C$1),"C4 - Luxury Investors",IF(AND(D1156&lt;'Segmentation Summary'!$C$2,J1156=1),"C2 - First-Time Buyers","C5 - Other Individual Buyers"))))</f>
        <v>C4 - Luxury Investors</v>
      </c>
    </row>
    <row r="1157" customFormat="false" ht="15" hidden="false" customHeight="true" outlineLevel="0" collapsed="false">
      <c r="A1157" s="13" t="s">
        <v>2335</v>
      </c>
      <c r="B1157" s="13" t="s">
        <v>34</v>
      </c>
      <c r="C1157" s="13" t="s">
        <v>2336</v>
      </c>
      <c r="D1157" s="13" t="n">
        <v>44</v>
      </c>
      <c r="E1157" s="13" t="s">
        <v>83</v>
      </c>
      <c r="F1157" s="13" t="s">
        <v>33</v>
      </c>
      <c r="G1157" s="13" t="s">
        <v>106</v>
      </c>
      <c r="H1157" s="13" t="s">
        <v>43</v>
      </c>
      <c r="I1157" s="13" t="n">
        <v>4</v>
      </c>
      <c r="J1157" s="13" t="n">
        <v>1</v>
      </c>
      <c r="K1157" s="13" t="s">
        <v>85</v>
      </c>
      <c r="L1157" s="13" t="n">
        <v>3</v>
      </c>
      <c r="M1157" s="13" t="n">
        <v>1181693.63</v>
      </c>
      <c r="N1157" s="13" t="n">
        <v>393897.876666667</v>
      </c>
      <c r="O1157" s="13" t="n">
        <v>1393.10666666667</v>
      </c>
      <c r="P1157" s="13" t="n">
        <v>1</v>
      </c>
      <c r="Q1157" s="13" t="n">
        <v>2</v>
      </c>
      <c r="R1157" s="13" t="s">
        <v>98</v>
      </c>
      <c r="S1157" s="13" t="s">
        <v>103</v>
      </c>
      <c r="T1157" s="13" t="n">
        <v>1</v>
      </c>
      <c r="U1157" s="13" t="n">
        <f aca="false">IF(B1157="Individual",1,0)</f>
        <v>1</v>
      </c>
      <c r="V1157" s="13" t="n">
        <f aca="false">IF(B1157="Company",1,0)</f>
        <v>0</v>
      </c>
      <c r="W1157" s="13" t="n">
        <f aca="false">IF(H1157="Home",1,0)</f>
        <v>0</v>
      </c>
      <c r="X1157" s="13" t="n">
        <f aca="false">IF(H1157="Investment",1,0)</f>
        <v>1</v>
      </c>
      <c r="Y1157" s="13" t="n">
        <f aca="false">IF(K1157="Website",1,0)</f>
        <v>1</v>
      </c>
      <c r="Z1157" s="13" t="n">
        <f aca="false">IF(K1157="Agency",1,0)</f>
        <v>0</v>
      </c>
      <c r="AA1157" s="13" t="n">
        <f aca="false">IF(K1157="Client",1,0)</f>
        <v>0</v>
      </c>
      <c r="AB1157" s="13" t="n">
        <f aca="false">(D1157-AVERAGE(D$2:D$2001))/STDEV(D$2:D$2001)</f>
        <v>-0.584524311283389</v>
      </c>
      <c r="AC1157" s="13" t="n">
        <f aca="false">(I1157-AVERAGE(I$2:I$2001))/STDEV(I$2:I$2001)</f>
        <v>0.686917069130275</v>
      </c>
      <c r="AD1157" s="13" t="n">
        <f aca="false">(L1157-AVERAGE(L$2:L$2001))/STDEV(L$2:L$2001)</f>
        <v>-0.777063122173208</v>
      </c>
      <c r="AE1157" s="13" t="n">
        <f aca="false">(M1157-AVERAGE(M$2:M$2001))/STDEV(M$2:M$2001)</f>
        <v>-0.226207342756938</v>
      </c>
      <c r="AF1157" s="13" t="n">
        <f aca="false">(N1157-AVERAGE(N$2:N$2001))/STDEV(N$2:N$2001)</f>
        <v>0.671352520340277</v>
      </c>
      <c r="AG1157" s="13" t="n">
        <f aca="false">(O1157-AVERAGE(O$2:O$2001))/STDEV(O$2:O$2001)</f>
        <v>1.11687936226882</v>
      </c>
      <c r="AH1157" s="0" t="str">
        <f aca="false">IF(B1157="Company","C3 - Corporate Buyers",IF(AND(H1157="Investment",M1157&gt;'Segmentation Summary'!$C$1),"C1 - Global Investors",IF(AND(I1157&gt;=4,M1157&gt;'Segmentation Summary'!$C$1),"C4 - Luxury Investors",IF(AND(D1157&lt;'Segmentation Summary'!$C$2,J1157=1),"C2 - First-Time Buyers","C5 - Other Individual Buyers"))))</f>
        <v>C2 - First-Time Buyers</v>
      </c>
    </row>
    <row r="1158" customFormat="false" ht="15" hidden="false" customHeight="true" outlineLevel="0" collapsed="false">
      <c r="A1158" s="13" t="s">
        <v>2337</v>
      </c>
      <c r="B1158" s="13" t="s">
        <v>34</v>
      </c>
      <c r="C1158" s="13" t="s">
        <v>2338</v>
      </c>
      <c r="D1158" s="13" t="n">
        <v>51</v>
      </c>
      <c r="E1158" s="13" t="s">
        <v>83</v>
      </c>
      <c r="F1158" s="13" t="s">
        <v>33</v>
      </c>
      <c r="G1158" s="13" t="s">
        <v>162</v>
      </c>
      <c r="H1158" s="13" t="s">
        <v>41</v>
      </c>
      <c r="I1158" s="13" t="n">
        <v>3</v>
      </c>
      <c r="J1158" s="13" t="n">
        <v>0</v>
      </c>
      <c r="K1158" s="13" t="s">
        <v>85</v>
      </c>
      <c r="L1158" s="13" t="n">
        <v>5</v>
      </c>
      <c r="M1158" s="13" t="n">
        <v>1483838.77</v>
      </c>
      <c r="N1158" s="13" t="n">
        <v>296767.754</v>
      </c>
      <c r="O1158" s="13" t="n">
        <v>964.98</v>
      </c>
      <c r="P1158" s="13" t="n">
        <v>0</v>
      </c>
      <c r="Q1158" s="13" t="n">
        <v>5</v>
      </c>
      <c r="R1158" s="13" t="s">
        <v>92</v>
      </c>
      <c r="S1158" s="13" t="s">
        <v>154</v>
      </c>
      <c r="T1158" s="13" t="n">
        <v>1</v>
      </c>
      <c r="U1158" s="13" t="n">
        <f aca="false">IF(B1158="Individual",1,0)</f>
        <v>1</v>
      </c>
      <c r="V1158" s="13" t="n">
        <f aca="false">IF(B1158="Company",1,0)</f>
        <v>0</v>
      </c>
      <c r="W1158" s="13" t="n">
        <f aca="false">IF(H1158="Home",1,0)</f>
        <v>1</v>
      </c>
      <c r="X1158" s="13" t="n">
        <f aca="false">IF(H1158="Investment",1,0)</f>
        <v>0</v>
      </c>
      <c r="Y1158" s="13" t="n">
        <f aca="false">IF(K1158="Website",1,0)</f>
        <v>1</v>
      </c>
      <c r="Z1158" s="13" t="n">
        <f aca="false">IF(K1158="Agency",1,0)</f>
        <v>0</v>
      </c>
      <c r="AA1158" s="13" t="n">
        <f aca="false">IF(K1158="Client",1,0)</f>
        <v>0</v>
      </c>
      <c r="AB1158" s="13" t="n">
        <f aca="false">(D1158-AVERAGE(D$2:D$2001))/STDEV(D$2:D$2001)</f>
        <v>-0.18088712286633</v>
      </c>
      <c r="AC1158" s="13" t="n">
        <f aca="false">(I1158-AVERAGE(I$2:I$2001))/STDEV(I$2:I$2001)</f>
        <v>-0.0205155458339628</v>
      </c>
      <c r="AD1158" s="13" t="n">
        <f aca="false">(L1158-AVERAGE(L$2:L$2001))/STDEV(L$2:L$2001)</f>
        <v>1.60473955115463</v>
      </c>
      <c r="AE1158" s="13" t="n">
        <f aca="false">(M1158-AVERAGE(M$2:M$2001))/STDEV(M$2:M$2001)</f>
        <v>0.642448502034298</v>
      </c>
      <c r="AF1158" s="13" t="n">
        <f aca="false">(N1158-AVERAGE(N$2:N$2001))/STDEV(N$2:N$2001)</f>
        <v>-0.721756841113312</v>
      </c>
      <c r="AG1158" s="13" t="n">
        <f aca="false">(O1158-AVERAGE(O$2:O$2001))/STDEV(O$2:O$2001)</f>
        <v>-0.829835945989168</v>
      </c>
      <c r="AH1158" s="0" t="str">
        <f aca="false">IF(B1158="Company","C3 - Corporate Buyers",IF(AND(H1158="Investment",M1158&gt;'Segmentation Summary'!$C$1),"C1 - Global Investors",IF(AND(I1158&gt;=4,M1158&gt;'Segmentation Summary'!$C$1),"C4 - Luxury Investors",IF(AND(D1158&lt;'Segmentation Summary'!$C$2,J1158=1),"C2 - First-Time Buyers","C5 - Other Individual Buyers"))))</f>
        <v>C5 - Other Individual Buyers</v>
      </c>
    </row>
    <row r="1159" customFormat="false" ht="15" hidden="false" customHeight="true" outlineLevel="0" collapsed="false">
      <c r="A1159" s="13" t="s">
        <v>2339</v>
      </c>
      <c r="B1159" s="13" t="s">
        <v>34</v>
      </c>
      <c r="C1159" s="13" t="s">
        <v>2340</v>
      </c>
      <c r="D1159" s="13" t="n">
        <v>43</v>
      </c>
      <c r="E1159" s="13" t="s">
        <v>90</v>
      </c>
      <c r="F1159" s="13" t="s">
        <v>33</v>
      </c>
      <c r="G1159" s="13" t="s">
        <v>100</v>
      </c>
      <c r="H1159" s="13" t="s">
        <v>43</v>
      </c>
      <c r="I1159" s="13" t="n">
        <v>5</v>
      </c>
      <c r="J1159" s="13" t="n">
        <v>0</v>
      </c>
      <c r="K1159" s="13" t="s">
        <v>116</v>
      </c>
      <c r="L1159" s="13" t="n">
        <v>5</v>
      </c>
      <c r="M1159" s="13" t="n">
        <v>1282267.95</v>
      </c>
      <c r="N1159" s="13" t="n">
        <v>256453.59</v>
      </c>
      <c r="O1159" s="13" t="n">
        <v>884.224</v>
      </c>
      <c r="P1159" s="13" t="n">
        <v>0</v>
      </c>
      <c r="Q1159" s="13" t="n">
        <v>5</v>
      </c>
      <c r="R1159" s="13" t="s">
        <v>92</v>
      </c>
      <c r="S1159" s="13" t="s">
        <v>87</v>
      </c>
      <c r="T1159" s="13" t="n">
        <v>1</v>
      </c>
      <c r="U1159" s="13" t="n">
        <f aca="false">IF(B1159="Individual",1,0)</f>
        <v>1</v>
      </c>
      <c r="V1159" s="13" t="n">
        <f aca="false">IF(B1159="Company",1,0)</f>
        <v>0</v>
      </c>
      <c r="W1159" s="13" t="n">
        <f aca="false">IF(H1159="Home",1,0)</f>
        <v>0</v>
      </c>
      <c r="X1159" s="13" t="n">
        <f aca="false">IF(H1159="Investment",1,0)</f>
        <v>1</v>
      </c>
      <c r="Y1159" s="13" t="n">
        <f aca="false">IF(K1159="Website",1,0)</f>
        <v>0</v>
      </c>
      <c r="Z1159" s="13" t="n">
        <f aca="false">IF(K1159="Agency",1,0)</f>
        <v>0</v>
      </c>
      <c r="AA1159" s="13" t="n">
        <f aca="false">IF(K1159="Client",1,0)</f>
        <v>1</v>
      </c>
      <c r="AB1159" s="13" t="n">
        <f aca="false">(D1159-AVERAGE(D$2:D$2001))/STDEV(D$2:D$2001)</f>
        <v>-0.64218676677154</v>
      </c>
      <c r="AC1159" s="13" t="n">
        <f aca="false">(I1159-AVERAGE(I$2:I$2001))/STDEV(I$2:I$2001)</f>
        <v>1.39434968409451</v>
      </c>
      <c r="AD1159" s="13" t="n">
        <f aca="false">(L1159-AVERAGE(L$2:L$2001))/STDEV(L$2:L$2001)</f>
        <v>1.60473955115463</v>
      </c>
      <c r="AE1159" s="13" t="n">
        <f aca="false">(M1159-AVERAGE(M$2:M$2001))/STDEV(M$2:M$2001)</f>
        <v>0.0629400216650221</v>
      </c>
      <c r="AF1159" s="13" t="n">
        <f aca="false">(N1159-AVERAGE(N$2:N$2001))/STDEV(N$2:N$2001)</f>
        <v>-1.29997127887649</v>
      </c>
      <c r="AG1159" s="13" t="n">
        <f aca="false">(O1159-AVERAGE(O$2:O$2001))/STDEV(O$2:O$2001)</f>
        <v>-1.19703788334497</v>
      </c>
      <c r="AH1159" s="0" t="str">
        <f aca="false">IF(B1159="Company","C3 - Corporate Buyers",IF(AND(H1159="Investment",M1159&gt;'Segmentation Summary'!$C$1),"C1 - Global Investors",IF(AND(I1159&gt;=4,M1159&gt;'Segmentation Summary'!$C$1),"C4 - Luxury Investors",IF(AND(D1159&lt;'Segmentation Summary'!$C$2,J1159=1),"C2 - First-Time Buyers","C5 - Other Individual Buyers"))))</f>
        <v>C1 - Global Investors</v>
      </c>
    </row>
    <row r="1160" customFormat="false" ht="15" hidden="false" customHeight="true" outlineLevel="0" collapsed="false">
      <c r="A1160" s="13" t="s">
        <v>2341</v>
      </c>
      <c r="B1160" s="13" t="s">
        <v>34</v>
      </c>
      <c r="C1160" s="13" t="s">
        <v>2342</v>
      </c>
      <c r="D1160" s="13" t="n">
        <v>65</v>
      </c>
      <c r="E1160" s="13" t="s">
        <v>83</v>
      </c>
      <c r="F1160" s="13" t="s">
        <v>33</v>
      </c>
      <c r="G1160" s="13" t="s">
        <v>95</v>
      </c>
      <c r="H1160" s="13" t="s">
        <v>41</v>
      </c>
      <c r="I1160" s="13" t="n">
        <v>4</v>
      </c>
      <c r="J1160" s="13" t="n">
        <v>1</v>
      </c>
      <c r="K1160" s="13" t="s">
        <v>91</v>
      </c>
      <c r="L1160" s="13" t="n">
        <v>5</v>
      </c>
      <c r="M1160" s="13" t="n">
        <v>1661457.59</v>
      </c>
      <c r="N1160" s="13" t="n">
        <v>332291.518</v>
      </c>
      <c r="O1160" s="13" t="n">
        <v>1058.11</v>
      </c>
      <c r="P1160" s="13" t="n">
        <v>0</v>
      </c>
      <c r="Q1160" s="13" t="n">
        <v>5</v>
      </c>
      <c r="R1160" s="13" t="s">
        <v>124</v>
      </c>
      <c r="S1160" s="13" t="s">
        <v>114</v>
      </c>
      <c r="T1160" s="13" t="n">
        <v>1</v>
      </c>
      <c r="U1160" s="13" t="n">
        <f aca="false">IF(B1160="Individual",1,0)</f>
        <v>1</v>
      </c>
      <c r="V1160" s="13" t="n">
        <f aca="false">IF(B1160="Company",1,0)</f>
        <v>0</v>
      </c>
      <c r="W1160" s="13" t="n">
        <f aca="false">IF(H1160="Home",1,0)</f>
        <v>1</v>
      </c>
      <c r="X1160" s="13" t="n">
        <f aca="false">IF(H1160="Investment",1,0)</f>
        <v>0</v>
      </c>
      <c r="Y1160" s="13" t="n">
        <f aca="false">IF(K1160="Website",1,0)</f>
        <v>0</v>
      </c>
      <c r="Z1160" s="13" t="n">
        <f aca="false">IF(K1160="Agency",1,0)</f>
        <v>1</v>
      </c>
      <c r="AA1160" s="13" t="n">
        <f aca="false">IF(K1160="Client",1,0)</f>
        <v>0</v>
      </c>
      <c r="AB1160" s="13" t="n">
        <f aca="false">(D1160-AVERAGE(D$2:D$2001))/STDEV(D$2:D$2001)</f>
        <v>0.626387253967787</v>
      </c>
      <c r="AC1160" s="13" t="n">
        <f aca="false">(I1160-AVERAGE(I$2:I$2001))/STDEV(I$2:I$2001)</f>
        <v>0.686917069130275</v>
      </c>
      <c r="AD1160" s="13" t="n">
        <f aca="false">(L1160-AVERAGE(L$2:L$2001))/STDEV(L$2:L$2001)</f>
        <v>1.60473955115463</v>
      </c>
      <c r="AE1160" s="13" t="n">
        <f aca="false">(M1160-AVERAGE(M$2:M$2001))/STDEV(M$2:M$2001)</f>
        <v>1.15309588871052</v>
      </c>
      <c r="AF1160" s="13" t="n">
        <f aca="false">(N1160-AVERAGE(N$2:N$2001))/STDEV(N$2:N$2001)</f>
        <v>-0.212249730200836</v>
      </c>
      <c r="AG1160" s="13" t="n">
        <f aca="false">(O1160-AVERAGE(O$2:O$2001))/STDEV(O$2:O$2001)</f>
        <v>-0.406368755613895</v>
      </c>
      <c r="AH1160" s="0" t="str">
        <f aca="false">IF(B1160="Company","C3 - Corporate Buyers",IF(AND(H1160="Investment",M1160&gt;'Segmentation Summary'!$C$1),"C1 - Global Investors",IF(AND(I1160&gt;=4,M1160&gt;'Segmentation Summary'!$C$1),"C4 - Luxury Investors",IF(AND(D1160&lt;'Segmentation Summary'!$C$2,J1160=1),"C2 - First-Time Buyers","C5 - Other Individual Buyers"))))</f>
        <v>C4 - Luxury Investors</v>
      </c>
    </row>
    <row r="1161" customFormat="false" ht="15" hidden="false" customHeight="true" outlineLevel="0" collapsed="false">
      <c r="A1161" s="13" t="s">
        <v>2343</v>
      </c>
      <c r="B1161" s="13" t="s">
        <v>34</v>
      </c>
      <c r="C1161" s="13" t="s">
        <v>2344</v>
      </c>
      <c r="D1161" s="13" t="n">
        <v>46</v>
      </c>
      <c r="E1161" s="13" t="s">
        <v>83</v>
      </c>
      <c r="F1161" s="13" t="s">
        <v>33</v>
      </c>
      <c r="G1161" s="13" t="s">
        <v>95</v>
      </c>
      <c r="H1161" s="13" t="s">
        <v>41</v>
      </c>
      <c r="I1161" s="13" t="n">
        <v>5</v>
      </c>
      <c r="J1161" s="13" t="n">
        <v>0</v>
      </c>
      <c r="K1161" s="13" t="s">
        <v>85</v>
      </c>
      <c r="L1161" s="13" t="n">
        <v>5</v>
      </c>
      <c r="M1161" s="13" t="n">
        <v>1677155.01</v>
      </c>
      <c r="N1161" s="13" t="n">
        <v>335431.002</v>
      </c>
      <c r="O1161" s="13" t="n">
        <v>1090.3</v>
      </c>
      <c r="P1161" s="13" t="n">
        <v>1</v>
      </c>
      <c r="Q1161" s="13" t="n">
        <v>4</v>
      </c>
      <c r="R1161" s="13" t="s">
        <v>117</v>
      </c>
      <c r="S1161" s="13" t="s">
        <v>125</v>
      </c>
      <c r="T1161" s="13" t="n">
        <v>1</v>
      </c>
      <c r="U1161" s="13" t="n">
        <f aca="false">IF(B1161="Individual",1,0)</f>
        <v>1</v>
      </c>
      <c r="V1161" s="13" t="n">
        <f aca="false">IF(B1161="Company",1,0)</f>
        <v>0</v>
      </c>
      <c r="W1161" s="13" t="n">
        <f aca="false">IF(H1161="Home",1,0)</f>
        <v>1</v>
      </c>
      <c r="X1161" s="13" t="n">
        <f aca="false">IF(H1161="Investment",1,0)</f>
        <v>0</v>
      </c>
      <c r="Y1161" s="13" t="n">
        <f aca="false">IF(K1161="Website",1,0)</f>
        <v>1</v>
      </c>
      <c r="Z1161" s="13" t="n">
        <f aca="false">IF(K1161="Agency",1,0)</f>
        <v>0</v>
      </c>
      <c r="AA1161" s="13" t="n">
        <f aca="false">IF(K1161="Client",1,0)</f>
        <v>0</v>
      </c>
      <c r="AB1161" s="13" t="n">
        <f aca="false">(D1161-AVERAGE(D$2:D$2001))/STDEV(D$2:D$2001)</f>
        <v>-0.469199400307086</v>
      </c>
      <c r="AC1161" s="13" t="n">
        <f aca="false">(I1161-AVERAGE(I$2:I$2001))/STDEV(I$2:I$2001)</f>
        <v>1.39434968409451</v>
      </c>
      <c r="AD1161" s="13" t="n">
        <f aca="false">(L1161-AVERAGE(L$2:L$2001))/STDEV(L$2:L$2001)</f>
        <v>1.60473955115463</v>
      </c>
      <c r="AE1161" s="13" t="n">
        <f aca="false">(M1161-AVERAGE(M$2:M$2001))/STDEV(M$2:M$2001)</f>
        <v>1.19822537724422</v>
      </c>
      <c r="AF1161" s="13" t="n">
        <f aca="false">(N1161-AVERAGE(N$2:N$2001))/STDEV(N$2:N$2001)</f>
        <v>-0.167221015828227</v>
      </c>
      <c r="AG1161" s="13" t="n">
        <f aca="false">(O1161-AVERAGE(O$2:O$2001))/STDEV(O$2:O$2001)</f>
        <v>-0.259999069603156</v>
      </c>
      <c r="AH1161" s="0" t="str">
        <f aca="false">IF(B1161="Company","C3 - Corporate Buyers",IF(AND(H1161="Investment",M1161&gt;'Segmentation Summary'!$C$1),"C1 - Global Investors",IF(AND(I1161&gt;=4,M1161&gt;'Segmentation Summary'!$C$1),"C4 - Luxury Investors",IF(AND(D1161&lt;'Segmentation Summary'!$C$2,J1161=1),"C2 - First-Time Buyers","C5 - Other Individual Buyers"))))</f>
        <v>C4 - Luxury Investors</v>
      </c>
    </row>
    <row r="1162" customFormat="false" ht="15" hidden="false" customHeight="true" outlineLevel="0" collapsed="false">
      <c r="A1162" s="13" t="s">
        <v>2345</v>
      </c>
      <c r="B1162" s="13" t="s">
        <v>34</v>
      </c>
      <c r="C1162" s="13" t="s">
        <v>2346</v>
      </c>
      <c r="D1162" s="13" t="n">
        <v>62</v>
      </c>
      <c r="E1162" s="13" t="s">
        <v>90</v>
      </c>
      <c r="F1162" s="13" t="s">
        <v>33</v>
      </c>
      <c r="G1162" s="13" t="s">
        <v>95</v>
      </c>
      <c r="H1162" s="13" t="s">
        <v>41</v>
      </c>
      <c r="I1162" s="13" t="n">
        <v>1</v>
      </c>
      <c r="J1162" s="13" t="n">
        <v>1</v>
      </c>
      <c r="K1162" s="13" t="s">
        <v>85</v>
      </c>
      <c r="L1162" s="13" t="n">
        <v>4</v>
      </c>
      <c r="M1162" s="13" t="n">
        <v>1124004.05</v>
      </c>
      <c r="N1162" s="13" t="n">
        <v>281001.0125</v>
      </c>
      <c r="O1162" s="13" t="n">
        <v>932.945</v>
      </c>
      <c r="P1162" s="13" t="n">
        <v>0</v>
      </c>
      <c r="Q1162" s="13" t="n">
        <v>4</v>
      </c>
      <c r="R1162" s="13" t="s">
        <v>92</v>
      </c>
      <c r="S1162" s="13" t="s">
        <v>152</v>
      </c>
      <c r="T1162" s="13" t="n">
        <v>1</v>
      </c>
      <c r="U1162" s="13" t="n">
        <f aca="false">IF(B1162="Individual",1,0)</f>
        <v>1</v>
      </c>
      <c r="V1162" s="13" t="n">
        <f aca="false">IF(B1162="Company",1,0)</f>
        <v>0</v>
      </c>
      <c r="W1162" s="13" t="n">
        <f aca="false">IF(H1162="Home",1,0)</f>
        <v>1</v>
      </c>
      <c r="X1162" s="13" t="n">
        <f aca="false">IF(H1162="Investment",1,0)</f>
        <v>0</v>
      </c>
      <c r="Y1162" s="13" t="n">
        <f aca="false">IF(K1162="Website",1,0)</f>
        <v>1</v>
      </c>
      <c r="Z1162" s="13" t="n">
        <f aca="false">IF(K1162="Agency",1,0)</f>
        <v>0</v>
      </c>
      <c r="AA1162" s="13" t="n">
        <f aca="false">IF(K1162="Client",1,0)</f>
        <v>0</v>
      </c>
      <c r="AB1162" s="13" t="n">
        <f aca="false">(D1162-AVERAGE(D$2:D$2001))/STDEV(D$2:D$2001)</f>
        <v>0.453399887503333</v>
      </c>
      <c r="AC1162" s="13" t="n">
        <f aca="false">(I1162-AVERAGE(I$2:I$2001))/STDEV(I$2:I$2001)</f>
        <v>-1.43538077576244</v>
      </c>
      <c r="AD1162" s="13" t="n">
        <f aca="false">(L1162-AVERAGE(L$2:L$2001))/STDEV(L$2:L$2001)</f>
        <v>0.413838214490712</v>
      </c>
      <c r="AE1162" s="13" t="n">
        <f aca="false">(M1162-AVERAGE(M$2:M$2001))/STDEV(M$2:M$2001)</f>
        <v>-0.392062702371696</v>
      </c>
      <c r="AF1162" s="13" t="n">
        <f aca="false">(N1162-AVERAGE(N$2:N$2001))/STDEV(N$2:N$2001)</f>
        <v>-0.947894671275928</v>
      </c>
      <c r="AG1162" s="13" t="n">
        <f aca="false">(O1162-AVERAGE(O$2:O$2001))/STDEV(O$2:O$2001)</f>
        <v>-0.975500838544434</v>
      </c>
      <c r="AH1162" s="0" t="str">
        <f aca="false">IF(B1162="Company","C3 - Corporate Buyers",IF(AND(H1162="Investment",M1162&gt;'Segmentation Summary'!$C$1),"C1 - Global Investors",IF(AND(I1162&gt;=4,M1162&gt;'Segmentation Summary'!$C$1),"C4 - Luxury Investors",IF(AND(D1162&lt;'Segmentation Summary'!$C$2,J1162=1),"C2 - First-Time Buyers","C5 - Other Individual Buyers"))))</f>
        <v>C5 - Other Individual Buyers</v>
      </c>
    </row>
    <row r="1163" customFormat="false" ht="15" hidden="false" customHeight="true" outlineLevel="0" collapsed="false">
      <c r="A1163" s="13" t="s">
        <v>2347</v>
      </c>
      <c r="B1163" s="13" t="s">
        <v>34</v>
      </c>
      <c r="C1163" s="13" t="s">
        <v>2348</v>
      </c>
      <c r="D1163" s="13" t="n">
        <v>56</v>
      </c>
      <c r="E1163" s="13" t="s">
        <v>90</v>
      </c>
      <c r="F1163" s="13" t="s">
        <v>33</v>
      </c>
      <c r="G1163" s="13" t="s">
        <v>95</v>
      </c>
      <c r="H1163" s="13" t="s">
        <v>41</v>
      </c>
      <c r="I1163" s="13" t="n">
        <v>4</v>
      </c>
      <c r="J1163" s="13" t="n">
        <v>1</v>
      </c>
      <c r="K1163" s="13" t="s">
        <v>85</v>
      </c>
      <c r="L1163" s="13" t="n">
        <v>4</v>
      </c>
      <c r="M1163" s="13" t="n">
        <v>1246764.72</v>
      </c>
      <c r="N1163" s="13" t="n">
        <v>311691.18</v>
      </c>
      <c r="O1163" s="13" t="n">
        <v>983.885</v>
      </c>
      <c r="P1163" s="13" t="n">
        <v>0</v>
      </c>
      <c r="Q1163" s="13" t="n">
        <v>4</v>
      </c>
      <c r="R1163" s="13" t="s">
        <v>150</v>
      </c>
      <c r="S1163" s="13" t="s">
        <v>87</v>
      </c>
      <c r="T1163" s="13" t="n">
        <v>1</v>
      </c>
      <c r="U1163" s="13" t="n">
        <f aca="false">IF(B1163="Individual",1,0)</f>
        <v>1</v>
      </c>
      <c r="V1163" s="13" t="n">
        <f aca="false">IF(B1163="Company",1,0)</f>
        <v>0</v>
      </c>
      <c r="W1163" s="13" t="n">
        <f aca="false">IF(H1163="Home",1,0)</f>
        <v>1</v>
      </c>
      <c r="X1163" s="13" t="n">
        <f aca="false">IF(H1163="Investment",1,0)</f>
        <v>0</v>
      </c>
      <c r="Y1163" s="13" t="n">
        <f aca="false">IF(K1163="Website",1,0)</f>
        <v>1</v>
      </c>
      <c r="Z1163" s="13" t="n">
        <f aca="false">IF(K1163="Agency",1,0)</f>
        <v>0</v>
      </c>
      <c r="AA1163" s="13" t="n">
        <f aca="false">IF(K1163="Client",1,0)</f>
        <v>0</v>
      </c>
      <c r="AB1163" s="13" t="n">
        <f aca="false">(D1163-AVERAGE(D$2:D$2001))/STDEV(D$2:D$2001)</f>
        <v>0.107425154574426</v>
      </c>
      <c r="AC1163" s="13" t="n">
        <f aca="false">(I1163-AVERAGE(I$2:I$2001))/STDEV(I$2:I$2001)</f>
        <v>0.686917069130275</v>
      </c>
      <c r="AD1163" s="13" t="n">
        <f aca="false">(L1163-AVERAGE(L$2:L$2001))/STDEV(L$2:L$2001)</f>
        <v>0.413838214490712</v>
      </c>
      <c r="AE1163" s="13" t="n">
        <f aca="false">(M1163-AVERAGE(M$2:M$2001))/STDEV(M$2:M$2001)</f>
        <v>-0.039130421197198</v>
      </c>
      <c r="AF1163" s="13" t="n">
        <f aca="false">(N1163-AVERAGE(N$2:N$2001))/STDEV(N$2:N$2001)</f>
        <v>-0.50771444216662</v>
      </c>
      <c r="AG1163" s="13" t="n">
        <f aca="false">(O1163-AVERAGE(O$2:O$2001))/STDEV(O$2:O$2001)</f>
        <v>-0.743873879694263</v>
      </c>
      <c r="AH1163" s="0" t="str">
        <f aca="false">IF(B1163="Company","C3 - Corporate Buyers",IF(AND(H1163="Investment",M1163&gt;'Segmentation Summary'!$C$1),"C1 - Global Investors",IF(AND(I1163&gt;=4,M1163&gt;'Segmentation Summary'!$C$1),"C4 - Luxury Investors",IF(AND(D1163&lt;'Segmentation Summary'!$C$2,J1163=1),"C2 - First-Time Buyers","C5 - Other Individual Buyers"))))</f>
        <v>C4 - Luxury Investors</v>
      </c>
    </row>
    <row r="1164" customFormat="false" ht="15" hidden="false" customHeight="true" outlineLevel="0" collapsed="false">
      <c r="A1164" s="13" t="s">
        <v>2349</v>
      </c>
      <c r="B1164" s="13" t="s">
        <v>34</v>
      </c>
      <c r="C1164" s="13" t="s">
        <v>2350</v>
      </c>
      <c r="D1164" s="13" t="n">
        <v>67</v>
      </c>
      <c r="E1164" s="13" t="s">
        <v>90</v>
      </c>
      <c r="F1164" s="13" t="s">
        <v>37</v>
      </c>
      <c r="G1164" s="13" t="s">
        <v>676</v>
      </c>
      <c r="H1164" s="13" t="s">
        <v>43</v>
      </c>
      <c r="I1164" s="13" t="n">
        <v>5</v>
      </c>
      <c r="J1164" s="13" t="n">
        <v>0</v>
      </c>
      <c r="K1164" s="13" t="s">
        <v>85</v>
      </c>
      <c r="L1164" s="13" t="n">
        <v>3</v>
      </c>
      <c r="M1164" s="13" t="n">
        <v>975048.28</v>
      </c>
      <c r="N1164" s="13" t="n">
        <v>325016.093333333</v>
      </c>
      <c r="O1164" s="13" t="n">
        <v>1129.17666666667</v>
      </c>
      <c r="P1164" s="13" t="n">
        <v>1</v>
      </c>
      <c r="Q1164" s="13" t="n">
        <v>2</v>
      </c>
      <c r="R1164" s="13" t="s">
        <v>128</v>
      </c>
      <c r="S1164" s="13" t="s">
        <v>87</v>
      </c>
      <c r="T1164" s="13" t="n">
        <v>1</v>
      </c>
      <c r="U1164" s="13" t="n">
        <f aca="false">IF(B1164="Individual",1,0)</f>
        <v>1</v>
      </c>
      <c r="V1164" s="13" t="n">
        <f aca="false">IF(B1164="Company",1,0)</f>
        <v>0</v>
      </c>
      <c r="W1164" s="13" t="n">
        <f aca="false">IF(H1164="Home",1,0)</f>
        <v>0</v>
      </c>
      <c r="X1164" s="13" t="n">
        <f aca="false">IF(H1164="Investment",1,0)</f>
        <v>1</v>
      </c>
      <c r="Y1164" s="13" t="n">
        <f aca="false">IF(K1164="Website",1,0)</f>
        <v>1</v>
      </c>
      <c r="Z1164" s="13" t="n">
        <f aca="false">IF(K1164="Agency",1,0)</f>
        <v>0</v>
      </c>
      <c r="AA1164" s="13" t="n">
        <f aca="false">IF(K1164="Client",1,0)</f>
        <v>0</v>
      </c>
      <c r="AB1164" s="13" t="n">
        <f aca="false">(D1164-AVERAGE(D$2:D$2001))/STDEV(D$2:D$2001)</f>
        <v>0.741712164944089</v>
      </c>
      <c r="AC1164" s="13" t="n">
        <f aca="false">(I1164-AVERAGE(I$2:I$2001))/STDEV(I$2:I$2001)</f>
        <v>1.39434968409451</v>
      </c>
      <c r="AD1164" s="13" t="n">
        <f aca="false">(L1164-AVERAGE(L$2:L$2001))/STDEV(L$2:L$2001)</f>
        <v>-0.777063122173208</v>
      </c>
      <c r="AE1164" s="13" t="n">
        <f aca="false">(M1164-AVERAGE(M$2:M$2001))/STDEV(M$2:M$2001)</f>
        <v>-0.820304904863779</v>
      </c>
      <c r="AF1164" s="13" t="n">
        <f aca="false">(N1164-AVERAGE(N$2:N$2001))/STDEV(N$2:N$2001)</f>
        <v>-0.316599049787996</v>
      </c>
      <c r="AG1164" s="13" t="n">
        <f aca="false">(O1164-AVERAGE(O$2:O$2001))/STDEV(O$2:O$2001)</f>
        <v>-0.0832247454917976</v>
      </c>
      <c r="AH1164" s="0" t="str">
        <f aca="false">IF(B1164="Company","C3 - Corporate Buyers",IF(AND(H1164="Investment",M1164&gt;'Segmentation Summary'!$C$1),"C1 - Global Investors",IF(AND(I1164&gt;=4,M1164&gt;'Segmentation Summary'!$C$1),"C4 - Luxury Investors",IF(AND(D1164&lt;'Segmentation Summary'!$C$2,J1164=1),"C2 - First-Time Buyers","C5 - Other Individual Buyers"))))</f>
        <v>C5 - Other Individual Buyers</v>
      </c>
    </row>
    <row r="1165" customFormat="false" ht="15" hidden="false" customHeight="true" outlineLevel="0" collapsed="false">
      <c r="A1165" s="13" t="s">
        <v>2351</v>
      </c>
      <c r="B1165" s="13" t="s">
        <v>34</v>
      </c>
      <c r="C1165" s="13" t="s">
        <v>2352</v>
      </c>
      <c r="D1165" s="13" t="n">
        <v>80</v>
      </c>
      <c r="E1165" s="13" t="s">
        <v>90</v>
      </c>
      <c r="F1165" s="13" t="s">
        <v>33</v>
      </c>
      <c r="G1165" s="13" t="s">
        <v>95</v>
      </c>
      <c r="H1165" s="13" t="s">
        <v>43</v>
      </c>
      <c r="I1165" s="13" t="n">
        <v>3</v>
      </c>
      <c r="J1165" s="13" t="n">
        <v>0</v>
      </c>
      <c r="K1165" s="13" t="s">
        <v>85</v>
      </c>
      <c r="L1165" s="13" t="n">
        <v>3</v>
      </c>
      <c r="M1165" s="13" t="n">
        <v>1296600.42</v>
      </c>
      <c r="N1165" s="13" t="n">
        <v>432200.14</v>
      </c>
      <c r="O1165" s="13" t="n">
        <v>1440.19333333333</v>
      </c>
      <c r="P1165" s="13" t="n">
        <v>0</v>
      </c>
      <c r="Q1165" s="13" t="n">
        <v>3</v>
      </c>
      <c r="R1165" s="13" t="s">
        <v>86</v>
      </c>
      <c r="S1165" s="13" t="s">
        <v>124</v>
      </c>
      <c r="T1165" s="13" t="n">
        <v>1</v>
      </c>
      <c r="U1165" s="13" t="n">
        <f aca="false">IF(B1165="Individual",1,0)</f>
        <v>1</v>
      </c>
      <c r="V1165" s="13" t="n">
        <f aca="false">IF(B1165="Company",1,0)</f>
        <v>0</v>
      </c>
      <c r="W1165" s="13" t="n">
        <f aca="false">IF(H1165="Home",1,0)</f>
        <v>0</v>
      </c>
      <c r="X1165" s="13" t="n">
        <f aca="false">IF(H1165="Investment",1,0)</f>
        <v>1</v>
      </c>
      <c r="Y1165" s="13" t="n">
        <f aca="false">IF(K1165="Website",1,0)</f>
        <v>1</v>
      </c>
      <c r="Z1165" s="13" t="n">
        <f aca="false">IF(K1165="Agency",1,0)</f>
        <v>0</v>
      </c>
      <c r="AA1165" s="13" t="n">
        <f aca="false">IF(K1165="Client",1,0)</f>
        <v>0</v>
      </c>
      <c r="AB1165" s="13" t="n">
        <f aca="false">(D1165-AVERAGE(D$2:D$2001))/STDEV(D$2:D$2001)</f>
        <v>1.49132408629005</v>
      </c>
      <c r="AC1165" s="13" t="n">
        <f aca="false">(I1165-AVERAGE(I$2:I$2001))/STDEV(I$2:I$2001)</f>
        <v>-0.0205155458339628</v>
      </c>
      <c r="AD1165" s="13" t="n">
        <f aca="false">(L1165-AVERAGE(L$2:L$2001))/STDEV(L$2:L$2001)</f>
        <v>-0.777063122173208</v>
      </c>
      <c r="AE1165" s="13" t="n">
        <f aca="false">(M1165-AVERAGE(M$2:M$2001))/STDEV(M$2:M$2001)</f>
        <v>0.104145330596336</v>
      </c>
      <c r="AF1165" s="13" t="n">
        <f aca="false">(N1165-AVERAGE(N$2:N$2001))/STDEV(N$2:N$2001)</f>
        <v>1.22071084656875</v>
      </c>
      <c r="AG1165" s="13" t="n">
        <f aca="false">(O1165-AVERAGE(O$2:O$2001))/STDEV(O$2:O$2001)</f>
        <v>1.33098500424742</v>
      </c>
      <c r="AH1165" s="0" t="str">
        <f aca="false">IF(B1165="Company","C3 - Corporate Buyers",IF(AND(H1165="Investment",M1165&gt;'Segmentation Summary'!$C$1),"C1 - Global Investors",IF(AND(I1165&gt;=4,M1165&gt;'Segmentation Summary'!$C$1),"C4 - Luxury Investors",IF(AND(D1165&lt;'Segmentation Summary'!$C$2,J1165=1),"C2 - First-Time Buyers","C5 - Other Individual Buyers"))))</f>
        <v>C1 - Global Investors</v>
      </c>
    </row>
    <row r="1166" customFormat="false" ht="15" hidden="false" customHeight="true" outlineLevel="0" collapsed="false">
      <c r="A1166" s="13" t="s">
        <v>2353</v>
      </c>
      <c r="B1166" s="13" t="s">
        <v>34</v>
      </c>
      <c r="C1166" s="13" t="s">
        <v>2354</v>
      </c>
      <c r="D1166" s="13" t="n">
        <v>53</v>
      </c>
      <c r="E1166" s="13" t="s">
        <v>90</v>
      </c>
      <c r="F1166" s="13" t="s">
        <v>33</v>
      </c>
      <c r="G1166" s="13" t="s">
        <v>95</v>
      </c>
      <c r="H1166" s="13" t="s">
        <v>41</v>
      </c>
      <c r="I1166" s="13" t="n">
        <v>2</v>
      </c>
      <c r="J1166" s="13" t="n">
        <v>0</v>
      </c>
      <c r="K1166" s="13" t="s">
        <v>85</v>
      </c>
      <c r="L1166" s="13" t="n">
        <v>7</v>
      </c>
      <c r="M1166" s="13" t="n">
        <v>2276701.17</v>
      </c>
      <c r="N1166" s="13" t="n">
        <v>325243.024285714</v>
      </c>
      <c r="O1166" s="13" t="n">
        <v>1049.15428571429</v>
      </c>
      <c r="P1166" s="13" t="n">
        <v>1</v>
      </c>
      <c r="Q1166" s="13" t="n">
        <v>6</v>
      </c>
      <c r="R1166" s="13" t="s">
        <v>101</v>
      </c>
      <c r="S1166" s="13" t="s">
        <v>133</v>
      </c>
      <c r="T1166" s="13" t="n">
        <v>1</v>
      </c>
      <c r="U1166" s="13" t="n">
        <f aca="false">IF(B1166="Individual",1,0)</f>
        <v>1</v>
      </c>
      <c r="V1166" s="13" t="n">
        <f aca="false">IF(B1166="Company",1,0)</f>
        <v>0</v>
      </c>
      <c r="W1166" s="13" t="n">
        <f aca="false">IF(H1166="Home",1,0)</f>
        <v>1</v>
      </c>
      <c r="X1166" s="13" t="n">
        <f aca="false">IF(H1166="Investment",1,0)</f>
        <v>0</v>
      </c>
      <c r="Y1166" s="13" t="n">
        <f aca="false">IF(K1166="Website",1,0)</f>
        <v>1</v>
      </c>
      <c r="Z1166" s="13" t="n">
        <f aca="false">IF(K1166="Agency",1,0)</f>
        <v>0</v>
      </c>
      <c r="AA1166" s="13" t="n">
        <f aca="false">IF(K1166="Client",1,0)</f>
        <v>0</v>
      </c>
      <c r="AB1166" s="13" t="n">
        <f aca="false">(D1166-AVERAGE(D$2:D$2001))/STDEV(D$2:D$2001)</f>
        <v>-0.065562211890028</v>
      </c>
      <c r="AC1166" s="13" t="n">
        <f aca="false">(I1166-AVERAGE(I$2:I$2001))/STDEV(I$2:I$2001)</f>
        <v>-0.727948160798201</v>
      </c>
      <c r="AD1166" s="13" t="n">
        <f aca="false">(L1166-AVERAGE(L$2:L$2001))/STDEV(L$2:L$2001)</f>
        <v>3.98654222448247</v>
      </c>
      <c r="AE1166" s="13" t="n">
        <f aca="false">(M1166-AVERAGE(M$2:M$2001))/STDEV(M$2:M$2001)</f>
        <v>2.92189790133692</v>
      </c>
      <c r="AF1166" s="13" t="n">
        <f aca="false">(N1166-AVERAGE(N$2:N$2001))/STDEV(N$2:N$2001)</f>
        <v>-0.313344244527938</v>
      </c>
      <c r="AG1166" s="13" t="n">
        <f aca="false">(O1166-AVERAGE(O$2:O$2001))/STDEV(O$2:O$2001)</f>
        <v>-0.447090877018096</v>
      </c>
      <c r="AH1166" s="0" t="str">
        <f aca="false">IF(B1166="Company","C3 - Corporate Buyers",IF(AND(H1166="Investment",M1166&gt;'Segmentation Summary'!$C$1),"C1 - Global Investors",IF(AND(I1166&gt;=4,M1166&gt;'Segmentation Summary'!$C$1),"C4 - Luxury Investors",IF(AND(D1166&lt;'Segmentation Summary'!$C$2,J1166=1),"C2 - First-Time Buyers","C5 - Other Individual Buyers"))))</f>
        <v>C5 - Other Individual Buyers</v>
      </c>
    </row>
    <row r="1167" customFormat="false" ht="15" hidden="false" customHeight="true" outlineLevel="0" collapsed="false">
      <c r="A1167" s="13" t="s">
        <v>2355</v>
      </c>
      <c r="B1167" s="13" t="s">
        <v>34</v>
      </c>
      <c r="C1167" s="13" t="s">
        <v>2356</v>
      </c>
      <c r="D1167" s="13" t="n">
        <v>67</v>
      </c>
      <c r="E1167" s="13" t="s">
        <v>90</v>
      </c>
      <c r="F1167" s="13" t="s">
        <v>33</v>
      </c>
      <c r="G1167" s="13" t="s">
        <v>162</v>
      </c>
      <c r="H1167" s="13" t="s">
        <v>43</v>
      </c>
      <c r="I1167" s="13" t="n">
        <v>1</v>
      </c>
      <c r="J1167" s="13" t="n">
        <v>0</v>
      </c>
      <c r="K1167" s="13" t="s">
        <v>85</v>
      </c>
      <c r="L1167" s="13" t="n">
        <v>4</v>
      </c>
      <c r="M1167" s="13" t="n">
        <v>1463190.28</v>
      </c>
      <c r="N1167" s="13" t="n">
        <v>365797.57</v>
      </c>
      <c r="O1167" s="13" t="n">
        <v>1278.045</v>
      </c>
      <c r="P1167" s="13" t="n">
        <v>0</v>
      </c>
      <c r="Q1167" s="13" t="n">
        <v>4</v>
      </c>
      <c r="R1167" s="13" t="s">
        <v>92</v>
      </c>
      <c r="S1167" s="13" t="s">
        <v>87</v>
      </c>
      <c r="T1167" s="13" t="n">
        <v>1</v>
      </c>
      <c r="U1167" s="13" t="n">
        <f aca="false">IF(B1167="Individual",1,0)</f>
        <v>1</v>
      </c>
      <c r="V1167" s="13" t="n">
        <f aca="false">IF(B1167="Company",1,0)</f>
        <v>0</v>
      </c>
      <c r="W1167" s="13" t="n">
        <f aca="false">IF(H1167="Home",1,0)</f>
        <v>0</v>
      </c>
      <c r="X1167" s="13" t="n">
        <f aca="false">IF(H1167="Investment",1,0)</f>
        <v>1</v>
      </c>
      <c r="Y1167" s="13" t="n">
        <f aca="false">IF(K1167="Website",1,0)</f>
        <v>1</v>
      </c>
      <c r="Z1167" s="13" t="n">
        <f aca="false">IF(K1167="Agency",1,0)</f>
        <v>0</v>
      </c>
      <c r="AA1167" s="13" t="n">
        <f aca="false">IF(K1167="Client",1,0)</f>
        <v>0</v>
      </c>
      <c r="AB1167" s="13" t="n">
        <f aca="false">(D1167-AVERAGE(D$2:D$2001))/STDEV(D$2:D$2001)</f>
        <v>0.741712164944089</v>
      </c>
      <c r="AC1167" s="13" t="n">
        <f aca="false">(I1167-AVERAGE(I$2:I$2001))/STDEV(I$2:I$2001)</f>
        <v>-1.43538077576244</v>
      </c>
      <c r="AD1167" s="13" t="n">
        <f aca="false">(L1167-AVERAGE(L$2:L$2001))/STDEV(L$2:L$2001)</f>
        <v>0.413838214490712</v>
      </c>
      <c r="AE1167" s="13" t="n">
        <f aca="false">(M1167-AVERAGE(M$2:M$2001))/STDEV(M$2:M$2001)</f>
        <v>0.583084874591495</v>
      </c>
      <c r="AF1167" s="13" t="n">
        <f aca="false">(N1167-AVERAGE(N$2:N$2001))/STDEV(N$2:N$2001)</f>
        <v>0.268317918897476</v>
      </c>
      <c r="AG1167" s="13" t="n">
        <f aca="false">(O1167-AVERAGE(O$2:O$2001))/STDEV(O$2:O$2001)</f>
        <v>0.593687687156276</v>
      </c>
      <c r="AH1167" s="0" t="str">
        <f aca="false">IF(B1167="Company","C3 - Corporate Buyers",IF(AND(H1167="Investment",M1167&gt;'Segmentation Summary'!$C$1),"C1 - Global Investors",IF(AND(I1167&gt;=4,M1167&gt;'Segmentation Summary'!$C$1),"C4 - Luxury Investors",IF(AND(D1167&lt;'Segmentation Summary'!$C$2,J1167=1),"C2 - First-Time Buyers","C5 - Other Individual Buyers"))))</f>
        <v>C1 - Global Investors</v>
      </c>
    </row>
    <row r="1168" customFormat="false" ht="15" hidden="false" customHeight="true" outlineLevel="0" collapsed="false">
      <c r="A1168" s="13" t="s">
        <v>2357</v>
      </c>
      <c r="B1168" s="13" t="s">
        <v>34</v>
      </c>
      <c r="C1168" s="13" t="s">
        <v>2358</v>
      </c>
      <c r="D1168" s="13" t="n">
        <v>42</v>
      </c>
      <c r="E1168" s="13" t="s">
        <v>90</v>
      </c>
      <c r="F1168" s="13" t="s">
        <v>33</v>
      </c>
      <c r="G1168" s="13" t="s">
        <v>120</v>
      </c>
      <c r="H1168" s="13" t="s">
        <v>41</v>
      </c>
      <c r="I1168" s="13" t="n">
        <v>1</v>
      </c>
      <c r="J1168" s="13" t="n">
        <v>0</v>
      </c>
      <c r="K1168" s="13" t="s">
        <v>85</v>
      </c>
      <c r="L1168" s="13" t="n">
        <v>3</v>
      </c>
      <c r="M1168" s="13" t="n">
        <v>916043.72</v>
      </c>
      <c r="N1168" s="13" t="n">
        <v>305347.906666667</v>
      </c>
      <c r="O1168" s="13" t="n">
        <v>979.086666666667</v>
      </c>
      <c r="P1168" s="13" t="n">
        <v>1</v>
      </c>
      <c r="Q1168" s="13" t="n">
        <v>2</v>
      </c>
      <c r="R1168" s="13" t="s">
        <v>98</v>
      </c>
      <c r="S1168" s="13" t="s">
        <v>133</v>
      </c>
      <c r="T1168" s="13" t="n">
        <v>1</v>
      </c>
      <c r="U1168" s="13" t="n">
        <f aca="false">IF(B1168="Individual",1,0)</f>
        <v>1</v>
      </c>
      <c r="V1168" s="13" t="n">
        <f aca="false">IF(B1168="Company",1,0)</f>
        <v>0</v>
      </c>
      <c r="W1168" s="13" t="n">
        <f aca="false">IF(H1168="Home",1,0)</f>
        <v>1</v>
      </c>
      <c r="X1168" s="13" t="n">
        <f aca="false">IF(H1168="Investment",1,0)</f>
        <v>0</v>
      </c>
      <c r="Y1168" s="13" t="n">
        <f aca="false">IF(K1168="Website",1,0)</f>
        <v>1</v>
      </c>
      <c r="Z1168" s="13" t="n">
        <f aca="false">IF(K1168="Agency",1,0)</f>
        <v>0</v>
      </c>
      <c r="AA1168" s="13" t="n">
        <f aca="false">IF(K1168="Client",1,0)</f>
        <v>0</v>
      </c>
      <c r="AB1168" s="13" t="n">
        <f aca="false">(D1168-AVERAGE(D$2:D$2001))/STDEV(D$2:D$2001)</f>
        <v>-0.699849222259691</v>
      </c>
      <c r="AC1168" s="13" t="n">
        <f aca="false">(I1168-AVERAGE(I$2:I$2001))/STDEV(I$2:I$2001)</f>
        <v>-1.43538077576244</v>
      </c>
      <c r="AD1168" s="13" t="n">
        <f aca="false">(L1168-AVERAGE(L$2:L$2001))/STDEV(L$2:L$2001)</f>
        <v>-0.777063122173208</v>
      </c>
      <c r="AE1168" s="13" t="n">
        <f aca="false">(M1168-AVERAGE(M$2:M$2001))/STDEV(M$2:M$2001)</f>
        <v>-0.989940782221711</v>
      </c>
      <c r="AF1168" s="13" t="n">
        <f aca="false">(N1168-AVERAGE(N$2:N$2001))/STDEV(N$2:N$2001)</f>
        <v>-0.59869418377831</v>
      </c>
      <c r="AG1168" s="13" t="n">
        <f aca="false">(O1168-AVERAGE(O$2:O$2001))/STDEV(O$2:O$2001)</f>
        <v>-0.765692163116904</v>
      </c>
      <c r="AH1168" s="0" t="str">
        <f aca="false">IF(B1168="Company","C3 - Corporate Buyers",IF(AND(H1168="Investment",M1168&gt;'Segmentation Summary'!$C$1),"C1 - Global Investors",IF(AND(I1168&gt;=4,M1168&gt;'Segmentation Summary'!$C$1),"C4 - Luxury Investors",IF(AND(D1168&lt;'Segmentation Summary'!$C$2,J1168=1),"C2 - First-Time Buyers","C5 - Other Individual Buyers"))))</f>
        <v>C5 - Other Individual Buyers</v>
      </c>
    </row>
    <row r="1169" customFormat="false" ht="15" hidden="false" customHeight="true" outlineLevel="0" collapsed="false">
      <c r="A1169" s="13" t="s">
        <v>2359</v>
      </c>
      <c r="B1169" s="13" t="s">
        <v>34</v>
      </c>
      <c r="C1169" s="13" t="s">
        <v>2360</v>
      </c>
      <c r="D1169" s="13" t="n">
        <v>31</v>
      </c>
      <c r="E1169" s="13" t="s">
        <v>90</v>
      </c>
      <c r="F1169" s="13" t="s">
        <v>33</v>
      </c>
      <c r="G1169" s="13" t="s">
        <v>97</v>
      </c>
      <c r="H1169" s="13" t="s">
        <v>41</v>
      </c>
      <c r="I1169" s="13" t="n">
        <v>2</v>
      </c>
      <c r="J1169" s="13" t="n">
        <v>0</v>
      </c>
      <c r="K1169" s="13" t="s">
        <v>91</v>
      </c>
      <c r="L1169" s="13" t="n">
        <v>3</v>
      </c>
      <c r="M1169" s="13" t="n">
        <v>1047277.18</v>
      </c>
      <c r="N1169" s="13" t="n">
        <v>349092.393333333</v>
      </c>
      <c r="O1169" s="13" t="n">
        <v>1160.51333333333</v>
      </c>
      <c r="P1169" s="13" t="n">
        <v>1</v>
      </c>
      <c r="Q1169" s="13" t="n">
        <v>2</v>
      </c>
      <c r="R1169" s="13" t="s">
        <v>150</v>
      </c>
      <c r="S1169" s="13" t="s">
        <v>112</v>
      </c>
      <c r="T1169" s="13" t="n">
        <v>1</v>
      </c>
      <c r="U1169" s="13" t="n">
        <f aca="false">IF(B1169="Individual",1,0)</f>
        <v>1</v>
      </c>
      <c r="V1169" s="13" t="n">
        <f aca="false">IF(B1169="Company",1,0)</f>
        <v>0</v>
      </c>
      <c r="W1169" s="13" t="n">
        <f aca="false">IF(H1169="Home",1,0)</f>
        <v>1</v>
      </c>
      <c r="X1169" s="13" t="n">
        <f aca="false">IF(H1169="Investment",1,0)</f>
        <v>0</v>
      </c>
      <c r="Y1169" s="13" t="n">
        <f aca="false">IF(K1169="Website",1,0)</f>
        <v>0</v>
      </c>
      <c r="Z1169" s="13" t="n">
        <f aca="false">IF(K1169="Agency",1,0)</f>
        <v>1</v>
      </c>
      <c r="AA1169" s="13" t="n">
        <f aca="false">IF(K1169="Client",1,0)</f>
        <v>0</v>
      </c>
      <c r="AB1169" s="13" t="n">
        <f aca="false">(D1169-AVERAGE(D$2:D$2001))/STDEV(D$2:D$2001)</f>
        <v>-1.33413623262935</v>
      </c>
      <c r="AC1169" s="13" t="n">
        <f aca="false">(I1169-AVERAGE(I$2:I$2001))/STDEV(I$2:I$2001)</f>
        <v>-0.727948160798201</v>
      </c>
      <c r="AD1169" s="13" t="n">
        <f aca="false">(L1169-AVERAGE(L$2:L$2001))/STDEV(L$2:L$2001)</f>
        <v>-0.777063122173208</v>
      </c>
      <c r="AE1169" s="13" t="n">
        <f aca="false">(M1169-AVERAGE(M$2:M$2001))/STDEV(M$2:M$2001)</f>
        <v>-0.612649550394594</v>
      </c>
      <c r="AF1169" s="13" t="n">
        <f aca="false">(N1169-AVERAGE(N$2:N$2001))/STDEV(N$2:N$2001)</f>
        <v>0.028720383548575</v>
      </c>
      <c r="AG1169" s="13" t="n">
        <f aca="false">(O1169-AVERAGE(O$2:O$2001))/STDEV(O$2:O$2001)</f>
        <v>0.0592647873016848</v>
      </c>
      <c r="AH1169" s="0" t="str">
        <f aca="false">IF(B1169="Company","C3 - Corporate Buyers",IF(AND(H1169="Investment",M1169&gt;'Segmentation Summary'!$C$1),"C1 - Global Investors",IF(AND(I1169&gt;=4,M1169&gt;'Segmentation Summary'!$C$1),"C4 - Luxury Investors",IF(AND(D1169&lt;'Segmentation Summary'!$C$2,J1169=1),"C2 - First-Time Buyers","C5 - Other Individual Buyers"))))</f>
        <v>C5 - Other Individual Buyers</v>
      </c>
    </row>
    <row r="1170" customFormat="false" ht="15" hidden="false" customHeight="true" outlineLevel="0" collapsed="false">
      <c r="A1170" s="13" t="s">
        <v>2361</v>
      </c>
      <c r="B1170" s="13" t="s">
        <v>34</v>
      </c>
      <c r="C1170" s="13" t="s">
        <v>2362</v>
      </c>
      <c r="D1170" s="13" t="n">
        <v>53</v>
      </c>
      <c r="E1170" s="13" t="s">
        <v>90</v>
      </c>
      <c r="F1170" s="13" t="s">
        <v>33</v>
      </c>
      <c r="G1170" s="13" t="s">
        <v>95</v>
      </c>
      <c r="H1170" s="13" t="s">
        <v>43</v>
      </c>
      <c r="I1170" s="13" t="n">
        <v>5</v>
      </c>
      <c r="J1170" s="13" t="n">
        <v>0</v>
      </c>
      <c r="K1170" s="13" t="s">
        <v>91</v>
      </c>
      <c r="L1170" s="13" t="n">
        <v>3</v>
      </c>
      <c r="M1170" s="13" t="n">
        <v>1163690.59</v>
      </c>
      <c r="N1170" s="13" t="n">
        <v>387896.863333333</v>
      </c>
      <c r="O1170" s="13" t="n">
        <v>1226.87666666667</v>
      </c>
      <c r="P1170" s="13" t="n">
        <v>0</v>
      </c>
      <c r="Q1170" s="13" t="n">
        <v>3</v>
      </c>
      <c r="R1170" s="13" t="s">
        <v>98</v>
      </c>
      <c r="S1170" s="13" t="s">
        <v>215</v>
      </c>
      <c r="T1170" s="13" t="n">
        <v>1</v>
      </c>
      <c r="U1170" s="13" t="n">
        <f aca="false">IF(B1170="Individual",1,0)</f>
        <v>1</v>
      </c>
      <c r="V1170" s="13" t="n">
        <f aca="false">IF(B1170="Company",1,0)</f>
        <v>0</v>
      </c>
      <c r="W1170" s="13" t="n">
        <f aca="false">IF(H1170="Home",1,0)</f>
        <v>0</v>
      </c>
      <c r="X1170" s="13" t="n">
        <f aca="false">IF(H1170="Investment",1,0)</f>
        <v>1</v>
      </c>
      <c r="Y1170" s="13" t="n">
        <f aca="false">IF(K1170="Website",1,0)</f>
        <v>0</v>
      </c>
      <c r="Z1170" s="13" t="n">
        <f aca="false">IF(K1170="Agency",1,0)</f>
        <v>1</v>
      </c>
      <c r="AA1170" s="13" t="n">
        <f aca="false">IF(K1170="Client",1,0)</f>
        <v>0</v>
      </c>
      <c r="AB1170" s="13" t="n">
        <f aca="false">(D1170-AVERAGE(D$2:D$2001))/STDEV(D$2:D$2001)</f>
        <v>-0.065562211890028</v>
      </c>
      <c r="AC1170" s="13" t="n">
        <f aca="false">(I1170-AVERAGE(I$2:I$2001))/STDEV(I$2:I$2001)</f>
        <v>1.39434968409451</v>
      </c>
      <c r="AD1170" s="13" t="n">
        <f aca="false">(L1170-AVERAGE(L$2:L$2001))/STDEV(L$2:L$2001)</f>
        <v>-0.777063122173208</v>
      </c>
      <c r="AE1170" s="13" t="n">
        <f aca="false">(M1170-AVERAGE(M$2:M$2001))/STDEV(M$2:M$2001)</f>
        <v>-0.277965401549511</v>
      </c>
      <c r="AF1170" s="13" t="n">
        <f aca="false">(N1170-AVERAGE(N$2:N$2001))/STDEV(N$2:N$2001)</f>
        <v>0.585281715286672</v>
      </c>
      <c r="AG1170" s="13" t="n">
        <f aca="false">(O1170-AVERAGE(O$2:O$2001))/STDEV(O$2:O$2001)</f>
        <v>0.361022484183541</v>
      </c>
      <c r="AH1170" s="0" t="str">
        <f aca="false">IF(B1170="Company","C3 - Corporate Buyers",IF(AND(H1170="Investment",M1170&gt;'Segmentation Summary'!$C$1),"C1 - Global Investors",IF(AND(I1170&gt;=4,M1170&gt;'Segmentation Summary'!$C$1),"C4 - Luxury Investors",IF(AND(D1170&lt;'Segmentation Summary'!$C$2,J1170=1),"C2 - First-Time Buyers","C5 - Other Individual Buyers"))))</f>
        <v>C5 - Other Individual Buyers</v>
      </c>
    </row>
    <row r="1171" customFormat="false" ht="15" hidden="false" customHeight="true" outlineLevel="0" collapsed="false">
      <c r="A1171" s="13" t="s">
        <v>2363</v>
      </c>
      <c r="B1171" s="13" t="s">
        <v>34</v>
      </c>
      <c r="C1171" s="13" t="s">
        <v>2364</v>
      </c>
      <c r="D1171" s="13" t="n">
        <v>40</v>
      </c>
      <c r="E1171" s="13" t="s">
        <v>90</v>
      </c>
      <c r="F1171" s="13" t="s">
        <v>35</v>
      </c>
      <c r="G1171" s="13" t="s">
        <v>137</v>
      </c>
      <c r="H1171" s="13" t="s">
        <v>41</v>
      </c>
      <c r="I1171" s="13" t="n">
        <v>5</v>
      </c>
      <c r="J1171" s="13" t="n">
        <v>0</v>
      </c>
      <c r="K1171" s="13" t="s">
        <v>85</v>
      </c>
      <c r="L1171" s="13" t="n">
        <v>3</v>
      </c>
      <c r="M1171" s="13" t="n">
        <v>1100376.25</v>
      </c>
      <c r="N1171" s="13" t="n">
        <v>366792.083333333</v>
      </c>
      <c r="O1171" s="13" t="n">
        <v>1260.83666666667</v>
      </c>
      <c r="P1171" s="13" t="n">
        <v>0</v>
      </c>
      <c r="Q1171" s="13" t="n">
        <v>3</v>
      </c>
      <c r="R1171" s="13" t="s">
        <v>121</v>
      </c>
      <c r="S1171" s="13" t="s">
        <v>112</v>
      </c>
      <c r="T1171" s="13" t="n">
        <v>1</v>
      </c>
      <c r="U1171" s="13" t="n">
        <f aca="false">IF(B1171="Individual",1,0)</f>
        <v>1</v>
      </c>
      <c r="V1171" s="13" t="n">
        <f aca="false">IF(B1171="Company",1,0)</f>
        <v>0</v>
      </c>
      <c r="W1171" s="13" t="n">
        <f aca="false">IF(H1171="Home",1,0)</f>
        <v>1</v>
      </c>
      <c r="X1171" s="13" t="n">
        <f aca="false">IF(H1171="Investment",1,0)</f>
        <v>0</v>
      </c>
      <c r="Y1171" s="13" t="n">
        <f aca="false">IF(K1171="Website",1,0)</f>
        <v>1</v>
      </c>
      <c r="Z1171" s="13" t="n">
        <f aca="false">IF(K1171="Agency",1,0)</f>
        <v>0</v>
      </c>
      <c r="AA1171" s="13" t="n">
        <f aca="false">IF(K1171="Client",1,0)</f>
        <v>0</v>
      </c>
      <c r="AB1171" s="13" t="n">
        <f aca="false">(D1171-AVERAGE(D$2:D$2001))/STDEV(D$2:D$2001)</f>
        <v>-0.815174133235994</v>
      </c>
      <c r="AC1171" s="13" t="n">
        <f aca="false">(I1171-AVERAGE(I$2:I$2001))/STDEV(I$2:I$2001)</f>
        <v>1.39434968409451</v>
      </c>
      <c r="AD1171" s="13" t="n">
        <f aca="false">(L1171-AVERAGE(L$2:L$2001))/STDEV(L$2:L$2001)</f>
        <v>-0.777063122173208</v>
      </c>
      <c r="AE1171" s="13" t="n">
        <f aca="false">(M1171-AVERAGE(M$2:M$2001))/STDEV(M$2:M$2001)</f>
        <v>-0.459991733331976</v>
      </c>
      <c r="AF1171" s="13" t="n">
        <f aca="false">(N1171-AVERAGE(N$2:N$2001))/STDEV(N$2:N$2001)</f>
        <v>0.28258193706938</v>
      </c>
      <c r="AG1171" s="13" t="n">
        <f aca="false">(O1171-AVERAGE(O$2:O$2001))/STDEV(O$2:O$2001)</f>
        <v>0.515440456750322</v>
      </c>
      <c r="AH1171" s="0" t="str">
        <f aca="false">IF(B1171="Company","C3 - Corporate Buyers",IF(AND(H1171="Investment",M1171&gt;'Segmentation Summary'!$C$1),"C1 - Global Investors",IF(AND(I1171&gt;=4,M1171&gt;'Segmentation Summary'!$C$1),"C4 - Luxury Investors",IF(AND(D1171&lt;'Segmentation Summary'!$C$2,J1171=1),"C2 - First-Time Buyers","C5 - Other Individual Buyers"))))</f>
        <v>C5 - Other Individual Buyers</v>
      </c>
    </row>
    <row r="1172" customFormat="false" ht="15" hidden="false" customHeight="true" outlineLevel="0" collapsed="false">
      <c r="A1172" s="13" t="s">
        <v>2365</v>
      </c>
      <c r="B1172" s="13" t="s">
        <v>34</v>
      </c>
      <c r="C1172" s="13" t="s">
        <v>2366</v>
      </c>
      <c r="D1172" s="13" t="n">
        <v>79</v>
      </c>
      <c r="E1172" s="13" t="s">
        <v>90</v>
      </c>
      <c r="F1172" s="13" t="s">
        <v>33</v>
      </c>
      <c r="G1172" s="13" t="s">
        <v>95</v>
      </c>
      <c r="H1172" s="13" t="s">
        <v>41</v>
      </c>
      <c r="I1172" s="13" t="n">
        <v>1</v>
      </c>
      <c r="J1172" s="13" t="n">
        <v>0</v>
      </c>
      <c r="K1172" s="13" t="s">
        <v>91</v>
      </c>
      <c r="L1172" s="13" t="n">
        <v>4</v>
      </c>
      <c r="M1172" s="13" t="n">
        <v>1442818.34</v>
      </c>
      <c r="N1172" s="13" t="n">
        <v>360704.585</v>
      </c>
      <c r="O1172" s="13" t="n">
        <v>1084.0625</v>
      </c>
      <c r="P1172" s="13" t="n">
        <v>0</v>
      </c>
      <c r="Q1172" s="13" t="n">
        <v>4</v>
      </c>
      <c r="R1172" s="13" t="s">
        <v>121</v>
      </c>
      <c r="S1172" s="13" t="s">
        <v>164</v>
      </c>
      <c r="T1172" s="13" t="n">
        <v>1</v>
      </c>
      <c r="U1172" s="13" t="n">
        <f aca="false">IF(B1172="Individual",1,0)</f>
        <v>1</v>
      </c>
      <c r="V1172" s="13" t="n">
        <f aca="false">IF(B1172="Company",1,0)</f>
        <v>0</v>
      </c>
      <c r="W1172" s="13" t="n">
        <f aca="false">IF(H1172="Home",1,0)</f>
        <v>1</v>
      </c>
      <c r="X1172" s="13" t="n">
        <f aca="false">IF(H1172="Investment",1,0)</f>
        <v>0</v>
      </c>
      <c r="Y1172" s="13" t="n">
        <f aca="false">IF(K1172="Website",1,0)</f>
        <v>0</v>
      </c>
      <c r="Z1172" s="13" t="n">
        <f aca="false">IF(K1172="Agency",1,0)</f>
        <v>1</v>
      </c>
      <c r="AA1172" s="13" t="n">
        <f aca="false">IF(K1172="Client",1,0)</f>
        <v>0</v>
      </c>
      <c r="AB1172" s="13" t="n">
        <f aca="false">(D1172-AVERAGE(D$2:D$2001))/STDEV(D$2:D$2001)</f>
        <v>1.4336616308019</v>
      </c>
      <c r="AC1172" s="13" t="n">
        <f aca="false">(I1172-AVERAGE(I$2:I$2001))/STDEV(I$2:I$2001)</f>
        <v>-1.43538077576244</v>
      </c>
      <c r="AD1172" s="13" t="n">
        <f aca="false">(L1172-AVERAGE(L$2:L$2001))/STDEV(L$2:L$2001)</f>
        <v>0.413838214490712</v>
      </c>
      <c r="AE1172" s="13" t="n">
        <f aca="false">(M1172-AVERAGE(M$2:M$2001))/STDEV(M$2:M$2001)</f>
        <v>0.524516317934465</v>
      </c>
      <c r="AF1172" s="13" t="n">
        <f aca="false">(N1172-AVERAGE(N$2:N$2001))/STDEV(N$2:N$2001)</f>
        <v>0.195270702581362</v>
      </c>
      <c r="AG1172" s="13" t="n">
        <f aca="false">(O1172-AVERAGE(O$2:O$2001))/STDEV(O$2:O$2001)</f>
        <v>-0.28836132236774</v>
      </c>
      <c r="AH1172" s="0" t="str">
        <f aca="false">IF(B1172="Company","C3 - Corporate Buyers",IF(AND(H1172="Investment",M1172&gt;'Segmentation Summary'!$C$1),"C1 - Global Investors",IF(AND(I1172&gt;=4,M1172&gt;'Segmentation Summary'!$C$1),"C4 - Luxury Investors",IF(AND(D1172&lt;'Segmentation Summary'!$C$2,J1172=1),"C2 - First-Time Buyers","C5 - Other Individual Buyers"))))</f>
        <v>C5 - Other Individual Buyers</v>
      </c>
    </row>
    <row r="1173" customFormat="false" ht="15" hidden="false" customHeight="true" outlineLevel="0" collapsed="false">
      <c r="A1173" s="13" t="s">
        <v>2367</v>
      </c>
      <c r="B1173" s="13" t="s">
        <v>34</v>
      </c>
      <c r="C1173" s="13" t="s">
        <v>2368</v>
      </c>
      <c r="D1173" s="13" t="n">
        <v>62</v>
      </c>
      <c r="E1173" s="13" t="s">
        <v>90</v>
      </c>
      <c r="F1173" s="13" t="s">
        <v>33</v>
      </c>
      <c r="G1173" s="13" t="s">
        <v>95</v>
      </c>
      <c r="H1173" s="13" t="s">
        <v>41</v>
      </c>
      <c r="I1173" s="13" t="n">
        <v>1</v>
      </c>
      <c r="J1173" s="13" t="n">
        <v>0</v>
      </c>
      <c r="K1173" s="13" t="s">
        <v>91</v>
      </c>
      <c r="L1173" s="13" t="n">
        <v>4</v>
      </c>
      <c r="M1173" s="13" t="n">
        <v>1125726.62</v>
      </c>
      <c r="N1173" s="13" t="n">
        <v>281431.655</v>
      </c>
      <c r="O1173" s="13" t="n">
        <v>838.2925</v>
      </c>
      <c r="P1173" s="13" t="n">
        <v>0</v>
      </c>
      <c r="Q1173" s="13" t="n">
        <v>4</v>
      </c>
      <c r="R1173" s="13" t="s">
        <v>117</v>
      </c>
      <c r="S1173" s="13" t="s">
        <v>164</v>
      </c>
      <c r="T1173" s="13" t="n">
        <v>1</v>
      </c>
      <c r="U1173" s="13" t="n">
        <f aca="false">IF(B1173="Individual",1,0)</f>
        <v>1</v>
      </c>
      <c r="V1173" s="13" t="n">
        <f aca="false">IF(B1173="Company",1,0)</f>
        <v>0</v>
      </c>
      <c r="W1173" s="13" t="n">
        <f aca="false">IF(H1173="Home",1,0)</f>
        <v>1</v>
      </c>
      <c r="X1173" s="13" t="n">
        <f aca="false">IF(H1173="Investment",1,0)</f>
        <v>0</v>
      </c>
      <c r="Y1173" s="13" t="n">
        <f aca="false">IF(K1173="Website",1,0)</f>
        <v>0</v>
      </c>
      <c r="Z1173" s="13" t="n">
        <f aca="false">IF(K1173="Agency",1,0)</f>
        <v>1</v>
      </c>
      <c r="AA1173" s="13" t="n">
        <f aca="false">IF(K1173="Client",1,0)</f>
        <v>0</v>
      </c>
      <c r="AB1173" s="13" t="n">
        <f aca="false">(D1173-AVERAGE(D$2:D$2001))/STDEV(D$2:D$2001)</f>
        <v>0.453399887503333</v>
      </c>
      <c r="AC1173" s="13" t="n">
        <f aca="false">(I1173-AVERAGE(I$2:I$2001))/STDEV(I$2:I$2001)</f>
        <v>-1.43538077576244</v>
      </c>
      <c r="AD1173" s="13" t="n">
        <f aca="false">(L1173-AVERAGE(L$2:L$2001))/STDEV(L$2:L$2001)</f>
        <v>0.413838214490712</v>
      </c>
      <c r="AE1173" s="13" t="n">
        <f aca="false">(M1173-AVERAGE(M$2:M$2001))/STDEV(M$2:M$2001)</f>
        <v>-0.387110378801103</v>
      </c>
      <c r="AF1173" s="13" t="n">
        <f aca="false">(N1173-AVERAGE(N$2:N$2001))/STDEV(N$2:N$2001)</f>
        <v>-0.941718089987663</v>
      </c>
      <c r="AG1173" s="13" t="n">
        <f aca="false">(O1173-AVERAGE(O$2:O$2001))/STDEV(O$2:O$2001)</f>
        <v>-1.40589091947427</v>
      </c>
      <c r="AH1173" s="0" t="str">
        <f aca="false">IF(B1173="Company","C3 - Corporate Buyers",IF(AND(H1173="Investment",M1173&gt;'Segmentation Summary'!$C$1),"C1 - Global Investors",IF(AND(I1173&gt;=4,M1173&gt;'Segmentation Summary'!$C$1),"C4 - Luxury Investors",IF(AND(D1173&lt;'Segmentation Summary'!$C$2,J1173=1),"C2 - First-Time Buyers","C5 - Other Individual Buyers"))))</f>
        <v>C5 - Other Individual Buyers</v>
      </c>
    </row>
    <row r="1174" customFormat="false" ht="15" hidden="false" customHeight="true" outlineLevel="0" collapsed="false">
      <c r="A1174" s="13" t="s">
        <v>2369</v>
      </c>
      <c r="B1174" s="13" t="s">
        <v>34</v>
      </c>
      <c r="C1174" s="13" t="s">
        <v>2370</v>
      </c>
      <c r="D1174" s="13" t="n">
        <v>52</v>
      </c>
      <c r="E1174" s="13" t="s">
        <v>90</v>
      </c>
      <c r="F1174" s="13" t="s">
        <v>33</v>
      </c>
      <c r="G1174" s="13" t="s">
        <v>95</v>
      </c>
      <c r="H1174" s="13" t="s">
        <v>41</v>
      </c>
      <c r="I1174" s="13" t="n">
        <v>5</v>
      </c>
      <c r="J1174" s="13" t="n">
        <v>0</v>
      </c>
      <c r="K1174" s="13" t="s">
        <v>85</v>
      </c>
      <c r="L1174" s="13" t="n">
        <v>4</v>
      </c>
      <c r="M1174" s="13" t="n">
        <v>1355662.25</v>
      </c>
      <c r="N1174" s="13" t="n">
        <v>338915.5625</v>
      </c>
      <c r="O1174" s="13" t="n">
        <v>1119.4675</v>
      </c>
      <c r="P1174" s="13" t="n">
        <v>0</v>
      </c>
      <c r="Q1174" s="13" t="n">
        <v>4</v>
      </c>
      <c r="R1174" s="13" t="s">
        <v>98</v>
      </c>
      <c r="S1174" s="13" t="s">
        <v>112</v>
      </c>
      <c r="T1174" s="13" t="n">
        <v>1</v>
      </c>
      <c r="U1174" s="13" t="n">
        <f aca="false">IF(B1174="Individual",1,0)</f>
        <v>1</v>
      </c>
      <c r="V1174" s="13" t="n">
        <f aca="false">IF(B1174="Company",1,0)</f>
        <v>0</v>
      </c>
      <c r="W1174" s="13" t="n">
        <f aca="false">IF(H1174="Home",1,0)</f>
        <v>1</v>
      </c>
      <c r="X1174" s="13" t="n">
        <f aca="false">IF(H1174="Investment",1,0)</f>
        <v>0</v>
      </c>
      <c r="Y1174" s="13" t="n">
        <f aca="false">IF(K1174="Website",1,0)</f>
        <v>1</v>
      </c>
      <c r="Z1174" s="13" t="n">
        <f aca="false">IF(K1174="Agency",1,0)</f>
        <v>0</v>
      </c>
      <c r="AA1174" s="13" t="n">
        <f aca="false">IF(K1174="Client",1,0)</f>
        <v>0</v>
      </c>
      <c r="AB1174" s="13" t="n">
        <f aca="false">(D1174-AVERAGE(D$2:D$2001))/STDEV(D$2:D$2001)</f>
        <v>-0.123224667378179</v>
      </c>
      <c r="AC1174" s="13" t="n">
        <f aca="false">(I1174-AVERAGE(I$2:I$2001))/STDEV(I$2:I$2001)</f>
        <v>1.39434968409451</v>
      </c>
      <c r="AD1174" s="13" t="n">
        <f aca="false">(L1174-AVERAGE(L$2:L$2001))/STDEV(L$2:L$2001)</f>
        <v>0.413838214490712</v>
      </c>
      <c r="AE1174" s="13" t="n">
        <f aca="false">(M1174-AVERAGE(M$2:M$2001))/STDEV(M$2:M$2001)</f>
        <v>0.273945857037259</v>
      </c>
      <c r="AF1174" s="13" t="n">
        <f aca="false">(N1174-AVERAGE(N$2:N$2001))/STDEV(N$2:N$2001)</f>
        <v>-0.117242968649591</v>
      </c>
      <c r="AG1174" s="13" t="n">
        <f aca="false">(O1174-AVERAGE(O$2:O$2001))/STDEV(O$2:O$2001)</f>
        <v>-0.127372855974134</v>
      </c>
      <c r="AH1174" s="0" t="str">
        <f aca="false">IF(B1174="Company","C3 - Corporate Buyers",IF(AND(H1174="Investment",M1174&gt;'Segmentation Summary'!$C$1),"C1 - Global Investors",IF(AND(I1174&gt;=4,M1174&gt;'Segmentation Summary'!$C$1),"C4 - Luxury Investors",IF(AND(D1174&lt;'Segmentation Summary'!$C$2,J1174=1),"C2 - First-Time Buyers","C5 - Other Individual Buyers"))))</f>
        <v>C4 - Luxury Investors</v>
      </c>
    </row>
    <row r="1175" customFormat="false" ht="15" hidden="false" customHeight="true" outlineLevel="0" collapsed="false">
      <c r="A1175" s="13" t="s">
        <v>2371</v>
      </c>
      <c r="B1175" s="13" t="s">
        <v>34</v>
      </c>
      <c r="C1175" s="13" t="s">
        <v>2372</v>
      </c>
      <c r="D1175" s="13" t="n">
        <v>47</v>
      </c>
      <c r="E1175" s="13" t="s">
        <v>90</v>
      </c>
      <c r="F1175" s="13" t="s">
        <v>33</v>
      </c>
      <c r="G1175" s="13" t="s">
        <v>120</v>
      </c>
      <c r="H1175" s="13" t="s">
        <v>41</v>
      </c>
      <c r="I1175" s="13" t="n">
        <v>2</v>
      </c>
      <c r="J1175" s="13" t="n">
        <v>1</v>
      </c>
      <c r="K1175" s="13" t="s">
        <v>85</v>
      </c>
      <c r="L1175" s="13" t="n">
        <v>4</v>
      </c>
      <c r="M1175" s="13" t="n">
        <v>1015830.03</v>
      </c>
      <c r="N1175" s="13" t="n">
        <v>253957.5075</v>
      </c>
      <c r="O1175" s="13" t="n">
        <v>922.66</v>
      </c>
      <c r="P1175" s="13" t="n">
        <v>0</v>
      </c>
      <c r="Q1175" s="13" t="n">
        <v>4</v>
      </c>
      <c r="R1175" s="13" t="s">
        <v>86</v>
      </c>
      <c r="S1175" s="13" t="s">
        <v>154</v>
      </c>
      <c r="T1175" s="13" t="n">
        <v>1</v>
      </c>
      <c r="U1175" s="13" t="n">
        <f aca="false">IF(B1175="Individual",1,0)</f>
        <v>1</v>
      </c>
      <c r="V1175" s="13" t="n">
        <f aca="false">IF(B1175="Company",1,0)</f>
        <v>0</v>
      </c>
      <c r="W1175" s="13" t="n">
        <f aca="false">IF(H1175="Home",1,0)</f>
        <v>1</v>
      </c>
      <c r="X1175" s="13" t="n">
        <f aca="false">IF(H1175="Investment",1,0)</f>
        <v>0</v>
      </c>
      <c r="Y1175" s="13" t="n">
        <f aca="false">IF(K1175="Website",1,0)</f>
        <v>1</v>
      </c>
      <c r="Z1175" s="13" t="n">
        <f aca="false">IF(K1175="Agency",1,0)</f>
        <v>0</v>
      </c>
      <c r="AA1175" s="13" t="n">
        <f aca="false">IF(K1175="Client",1,0)</f>
        <v>0</v>
      </c>
      <c r="AB1175" s="13" t="n">
        <f aca="false">(D1175-AVERAGE(D$2:D$2001))/STDEV(D$2:D$2001)</f>
        <v>-0.411536944818935</v>
      </c>
      <c r="AC1175" s="13" t="n">
        <f aca="false">(I1175-AVERAGE(I$2:I$2001))/STDEV(I$2:I$2001)</f>
        <v>-0.727948160798201</v>
      </c>
      <c r="AD1175" s="13" t="n">
        <f aca="false">(L1175-AVERAGE(L$2:L$2001))/STDEV(L$2:L$2001)</f>
        <v>0.413838214490712</v>
      </c>
      <c r="AE1175" s="13" t="n">
        <f aca="false">(M1175-AVERAGE(M$2:M$2001))/STDEV(M$2:M$2001)</f>
        <v>-0.703058916732661</v>
      </c>
      <c r="AF1175" s="13" t="n">
        <f aca="false">(N1175-AVERAGE(N$2:N$2001))/STDEV(N$2:N$2001)</f>
        <v>-1.33577187093014</v>
      </c>
      <c r="AG1175" s="13" t="n">
        <f aca="false">(O1175-AVERAGE(O$2:O$2001))/STDEV(O$2:O$2001)</f>
        <v>-1.02226729460596</v>
      </c>
      <c r="AH1175" s="0" t="str">
        <f aca="false">IF(B1175="Company","C3 - Corporate Buyers",IF(AND(H1175="Investment",M1175&gt;'Segmentation Summary'!$C$1),"C1 - Global Investors",IF(AND(I1175&gt;=4,M1175&gt;'Segmentation Summary'!$C$1),"C4 - Luxury Investors",IF(AND(D1175&lt;'Segmentation Summary'!$C$2,J1175=1),"C2 - First-Time Buyers","C5 - Other Individual Buyers"))))</f>
        <v>C2 - First-Time Buyers</v>
      </c>
    </row>
    <row r="1176" customFormat="false" ht="15" hidden="false" customHeight="true" outlineLevel="0" collapsed="false">
      <c r="A1176" s="13" t="s">
        <v>2373</v>
      </c>
      <c r="B1176" s="13" t="s">
        <v>34</v>
      </c>
      <c r="C1176" s="13" t="s">
        <v>2374</v>
      </c>
      <c r="D1176" s="13" t="n">
        <v>24</v>
      </c>
      <c r="E1176" s="13" t="s">
        <v>90</v>
      </c>
      <c r="F1176" s="13" t="s">
        <v>37</v>
      </c>
      <c r="G1176" s="13" t="s">
        <v>676</v>
      </c>
      <c r="H1176" s="13" t="s">
        <v>41</v>
      </c>
      <c r="I1176" s="13" t="n">
        <v>4</v>
      </c>
      <c r="J1176" s="13" t="n">
        <v>0</v>
      </c>
      <c r="K1176" s="13" t="s">
        <v>91</v>
      </c>
      <c r="L1176" s="13" t="n">
        <v>3</v>
      </c>
      <c r="M1176" s="13" t="n">
        <v>1133032.49</v>
      </c>
      <c r="N1176" s="13" t="n">
        <v>377677.496666667</v>
      </c>
      <c r="O1176" s="13" t="n">
        <v>1221.67666666667</v>
      </c>
      <c r="P1176" s="13" t="n">
        <v>1</v>
      </c>
      <c r="Q1176" s="13" t="n">
        <v>2</v>
      </c>
      <c r="R1176" s="13" t="s">
        <v>92</v>
      </c>
      <c r="S1176" s="13" t="s">
        <v>111</v>
      </c>
      <c r="T1176" s="13" t="n">
        <v>1</v>
      </c>
      <c r="U1176" s="13" t="n">
        <f aca="false">IF(B1176="Individual",1,0)</f>
        <v>1</v>
      </c>
      <c r="V1176" s="13" t="n">
        <f aca="false">IF(B1176="Company",1,0)</f>
        <v>0</v>
      </c>
      <c r="W1176" s="13" t="n">
        <f aca="false">IF(H1176="Home",1,0)</f>
        <v>1</v>
      </c>
      <c r="X1176" s="13" t="n">
        <f aca="false">IF(H1176="Investment",1,0)</f>
        <v>0</v>
      </c>
      <c r="Y1176" s="13" t="n">
        <f aca="false">IF(K1176="Website",1,0)</f>
        <v>0</v>
      </c>
      <c r="Z1176" s="13" t="n">
        <f aca="false">IF(K1176="Agency",1,0)</f>
        <v>1</v>
      </c>
      <c r="AA1176" s="13" t="n">
        <f aca="false">IF(K1176="Client",1,0)</f>
        <v>0</v>
      </c>
      <c r="AB1176" s="13" t="n">
        <f aca="false">(D1176-AVERAGE(D$2:D$2001))/STDEV(D$2:D$2001)</f>
        <v>-1.73777342104641</v>
      </c>
      <c r="AC1176" s="13" t="n">
        <f aca="false">(I1176-AVERAGE(I$2:I$2001))/STDEV(I$2:I$2001)</f>
        <v>0.686917069130275</v>
      </c>
      <c r="AD1176" s="13" t="n">
        <f aca="false">(L1176-AVERAGE(L$2:L$2001))/STDEV(L$2:L$2001)</f>
        <v>-0.777063122173208</v>
      </c>
      <c r="AE1176" s="13" t="n">
        <f aca="false">(M1176-AVERAGE(M$2:M$2001))/STDEV(M$2:M$2001)</f>
        <v>-0.366106278994021</v>
      </c>
      <c r="AF1176" s="13" t="n">
        <f aca="false">(N1176-AVERAGE(N$2:N$2001))/STDEV(N$2:N$2001)</f>
        <v>0.438708283887672</v>
      </c>
      <c r="AG1176" s="13" t="n">
        <f aca="false">(O1176-AVERAGE(O$2:O$2001))/STDEV(O$2:O$2001)</f>
        <v>0.337377800516072</v>
      </c>
      <c r="AH1176" s="0" t="str">
        <f aca="false">IF(B1176="Company","C3 - Corporate Buyers",IF(AND(H1176="Investment",M1176&gt;'Segmentation Summary'!$C$1),"C1 - Global Investors",IF(AND(I1176&gt;=4,M1176&gt;'Segmentation Summary'!$C$1),"C4 - Luxury Investors",IF(AND(D1176&lt;'Segmentation Summary'!$C$2,J1176=1),"C2 - First-Time Buyers","C5 - Other Individual Buyers"))))</f>
        <v>C5 - Other Individual Buyers</v>
      </c>
    </row>
    <row r="1177" customFormat="false" ht="15" hidden="false" customHeight="true" outlineLevel="0" collapsed="false">
      <c r="A1177" s="13" t="s">
        <v>2375</v>
      </c>
      <c r="B1177" s="13" t="s">
        <v>34</v>
      </c>
      <c r="C1177" s="13" t="s">
        <v>2376</v>
      </c>
      <c r="D1177" s="13" t="n">
        <v>46</v>
      </c>
      <c r="E1177" s="13" t="s">
        <v>90</v>
      </c>
      <c r="F1177" s="13" t="s">
        <v>45</v>
      </c>
      <c r="G1177" s="13" t="s">
        <v>405</v>
      </c>
      <c r="H1177" s="13" t="s">
        <v>41</v>
      </c>
      <c r="I1177" s="13" t="n">
        <v>3</v>
      </c>
      <c r="J1177" s="13" t="n">
        <v>1</v>
      </c>
      <c r="K1177" s="13" t="s">
        <v>91</v>
      </c>
      <c r="L1177" s="13" t="n">
        <v>3</v>
      </c>
      <c r="M1177" s="13" t="n">
        <v>1150919.74</v>
      </c>
      <c r="N1177" s="13" t="n">
        <v>383639.913333333</v>
      </c>
      <c r="O1177" s="13" t="n">
        <v>1240.60666666667</v>
      </c>
      <c r="P1177" s="13" t="n">
        <v>1</v>
      </c>
      <c r="Q1177" s="13" t="n">
        <v>2</v>
      </c>
      <c r="R1177" s="13" t="s">
        <v>121</v>
      </c>
      <c r="S1177" s="13" t="s">
        <v>93</v>
      </c>
      <c r="T1177" s="13" t="n">
        <v>1</v>
      </c>
      <c r="U1177" s="13" t="n">
        <f aca="false">IF(B1177="Individual",1,0)</f>
        <v>1</v>
      </c>
      <c r="V1177" s="13" t="n">
        <f aca="false">IF(B1177="Company",1,0)</f>
        <v>0</v>
      </c>
      <c r="W1177" s="13" t="n">
        <f aca="false">IF(H1177="Home",1,0)</f>
        <v>1</v>
      </c>
      <c r="X1177" s="13" t="n">
        <f aca="false">IF(H1177="Investment",1,0)</f>
        <v>0</v>
      </c>
      <c r="Y1177" s="13" t="n">
        <f aca="false">IF(K1177="Website",1,0)</f>
        <v>0</v>
      </c>
      <c r="Z1177" s="13" t="n">
        <f aca="false">IF(K1177="Agency",1,0)</f>
        <v>1</v>
      </c>
      <c r="AA1177" s="13" t="n">
        <f aca="false">IF(K1177="Client",1,0)</f>
        <v>0</v>
      </c>
      <c r="AB1177" s="13" t="n">
        <f aca="false">(D1177-AVERAGE(D$2:D$2001))/STDEV(D$2:D$2001)</f>
        <v>-0.469199400307086</v>
      </c>
      <c r="AC1177" s="13" t="n">
        <f aca="false">(I1177-AVERAGE(I$2:I$2001))/STDEV(I$2:I$2001)</f>
        <v>-0.0205155458339628</v>
      </c>
      <c r="AD1177" s="13" t="n">
        <f aca="false">(L1177-AVERAGE(L$2:L$2001))/STDEV(L$2:L$2001)</f>
        <v>-0.777063122173208</v>
      </c>
      <c r="AE1177" s="13" t="n">
        <f aca="false">(M1177-AVERAGE(M$2:M$2001))/STDEV(M$2:M$2001)</f>
        <v>-0.314681112070131</v>
      </c>
      <c r="AF1177" s="13" t="n">
        <f aca="false">(N1177-AVERAGE(N$2:N$2001))/STDEV(N$2:N$2001)</f>
        <v>0.524225508072851</v>
      </c>
      <c r="AG1177" s="13" t="n">
        <f aca="false">(O1177-AVERAGE(O$2:O$2001))/STDEV(O$2:O$2001)</f>
        <v>0.423453543174763</v>
      </c>
      <c r="AH1177" s="0" t="str">
        <f aca="false">IF(B1177="Company","C3 - Corporate Buyers",IF(AND(H1177="Investment",M1177&gt;'Segmentation Summary'!$C$1),"C1 - Global Investors",IF(AND(I1177&gt;=4,M1177&gt;'Segmentation Summary'!$C$1),"C4 - Luxury Investors",IF(AND(D1177&lt;'Segmentation Summary'!$C$2,J1177=1),"C2 - First-Time Buyers","C5 - Other Individual Buyers"))))</f>
        <v>C2 - First-Time Buyers</v>
      </c>
    </row>
    <row r="1178" customFormat="false" ht="15" hidden="false" customHeight="true" outlineLevel="0" collapsed="false">
      <c r="A1178" s="13" t="s">
        <v>2377</v>
      </c>
      <c r="B1178" s="13" t="s">
        <v>34</v>
      </c>
      <c r="C1178" s="13" t="s">
        <v>2378</v>
      </c>
      <c r="D1178" s="13" t="n">
        <v>67</v>
      </c>
      <c r="E1178" s="13" t="s">
        <v>90</v>
      </c>
      <c r="F1178" s="13" t="s">
        <v>33</v>
      </c>
      <c r="G1178" s="13" t="s">
        <v>157</v>
      </c>
      <c r="H1178" s="13" t="s">
        <v>41</v>
      </c>
      <c r="I1178" s="13" t="n">
        <v>3</v>
      </c>
      <c r="J1178" s="13" t="n">
        <v>1</v>
      </c>
      <c r="K1178" s="13" t="s">
        <v>85</v>
      </c>
      <c r="L1178" s="13" t="n">
        <v>3</v>
      </c>
      <c r="M1178" s="13" t="n">
        <v>910545.92</v>
      </c>
      <c r="N1178" s="13" t="n">
        <v>303515.306666667</v>
      </c>
      <c r="O1178" s="13" t="n">
        <v>1033.62</v>
      </c>
      <c r="P1178" s="13" t="n">
        <v>0</v>
      </c>
      <c r="Q1178" s="13" t="n">
        <v>3</v>
      </c>
      <c r="R1178" s="13" t="s">
        <v>117</v>
      </c>
      <c r="S1178" s="13" t="s">
        <v>87</v>
      </c>
      <c r="T1178" s="13" t="n">
        <v>1</v>
      </c>
      <c r="U1178" s="13" t="n">
        <f aca="false">IF(B1178="Individual",1,0)</f>
        <v>1</v>
      </c>
      <c r="V1178" s="13" t="n">
        <f aca="false">IF(B1178="Company",1,0)</f>
        <v>0</v>
      </c>
      <c r="W1178" s="13" t="n">
        <f aca="false">IF(H1178="Home",1,0)</f>
        <v>1</v>
      </c>
      <c r="X1178" s="13" t="n">
        <f aca="false">IF(H1178="Investment",1,0)</f>
        <v>0</v>
      </c>
      <c r="Y1178" s="13" t="n">
        <f aca="false">IF(K1178="Website",1,0)</f>
        <v>1</v>
      </c>
      <c r="Z1178" s="13" t="n">
        <f aca="false">IF(K1178="Agency",1,0)</f>
        <v>0</v>
      </c>
      <c r="AA1178" s="13" t="n">
        <f aca="false">IF(K1178="Client",1,0)</f>
        <v>0</v>
      </c>
      <c r="AB1178" s="13" t="n">
        <f aca="false">(D1178-AVERAGE(D$2:D$2001))/STDEV(D$2:D$2001)</f>
        <v>0.741712164944089</v>
      </c>
      <c r="AC1178" s="13" t="n">
        <f aca="false">(I1178-AVERAGE(I$2:I$2001))/STDEV(I$2:I$2001)</f>
        <v>-0.0205155458339628</v>
      </c>
      <c r="AD1178" s="13" t="n">
        <f aca="false">(L1178-AVERAGE(L$2:L$2001))/STDEV(L$2:L$2001)</f>
        <v>-0.777063122173208</v>
      </c>
      <c r="AE1178" s="13" t="n">
        <f aca="false">(M1178-AVERAGE(M$2:M$2001))/STDEV(M$2:M$2001)</f>
        <v>-1.00574674919339</v>
      </c>
      <c r="AF1178" s="13" t="n">
        <f aca="false">(N1178-AVERAGE(N$2:N$2001))/STDEV(N$2:N$2001)</f>
        <v>-0.624978637516326</v>
      </c>
      <c r="AG1178" s="13" t="n">
        <f aca="false">(O1178-AVERAGE(O$2:O$2001))/STDEV(O$2:O$2001)</f>
        <v>-0.517726121578573</v>
      </c>
      <c r="AH1178" s="0" t="str">
        <f aca="false">IF(B1178="Company","C3 - Corporate Buyers",IF(AND(H1178="Investment",M1178&gt;'Segmentation Summary'!$C$1),"C1 - Global Investors",IF(AND(I1178&gt;=4,M1178&gt;'Segmentation Summary'!$C$1),"C4 - Luxury Investors",IF(AND(D1178&lt;'Segmentation Summary'!$C$2,J1178=1),"C2 - First-Time Buyers","C5 - Other Individual Buyers"))))</f>
        <v>C5 - Other Individual Buyers</v>
      </c>
    </row>
    <row r="1179" customFormat="false" ht="15" hidden="false" customHeight="true" outlineLevel="0" collapsed="false">
      <c r="A1179" s="13" t="s">
        <v>2379</v>
      </c>
      <c r="B1179" s="13" t="s">
        <v>34</v>
      </c>
      <c r="C1179" s="13" t="s">
        <v>2380</v>
      </c>
      <c r="D1179" s="13" t="n">
        <v>24</v>
      </c>
      <c r="E1179" s="13" t="s">
        <v>90</v>
      </c>
      <c r="F1179" s="13" t="s">
        <v>33</v>
      </c>
      <c r="G1179" s="13" t="s">
        <v>120</v>
      </c>
      <c r="H1179" s="13" t="s">
        <v>41</v>
      </c>
      <c r="I1179" s="13" t="n">
        <v>3</v>
      </c>
      <c r="J1179" s="13" t="n">
        <v>0</v>
      </c>
      <c r="K1179" s="13" t="s">
        <v>91</v>
      </c>
      <c r="L1179" s="13" t="n">
        <v>4</v>
      </c>
      <c r="M1179" s="13" t="n">
        <v>1870806.42</v>
      </c>
      <c r="N1179" s="13" t="n">
        <v>467701.605</v>
      </c>
      <c r="O1179" s="13" t="n">
        <v>1726.0575</v>
      </c>
      <c r="P1179" s="13" t="n">
        <v>2</v>
      </c>
      <c r="Q1179" s="13" t="n">
        <v>2</v>
      </c>
      <c r="R1179" s="13" t="s">
        <v>98</v>
      </c>
      <c r="S1179" s="13" t="s">
        <v>93</v>
      </c>
      <c r="T1179" s="13" t="n">
        <v>1</v>
      </c>
      <c r="U1179" s="13" t="n">
        <f aca="false">IF(B1179="Individual",1,0)</f>
        <v>1</v>
      </c>
      <c r="V1179" s="13" t="n">
        <f aca="false">IF(B1179="Company",1,0)</f>
        <v>0</v>
      </c>
      <c r="W1179" s="13" t="n">
        <f aca="false">IF(H1179="Home",1,0)</f>
        <v>1</v>
      </c>
      <c r="X1179" s="13" t="n">
        <f aca="false">IF(H1179="Investment",1,0)</f>
        <v>0</v>
      </c>
      <c r="Y1179" s="13" t="n">
        <f aca="false">IF(K1179="Website",1,0)</f>
        <v>0</v>
      </c>
      <c r="Z1179" s="13" t="n">
        <f aca="false">IF(K1179="Agency",1,0)</f>
        <v>1</v>
      </c>
      <c r="AA1179" s="13" t="n">
        <f aca="false">IF(K1179="Client",1,0)</f>
        <v>0</v>
      </c>
      <c r="AB1179" s="13" t="n">
        <f aca="false">(D1179-AVERAGE(D$2:D$2001))/STDEV(D$2:D$2001)</f>
        <v>-1.73777342104641</v>
      </c>
      <c r="AC1179" s="13" t="n">
        <f aca="false">(I1179-AVERAGE(I$2:I$2001))/STDEV(I$2:I$2001)</f>
        <v>-0.0205155458339628</v>
      </c>
      <c r="AD1179" s="13" t="n">
        <f aca="false">(L1179-AVERAGE(L$2:L$2001))/STDEV(L$2:L$2001)</f>
        <v>0.413838214490712</v>
      </c>
      <c r="AE1179" s="13" t="n">
        <f aca="false">(M1179-AVERAGE(M$2:M$2001))/STDEV(M$2:M$2001)</f>
        <v>1.75496585352183</v>
      </c>
      <c r="AF1179" s="13" t="n">
        <f aca="false">(N1179-AVERAGE(N$2:N$2001))/STDEV(N$2:N$2001)</f>
        <v>1.72989812934967</v>
      </c>
      <c r="AG1179" s="13" t="n">
        <f aca="false">(O1179-AVERAGE(O$2:O$2001))/STDEV(O$2:O$2001)</f>
        <v>2.63082496438169</v>
      </c>
      <c r="AH1179" s="0" t="str">
        <f aca="false">IF(B1179="Company","C3 - Corporate Buyers",IF(AND(H1179="Investment",M1179&gt;'Segmentation Summary'!$C$1),"C1 - Global Investors",IF(AND(I1179&gt;=4,M1179&gt;'Segmentation Summary'!$C$1),"C4 - Luxury Investors",IF(AND(D1179&lt;'Segmentation Summary'!$C$2,J1179=1),"C2 - First-Time Buyers","C5 - Other Individual Buyers"))))</f>
        <v>C5 - Other Individual Buyers</v>
      </c>
    </row>
    <row r="1180" customFormat="false" ht="15" hidden="false" customHeight="true" outlineLevel="0" collapsed="false">
      <c r="A1180" s="13" t="s">
        <v>2381</v>
      </c>
      <c r="B1180" s="13" t="s">
        <v>34</v>
      </c>
      <c r="C1180" s="13" t="s">
        <v>2382</v>
      </c>
      <c r="D1180" s="13" t="n">
        <v>41</v>
      </c>
      <c r="E1180" s="13" t="s">
        <v>90</v>
      </c>
      <c r="F1180" s="13" t="s">
        <v>33</v>
      </c>
      <c r="G1180" s="13" t="s">
        <v>207</v>
      </c>
      <c r="H1180" s="13" t="s">
        <v>41</v>
      </c>
      <c r="I1180" s="13" t="n">
        <v>3</v>
      </c>
      <c r="J1180" s="13" t="n">
        <v>0</v>
      </c>
      <c r="K1180" s="13" t="s">
        <v>85</v>
      </c>
      <c r="L1180" s="13" t="n">
        <v>3</v>
      </c>
      <c r="M1180" s="13" t="n">
        <v>1557779.53</v>
      </c>
      <c r="N1180" s="13" t="n">
        <v>519259.843333333</v>
      </c>
      <c r="O1180" s="13" t="n">
        <v>1733.68</v>
      </c>
      <c r="P1180" s="13" t="n">
        <v>0</v>
      </c>
      <c r="Q1180" s="13" t="n">
        <v>3</v>
      </c>
      <c r="R1180" s="13" t="s">
        <v>128</v>
      </c>
      <c r="S1180" s="13" t="s">
        <v>152</v>
      </c>
      <c r="T1180" s="13" t="n">
        <v>1</v>
      </c>
      <c r="U1180" s="13" t="n">
        <f aca="false">IF(B1180="Individual",1,0)</f>
        <v>1</v>
      </c>
      <c r="V1180" s="13" t="n">
        <f aca="false">IF(B1180="Company",1,0)</f>
        <v>0</v>
      </c>
      <c r="W1180" s="13" t="n">
        <f aca="false">IF(H1180="Home",1,0)</f>
        <v>1</v>
      </c>
      <c r="X1180" s="13" t="n">
        <f aca="false">IF(H1180="Investment",1,0)</f>
        <v>0</v>
      </c>
      <c r="Y1180" s="13" t="n">
        <f aca="false">IF(K1180="Website",1,0)</f>
        <v>1</v>
      </c>
      <c r="Z1180" s="13" t="n">
        <f aca="false">IF(K1180="Agency",1,0)</f>
        <v>0</v>
      </c>
      <c r="AA1180" s="13" t="n">
        <f aca="false">IF(K1180="Client",1,0)</f>
        <v>0</v>
      </c>
      <c r="AB1180" s="13" t="n">
        <f aca="false">(D1180-AVERAGE(D$2:D$2001))/STDEV(D$2:D$2001)</f>
        <v>-0.757511677747842</v>
      </c>
      <c r="AC1180" s="13" t="n">
        <f aca="false">(I1180-AVERAGE(I$2:I$2001))/STDEV(I$2:I$2001)</f>
        <v>-0.0205155458339628</v>
      </c>
      <c r="AD1180" s="13" t="n">
        <f aca="false">(L1180-AVERAGE(L$2:L$2001))/STDEV(L$2:L$2001)</f>
        <v>-0.777063122173208</v>
      </c>
      <c r="AE1180" s="13" t="n">
        <f aca="false">(M1180-AVERAGE(M$2:M$2001))/STDEV(M$2:M$2001)</f>
        <v>0.855025389229326</v>
      </c>
      <c r="AF1180" s="13" t="n">
        <f aca="false">(N1180-AVERAGE(N$2:N$2001))/STDEV(N$2:N$2001)</f>
        <v>2.46938308530629</v>
      </c>
      <c r="AG1180" s="13" t="n">
        <f aca="false">(O1180-AVERAGE(O$2:O$2001))/STDEV(O$2:O$2001)</f>
        <v>2.66548488770001</v>
      </c>
      <c r="AH1180" s="0" t="str">
        <f aca="false">IF(B1180="Company","C3 - Corporate Buyers",IF(AND(H1180="Investment",M1180&gt;'Segmentation Summary'!$C$1),"C1 - Global Investors",IF(AND(I1180&gt;=4,M1180&gt;'Segmentation Summary'!$C$1),"C4 - Luxury Investors",IF(AND(D1180&lt;'Segmentation Summary'!$C$2,J1180=1),"C2 - First-Time Buyers","C5 - Other Individual Buyers"))))</f>
        <v>C5 - Other Individual Buyers</v>
      </c>
    </row>
    <row r="1181" customFormat="false" ht="15" hidden="false" customHeight="true" outlineLevel="0" collapsed="false">
      <c r="A1181" s="13" t="s">
        <v>2383</v>
      </c>
      <c r="B1181" s="13" t="s">
        <v>34</v>
      </c>
      <c r="C1181" s="13" t="s">
        <v>2384</v>
      </c>
      <c r="D1181" s="13" t="n">
        <v>32</v>
      </c>
      <c r="E1181" s="13" t="s">
        <v>90</v>
      </c>
      <c r="F1181" s="13" t="s">
        <v>33</v>
      </c>
      <c r="G1181" s="13" t="s">
        <v>106</v>
      </c>
      <c r="H1181" s="13" t="s">
        <v>41</v>
      </c>
      <c r="I1181" s="13" t="n">
        <v>1</v>
      </c>
      <c r="J1181" s="13" t="n">
        <v>1</v>
      </c>
      <c r="K1181" s="13" t="s">
        <v>85</v>
      </c>
      <c r="L1181" s="13" t="n">
        <v>4</v>
      </c>
      <c r="M1181" s="13" t="n">
        <v>1803634.76</v>
      </c>
      <c r="N1181" s="13" t="n">
        <v>450908.69</v>
      </c>
      <c r="O1181" s="13" t="n">
        <v>1422.9925</v>
      </c>
      <c r="P1181" s="13" t="n">
        <v>1</v>
      </c>
      <c r="Q1181" s="13" t="n">
        <v>3</v>
      </c>
      <c r="R1181" s="13" t="s">
        <v>92</v>
      </c>
      <c r="S1181" s="13" t="s">
        <v>135</v>
      </c>
      <c r="T1181" s="13" t="n">
        <v>1</v>
      </c>
      <c r="U1181" s="13" t="n">
        <f aca="false">IF(B1181="Individual",1,0)</f>
        <v>1</v>
      </c>
      <c r="V1181" s="13" t="n">
        <f aca="false">IF(B1181="Company",1,0)</f>
        <v>0</v>
      </c>
      <c r="W1181" s="13" t="n">
        <f aca="false">IF(H1181="Home",1,0)</f>
        <v>1</v>
      </c>
      <c r="X1181" s="13" t="n">
        <f aca="false">IF(H1181="Investment",1,0)</f>
        <v>0</v>
      </c>
      <c r="Y1181" s="13" t="n">
        <f aca="false">IF(K1181="Website",1,0)</f>
        <v>1</v>
      </c>
      <c r="Z1181" s="13" t="n">
        <f aca="false">IF(K1181="Agency",1,0)</f>
        <v>0</v>
      </c>
      <c r="AA1181" s="13" t="n">
        <f aca="false">IF(K1181="Client",1,0)</f>
        <v>0</v>
      </c>
      <c r="AB1181" s="13" t="n">
        <f aca="false">(D1181-AVERAGE(D$2:D$2001))/STDEV(D$2:D$2001)</f>
        <v>-1.2764737771412</v>
      </c>
      <c r="AC1181" s="13" t="n">
        <f aca="false">(I1181-AVERAGE(I$2:I$2001))/STDEV(I$2:I$2001)</f>
        <v>-1.43538077576244</v>
      </c>
      <c r="AD1181" s="13" t="n">
        <f aca="false">(L1181-AVERAGE(L$2:L$2001))/STDEV(L$2:L$2001)</f>
        <v>0.413838214490712</v>
      </c>
      <c r="AE1181" s="13" t="n">
        <f aca="false">(M1181-AVERAGE(M$2:M$2001))/STDEV(M$2:M$2001)</f>
        <v>1.56184987269444</v>
      </c>
      <c r="AF1181" s="13" t="n">
        <f aca="false">(N1181-AVERAGE(N$2:N$2001))/STDEV(N$2:N$2001)</f>
        <v>1.48904218836749</v>
      </c>
      <c r="AG1181" s="13" t="n">
        <f aca="false">(O1181-AVERAGE(O$2:O$2001))/STDEV(O$2:O$2001)</f>
        <v>1.25277187675061</v>
      </c>
      <c r="AH1181" s="0" t="str">
        <f aca="false">IF(B1181="Company","C3 - Corporate Buyers",IF(AND(H1181="Investment",M1181&gt;'Segmentation Summary'!$C$1),"C1 - Global Investors",IF(AND(I1181&gt;=4,M1181&gt;'Segmentation Summary'!$C$1),"C4 - Luxury Investors",IF(AND(D1181&lt;'Segmentation Summary'!$C$2,J1181=1),"C2 - First-Time Buyers","C5 - Other Individual Buyers"))))</f>
        <v>C2 - First-Time Buyers</v>
      </c>
    </row>
    <row r="1182" customFormat="false" ht="15" hidden="false" customHeight="true" outlineLevel="0" collapsed="false">
      <c r="A1182" s="13" t="s">
        <v>2385</v>
      </c>
      <c r="B1182" s="13" t="s">
        <v>34</v>
      </c>
      <c r="C1182" s="13" t="s">
        <v>2386</v>
      </c>
      <c r="D1182" s="13" t="n">
        <v>79</v>
      </c>
      <c r="E1182" s="13" t="s">
        <v>90</v>
      </c>
      <c r="F1182" s="13" t="s">
        <v>33</v>
      </c>
      <c r="G1182" s="13" t="s">
        <v>207</v>
      </c>
      <c r="H1182" s="13" t="s">
        <v>41</v>
      </c>
      <c r="I1182" s="13" t="n">
        <v>3</v>
      </c>
      <c r="J1182" s="13" t="n">
        <v>0</v>
      </c>
      <c r="K1182" s="13" t="s">
        <v>85</v>
      </c>
      <c r="L1182" s="13" t="n">
        <v>4</v>
      </c>
      <c r="M1182" s="13" t="n">
        <v>1563834.42</v>
      </c>
      <c r="N1182" s="13" t="n">
        <v>390958.605</v>
      </c>
      <c r="O1182" s="13" t="n">
        <v>1210.7375</v>
      </c>
      <c r="P1182" s="13" t="n">
        <v>0</v>
      </c>
      <c r="Q1182" s="13" t="n">
        <v>4</v>
      </c>
      <c r="R1182" s="13" t="s">
        <v>121</v>
      </c>
      <c r="S1182" s="13" t="s">
        <v>87</v>
      </c>
      <c r="T1182" s="13" t="n">
        <v>1</v>
      </c>
      <c r="U1182" s="13" t="n">
        <f aca="false">IF(B1182="Individual",1,0)</f>
        <v>1</v>
      </c>
      <c r="V1182" s="13" t="n">
        <f aca="false">IF(B1182="Company",1,0)</f>
        <v>0</v>
      </c>
      <c r="W1182" s="13" t="n">
        <f aca="false">IF(H1182="Home",1,0)</f>
        <v>1</v>
      </c>
      <c r="X1182" s="13" t="n">
        <f aca="false">IF(H1182="Investment",1,0)</f>
        <v>0</v>
      </c>
      <c r="Y1182" s="13" t="n">
        <f aca="false">IF(K1182="Website",1,0)</f>
        <v>1</v>
      </c>
      <c r="Z1182" s="13" t="n">
        <f aca="false">IF(K1182="Agency",1,0)</f>
        <v>0</v>
      </c>
      <c r="AA1182" s="13" t="n">
        <f aca="false">IF(K1182="Client",1,0)</f>
        <v>0</v>
      </c>
      <c r="AB1182" s="13" t="n">
        <f aca="false">(D1182-AVERAGE(D$2:D$2001))/STDEV(D$2:D$2001)</f>
        <v>1.4336616308019</v>
      </c>
      <c r="AC1182" s="13" t="n">
        <f aca="false">(I1182-AVERAGE(I$2:I$2001))/STDEV(I$2:I$2001)</f>
        <v>-0.0205155458339628</v>
      </c>
      <c r="AD1182" s="13" t="n">
        <f aca="false">(L1182-AVERAGE(L$2:L$2001))/STDEV(L$2:L$2001)</f>
        <v>0.413838214490712</v>
      </c>
      <c r="AE1182" s="13" t="n">
        <f aca="false">(M1182-AVERAGE(M$2:M$2001))/STDEV(M$2:M$2001)</f>
        <v>0.872432968871573</v>
      </c>
      <c r="AF1182" s="13" t="n">
        <f aca="false">(N1182-AVERAGE(N$2:N$2001))/STDEV(N$2:N$2001)</f>
        <v>0.629195393773666</v>
      </c>
      <c r="AG1182" s="13" t="n">
        <f aca="false">(O1182-AVERAGE(O$2:O$2001))/STDEV(O$2:O$2001)</f>
        <v>0.287636812935468</v>
      </c>
      <c r="AH1182" s="0" t="str">
        <f aca="false">IF(B1182="Company","C3 - Corporate Buyers",IF(AND(H1182="Investment",M1182&gt;'Segmentation Summary'!$C$1),"C1 - Global Investors",IF(AND(I1182&gt;=4,M1182&gt;'Segmentation Summary'!$C$1),"C4 - Luxury Investors",IF(AND(D1182&lt;'Segmentation Summary'!$C$2,J1182=1),"C2 - First-Time Buyers","C5 - Other Individual Buyers"))))</f>
        <v>C5 - Other Individual Buyers</v>
      </c>
    </row>
    <row r="1183" customFormat="false" ht="15" hidden="false" customHeight="true" outlineLevel="0" collapsed="false">
      <c r="A1183" s="13" t="s">
        <v>2387</v>
      </c>
      <c r="B1183" s="13" t="s">
        <v>34</v>
      </c>
      <c r="C1183" s="13" t="s">
        <v>2388</v>
      </c>
      <c r="D1183" s="13" t="n">
        <v>47</v>
      </c>
      <c r="E1183" s="13" t="s">
        <v>90</v>
      </c>
      <c r="F1183" s="13" t="s">
        <v>33</v>
      </c>
      <c r="G1183" s="13" t="s">
        <v>95</v>
      </c>
      <c r="H1183" s="13" t="s">
        <v>41</v>
      </c>
      <c r="I1183" s="13" t="n">
        <v>1</v>
      </c>
      <c r="J1183" s="13" t="n">
        <v>1</v>
      </c>
      <c r="K1183" s="13" t="s">
        <v>91</v>
      </c>
      <c r="L1183" s="13" t="n">
        <v>3</v>
      </c>
      <c r="M1183" s="13" t="n">
        <v>1256275.37</v>
      </c>
      <c r="N1183" s="13" t="n">
        <v>418758.456666667</v>
      </c>
      <c r="O1183" s="13" t="n">
        <v>1388.45666666667</v>
      </c>
      <c r="P1183" s="13" t="n">
        <v>1</v>
      </c>
      <c r="Q1183" s="13" t="n">
        <v>2</v>
      </c>
      <c r="R1183" s="13" t="s">
        <v>111</v>
      </c>
      <c r="S1183" s="13" t="s">
        <v>87</v>
      </c>
      <c r="T1183" s="13" t="n">
        <v>1</v>
      </c>
      <c r="U1183" s="13" t="n">
        <f aca="false">IF(B1183="Individual",1,0)</f>
        <v>1</v>
      </c>
      <c r="V1183" s="13" t="n">
        <f aca="false">IF(B1183="Company",1,0)</f>
        <v>0</v>
      </c>
      <c r="W1183" s="13" t="n">
        <f aca="false">IF(H1183="Home",1,0)</f>
        <v>1</v>
      </c>
      <c r="X1183" s="13" t="n">
        <f aca="false">IF(H1183="Investment",1,0)</f>
        <v>0</v>
      </c>
      <c r="Y1183" s="13" t="n">
        <f aca="false">IF(K1183="Website",1,0)</f>
        <v>0</v>
      </c>
      <c r="Z1183" s="13" t="n">
        <f aca="false">IF(K1183="Agency",1,0)</f>
        <v>1</v>
      </c>
      <c r="AA1183" s="13" t="n">
        <f aca="false">IF(K1183="Client",1,0)</f>
        <v>0</v>
      </c>
      <c r="AB1183" s="13" t="n">
        <f aca="false">(D1183-AVERAGE(D$2:D$2001))/STDEV(D$2:D$2001)</f>
        <v>-0.411536944818935</v>
      </c>
      <c r="AC1183" s="13" t="n">
        <f aca="false">(I1183-AVERAGE(I$2:I$2001))/STDEV(I$2:I$2001)</f>
        <v>-1.43538077576244</v>
      </c>
      <c r="AD1183" s="13" t="n">
        <f aca="false">(L1183-AVERAGE(L$2:L$2001))/STDEV(L$2:L$2001)</f>
        <v>-0.777063122173208</v>
      </c>
      <c r="AE1183" s="13" t="n">
        <f aca="false">(M1183-AVERAGE(M$2:M$2001))/STDEV(M$2:M$2001)</f>
        <v>-0.0117876623156093</v>
      </c>
      <c r="AF1183" s="13" t="n">
        <f aca="false">(N1183-AVERAGE(N$2:N$2001))/STDEV(N$2:N$2001)</f>
        <v>1.0279206557273</v>
      </c>
      <c r="AG1183" s="13" t="n">
        <f aca="false">(O1183-AVERAGE(O$2:O$2001))/STDEV(O$2:O$2001)</f>
        <v>1.09573555860464</v>
      </c>
      <c r="AH1183" s="0" t="str">
        <f aca="false">IF(B1183="Company","C3 - Corporate Buyers",IF(AND(H1183="Investment",M1183&gt;'Segmentation Summary'!$C$1),"C1 - Global Investors",IF(AND(I1183&gt;=4,M1183&gt;'Segmentation Summary'!$C$1),"C4 - Luxury Investors",IF(AND(D1183&lt;'Segmentation Summary'!$C$2,J1183=1),"C2 - First-Time Buyers","C5 - Other Individual Buyers"))))</f>
        <v>C2 - First-Time Buyers</v>
      </c>
    </row>
    <row r="1184" customFormat="false" ht="15" hidden="false" customHeight="true" outlineLevel="0" collapsed="false">
      <c r="A1184" s="13" t="s">
        <v>2389</v>
      </c>
      <c r="B1184" s="13" t="s">
        <v>34</v>
      </c>
      <c r="C1184" s="13" t="s">
        <v>2390</v>
      </c>
      <c r="D1184" s="13" t="n">
        <v>68</v>
      </c>
      <c r="E1184" s="13" t="s">
        <v>90</v>
      </c>
      <c r="F1184" s="13" t="s">
        <v>33</v>
      </c>
      <c r="G1184" s="13" t="s">
        <v>157</v>
      </c>
      <c r="H1184" s="13" t="s">
        <v>43</v>
      </c>
      <c r="I1184" s="13" t="n">
        <v>2</v>
      </c>
      <c r="J1184" s="13" t="n">
        <v>0</v>
      </c>
      <c r="K1184" s="13" t="s">
        <v>85</v>
      </c>
      <c r="L1184" s="13" t="n">
        <v>3</v>
      </c>
      <c r="M1184" s="13" t="n">
        <v>1072801.12</v>
      </c>
      <c r="N1184" s="13" t="n">
        <v>357600.373333333</v>
      </c>
      <c r="O1184" s="13" t="n">
        <v>1117.94</v>
      </c>
      <c r="P1184" s="13" t="n">
        <v>1</v>
      </c>
      <c r="Q1184" s="13" t="n">
        <v>2</v>
      </c>
      <c r="R1184" s="13" t="s">
        <v>92</v>
      </c>
      <c r="S1184" s="13" t="s">
        <v>107</v>
      </c>
      <c r="T1184" s="13" t="n">
        <v>1</v>
      </c>
      <c r="U1184" s="13" t="n">
        <f aca="false">IF(B1184="Individual",1,0)</f>
        <v>1</v>
      </c>
      <c r="V1184" s="13" t="n">
        <f aca="false">IF(B1184="Company",1,0)</f>
        <v>0</v>
      </c>
      <c r="W1184" s="13" t="n">
        <f aca="false">IF(H1184="Home",1,0)</f>
        <v>0</v>
      </c>
      <c r="X1184" s="13" t="n">
        <f aca="false">IF(H1184="Investment",1,0)</f>
        <v>1</v>
      </c>
      <c r="Y1184" s="13" t="n">
        <f aca="false">IF(K1184="Website",1,0)</f>
        <v>1</v>
      </c>
      <c r="Z1184" s="13" t="n">
        <f aca="false">IF(K1184="Agency",1,0)</f>
        <v>0</v>
      </c>
      <c r="AA1184" s="13" t="n">
        <f aca="false">IF(K1184="Client",1,0)</f>
        <v>0</v>
      </c>
      <c r="AB1184" s="13" t="n">
        <f aca="false">(D1184-AVERAGE(D$2:D$2001))/STDEV(D$2:D$2001)</f>
        <v>0.79937462043224</v>
      </c>
      <c r="AC1184" s="13" t="n">
        <f aca="false">(I1184-AVERAGE(I$2:I$2001))/STDEV(I$2:I$2001)</f>
        <v>-0.727948160798201</v>
      </c>
      <c r="AD1184" s="13" t="n">
        <f aca="false">(L1184-AVERAGE(L$2:L$2001))/STDEV(L$2:L$2001)</f>
        <v>-0.777063122173208</v>
      </c>
      <c r="AE1184" s="13" t="n">
        <f aca="false">(M1184-AVERAGE(M$2:M$2001))/STDEV(M$2:M$2001)</f>
        <v>-0.539269188681343</v>
      </c>
      <c r="AF1184" s="13" t="n">
        <f aca="false">(N1184-AVERAGE(N$2:N$2001))/STDEV(N$2:N$2001)</f>
        <v>0.150747889122059</v>
      </c>
      <c r="AG1184" s="13" t="n">
        <f aca="false">(O1184-AVERAGE(O$2:O$2001))/STDEV(O$2:O$2001)</f>
        <v>-0.134318481801453</v>
      </c>
      <c r="AH1184" s="0" t="str">
        <f aca="false">IF(B1184="Company","C3 - Corporate Buyers",IF(AND(H1184="Investment",M1184&gt;'Segmentation Summary'!$C$1),"C1 - Global Investors",IF(AND(I1184&gt;=4,M1184&gt;'Segmentation Summary'!$C$1),"C4 - Luxury Investors",IF(AND(D1184&lt;'Segmentation Summary'!$C$2,J1184=1),"C2 - First-Time Buyers","C5 - Other Individual Buyers"))))</f>
        <v>C5 - Other Individual Buyers</v>
      </c>
    </row>
    <row r="1185" customFormat="false" ht="15" hidden="false" customHeight="true" outlineLevel="0" collapsed="false">
      <c r="A1185" s="13" t="s">
        <v>2391</v>
      </c>
      <c r="B1185" s="13" t="s">
        <v>34</v>
      </c>
      <c r="C1185" s="13" t="s">
        <v>2392</v>
      </c>
      <c r="D1185" s="13" t="n">
        <v>37</v>
      </c>
      <c r="E1185" s="13" t="s">
        <v>90</v>
      </c>
      <c r="F1185" s="13" t="s">
        <v>33</v>
      </c>
      <c r="G1185" s="13" t="s">
        <v>106</v>
      </c>
      <c r="H1185" s="13" t="s">
        <v>43</v>
      </c>
      <c r="I1185" s="13" t="n">
        <v>2</v>
      </c>
      <c r="J1185" s="13" t="n">
        <v>0</v>
      </c>
      <c r="K1185" s="13" t="s">
        <v>116</v>
      </c>
      <c r="L1185" s="13" t="n">
        <v>3</v>
      </c>
      <c r="M1185" s="13" t="n">
        <v>869334.73</v>
      </c>
      <c r="N1185" s="13" t="n">
        <v>289778.243333333</v>
      </c>
      <c r="O1185" s="13" t="n">
        <v>980.87</v>
      </c>
      <c r="P1185" s="13" t="n">
        <v>0</v>
      </c>
      <c r="Q1185" s="13" t="n">
        <v>3</v>
      </c>
      <c r="R1185" s="13" t="s">
        <v>101</v>
      </c>
      <c r="S1185" s="13" t="s">
        <v>87</v>
      </c>
      <c r="T1185" s="13" t="n">
        <v>1</v>
      </c>
      <c r="U1185" s="13" t="n">
        <f aca="false">IF(B1185="Individual",1,0)</f>
        <v>1</v>
      </c>
      <c r="V1185" s="13" t="n">
        <f aca="false">IF(B1185="Company",1,0)</f>
        <v>0</v>
      </c>
      <c r="W1185" s="13" t="n">
        <f aca="false">IF(H1185="Home",1,0)</f>
        <v>0</v>
      </c>
      <c r="X1185" s="13" t="n">
        <f aca="false">IF(H1185="Investment",1,0)</f>
        <v>1</v>
      </c>
      <c r="Y1185" s="13" t="n">
        <f aca="false">IF(K1185="Website",1,0)</f>
        <v>0</v>
      </c>
      <c r="Z1185" s="13" t="n">
        <f aca="false">IF(K1185="Agency",1,0)</f>
        <v>0</v>
      </c>
      <c r="AA1185" s="13" t="n">
        <f aca="false">IF(K1185="Client",1,0)</f>
        <v>1</v>
      </c>
      <c r="AB1185" s="13" t="n">
        <f aca="false">(D1185-AVERAGE(D$2:D$2001))/STDEV(D$2:D$2001)</f>
        <v>-0.988161499700447</v>
      </c>
      <c r="AC1185" s="13" t="n">
        <f aca="false">(I1185-AVERAGE(I$2:I$2001))/STDEV(I$2:I$2001)</f>
        <v>-0.727948160798201</v>
      </c>
      <c r="AD1185" s="13" t="n">
        <f aca="false">(L1185-AVERAGE(L$2:L$2001))/STDEV(L$2:L$2001)</f>
        <v>-0.777063122173208</v>
      </c>
      <c r="AE1185" s="13" t="n">
        <f aca="false">(M1185-AVERAGE(M$2:M$2001))/STDEV(M$2:M$2001)</f>
        <v>-1.12422736107516</v>
      </c>
      <c r="AF1185" s="13" t="n">
        <f aca="false">(N1185-AVERAGE(N$2:N$2001))/STDEV(N$2:N$2001)</f>
        <v>-0.822005378584326</v>
      </c>
      <c r="AG1185" s="13" t="n">
        <f aca="false">(O1185-AVERAGE(O$2:O$2001))/STDEV(O$2:O$2001)</f>
        <v>-0.757583249166844</v>
      </c>
      <c r="AH1185" s="0" t="str">
        <f aca="false">IF(B1185="Company","C3 - Corporate Buyers",IF(AND(H1185="Investment",M1185&gt;'Segmentation Summary'!$C$1),"C1 - Global Investors",IF(AND(I1185&gt;=4,M1185&gt;'Segmentation Summary'!$C$1),"C4 - Luxury Investors",IF(AND(D1185&lt;'Segmentation Summary'!$C$2,J1185=1),"C2 - First-Time Buyers","C5 - Other Individual Buyers"))))</f>
        <v>C5 - Other Individual Buyers</v>
      </c>
    </row>
    <row r="1186" customFormat="false" ht="15" hidden="false" customHeight="true" outlineLevel="0" collapsed="false">
      <c r="A1186" s="13" t="s">
        <v>2393</v>
      </c>
      <c r="B1186" s="13" t="s">
        <v>34</v>
      </c>
      <c r="C1186" s="13" t="s">
        <v>2394</v>
      </c>
      <c r="D1186" s="13" t="n">
        <v>29</v>
      </c>
      <c r="E1186" s="13" t="s">
        <v>90</v>
      </c>
      <c r="F1186" s="13" t="s">
        <v>33</v>
      </c>
      <c r="G1186" s="13" t="s">
        <v>120</v>
      </c>
      <c r="H1186" s="13" t="s">
        <v>41</v>
      </c>
      <c r="I1186" s="13" t="n">
        <v>3</v>
      </c>
      <c r="J1186" s="13" t="n">
        <v>0</v>
      </c>
      <c r="K1186" s="13" t="s">
        <v>91</v>
      </c>
      <c r="L1186" s="13" t="n">
        <v>3</v>
      </c>
      <c r="M1186" s="13" t="n">
        <v>1043535.21</v>
      </c>
      <c r="N1186" s="13" t="n">
        <v>347845.07</v>
      </c>
      <c r="O1186" s="13" t="n">
        <v>1125.17</v>
      </c>
      <c r="P1186" s="13" t="n">
        <v>0</v>
      </c>
      <c r="Q1186" s="13" t="n">
        <v>3</v>
      </c>
      <c r="R1186" s="13" t="s">
        <v>101</v>
      </c>
      <c r="S1186" s="13" t="s">
        <v>128</v>
      </c>
      <c r="T1186" s="13" t="n">
        <v>1</v>
      </c>
      <c r="U1186" s="13" t="n">
        <f aca="false">IF(B1186="Individual",1,0)</f>
        <v>1</v>
      </c>
      <c r="V1186" s="13" t="n">
        <f aca="false">IF(B1186="Company",1,0)</f>
        <v>0</v>
      </c>
      <c r="W1186" s="13" t="n">
        <f aca="false">IF(H1186="Home",1,0)</f>
        <v>1</v>
      </c>
      <c r="X1186" s="13" t="n">
        <f aca="false">IF(H1186="Investment",1,0)</f>
        <v>0</v>
      </c>
      <c r="Y1186" s="13" t="n">
        <f aca="false">IF(K1186="Website",1,0)</f>
        <v>0</v>
      </c>
      <c r="Z1186" s="13" t="n">
        <f aca="false">IF(K1186="Agency",1,0)</f>
        <v>1</v>
      </c>
      <c r="AA1186" s="13" t="n">
        <f aca="false">IF(K1186="Client",1,0)</f>
        <v>0</v>
      </c>
      <c r="AB1186" s="13" t="n">
        <f aca="false">(D1186-AVERAGE(D$2:D$2001))/STDEV(D$2:D$2001)</f>
        <v>-1.44946114360566</v>
      </c>
      <c r="AC1186" s="13" t="n">
        <f aca="false">(I1186-AVERAGE(I$2:I$2001))/STDEV(I$2:I$2001)</f>
        <v>-0.0205155458339628</v>
      </c>
      <c r="AD1186" s="13" t="n">
        <f aca="false">(L1186-AVERAGE(L$2:L$2001))/STDEV(L$2:L$2001)</f>
        <v>-0.777063122173208</v>
      </c>
      <c r="AE1186" s="13" t="n">
        <f aca="false">(M1186-AVERAGE(M$2:M$2001))/STDEV(M$2:M$2001)</f>
        <v>-0.623407572554187</v>
      </c>
      <c r="AF1186" s="13" t="n">
        <f aca="false">(N1186-AVERAGE(N$2:N$2001))/STDEV(N$2:N$2001)</f>
        <v>0.0108303843936368</v>
      </c>
      <c r="AG1186" s="13" t="n">
        <f aca="false">(O1186-AVERAGE(O$2:O$2001))/STDEV(O$2:O$2001)</f>
        <v>-0.101443277394567</v>
      </c>
      <c r="AH1186" s="0" t="str">
        <f aca="false">IF(B1186="Company","C3 - Corporate Buyers",IF(AND(H1186="Investment",M1186&gt;'Segmentation Summary'!$C$1),"C1 - Global Investors",IF(AND(I1186&gt;=4,M1186&gt;'Segmentation Summary'!$C$1),"C4 - Luxury Investors",IF(AND(D1186&lt;'Segmentation Summary'!$C$2,J1186=1),"C2 - First-Time Buyers","C5 - Other Individual Buyers"))))</f>
        <v>C5 - Other Individual Buyers</v>
      </c>
    </row>
    <row r="1187" customFormat="false" ht="15" hidden="false" customHeight="true" outlineLevel="0" collapsed="false">
      <c r="A1187" s="13" t="s">
        <v>2395</v>
      </c>
      <c r="B1187" s="13" t="s">
        <v>34</v>
      </c>
      <c r="C1187" s="13" t="s">
        <v>2396</v>
      </c>
      <c r="D1187" s="13" t="n">
        <v>40</v>
      </c>
      <c r="E1187" s="13" t="s">
        <v>90</v>
      </c>
      <c r="F1187" s="13" t="s">
        <v>33</v>
      </c>
      <c r="G1187" s="13" t="s">
        <v>95</v>
      </c>
      <c r="H1187" s="13" t="s">
        <v>41</v>
      </c>
      <c r="I1187" s="13" t="n">
        <v>3</v>
      </c>
      <c r="J1187" s="13" t="n">
        <v>0</v>
      </c>
      <c r="K1187" s="13" t="s">
        <v>91</v>
      </c>
      <c r="L1187" s="13" t="n">
        <v>3</v>
      </c>
      <c r="M1187" s="13" t="n">
        <v>1403831.31</v>
      </c>
      <c r="N1187" s="13" t="n">
        <v>467943.77</v>
      </c>
      <c r="O1187" s="13" t="n">
        <v>1609.03333333333</v>
      </c>
      <c r="P1187" s="13" t="n">
        <v>1</v>
      </c>
      <c r="Q1187" s="13" t="n">
        <v>2</v>
      </c>
      <c r="R1187" s="13" t="s">
        <v>92</v>
      </c>
      <c r="S1187" s="13" t="s">
        <v>125</v>
      </c>
      <c r="T1187" s="13" t="n">
        <v>1</v>
      </c>
      <c r="U1187" s="13" t="n">
        <f aca="false">IF(B1187="Individual",1,0)</f>
        <v>1</v>
      </c>
      <c r="V1187" s="13" t="n">
        <f aca="false">IF(B1187="Company",1,0)</f>
        <v>0</v>
      </c>
      <c r="W1187" s="13" t="n">
        <f aca="false">IF(H1187="Home",1,0)</f>
        <v>1</v>
      </c>
      <c r="X1187" s="13" t="n">
        <f aca="false">IF(H1187="Investment",1,0)</f>
        <v>0</v>
      </c>
      <c r="Y1187" s="13" t="n">
        <f aca="false">IF(K1187="Website",1,0)</f>
        <v>0</v>
      </c>
      <c r="Z1187" s="13" t="n">
        <f aca="false">IF(K1187="Agency",1,0)</f>
        <v>1</v>
      </c>
      <c r="AA1187" s="13" t="n">
        <f aca="false">IF(K1187="Client",1,0)</f>
        <v>0</v>
      </c>
      <c r="AB1187" s="13" t="n">
        <f aca="false">(D1187-AVERAGE(D$2:D$2001))/STDEV(D$2:D$2001)</f>
        <v>-0.815174133235994</v>
      </c>
      <c r="AC1187" s="13" t="n">
        <f aca="false">(I1187-AVERAGE(I$2:I$2001))/STDEV(I$2:I$2001)</f>
        <v>-0.0205155458339628</v>
      </c>
      <c r="AD1187" s="13" t="n">
        <f aca="false">(L1187-AVERAGE(L$2:L$2001))/STDEV(L$2:L$2001)</f>
        <v>-0.777063122173208</v>
      </c>
      <c r="AE1187" s="13" t="n">
        <f aca="false">(M1187-AVERAGE(M$2:M$2001))/STDEV(M$2:M$2001)</f>
        <v>0.412430081893895</v>
      </c>
      <c r="AF1187" s="13" t="n">
        <f aca="false">(N1187-AVERAGE(N$2:N$2001))/STDEV(N$2:N$2001)</f>
        <v>1.73337143216505</v>
      </c>
      <c r="AG1187" s="13" t="n">
        <f aca="false">(O1187-AVERAGE(O$2:O$2001))/STDEV(O$2:O$2001)</f>
        <v>2.09870969471195</v>
      </c>
      <c r="AH1187" s="0" t="str">
        <f aca="false">IF(B1187="Company","C3 - Corporate Buyers",IF(AND(H1187="Investment",M1187&gt;'Segmentation Summary'!$C$1),"C1 - Global Investors",IF(AND(I1187&gt;=4,M1187&gt;'Segmentation Summary'!$C$1),"C4 - Luxury Investors",IF(AND(D1187&lt;'Segmentation Summary'!$C$2,J1187=1),"C2 - First-Time Buyers","C5 - Other Individual Buyers"))))</f>
        <v>C5 - Other Individual Buyers</v>
      </c>
    </row>
    <row r="1188" customFormat="false" ht="15" hidden="false" customHeight="true" outlineLevel="0" collapsed="false">
      <c r="A1188" s="13" t="s">
        <v>2397</v>
      </c>
      <c r="B1188" s="13" t="s">
        <v>34</v>
      </c>
      <c r="C1188" s="13" t="s">
        <v>2396</v>
      </c>
      <c r="D1188" s="13" t="n">
        <v>45</v>
      </c>
      <c r="E1188" s="13" t="s">
        <v>90</v>
      </c>
      <c r="F1188" s="13" t="s">
        <v>33</v>
      </c>
      <c r="G1188" s="13" t="s">
        <v>120</v>
      </c>
      <c r="H1188" s="13" t="s">
        <v>41</v>
      </c>
      <c r="I1188" s="13" t="n">
        <v>1</v>
      </c>
      <c r="J1188" s="13" t="n">
        <v>0</v>
      </c>
      <c r="K1188" s="13" t="s">
        <v>85</v>
      </c>
      <c r="L1188" s="13" t="n">
        <v>4</v>
      </c>
      <c r="M1188" s="13" t="n">
        <v>1371211.29</v>
      </c>
      <c r="N1188" s="13" t="n">
        <v>342802.8225</v>
      </c>
      <c r="O1188" s="13" t="n">
        <v>1123.6175</v>
      </c>
      <c r="P1188" s="13" t="n">
        <v>0</v>
      </c>
      <c r="Q1188" s="13" t="n">
        <v>4</v>
      </c>
      <c r="R1188" s="13" t="s">
        <v>121</v>
      </c>
      <c r="S1188" s="13" t="s">
        <v>107</v>
      </c>
      <c r="T1188" s="13" t="n">
        <v>1</v>
      </c>
      <c r="U1188" s="13" t="n">
        <f aca="false">IF(B1188="Individual",1,0)</f>
        <v>1</v>
      </c>
      <c r="V1188" s="13" t="n">
        <f aca="false">IF(B1188="Company",1,0)</f>
        <v>0</v>
      </c>
      <c r="W1188" s="13" t="n">
        <f aca="false">IF(H1188="Home",1,0)</f>
        <v>1</v>
      </c>
      <c r="X1188" s="13" t="n">
        <f aca="false">IF(H1188="Investment",1,0)</f>
        <v>0</v>
      </c>
      <c r="Y1188" s="13" t="n">
        <f aca="false">IF(K1188="Website",1,0)</f>
        <v>1</v>
      </c>
      <c r="Z1188" s="13" t="n">
        <f aca="false">IF(K1188="Agency",1,0)</f>
        <v>0</v>
      </c>
      <c r="AA1188" s="13" t="n">
        <f aca="false">IF(K1188="Client",1,0)</f>
        <v>0</v>
      </c>
      <c r="AB1188" s="13" t="n">
        <f aca="false">(D1188-AVERAGE(D$2:D$2001))/STDEV(D$2:D$2001)</f>
        <v>-0.526861855795238</v>
      </c>
      <c r="AC1188" s="13" t="n">
        <f aca="false">(I1188-AVERAGE(I$2:I$2001))/STDEV(I$2:I$2001)</f>
        <v>-1.43538077576244</v>
      </c>
      <c r="AD1188" s="13" t="n">
        <f aca="false">(L1188-AVERAGE(L$2:L$2001))/STDEV(L$2:L$2001)</f>
        <v>0.413838214490712</v>
      </c>
      <c r="AE1188" s="13" t="n">
        <f aca="false">(M1188-AVERAGE(M$2:M$2001))/STDEV(M$2:M$2001)</f>
        <v>0.318648758685429</v>
      </c>
      <c r="AF1188" s="13" t="n">
        <f aca="false">(N1188-AVERAGE(N$2:N$2001))/STDEV(N$2:N$2001)</f>
        <v>-0.0614891185799406</v>
      </c>
      <c r="AG1188" s="13" t="n">
        <f aca="false">(O1188-AVERAGE(O$2:O$2001))/STDEV(O$2:O$2001)</f>
        <v>-0.108502579585672</v>
      </c>
      <c r="AH1188" s="0" t="str">
        <f aca="false">IF(B1188="Company","C3 - Corporate Buyers",IF(AND(H1188="Investment",M1188&gt;'Segmentation Summary'!$C$1),"C1 - Global Investors",IF(AND(I1188&gt;=4,M1188&gt;'Segmentation Summary'!$C$1),"C4 - Luxury Investors",IF(AND(D1188&lt;'Segmentation Summary'!$C$2,J1188=1),"C2 - First-Time Buyers","C5 - Other Individual Buyers"))))</f>
        <v>C5 - Other Individual Buyers</v>
      </c>
    </row>
    <row r="1189" customFormat="false" ht="15" hidden="false" customHeight="true" outlineLevel="0" collapsed="false">
      <c r="A1189" s="13" t="s">
        <v>2398</v>
      </c>
      <c r="B1189" s="13" t="s">
        <v>34</v>
      </c>
      <c r="C1189" s="13" t="s">
        <v>2399</v>
      </c>
      <c r="D1189" s="13" t="n">
        <v>55</v>
      </c>
      <c r="E1189" s="13" t="s">
        <v>90</v>
      </c>
      <c r="F1189" s="13" t="s">
        <v>33</v>
      </c>
      <c r="G1189" s="13" t="s">
        <v>162</v>
      </c>
      <c r="H1189" s="13" t="s">
        <v>41</v>
      </c>
      <c r="I1189" s="13" t="n">
        <v>2</v>
      </c>
      <c r="J1189" s="13" t="n">
        <v>0</v>
      </c>
      <c r="K1189" s="13" t="s">
        <v>91</v>
      </c>
      <c r="L1189" s="13" t="n">
        <v>4</v>
      </c>
      <c r="M1189" s="13" t="n">
        <v>1522994.53</v>
      </c>
      <c r="N1189" s="13" t="n">
        <v>380748.6325</v>
      </c>
      <c r="O1189" s="13" t="n">
        <v>1259.875</v>
      </c>
      <c r="P1189" s="13" t="n">
        <v>1</v>
      </c>
      <c r="Q1189" s="13" t="n">
        <v>3</v>
      </c>
      <c r="R1189" s="13" t="s">
        <v>124</v>
      </c>
      <c r="S1189" s="13" t="s">
        <v>135</v>
      </c>
      <c r="T1189" s="13" t="n">
        <v>1</v>
      </c>
      <c r="U1189" s="13" t="n">
        <f aca="false">IF(B1189="Individual",1,0)</f>
        <v>1</v>
      </c>
      <c r="V1189" s="13" t="n">
        <f aca="false">IF(B1189="Company",1,0)</f>
        <v>0</v>
      </c>
      <c r="W1189" s="13" t="n">
        <f aca="false">IF(H1189="Home",1,0)</f>
        <v>1</v>
      </c>
      <c r="X1189" s="13" t="n">
        <f aca="false">IF(H1189="Investment",1,0)</f>
        <v>0</v>
      </c>
      <c r="Y1189" s="13" t="n">
        <f aca="false">IF(K1189="Website",1,0)</f>
        <v>0</v>
      </c>
      <c r="Z1189" s="13" t="n">
        <f aca="false">IF(K1189="Agency",1,0)</f>
        <v>1</v>
      </c>
      <c r="AA1189" s="13" t="n">
        <f aca="false">IF(K1189="Client",1,0)</f>
        <v>0</v>
      </c>
      <c r="AB1189" s="13" t="n">
        <f aca="false">(D1189-AVERAGE(D$2:D$2001))/STDEV(D$2:D$2001)</f>
        <v>0.0497626990862745</v>
      </c>
      <c r="AC1189" s="13" t="n">
        <f aca="false">(I1189-AVERAGE(I$2:I$2001))/STDEV(I$2:I$2001)</f>
        <v>-0.727948160798201</v>
      </c>
      <c r="AD1189" s="13" t="n">
        <f aca="false">(L1189-AVERAGE(L$2:L$2001))/STDEV(L$2:L$2001)</f>
        <v>0.413838214490712</v>
      </c>
      <c r="AE1189" s="13" t="n">
        <f aca="false">(M1189-AVERAGE(M$2:M$2001))/STDEV(M$2:M$2001)</f>
        <v>0.755019830440384</v>
      </c>
      <c r="AF1189" s="13" t="n">
        <f aca="false">(N1189-AVERAGE(N$2:N$2001))/STDEV(N$2:N$2001)</f>
        <v>0.482756700200236</v>
      </c>
      <c r="AG1189" s="13" t="n">
        <f aca="false">(O1189-AVERAGE(O$2:O$2001))/STDEV(O$2:O$2001)</f>
        <v>0.511067705956676</v>
      </c>
      <c r="AH1189" s="0" t="str">
        <f aca="false">IF(B1189="Company","C3 - Corporate Buyers",IF(AND(H1189="Investment",M1189&gt;'Segmentation Summary'!$C$1),"C1 - Global Investors",IF(AND(I1189&gt;=4,M1189&gt;'Segmentation Summary'!$C$1),"C4 - Luxury Investors",IF(AND(D1189&lt;'Segmentation Summary'!$C$2,J1189=1),"C2 - First-Time Buyers","C5 - Other Individual Buyers"))))</f>
        <v>C5 - Other Individual Buyers</v>
      </c>
    </row>
    <row r="1190" customFormat="false" ht="15" hidden="false" customHeight="true" outlineLevel="0" collapsed="false">
      <c r="A1190" s="13" t="s">
        <v>2400</v>
      </c>
      <c r="B1190" s="13" t="s">
        <v>34</v>
      </c>
      <c r="C1190" s="13" t="s">
        <v>2401</v>
      </c>
      <c r="D1190" s="13" t="n">
        <v>56</v>
      </c>
      <c r="E1190" s="13" t="s">
        <v>90</v>
      </c>
      <c r="F1190" s="13" t="s">
        <v>33</v>
      </c>
      <c r="G1190" s="13" t="s">
        <v>162</v>
      </c>
      <c r="H1190" s="13" t="s">
        <v>43</v>
      </c>
      <c r="I1190" s="13" t="n">
        <v>5</v>
      </c>
      <c r="J1190" s="13" t="n">
        <v>1</v>
      </c>
      <c r="K1190" s="13" t="s">
        <v>85</v>
      </c>
      <c r="L1190" s="13" t="n">
        <v>4</v>
      </c>
      <c r="M1190" s="13" t="n">
        <v>1093762.42</v>
      </c>
      <c r="N1190" s="13" t="n">
        <v>273440.605</v>
      </c>
      <c r="O1190" s="13" t="n">
        <v>868.5725</v>
      </c>
      <c r="P1190" s="13" t="n">
        <v>1</v>
      </c>
      <c r="Q1190" s="13" t="n">
        <v>3</v>
      </c>
      <c r="R1190" s="13" t="s">
        <v>101</v>
      </c>
      <c r="S1190" s="13" t="s">
        <v>114</v>
      </c>
      <c r="T1190" s="13" t="n">
        <v>1</v>
      </c>
      <c r="U1190" s="13" t="n">
        <f aca="false">IF(B1190="Individual",1,0)</f>
        <v>1</v>
      </c>
      <c r="V1190" s="13" t="n">
        <f aca="false">IF(B1190="Company",1,0)</f>
        <v>0</v>
      </c>
      <c r="W1190" s="13" t="n">
        <f aca="false">IF(H1190="Home",1,0)</f>
        <v>0</v>
      </c>
      <c r="X1190" s="13" t="n">
        <f aca="false">IF(H1190="Investment",1,0)</f>
        <v>1</v>
      </c>
      <c r="Y1190" s="13" t="n">
        <f aca="false">IF(K1190="Website",1,0)</f>
        <v>1</v>
      </c>
      <c r="Z1190" s="13" t="n">
        <f aca="false">IF(K1190="Agency",1,0)</f>
        <v>0</v>
      </c>
      <c r="AA1190" s="13" t="n">
        <f aca="false">IF(K1190="Client",1,0)</f>
        <v>0</v>
      </c>
      <c r="AB1190" s="13" t="n">
        <f aca="false">(D1190-AVERAGE(D$2:D$2001))/STDEV(D$2:D$2001)</f>
        <v>0.107425154574426</v>
      </c>
      <c r="AC1190" s="13" t="n">
        <f aca="false">(I1190-AVERAGE(I$2:I$2001))/STDEV(I$2:I$2001)</f>
        <v>1.39434968409451</v>
      </c>
      <c r="AD1190" s="13" t="n">
        <f aca="false">(L1190-AVERAGE(L$2:L$2001))/STDEV(L$2:L$2001)</f>
        <v>0.413838214490712</v>
      </c>
      <c r="AE1190" s="13" t="n">
        <f aca="false">(M1190-AVERAGE(M$2:M$2001))/STDEV(M$2:M$2001)</f>
        <v>-0.479006244324792</v>
      </c>
      <c r="AF1190" s="13" t="n">
        <f aca="false">(N1190-AVERAGE(N$2:N$2001))/STDEV(N$2:N$2001)</f>
        <v>-1.05633141752405</v>
      </c>
      <c r="AG1190" s="13" t="n">
        <f aca="false">(O1190-AVERAGE(O$2:O$2001))/STDEV(O$2:O$2001)</f>
        <v>-1.26820610765678</v>
      </c>
      <c r="AH1190" s="0" t="str">
        <f aca="false">IF(B1190="Company","C3 - Corporate Buyers",IF(AND(H1190="Investment",M1190&gt;'Segmentation Summary'!$C$1),"C1 - Global Investors",IF(AND(I1190&gt;=4,M1190&gt;'Segmentation Summary'!$C$1),"C4 - Luxury Investors",IF(AND(D1190&lt;'Segmentation Summary'!$C$2,J1190=1),"C2 - First-Time Buyers","C5 - Other Individual Buyers"))))</f>
        <v>C5 - Other Individual Buyers</v>
      </c>
    </row>
    <row r="1191" customFormat="false" ht="15" hidden="false" customHeight="true" outlineLevel="0" collapsed="false">
      <c r="A1191" s="13" t="s">
        <v>2402</v>
      </c>
      <c r="B1191" s="13" t="s">
        <v>34</v>
      </c>
      <c r="C1191" s="13" t="s">
        <v>2403</v>
      </c>
      <c r="D1191" s="13" t="n">
        <v>75</v>
      </c>
      <c r="E1191" s="13" t="s">
        <v>90</v>
      </c>
      <c r="F1191" s="13" t="s">
        <v>33</v>
      </c>
      <c r="G1191" s="13" t="s">
        <v>207</v>
      </c>
      <c r="H1191" s="13" t="s">
        <v>41</v>
      </c>
      <c r="I1191" s="13" t="n">
        <v>5</v>
      </c>
      <c r="J1191" s="13" t="n">
        <v>0</v>
      </c>
      <c r="K1191" s="13" t="s">
        <v>85</v>
      </c>
      <c r="L1191" s="13" t="n">
        <v>4</v>
      </c>
      <c r="M1191" s="13" t="n">
        <v>1468310.66</v>
      </c>
      <c r="N1191" s="13" t="n">
        <v>367077.665</v>
      </c>
      <c r="O1191" s="13" t="n">
        <v>1196.9725</v>
      </c>
      <c r="P1191" s="13" t="n">
        <v>0</v>
      </c>
      <c r="Q1191" s="13" t="n">
        <v>4</v>
      </c>
      <c r="R1191" s="13" t="s">
        <v>101</v>
      </c>
      <c r="S1191" s="13" t="s">
        <v>103</v>
      </c>
      <c r="T1191" s="13" t="n">
        <v>1</v>
      </c>
      <c r="U1191" s="13" t="n">
        <f aca="false">IF(B1191="Individual",1,0)</f>
        <v>1</v>
      </c>
      <c r="V1191" s="13" t="n">
        <f aca="false">IF(B1191="Company",1,0)</f>
        <v>0</v>
      </c>
      <c r="W1191" s="13" t="n">
        <f aca="false">IF(H1191="Home",1,0)</f>
        <v>1</v>
      </c>
      <c r="X1191" s="13" t="n">
        <f aca="false">IF(H1191="Investment",1,0)</f>
        <v>0</v>
      </c>
      <c r="Y1191" s="13" t="n">
        <f aca="false">IF(K1191="Website",1,0)</f>
        <v>1</v>
      </c>
      <c r="Z1191" s="13" t="n">
        <f aca="false">IF(K1191="Agency",1,0)</f>
        <v>0</v>
      </c>
      <c r="AA1191" s="13" t="n">
        <f aca="false">IF(K1191="Client",1,0)</f>
        <v>0</v>
      </c>
      <c r="AB1191" s="13" t="n">
        <f aca="false">(D1191-AVERAGE(D$2:D$2001))/STDEV(D$2:D$2001)</f>
        <v>1.2030118088493</v>
      </c>
      <c r="AC1191" s="13" t="n">
        <f aca="false">(I1191-AVERAGE(I$2:I$2001))/STDEV(I$2:I$2001)</f>
        <v>1.39434968409451</v>
      </c>
      <c r="AD1191" s="13" t="n">
        <f aca="false">(L1191-AVERAGE(L$2:L$2001))/STDEV(L$2:L$2001)</f>
        <v>0.413838214490712</v>
      </c>
      <c r="AE1191" s="13" t="n">
        <f aca="false">(M1191-AVERAGE(M$2:M$2001))/STDEV(M$2:M$2001)</f>
        <v>0.597805773344168</v>
      </c>
      <c r="AF1191" s="13" t="n">
        <f aca="false">(N1191-AVERAGE(N$2:N$2001))/STDEV(N$2:N$2001)</f>
        <v>0.286677952624293</v>
      </c>
      <c r="AG1191" s="13" t="n">
        <f aca="false">(O1191-AVERAGE(O$2:O$2001))/STDEV(O$2:O$2001)</f>
        <v>0.225046607034947</v>
      </c>
      <c r="AH1191" s="0" t="str">
        <f aca="false">IF(B1191="Company","C3 - Corporate Buyers",IF(AND(H1191="Investment",M1191&gt;'Segmentation Summary'!$C$1),"C1 - Global Investors",IF(AND(I1191&gt;=4,M1191&gt;'Segmentation Summary'!$C$1),"C4 - Luxury Investors",IF(AND(D1191&lt;'Segmentation Summary'!$C$2,J1191=1),"C2 - First-Time Buyers","C5 - Other Individual Buyers"))))</f>
        <v>C4 - Luxury Investors</v>
      </c>
    </row>
    <row r="1192" customFormat="false" ht="15" hidden="false" customHeight="true" outlineLevel="0" collapsed="false">
      <c r="A1192" s="13" t="s">
        <v>2404</v>
      </c>
      <c r="B1192" s="13" t="s">
        <v>34</v>
      </c>
      <c r="C1192" s="13" t="s">
        <v>2405</v>
      </c>
      <c r="D1192" s="13" t="n">
        <v>76</v>
      </c>
      <c r="E1192" s="13" t="s">
        <v>90</v>
      </c>
      <c r="F1192" s="13" t="s">
        <v>33</v>
      </c>
      <c r="G1192" s="13" t="s">
        <v>106</v>
      </c>
      <c r="H1192" s="13" t="s">
        <v>41</v>
      </c>
      <c r="I1192" s="13" t="n">
        <v>5</v>
      </c>
      <c r="J1192" s="13" t="n">
        <v>0</v>
      </c>
      <c r="K1192" s="13" t="s">
        <v>85</v>
      </c>
      <c r="L1192" s="13" t="n">
        <v>3</v>
      </c>
      <c r="M1192" s="13" t="n">
        <v>967094.76</v>
      </c>
      <c r="N1192" s="13" t="n">
        <v>322364.92</v>
      </c>
      <c r="O1192" s="13" t="n">
        <v>1090.77333333333</v>
      </c>
      <c r="P1192" s="13" t="n">
        <v>1</v>
      </c>
      <c r="Q1192" s="13" t="n">
        <v>2</v>
      </c>
      <c r="R1192" s="13" t="s">
        <v>86</v>
      </c>
      <c r="S1192" s="13" t="s">
        <v>135</v>
      </c>
      <c r="T1192" s="13" t="n">
        <v>1</v>
      </c>
      <c r="U1192" s="13" t="n">
        <f aca="false">IF(B1192="Individual",1,0)</f>
        <v>1</v>
      </c>
      <c r="V1192" s="13" t="n">
        <f aca="false">IF(B1192="Company",1,0)</f>
        <v>0</v>
      </c>
      <c r="W1192" s="13" t="n">
        <f aca="false">IF(H1192="Home",1,0)</f>
        <v>1</v>
      </c>
      <c r="X1192" s="13" t="n">
        <f aca="false">IF(H1192="Investment",1,0)</f>
        <v>0</v>
      </c>
      <c r="Y1192" s="13" t="n">
        <f aca="false">IF(K1192="Website",1,0)</f>
        <v>1</v>
      </c>
      <c r="Z1192" s="13" t="n">
        <f aca="false">IF(K1192="Agency",1,0)</f>
        <v>0</v>
      </c>
      <c r="AA1192" s="13" t="n">
        <f aca="false">IF(K1192="Client",1,0)</f>
        <v>0</v>
      </c>
      <c r="AB1192" s="13" t="n">
        <f aca="false">(D1192-AVERAGE(D$2:D$2001))/STDEV(D$2:D$2001)</f>
        <v>1.26067426433745</v>
      </c>
      <c r="AC1192" s="13" t="n">
        <f aca="false">(I1192-AVERAGE(I$2:I$2001))/STDEV(I$2:I$2001)</f>
        <v>1.39434968409451</v>
      </c>
      <c r="AD1192" s="13" t="n">
        <f aca="false">(L1192-AVERAGE(L$2:L$2001))/STDEV(L$2:L$2001)</f>
        <v>-0.777063122173208</v>
      </c>
      <c r="AE1192" s="13" t="n">
        <f aca="false">(M1192-AVERAGE(M$2:M$2001))/STDEV(M$2:M$2001)</f>
        <v>-0.843170973914779</v>
      </c>
      <c r="AF1192" s="13" t="n">
        <f aca="false">(N1192-AVERAGE(N$2:N$2001))/STDEV(N$2:N$2001)</f>
        <v>-0.354624064974864</v>
      </c>
      <c r="AG1192" s="13" t="n">
        <f aca="false">(O1192-AVERAGE(O$2:O$2001))/STDEV(O$2:O$2001)</f>
        <v>-0.257846797115491</v>
      </c>
      <c r="AH1192" s="0" t="str">
        <f aca="false">IF(B1192="Company","C3 - Corporate Buyers",IF(AND(H1192="Investment",M1192&gt;'Segmentation Summary'!$C$1),"C1 - Global Investors",IF(AND(I1192&gt;=4,M1192&gt;'Segmentation Summary'!$C$1),"C4 - Luxury Investors",IF(AND(D1192&lt;'Segmentation Summary'!$C$2,J1192=1),"C2 - First-Time Buyers","C5 - Other Individual Buyers"))))</f>
        <v>C5 - Other Individual Buyers</v>
      </c>
    </row>
    <row r="1193" customFormat="false" ht="15" hidden="false" customHeight="true" outlineLevel="0" collapsed="false">
      <c r="A1193" s="13" t="s">
        <v>2406</v>
      </c>
      <c r="B1193" s="13" t="s">
        <v>34</v>
      </c>
      <c r="C1193" s="13" t="s">
        <v>2407</v>
      </c>
      <c r="D1193" s="13" t="n">
        <v>28</v>
      </c>
      <c r="E1193" s="13" t="s">
        <v>90</v>
      </c>
      <c r="F1193" s="13" t="s">
        <v>37</v>
      </c>
      <c r="G1193" s="13" t="s">
        <v>572</v>
      </c>
      <c r="H1193" s="13" t="s">
        <v>41</v>
      </c>
      <c r="I1193" s="13" t="n">
        <v>5</v>
      </c>
      <c r="J1193" s="13" t="n">
        <v>1</v>
      </c>
      <c r="K1193" s="13" t="s">
        <v>85</v>
      </c>
      <c r="L1193" s="13" t="n">
        <v>4</v>
      </c>
      <c r="M1193" s="13" t="n">
        <v>1447927.02</v>
      </c>
      <c r="N1193" s="13" t="n">
        <v>361981.755</v>
      </c>
      <c r="O1193" s="13" t="n">
        <v>1167.105</v>
      </c>
      <c r="P1193" s="13" t="n">
        <v>0</v>
      </c>
      <c r="Q1193" s="13" t="n">
        <v>4</v>
      </c>
      <c r="R1193" s="13" t="s">
        <v>98</v>
      </c>
      <c r="S1193" s="13" t="s">
        <v>114</v>
      </c>
      <c r="T1193" s="13" t="n">
        <v>1</v>
      </c>
      <c r="U1193" s="13" t="n">
        <f aca="false">IF(B1193="Individual",1,0)</f>
        <v>1</v>
      </c>
      <c r="V1193" s="13" t="n">
        <f aca="false">IF(B1193="Company",1,0)</f>
        <v>0</v>
      </c>
      <c r="W1193" s="13" t="n">
        <f aca="false">IF(H1193="Home",1,0)</f>
        <v>1</v>
      </c>
      <c r="X1193" s="13" t="n">
        <f aca="false">IF(H1193="Investment",1,0)</f>
        <v>0</v>
      </c>
      <c r="Y1193" s="13" t="n">
        <f aca="false">IF(K1193="Website",1,0)</f>
        <v>1</v>
      </c>
      <c r="Z1193" s="13" t="n">
        <f aca="false">IF(K1193="Agency",1,0)</f>
        <v>0</v>
      </c>
      <c r="AA1193" s="13" t="n">
        <f aca="false">IF(K1193="Client",1,0)</f>
        <v>0</v>
      </c>
      <c r="AB1193" s="13" t="n">
        <f aca="false">(D1193-AVERAGE(D$2:D$2001))/STDEV(D$2:D$2001)</f>
        <v>-1.50712359909381</v>
      </c>
      <c r="AC1193" s="13" t="n">
        <f aca="false">(I1193-AVERAGE(I$2:I$2001))/STDEV(I$2:I$2001)</f>
        <v>1.39434968409451</v>
      </c>
      <c r="AD1193" s="13" t="n">
        <f aca="false">(L1193-AVERAGE(L$2:L$2001))/STDEV(L$2:L$2001)</f>
        <v>0.413838214490712</v>
      </c>
      <c r="AE1193" s="13" t="n">
        <f aca="false">(M1193-AVERAGE(M$2:M$2001))/STDEV(M$2:M$2001)</f>
        <v>0.539203579629848</v>
      </c>
      <c r="AF1193" s="13" t="n">
        <f aca="false">(N1193-AVERAGE(N$2:N$2001))/STDEV(N$2:N$2001)</f>
        <v>0.213588783876016</v>
      </c>
      <c r="AG1193" s="13" t="n">
        <f aca="false">(O1193-AVERAGE(O$2:O$2001))/STDEV(O$2:O$2001)</f>
        <v>0.0892374552199189</v>
      </c>
      <c r="AH1193" s="0" t="str">
        <f aca="false">IF(B1193="Company","C3 - Corporate Buyers",IF(AND(H1193="Investment",M1193&gt;'Segmentation Summary'!$C$1),"C1 - Global Investors",IF(AND(I1193&gt;=4,M1193&gt;'Segmentation Summary'!$C$1),"C4 - Luxury Investors",IF(AND(D1193&lt;'Segmentation Summary'!$C$2,J1193=1),"C2 - First-Time Buyers","C5 - Other Individual Buyers"))))</f>
        <v>C4 - Luxury Investors</v>
      </c>
    </row>
    <row r="1194" customFormat="false" ht="15" hidden="false" customHeight="true" outlineLevel="0" collapsed="false">
      <c r="A1194" s="13" t="s">
        <v>2408</v>
      </c>
      <c r="B1194" s="13" t="s">
        <v>34</v>
      </c>
      <c r="C1194" s="13" t="s">
        <v>2409</v>
      </c>
      <c r="D1194" s="13" t="n">
        <v>47</v>
      </c>
      <c r="E1194" s="13" t="s">
        <v>90</v>
      </c>
      <c r="F1194" s="13" t="s">
        <v>33</v>
      </c>
      <c r="G1194" s="13" t="s">
        <v>95</v>
      </c>
      <c r="H1194" s="13" t="s">
        <v>41</v>
      </c>
      <c r="I1194" s="13" t="n">
        <v>5</v>
      </c>
      <c r="J1194" s="13" t="n">
        <v>0</v>
      </c>
      <c r="K1194" s="13" t="s">
        <v>91</v>
      </c>
      <c r="L1194" s="13" t="n">
        <v>3</v>
      </c>
      <c r="M1194" s="13" t="n">
        <v>1109623.75</v>
      </c>
      <c r="N1194" s="13" t="n">
        <v>369874.583333333</v>
      </c>
      <c r="O1194" s="13" t="n">
        <v>1274.52</v>
      </c>
      <c r="P1194" s="13" t="n">
        <v>0</v>
      </c>
      <c r="Q1194" s="13" t="n">
        <v>3</v>
      </c>
      <c r="R1194" s="13" t="s">
        <v>121</v>
      </c>
      <c r="S1194" s="13" t="s">
        <v>141</v>
      </c>
      <c r="T1194" s="13" t="n">
        <v>1</v>
      </c>
      <c r="U1194" s="13" t="n">
        <f aca="false">IF(B1194="Individual",1,0)</f>
        <v>1</v>
      </c>
      <c r="V1194" s="13" t="n">
        <f aca="false">IF(B1194="Company",1,0)</f>
        <v>0</v>
      </c>
      <c r="W1194" s="13" t="n">
        <f aca="false">IF(H1194="Home",1,0)</f>
        <v>1</v>
      </c>
      <c r="X1194" s="13" t="n">
        <f aca="false">IF(H1194="Investment",1,0)</f>
        <v>0</v>
      </c>
      <c r="Y1194" s="13" t="n">
        <f aca="false">IF(K1194="Website",1,0)</f>
        <v>0</v>
      </c>
      <c r="Z1194" s="13" t="n">
        <f aca="false">IF(K1194="Agency",1,0)</f>
        <v>1</v>
      </c>
      <c r="AA1194" s="13" t="n">
        <f aca="false">IF(K1194="Client",1,0)</f>
        <v>0</v>
      </c>
      <c r="AB1194" s="13" t="n">
        <f aca="false">(D1194-AVERAGE(D$2:D$2001))/STDEV(D$2:D$2001)</f>
        <v>-0.411536944818935</v>
      </c>
      <c r="AC1194" s="13" t="n">
        <f aca="false">(I1194-AVERAGE(I$2:I$2001))/STDEV(I$2:I$2001)</f>
        <v>1.39434968409451</v>
      </c>
      <c r="AD1194" s="13" t="n">
        <f aca="false">(L1194-AVERAGE(L$2:L$2001))/STDEV(L$2:L$2001)</f>
        <v>-0.777063122173208</v>
      </c>
      <c r="AE1194" s="13" t="n">
        <f aca="false">(M1194-AVERAGE(M$2:M$2001))/STDEV(M$2:M$2001)</f>
        <v>-0.433405520743196</v>
      </c>
      <c r="AF1194" s="13" t="n">
        <f aca="false">(N1194-AVERAGE(N$2:N$2001))/STDEV(N$2:N$2001)</f>
        <v>0.326793346349875</v>
      </c>
      <c r="AG1194" s="13" t="n">
        <f aca="false">(O1194-AVERAGE(O$2:O$2001))/STDEV(O$2:O$2001)</f>
        <v>0.577659319862462</v>
      </c>
      <c r="AH1194" s="0" t="str">
        <f aca="false">IF(B1194="Company","C3 - Corporate Buyers",IF(AND(H1194="Investment",M1194&gt;'Segmentation Summary'!$C$1),"C1 - Global Investors",IF(AND(I1194&gt;=4,M1194&gt;'Segmentation Summary'!$C$1),"C4 - Luxury Investors",IF(AND(D1194&lt;'Segmentation Summary'!$C$2,J1194=1),"C2 - First-Time Buyers","C5 - Other Individual Buyers"))))</f>
        <v>C5 - Other Individual Buyers</v>
      </c>
    </row>
    <row r="1195" customFormat="false" ht="15" hidden="false" customHeight="true" outlineLevel="0" collapsed="false">
      <c r="A1195" s="13" t="s">
        <v>2410</v>
      </c>
      <c r="B1195" s="13" t="s">
        <v>34</v>
      </c>
      <c r="C1195" s="13" t="s">
        <v>2411</v>
      </c>
      <c r="D1195" s="13" t="n">
        <v>44</v>
      </c>
      <c r="E1195" s="13" t="s">
        <v>90</v>
      </c>
      <c r="F1195" s="13" t="s">
        <v>40</v>
      </c>
      <c r="G1195" s="13" t="s">
        <v>219</v>
      </c>
      <c r="H1195" s="13" t="s">
        <v>41</v>
      </c>
      <c r="I1195" s="13" t="n">
        <v>5</v>
      </c>
      <c r="J1195" s="13" t="n">
        <v>0</v>
      </c>
      <c r="K1195" s="13" t="s">
        <v>85</v>
      </c>
      <c r="L1195" s="13" t="n">
        <v>4</v>
      </c>
      <c r="M1195" s="13" t="n">
        <v>981810.08</v>
      </c>
      <c r="N1195" s="13" t="n">
        <v>245452.52</v>
      </c>
      <c r="O1195" s="13" t="n">
        <v>827.3575</v>
      </c>
      <c r="P1195" s="13" t="n">
        <v>0</v>
      </c>
      <c r="Q1195" s="13" t="n">
        <v>4</v>
      </c>
      <c r="R1195" s="13" t="s">
        <v>117</v>
      </c>
      <c r="S1195" s="13" t="s">
        <v>87</v>
      </c>
      <c r="T1195" s="13" t="n">
        <v>1</v>
      </c>
      <c r="U1195" s="13" t="n">
        <f aca="false">IF(B1195="Individual",1,0)</f>
        <v>1</v>
      </c>
      <c r="V1195" s="13" t="n">
        <f aca="false">IF(B1195="Company",1,0)</f>
        <v>0</v>
      </c>
      <c r="W1195" s="13" t="n">
        <f aca="false">IF(H1195="Home",1,0)</f>
        <v>1</v>
      </c>
      <c r="X1195" s="13" t="n">
        <f aca="false">IF(H1195="Investment",1,0)</f>
        <v>0</v>
      </c>
      <c r="Y1195" s="13" t="n">
        <f aca="false">IF(K1195="Website",1,0)</f>
        <v>1</v>
      </c>
      <c r="Z1195" s="13" t="n">
        <f aca="false">IF(K1195="Agency",1,0)</f>
        <v>0</v>
      </c>
      <c r="AA1195" s="13" t="n">
        <f aca="false">IF(K1195="Client",1,0)</f>
        <v>0</v>
      </c>
      <c r="AB1195" s="13" t="n">
        <f aca="false">(D1195-AVERAGE(D$2:D$2001))/STDEV(D$2:D$2001)</f>
        <v>-0.584524311283389</v>
      </c>
      <c r="AC1195" s="13" t="n">
        <f aca="false">(I1195-AVERAGE(I$2:I$2001))/STDEV(I$2:I$2001)</f>
        <v>1.39434968409451</v>
      </c>
      <c r="AD1195" s="13" t="n">
        <f aca="false">(L1195-AVERAGE(L$2:L$2001))/STDEV(L$2:L$2001)</f>
        <v>0.413838214490712</v>
      </c>
      <c r="AE1195" s="13" t="n">
        <f aca="false">(M1195-AVERAGE(M$2:M$2001))/STDEV(M$2:M$2001)</f>
        <v>-0.800864985719922</v>
      </c>
      <c r="AF1195" s="13" t="n">
        <f aca="false">(N1195-AVERAGE(N$2:N$2001))/STDEV(N$2:N$2001)</f>
        <v>-1.45775645593841</v>
      </c>
      <c r="AG1195" s="13" t="n">
        <f aca="false">(O1195-AVERAGE(O$2:O$2001))/STDEV(O$2:O$2001)</f>
        <v>-1.45561296099423</v>
      </c>
      <c r="AH1195" s="0" t="str">
        <f aca="false">IF(B1195="Company","C3 - Corporate Buyers",IF(AND(H1195="Investment",M1195&gt;'Segmentation Summary'!$C$1),"C1 - Global Investors",IF(AND(I1195&gt;=4,M1195&gt;'Segmentation Summary'!$C$1),"C4 - Luxury Investors",IF(AND(D1195&lt;'Segmentation Summary'!$C$2,J1195=1),"C2 - First-Time Buyers","C5 - Other Individual Buyers"))))</f>
        <v>C5 - Other Individual Buyers</v>
      </c>
    </row>
    <row r="1196" customFormat="false" ht="15" hidden="false" customHeight="true" outlineLevel="0" collapsed="false">
      <c r="A1196" s="13" t="s">
        <v>2412</v>
      </c>
      <c r="B1196" s="13" t="s">
        <v>34</v>
      </c>
      <c r="C1196" s="13" t="s">
        <v>2413</v>
      </c>
      <c r="D1196" s="13" t="n">
        <v>55</v>
      </c>
      <c r="E1196" s="13" t="s">
        <v>90</v>
      </c>
      <c r="F1196" s="13" t="s">
        <v>33</v>
      </c>
      <c r="G1196" s="13" t="s">
        <v>95</v>
      </c>
      <c r="H1196" s="13" t="s">
        <v>41</v>
      </c>
      <c r="I1196" s="13" t="n">
        <v>5</v>
      </c>
      <c r="J1196" s="13" t="n">
        <v>0</v>
      </c>
      <c r="K1196" s="13" t="s">
        <v>85</v>
      </c>
      <c r="L1196" s="13" t="n">
        <v>5</v>
      </c>
      <c r="M1196" s="13" t="n">
        <v>1476730.41</v>
      </c>
      <c r="N1196" s="13" t="n">
        <v>295346.082</v>
      </c>
      <c r="O1196" s="13" t="n">
        <v>1031.106</v>
      </c>
      <c r="P1196" s="13" t="n">
        <v>1</v>
      </c>
      <c r="Q1196" s="13" t="n">
        <v>4</v>
      </c>
      <c r="R1196" s="13" t="s">
        <v>98</v>
      </c>
      <c r="S1196" s="13" t="s">
        <v>112</v>
      </c>
      <c r="T1196" s="13" t="n">
        <v>1</v>
      </c>
      <c r="U1196" s="13" t="n">
        <f aca="false">IF(B1196="Individual",1,0)</f>
        <v>1</v>
      </c>
      <c r="V1196" s="13" t="n">
        <f aca="false">IF(B1196="Company",1,0)</f>
        <v>0</v>
      </c>
      <c r="W1196" s="13" t="n">
        <f aca="false">IF(H1196="Home",1,0)</f>
        <v>1</v>
      </c>
      <c r="X1196" s="13" t="n">
        <f aca="false">IF(H1196="Investment",1,0)</f>
        <v>0</v>
      </c>
      <c r="Y1196" s="13" t="n">
        <f aca="false">IF(K1196="Website",1,0)</f>
        <v>1</v>
      </c>
      <c r="Z1196" s="13" t="n">
        <f aca="false">IF(K1196="Agency",1,0)</f>
        <v>0</v>
      </c>
      <c r="AA1196" s="13" t="n">
        <f aca="false">IF(K1196="Client",1,0)</f>
        <v>0</v>
      </c>
      <c r="AB1196" s="13" t="n">
        <f aca="false">(D1196-AVERAGE(D$2:D$2001))/STDEV(D$2:D$2001)</f>
        <v>0.0497626990862745</v>
      </c>
      <c r="AC1196" s="13" t="n">
        <f aca="false">(I1196-AVERAGE(I$2:I$2001))/STDEV(I$2:I$2001)</f>
        <v>1.39434968409451</v>
      </c>
      <c r="AD1196" s="13" t="n">
        <f aca="false">(L1196-AVERAGE(L$2:L$2001))/STDEV(L$2:L$2001)</f>
        <v>1.60473955115463</v>
      </c>
      <c r="AE1196" s="13" t="n">
        <f aca="false">(M1196-AVERAGE(M$2:M$2001))/STDEV(M$2:M$2001)</f>
        <v>0.622012236003739</v>
      </c>
      <c r="AF1196" s="13" t="n">
        <f aca="false">(N1196-AVERAGE(N$2:N$2001))/STDEV(N$2:N$2001)</f>
        <v>-0.742147472955849</v>
      </c>
      <c r="AG1196" s="13" t="n">
        <f aca="false">(O1196-AVERAGE(O$2:O$2001))/STDEV(O$2:O$2001)</f>
        <v>-0.529157416720883</v>
      </c>
      <c r="AH1196" s="0" t="str">
        <f aca="false">IF(B1196="Company","C3 - Corporate Buyers",IF(AND(H1196="Investment",M1196&gt;'Segmentation Summary'!$C$1),"C1 - Global Investors",IF(AND(I1196&gt;=4,M1196&gt;'Segmentation Summary'!$C$1),"C4 - Luxury Investors",IF(AND(D1196&lt;'Segmentation Summary'!$C$2,J1196=1),"C2 - First-Time Buyers","C5 - Other Individual Buyers"))))</f>
        <v>C4 - Luxury Investors</v>
      </c>
    </row>
    <row r="1197" customFormat="false" ht="15" hidden="false" customHeight="true" outlineLevel="0" collapsed="false">
      <c r="A1197" s="13" t="s">
        <v>2414</v>
      </c>
      <c r="B1197" s="13" t="s">
        <v>34</v>
      </c>
      <c r="C1197" s="13" t="s">
        <v>2415</v>
      </c>
      <c r="D1197" s="13" t="n">
        <v>77</v>
      </c>
      <c r="E1197" s="13" t="s">
        <v>90</v>
      </c>
      <c r="F1197" s="13" t="s">
        <v>33</v>
      </c>
      <c r="G1197" s="13" t="s">
        <v>120</v>
      </c>
      <c r="H1197" s="13" t="s">
        <v>41</v>
      </c>
      <c r="I1197" s="13" t="n">
        <v>4</v>
      </c>
      <c r="J1197" s="13" t="n">
        <v>1</v>
      </c>
      <c r="K1197" s="13" t="s">
        <v>85</v>
      </c>
      <c r="L1197" s="13" t="n">
        <v>5</v>
      </c>
      <c r="M1197" s="13" t="n">
        <v>1521570.62</v>
      </c>
      <c r="N1197" s="13" t="n">
        <v>304314.124</v>
      </c>
      <c r="O1197" s="13" t="n">
        <v>1039.274</v>
      </c>
      <c r="P1197" s="13" t="n">
        <v>1</v>
      </c>
      <c r="Q1197" s="13" t="n">
        <v>4</v>
      </c>
      <c r="R1197" s="13" t="s">
        <v>86</v>
      </c>
      <c r="S1197" s="13" t="s">
        <v>154</v>
      </c>
      <c r="T1197" s="13" t="n">
        <v>1</v>
      </c>
      <c r="U1197" s="13" t="n">
        <f aca="false">IF(B1197="Individual",1,0)</f>
        <v>1</v>
      </c>
      <c r="V1197" s="13" t="n">
        <f aca="false">IF(B1197="Company",1,0)</f>
        <v>0</v>
      </c>
      <c r="W1197" s="13" t="n">
        <f aca="false">IF(H1197="Home",1,0)</f>
        <v>1</v>
      </c>
      <c r="X1197" s="13" t="n">
        <f aca="false">IF(H1197="Investment",1,0)</f>
        <v>0</v>
      </c>
      <c r="Y1197" s="13" t="n">
        <f aca="false">IF(K1197="Website",1,0)</f>
        <v>1</v>
      </c>
      <c r="Z1197" s="13" t="n">
        <f aca="false">IF(K1197="Agency",1,0)</f>
        <v>0</v>
      </c>
      <c r="AA1197" s="13" t="n">
        <f aca="false">IF(K1197="Client",1,0)</f>
        <v>0</v>
      </c>
      <c r="AB1197" s="13" t="n">
        <f aca="false">(D1197-AVERAGE(D$2:D$2001))/STDEV(D$2:D$2001)</f>
        <v>1.3183367198256</v>
      </c>
      <c r="AC1197" s="13" t="n">
        <f aca="false">(I1197-AVERAGE(I$2:I$2001))/STDEV(I$2:I$2001)</f>
        <v>0.686917069130275</v>
      </c>
      <c r="AD1197" s="13" t="n">
        <f aca="false">(L1197-AVERAGE(L$2:L$2001))/STDEV(L$2:L$2001)</f>
        <v>1.60473955115463</v>
      </c>
      <c r="AE1197" s="13" t="n">
        <f aca="false">(M1197-AVERAGE(M$2:M$2001))/STDEV(M$2:M$2001)</f>
        <v>0.750926143068955</v>
      </c>
      <c r="AF1197" s="13" t="n">
        <f aca="false">(N1197-AVERAGE(N$2:N$2001))/STDEV(N$2:N$2001)</f>
        <v>-0.613521430682802</v>
      </c>
      <c r="AG1197" s="13" t="n">
        <f aca="false">(O1197-AVERAGE(O$2:O$2001))/STDEV(O$2:O$2001)</f>
        <v>-0.492017075144751</v>
      </c>
      <c r="AH1197" s="0" t="str">
        <f aca="false">IF(B1197="Company","C3 - Corporate Buyers",IF(AND(H1197="Investment",M1197&gt;'Segmentation Summary'!$C$1),"C1 - Global Investors",IF(AND(I1197&gt;=4,M1197&gt;'Segmentation Summary'!$C$1),"C4 - Luxury Investors",IF(AND(D1197&lt;'Segmentation Summary'!$C$2,J1197=1),"C2 - First-Time Buyers","C5 - Other Individual Buyers"))))</f>
        <v>C4 - Luxury Investors</v>
      </c>
    </row>
    <row r="1198" customFormat="false" ht="15" hidden="false" customHeight="true" outlineLevel="0" collapsed="false">
      <c r="A1198" s="13" t="s">
        <v>2416</v>
      </c>
      <c r="B1198" s="13" t="s">
        <v>34</v>
      </c>
      <c r="C1198" s="13" t="s">
        <v>2417</v>
      </c>
      <c r="D1198" s="13" t="n">
        <v>92</v>
      </c>
      <c r="E1198" s="13" t="s">
        <v>90</v>
      </c>
      <c r="F1198" s="13" t="s">
        <v>46</v>
      </c>
      <c r="G1198" s="13" t="s">
        <v>214</v>
      </c>
      <c r="H1198" s="13" t="s">
        <v>43</v>
      </c>
      <c r="I1198" s="13" t="n">
        <v>3</v>
      </c>
      <c r="J1198" s="13" t="n">
        <v>0</v>
      </c>
      <c r="K1198" s="13" t="s">
        <v>85</v>
      </c>
      <c r="L1198" s="13" t="n">
        <v>5</v>
      </c>
      <c r="M1198" s="13" t="n">
        <v>1761669.87</v>
      </c>
      <c r="N1198" s="13" t="n">
        <v>352333.974</v>
      </c>
      <c r="O1198" s="13" t="n">
        <v>1095.602</v>
      </c>
      <c r="P1198" s="13" t="n">
        <v>0</v>
      </c>
      <c r="Q1198" s="13" t="n">
        <v>5</v>
      </c>
      <c r="R1198" s="13" t="s">
        <v>101</v>
      </c>
      <c r="S1198" s="13" t="s">
        <v>87</v>
      </c>
      <c r="T1198" s="13" t="n">
        <v>1</v>
      </c>
      <c r="U1198" s="13" t="n">
        <f aca="false">IF(B1198="Individual",1,0)</f>
        <v>1</v>
      </c>
      <c r="V1198" s="13" t="n">
        <f aca="false">IF(B1198="Company",1,0)</f>
        <v>0</v>
      </c>
      <c r="W1198" s="13" t="n">
        <f aca="false">IF(H1198="Home",1,0)</f>
        <v>0</v>
      </c>
      <c r="X1198" s="13" t="n">
        <f aca="false">IF(H1198="Investment",1,0)</f>
        <v>1</v>
      </c>
      <c r="Y1198" s="13" t="n">
        <f aca="false">IF(K1198="Website",1,0)</f>
        <v>1</v>
      </c>
      <c r="Z1198" s="13" t="n">
        <f aca="false">IF(K1198="Agency",1,0)</f>
        <v>0</v>
      </c>
      <c r="AA1198" s="13" t="n">
        <f aca="false">IF(K1198="Client",1,0)</f>
        <v>0</v>
      </c>
      <c r="AB1198" s="13" t="n">
        <f aca="false">(D1198-AVERAGE(D$2:D$2001))/STDEV(D$2:D$2001)</f>
        <v>2.18327355214787</v>
      </c>
      <c r="AC1198" s="13" t="n">
        <f aca="false">(I1198-AVERAGE(I$2:I$2001))/STDEV(I$2:I$2001)</f>
        <v>-0.0205155458339628</v>
      </c>
      <c r="AD1198" s="13" t="n">
        <f aca="false">(L1198-AVERAGE(L$2:L$2001))/STDEV(L$2:L$2001)</f>
        <v>1.60473955115463</v>
      </c>
      <c r="AE1198" s="13" t="n">
        <f aca="false">(M1198-AVERAGE(M$2:M$2001))/STDEV(M$2:M$2001)</f>
        <v>1.44120240183152</v>
      </c>
      <c r="AF1198" s="13" t="n">
        <f aca="false">(N1198-AVERAGE(N$2:N$2001))/STDEV(N$2:N$2001)</f>
        <v>0.0752134409921282</v>
      </c>
      <c r="AG1198" s="13" t="n">
        <f aca="false">(O1198-AVERAGE(O$2:O$2001))/STDEV(O$2:O$2001)</f>
        <v>-0.235890586371439</v>
      </c>
      <c r="AH1198" s="0" t="str">
        <f aca="false">IF(B1198="Company","C3 - Corporate Buyers",IF(AND(H1198="Investment",M1198&gt;'Segmentation Summary'!$C$1),"C1 - Global Investors",IF(AND(I1198&gt;=4,M1198&gt;'Segmentation Summary'!$C$1),"C4 - Luxury Investors",IF(AND(D1198&lt;'Segmentation Summary'!$C$2,J1198=1),"C2 - First-Time Buyers","C5 - Other Individual Buyers"))))</f>
        <v>C1 - Global Investors</v>
      </c>
    </row>
    <row r="1199" customFormat="false" ht="15" hidden="false" customHeight="true" outlineLevel="0" collapsed="false">
      <c r="A1199" s="13" t="s">
        <v>2418</v>
      </c>
      <c r="B1199" s="13" t="s">
        <v>34</v>
      </c>
      <c r="C1199" s="13" t="s">
        <v>2419</v>
      </c>
      <c r="D1199" s="13" t="n">
        <v>61</v>
      </c>
      <c r="E1199" s="13" t="s">
        <v>83</v>
      </c>
      <c r="F1199" s="13" t="s">
        <v>33</v>
      </c>
      <c r="G1199" s="13" t="s">
        <v>100</v>
      </c>
      <c r="H1199" s="13" t="s">
        <v>41</v>
      </c>
      <c r="I1199" s="13" t="n">
        <v>1</v>
      </c>
      <c r="J1199" s="13" t="n">
        <v>0</v>
      </c>
      <c r="K1199" s="13" t="s">
        <v>85</v>
      </c>
      <c r="L1199" s="13" t="n">
        <v>3</v>
      </c>
      <c r="M1199" s="13" t="n">
        <v>1025127.71</v>
      </c>
      <c r="N1199" s="13" t="n">
        <v>341709.236666667</v>
      </c>
      <c r="O1199" s="13" t="n">
        <v>1089.46</v>
      </c>
      <c r="P1199" s="13" t="n">
        <v>1</v>
      </c>
      <c r="Q1199" s="13" t="n">
        <v>2</v>
      </c>
      <c r="R1199" s="13" t="s">
        <v>98</v>
      </c>
      <c r="S1199" s="13" t="s">
        <v>111</v>
      </c>
      <c r="T1199" s="13" t="n">
        <v>1</v>
      </c>
      <c r="U1199" s="13" t="n">
        <f aca="false">IF(B1199="Individual",1,0)</f>
        <v>1</v>
      </c>
      <c r="V1199" s="13" t="n">
        <f aca="false">IF(B1199="Company",1,0)</f>
        <v>0</v>
      </c>
      <c r="W1199" s="13" t="n">
        <f aca="false">IF(H1199="Home",1,0)</f>
        <v>1</v>
      </c>
      <c r="X1199" s="13" t="n">
        <f aca="false">IF(H1199="Investment",1,0)</f>
        <v>0</v>
      </c>
      <c r="Y1199" s="13" t="n">
        <f aca="false">IF(K1199="Website",1,0)</f>
        <v>1</v>
      </c>
      <c r="Z1199" s="13" t="n">
        <f aca="false">IF(K1199="Agency",1,0)</f>
        <v>0</v>
      </c>
      <c r="AA1199" s="13" t="n">
        <f aca="false">IF(K1199="Client",1,0)</f>
        <v>0</v>
      </c>
      <c r="AB1199" s="13" t="n">
        <f aca="false">(D1199-AVERAGE(D$2:D$2001))/STDEV(D$2:D$2001)</f>
        <v>0.395737432015182</v>
      </c>
      <c r="AC1199" s="13" t="n">
        <f aca="false">(I1199-AVERAGE(I$2:I$2001))/STDEV(I$2:I$2001)</f>
        <v>-1.43538077576244</v>
      </c>
      <c r="AD1199" s="13" t="n">
        <f aca="false">(L1199-AVERAGE(L$2:L$2001))/STDEV(L$2:L$2001)</f>
        <v>-0.777063122173208</v>
      </c>
      <c r="AE1199" s="13" t="n">
        <f aca="false">(M1199-AVERAGE(M$2:M$2001))/STDEV(M$2:M$2001)</f>
        <v>-0.676328438542615</v>
      </c>
      <c r="AF1199" s="13" t="n">
        <f aca="false">(N1199-AVERAGE(N$2:N$2001))/STDEV(N$2:N$2001)</f>
        <v>-0.0771741050716964</v>
      </c>
      <c r="AG1199" s="13" t="n">
        <f aca="false">(O1199-AVERAGE(O$2:O$2001))/STDEV(O$2:O$2001)</f>
        <v>-0.263818595426362</v>
      </c>
      <c r="AH1199" s="0" t="str">
        <f aca="false">IF(B1199="Company","C3 - Corporate Buyers",IF(AND(H1199="Investment",M1199&gt;'Segmentation Summary'!$C$1),"C1 - Global Investors",IF(AND(I1199&gt;=4,M1199&gt;'Segmentation Summary'!$C$1),"C4 - Luxury Investors",IF(AND(D1199&lt;'Segmentation Summary'!$C$2,J1199=1),"C2 - First-Time Buyers","C5 - Other Individual Buyers"))))</f>
        <v>C5 - Other Individual Buyers</v>
      </c>
    </row>
    <row r="1200" customFormat="false" ht="15" hidden="false" customHeight="true" outlineLevel="0" collapsed="false">
      <c r="A1200" s="13" t="s">
        <v>2420</v>
      </c>
      <c r="B1200" s="13" t="s">
        <v>34</v>
      </c>
      <c r="C1200" s="13" t="s">
        <v>2421</v>
      </c>
      <c r="D1200" s="13" t="n">
        <v>61</v>
      </c>
      <c r="E1200" s="13" t="s">
        <v>83</v>
      </c>
      <c r="F1200" s="13" t="s">
        <v>33</v>
      </c>
      <c r="G1200" s="13" t="s">
        <v>110</v>
      </c>
      <c r="H1200" s="13" t="s">
        <v>43</v>
      </c>
      <c r="I1200" s="13" t="n">
        <v>5</v>
      </c>
      <c r="J1200" s="13" t="n">
        <v>0</v>
      </c>
      <c r="K1200" s="13" t="s">
        <v>91</v>
      </c>
      <c r="L1200" s="13" t="n">
        <v>4</v>
      </c>
      <c r="M1200" s="13" t="n">
        <v>1548824.23</v>
      </c>
      <c r="N1200" s="13" t="n">
        <v>387206.0575</v>
      </c>
      <c r="O1200" s="13" t="n">
        <v>1170.135</v>
      </c>
      <c r="P1200" s="13" t="n">
        <v>0</v>
      </c>
      <c r="Q1200" s="13" t="n">
        <v>4</v>
      </c>
      <c r="R1200" s="13" t="s">
        <v>101</v>
      </c>
      <c r="S1200" s="13" t="s">
        <v>87</v>
      </c>
      <c r="T1200" s="13" t="n">
        <v>1</v>
      </c>
      <c r="U1200" s="13" t="n">
        <f aca="false">IF(B1200="Individual",1,0)</f>
        <v>1</v>
      </c>
      <c r="V1200" s="13" t="n">
        <f aca="false">IF(B1200="Company",1,0)</f>
        <v>0</v>
      </c>
      <c r="W1200" s="13" t="n">
        <f aca="false">IF(H1200="Home",1,0)</f>
        <v>0</v>
      </c>
      <c r="X1200" s="13" t="n">
        <f aca="false">IF(H1200="Investment",1,0)</f>
        <v>1</v>
      </c>
      <c r="Y1200" s="13" t="n">
        <f aca="false">IF(K1200="Website",1,0)</f>
        <v>0</v>
      </c>
      <c r="Z1200" s="13" t="n">
        <f aca="false">IF(K1200="Agency",1,0)</f>
        <v>1</v>
      </c>
      <c r="AA1200" s="13" t="n">
        <f aca="false">IF(K1200="Client",1,0)</f>
        <v>0</v>
      </c>
      <c r="AB1200" s="13" t="n">
        <f aca="false">(D1200-AVERAGE(D$2:D$2001))/STDEV(D$2:D$2001)</f>
        <v>0.395737432015182</v>
      </c>
      <c r="AC1200" s="13" t="n">
        <f aca="false">(I1200-AVERAGE(I$2:I$2001))/STDEV(I$2:I$2001)</f>
        <v>1.39434968409451</v>
      </c>
      <c r="AD1200" s="13" t="n">
        <f aca="false">(L1200-AVERAGE(L$2:L$2001))/STDEV(L$2:L$2001)</f>
        <v>0.413838214490712</v>
      </c>
      <c r="AE1200" s="13" t="n">
        <f aca="false">(M1200-AVERAGE(M$2:M$2001))/STDEV(M$2:M$2001)</f>
        <v>0.829279240584145</v>
      </c>
      <c r="AF1200" s="13" t="n">
        <f aca="false">(N1200-AVERAGE(N$2:N$2001))/STDEV(N$2:N$2001)</f>
        <v>0.575373686274235</v>
      </c>
      <c r="AG1200" s="13" t="n">
        <f aca="false">(O1200-AVERAGE(O$2:O$2001))/STDEV(O$2:O$2001)</f>
        <v>0.103015030510771</v>
      </c>
      <c r="AH1200" s="0" t="str">
        <f aca="false">IF(B1200="Company","C3 - Corporate Buyers",IF(AND(H1200="Investment",M1200&gt;'Segmentation Summary'!$C$1),"C1 - Global Investors",IF(AND(I1200&gt;=4,M1200&gt;'Segmentation Summary'!$C$1),"C4 - Luxury Investors",IF(AND(D1200&lt;'Segmentation Summary'!$C$2,J1200=1),"C2 - First-Time Buyers","C5 - Other Individual Buyers"))))</f>
        <v>C1 - Global Investors</v>
      </c>
    </row>
    <row r="1201" customFormat="false" ht="15" hidden="false" customHeight="true" outlineLevel="0" collapsed="false">
      <c r="A1201" s="13" t="s">
        <v>2422</v>
      </c>
      <c r="B1201" s="13" t="s">
        <v>34</v>
      </c>
      <c r="C1201" s="13" t="s">
        <v>2423</v>
      </c>
      <c r="D1201" s="13" t="n">
        <v>41</v>
      </c>
      <c r="E1201" s="13" t="s">
        <v>83</v>
      </c>
      <c r="F1201" s="13" t="s">
        <v>33</v>
      </c>
      <c r="G1201" s="13" t="s">
        <v>95</v>
      </c>
      <c r="H1201" s="13" t="s">
        <v>41</v>
      </c>
      <c r="I1201" s="13" t="n">
        <v>4</v>
      </c>
      <c r="J1201" s="13" t="n">
        <v>0</v>
      </c>
      <c r="K1201" s="13" t="s">
        <v>85</v>
      </c>
      <c r="L1201" s="13" t="n">
        <v>3</v>
      </c>
      <c r="M1201" s="13" t="n">
        <v>1420135.32</v>
      </c>
      <c r="N1201" s="13" t="n">
        <v>473378.44</v>
      </c>
      <c r="O1201" s="13" t="n">
        <v>1452.26333333333</v>
      </c>
      <c r="P1201" s="13" t="n">
        <v>2</v>
      </c>
      <c r="Q1201" s="13" t="n">
        <v>1</v>
      </c>
      <c r="R1201" s="13" t="s">
        <v>98</v>
      </c>
      <c r="S1201" s="13" t="s">
        <v>107</v>
      </c>
      <c r="T1201" s="13" t="n">
        <v>1</v>
      </c>
      <c r="U1201" s="13" t="n">
        <f aca="false">IF(B1201="Individual",1,0)</f>
        <v>1</v>
      </c>
      <c r="V1201" s="13" t="n">
        <f aca="false">IF(B1201="Company",1,0)</f>
        <v>0</v>
      </c>
      <c r="W1201" s="13" t="n">
        <f aca="false">IF(H1201="Home",1,0)</f>
        <v>1</v>
      </c>
      <c r="X1201" s="13" t="n">
        <f aca="false">IF(H1201="Investment",1,0)</f>
        <v>0</v>
      </c>
      <c r="Y1201" s="13" t="n">
        <f aca="false">IF(K1201="Website",1,0)</f>
        <v>1</v>
      </c>
      <c r="Z1201" s="13" t="n">
        <f aca="false">IF(K1201="Agency",1,0)</f>
        <v>0</v>
      </c>
      <c r="AA1201" s="13" t="n">
        <f aca="false">IF(K1201="Client",1,0)</f>
        <v>0</v>
      </c>
      <c r="AB1201" s="13" t="n">
        <f aca="false">(D1201-AVERAGE(D$2:D$2001))/STDEV(D$2:D$2001)</f>
        <v>-0.757511677747842</v>
      </c>
      <c r="AC1201" s="13" t="n">
        <f aca="false">(I1201-AVERAGE(I$2:I$2001))/STDEV(I$2:I$2001)</f>
        <v>0.686917069130275</v>
      </c>
      <c r="AD1201" s="13" t="n">
        <f aca="false">(L1201-AVERAGE(L$2:L$2001))/STDEV(L$2:L$2001)</f>
        <v>-0.777063122173208</v>
      </c>
      <c r="AE1201" s="13" t="n">
        <f aca="false">(M1201-AVERAGE(M$2:M$2001))/STDEV(M$2:M$2001)</f>
        <v>0.459303493725158</v>
      </c>
      <c r="AF1201" s="13" t="n">
        <f aca="false">(N1201-AVERAGE(N$2:N$2001))/STDEV(N$2:N$2001)</f>
        <v>1.81131933797995</v>
      </c>
      <c r="AG1201" s="13" t="n">
        <f aca="false">(O1201-AVERAGE(O$2:O$2001))/STDEV(O$2:O$2001)</f>
        <v>1.38586795268326</v>
      </c>
      <c r="AH1201" s="0" t="str">
        <f aca="false">IF(B1201="Company","C3 - Corporate Buyers",IF(AND(H1201="Investment",M1201&gt;'Segmentation Summary'!$C$1),"C1 - Global Investors",IF(AND(I1201&gt;=4,M1201&gt;'Segmentation Summary'!$C$1),"C4 - Luxury Investors",IF(AND(D1201&lt;'Segmentation Summary'!$C$2,J1201=1),"C2 - First-Time Buyers","C5 - Other Individual Buyers"))))</f>
        <v>C4 - Luxury Investors</v>
      </c>
    </row>
    <row r="1202" customFormat="false" ht="15" hidden="false" customHeight="true" outlineLevel="0" collapsed="false">
      <c r="A1202" s="13" t="s">
        <v>2424</v>
      </c>
      <c r="B1202" s="13" t="s">
        <v>34</v>
      </c>
      <c r="C1202" s="13" t="s">
        <v>2425</v>
      </c>
      <c r="D1202" s="13" t="n">
        <v>28</v>
      </c>
      <c r="E1202" s="13" t="s">
        <v>83</v>
      </c>
      <c r="F1202" s="13" t="s">
        <v>33</v>
      </c>
      <c r="G1202" s="13" t="s">
        <v>106</v>
      </c>
      <c r="H1202" s="13" t="s">
        <v>41</v>
      </c>
      <c r="I1202" s="13" t="n">
        <v>5</v>
      </c>
      <c r="J1202" s="13" t="n">
        <v>1</v>
      </c>
      <c r="K1202" s="13" t="s">
        <v>116</v>
      </c>
      <c r="L1202" s="13" t="n">
        <v>4</v>
      </c>
      <c r="M1202" s="13" t="n">
        <v>1082477.82</v>
      </c>
      <c r="N1202" s="13" t="n">
        <v>270619.455</v>
      </c>
      <c r="O1202" s="13" t="n">
        <v>928.745</v>
      </c>
      <c r="P1202" s="13" t="n">
        <v>2</v>
      </c>
      <c r="Q1202" s="13" t="n">
        <v>2</v>
      </c>
      <c r="R1202" s="13" t="s">
        <v>128</v>
      </c>
      <c r="S1202" s="13" t="s">
        <v>125</v>
      </c>
      <c r="T1202" s="13" t="n">
        <v>1</v>
      </c>
      <c r="U1202" s="13" t="n">
        <f aca="false">IF(B1202="Individual",1,0)</f>
        <v>1</v>
      </c>
      <c r="V1202" s="13" t="n">
        <f aca="false">IF(B1202="Company",1,0)</f>
        <v>0</v>
      </c>
      <c r="W1202" s="13" t="n">
        <f aca="false">IF(H1202="Home",1,0)</f>
        <v>1</v>
      </c>
      <c r="X1202" s="13" t="n">
        <f aca="false">IF(H1202="Investment",1,0)</f>
        <v>0</v>
      </c>
      <c r="Y1202" s="13" t="n">
        <f aca="false">IF(K1202="Website",1,0)</f>
        <v>0</v>
      </c>
      <c r="Z1202" s="13" t="n">
        <f aca="false">IF(K1202="Agency",1,0)</f>
        <v>0</v>
      </c>
      <c r="AA1202" s="13" t="n">
        <f aca="false">IF(K1202="Client",1,0)</f>
        <v>1</v>
      </c>
      <c r="AB1202" s="13" t="n">
        <f aca="false">(D1202-AVERAGE(D$2:D$2001))/STDEV(D$2:D$2001)</f>
        <v>-1.50712359909381</v>
      </c>
      <c r="AC1202" s="13" t="n">
        <f aca="false">(I1202-AVERAGE(I$2:I$2001))/STDEV(I$2:I$2001)</f>
        <v>1.39434968409451</v>
      </c>
      <c r="AD1202" s="13" t="n">
        <f aca="false">(L1202-AVERAGE(L$2:L$2001))/STDEV(L$2:L$2001)</f>
        <v>0.413838214490712</v>
      </c>
      <c r="AE1202" s="13" t="n">
        <f aca="false">(M1202-AVERAGE(M$2:M$2001))/STDEV(M$2:M$2001)</f>
        <v>-0.511449042332832</v>
      </c>
      <c r="AF1202" s="13" t="n">
        <f aca="false">(N1202-AVERAGE(N$2:N$2001))/STDEV(N$2:N$2001)</f>
        <v>-1.0967943590623</v>
      </c>
      <c r="AG1202" s="13" t="n">
        <f aca="false">(O1202-AVERAGE(O$2:O$2001))/STDEV(O$2:O$2001)</f>
        <v>-0.994598467660467</v>
      </c>
      <c r="AH1202" s="0" t="str">
        <f aca="false">IF(B1202="Company","C3 - Corporate Buyers",IF(AND(H1202="Investment",M1202&gt;'Segmentation Summary'!$C$1),"C1 - Global Investors",IF(AND(I1202&gt;=4,M1202&gt;'Segmentation Summary'!$C$1),"C4 - Luxury Investors",IF(AND(D1202&lt;'Segmentation Summary'!$C$2,J1202=1),"C2 - First-Time Buyers","C5 - Other Individual Buyers"))))</f>
        <v>C2 - First-Time Buyers</v>
      </c>
    </row>
    <row r="1203" customFormat="false" ht="15" hidden="false" customHeight="true" outlineLevel="0" collapsed="false">
      <c r="A1203" s="13" t="s">
        <v>2426</v>
      </c>
      <c r="B1203" s="13" t="s">
        <v>34</v>
      </c>
      <c r="C1203" s="13" t="s">
        <v>2427</v>
      </c>
      <c r="D1203" s="13" t="n">
        <v>50</v>
      </c>
      <c r="E1203" s="13" t="s">
        <v>83</v>
      </c>
      <c r="F1203" s="13" t="s">
        <v>33</v>
      </c>
      <c r="G1203" s="13" t="s">
        <v>95</v>
      </c>
      <c r="H1203" s="13" t="s">
        <v>41</v>
      </c>
      <c r="I1203" s="13" t="n">
        <v>5</v>
      </c>
      <c r="J1203" s="13" t="n">
        <v>0</v>
      </c>
      <c r="K1203" s="13" t="s">
        <v>116</v>
      </c>
      <c r="L1203" s="13" t="n">
        <v>4</v>
      </c>
      <c r="M1203" s="13" t="n">
        <v>1055948.97</v>
      </c>
      <c r="N1203" s="13" t="n">
        <v>263987.2425</v>
      </c>
      <c r="O1203" s="13" t="n">
        <v>967</v>
      </c>
      <c r="P1203" s="13" t="n">
        <v>0</v>
      </c>
      <c r="Q1203" s="13" t="n">
        <v>4</v>
      </c>
      <c r="R1203" s="13" t="s">
        <v>92</v>
      </c>
      <c r="S1203" s="13" t="s">
        <v>128</v>
      </c>
      <c r="T1203" s="13" t="n">
        <v>1</v>
      </c>
      <c r="U1203" s="13" t="n">
        <f aca="false">IF(B1203="Individual",1,0)</f>
        <v>1</v>
      </c>
      <c r="V1203" s="13" t="n">
        <f aca="false">IF(B1203="Company",1,0)</f>
        <v>0</v>
      </c>
      <c r="W1203" s="13" t="n">
        <f aca="false">IF(H1203="Home",1,0)</f>
        <v>1</v>
      </c>
      <c r="X1203" s="13" t="n">
        <f aca="false">IF(H1203="Investment",1,0)</f>
        <v>0</v>
      </c>
      <c r="Y1203" s="13" t="n">
        <f aca="false">IF(K1203="Website",1,0)</f>
        <v>0</v>
      </c>
      <c r="Z1203" s="13" t="n">
        <f aca="false">IF(K1203="Agency",1,0)</f>
        <v>0</v>
      </c>
      <c r="AA1203" s="13" t="n">
        <f aca="false">IF(K1203="Client",1,0)</f>
        <v>1</v>
      </c>
      <c r="AB1203" s="13" t="n">
        <f aca="false">(D1203-AVERAGE(D$2:D$2001))/STDEV(D$2:D$2001)</f>
        <v>-0.238549578354482</v>
      </c>
      <c r="AC1203" s="13" t="n">
        <f aca="false">(I1203-AVERAGE(I$2:I$2001))/STDEV(I$2:I$2001)</f>
        <v>1.39434968409451</v>
      </c>
      <c r="AD1203" s="13" t="n">
        <f aca="false">(L1203-AVERAGE(L$2:L$2001))/STDEV(L$2:L$2001)</f>
        <v>0.413838214490712</v>
      </c>
      <c r="AE1203" s="13" t="n">
        <f aca="false">(M1203-AVERAGE(M$2:M$2001))/STDEV(M$2:M$2001)</f>
        <v>-0.58771848227183</v>
      </c>
      <c r="AF1203" s="13" t="n">
        <f aca="false">(N1203-AVERAGE(N$2:N$2001))/STDEV(N$2:N$2001)</f>
        <v>-1.19191827188394</v>
      </c>
      <c r="AG1203" s="13" t="n">
        <f aca="false">(O1203-AVERAGE(O$2:O$2001))/STDEV(O$2:O$2001)</f>
        <v>-0.820650895795267</v>
      </c>
      <c r="AH1203" s="0" t="str">
        <f aca="false">IF(B1203="Company","C3 - Corporate Buyers",IF(AND(H1203="Investment",M1203&gt;'Segmentation Summary'!$C$1),"C1 - Global Investors",IF(AND(I1203&gt;=4,M1203&gt;'Segmentation Summary'!$C$1),"C4 - Luxury Investors",IF(AND(D1203&lt;'Segmentation Summary'!$C$2,J1203=1),"C2 - First-Time Buyers","C5 - Other Individual Buyers"))))</f>
        <v>C5 - Other Individual Buyers</v>
      </c>
    </row>
    <row r="1204" customFormat="false" ht="15" hidden="false" customHeight="true" outlineLevel="0" collapsed="false">
      <c r="A1204" s="13" t="s">
        <v>2428</v>
      </c>
      <c r="B1204" s="13" t="s">
        <v>34</v>
      </c>
      <c r="C1204" s="13" t="s">
        <v>2429</v>
      </c>
      <c r="D1204" s="13" t="n">
        <v>74</v>
      </c>
      <c r="E1204" s="13" t="s">
        <v>83</v>
      </c>
      <c r="F1204" s="13" t="s">
        <v>33</v>
      </c>
      <c r="G1204" s="13" t="s">
        <v>84</v>
      </c>
      <c r="H1204" s="13" t="s">
        <v>41</v>
      </c>
      <c r="I1204" s="13" t="n">
        <v>5</v>
      </c>
      <c r="J1204" s="13" t="n">
        <v>1</v>
      </c>
      <c r="K1204" s="13" t="s">
        <v>91</v>
      </c>
      <c r="L1204" s="13" t="n">
        <v>4</v>
      </c>
      <c r="M1204" s="13" t="n">
        <v>968686.85</v>
      </c>
      <c r="N1204" s="13" t="n">
        <v>242171.7125</v>
      </c>
      <c r="O1204" s="13" t="n">
        <v>809.6575</v>
      </c>
      <c r="P1204" s="13" t="n">
        <v>1</v>
      </c>
      <c r="Q1204" s="13" t="n">
        <v>3</v>
      </c>
      <c r="R1204" s="13" t="s">
        <v>117</v>
      </c>
      <c r="S1204" s="13" t="s">
        <v>154</v>
      </c>
      <c r="T1204" s="13" t="n">
        <v>1</v>
      </c>
      <c r="U1204" s="13" t="n">
        <f aca="false">IF(B1204="Individual",1,0)</f>
        <v>1</v>
      </c>
      <c r="V1204" s="13" t="n">
        <f aca="false">IF(B1204="Company",1,0)</f>
        <v>0</v>
      </c>
      <c r="W1204" s="13" t="n">
        <f aca="false">IF(H1204="Home",1,0)</f>
        <v>1</v>
      </c>
      <c r="X1204" s="13" t="n">
        <f aca="false">IF(H1204="Investment",1,0)</f>
        <v>0</v>
      </c>
      <c r="Y1204" s="13" t="n">
        <f aca="false">IF(K1204="Website",1,0)</f>
        <v>0</v>
      </c>
      <c r="Z1204" s="13" t="n">
        <f aca="false">IF(K1204="Agency",1,0)</f>
        <v>1</v>
      </c>
      <c r="AA1204" s="13" t="n">
        <f aca="false">IF(K1204="Client",1,0)</f>
        <v>0</v>
      </c>
      <c r="AB1204" s="13" t="n">
        <f aca="false">(D1204-AVERAGE(D$2:D$2001))/STDEV(D$2:D$2001)</f>
        <v>1.14534935336115</v>
      </c>
      <c r="AC1204" s="13" t="n">
        <f aca="false">(I1204-AVERAGE(I$2:I$2001))/STDEV(I$2:I$2001)</f>
        <v>1.39434968409451</v>
      </c>
      <c r="AD1204" s="13" t="n">
        <f aca="false">(L1204-AVERAGE(L$2:L$2001))/STDEV(L$2:L$2001)</f>
        <v>0.413838214490712</v>
      </c>
      <c r="AE1204" s="13" t="n">
        <f aca="false">(M1204-AVERAGE(M$2:M$2001))/STDEV(M$2:M$2001)</f>
        <v>-0.838593775407023</v>
      </c>
      <c r="AF1204" s="13" t="n">
        <f aca="false">(N1204-AVERAGE(N$2:N$2001))/STDEV(N$2:N$2001)</f>
        <v>-1.50481213254928</v>
      </c>
      <c r="AG1204" s="13" t="n">
        <f aca="false">(O1204-AVERAGE(O$2:O$2001))/STDEV(O$2:O$2001)</f>
        <v>-1.53609582655465</v>
      </c>
      <c r="AH1204" s="0" t="str">
        <f aca="false">IF(B1204="Company","C3 - Corporate Buyers",IF(AND(H1204="Investment",M1204&gt;'Segmentation Summary'!$C$1),"C1 - Global Investors",IF(AND(I1204&gt;=4,M1204&gt;'Segmentation Summary'!$C$1),"C4 - Luxury Investors",IF(AND(D1204&lt;'Segmentation Summary'!$C$2,J1204=1),"C2 - First-Time Buyers","C5 - Other Individual Buyers"))))</f>
        <v>C5 - Other Individual Buyers</v>
      </c>
    </row>
    <row r="1205" customFormat="false" ht="15" hidden="false" customHeight="true" outlineLevel="0" collapsed="false">
      <c r="A1205" s="13" t="s">
        <v>2430</v>
      </c>
      <c r="B1205" s="13" t="s">
        <v>34</v>
      </c>
      <c r="C1205" s="13" t="s">
        <v>2429</v>
      </c>
      <c r="D1205" s="13" t="n">
        <v>81</v>
      </c>
      <c r="E1205" s="13" t="s">
        <v>83</v>
      </c>
      <c r="F1205" s="13" t="s">
        <v>33</v>
      </c>
      <c r="G1205" s="13" t="s">
        <v>110</v>
      </c>
      <c r="H1205" s="13" t="s">
        <v>43</v>
      </c>
      <c r="I1205" s="13" t="n">
        <v>2</v>
      </c>
      <c r="J1205" s="13" t="n">
        <v>1</v>
      </c>
      <c r="K1205" s="13" t="s">
        <v>116</v>
      </c>
      <c r="L1205" s="13" t="n">
        <v>4</v>
      </c>
      <c r="M1205" s="13" t="n">
        <v>1432167.34</v>
      </c>
      <c r="N1205" s="13" t="n">
        <v>358041.835</v>
      </c>
      <c r="O1205" s="13" t="n">
        <v>1135.53</v>
      </c>
      <c r="P1205" s="13" t="n">
        <v>1</v>
      </c>
      <c r="Q1205" s="13" t="n">
        <v>3</v>
      </c>
      <c r="R1205" s="13" t="s">
        <v>98</v>
      </c>
      <c r="S1205" s="13" t="s">
        <v>154</v>
      </c>
      <c r="T1205" s="13" t="n">
        <v>1</v>
      </c>
      <c r="U1205" s="13" t="n">
        <f aca="false">IF(B1205="Individual",1,0)</f>
        <v>1</v>
      </c>
      <c r="V1205" s="13" t="n">
        <f aca="false">IF(B1205="Company",1,0)</f>
        <v>0</v>
      </c>
      <c r="W1205" s="13" t="n">
        <f aca="false">IF(H1205="Home",1,0)</f>
        <v>0</v>
      </c>
      <c r="X1205" s="13" t="n">
        <f aca="false">IF(H1205="Investment",1,0)</f>
        <v>1</v>
      </c>
      <c r="Y1205" s="13" t="n">
        <f aca="false">IF(K1205="Website",1,0)</f>
        <v>0</v>
      </c>
      <c r="Z1205" s="13" t="n">
        <f aca="false">IF(K1205="Agency",1,0)</f>
        <v>0</v>
      </c>
      <c r="AA1205" s="13" t="n">
        <f aca="false">IF(K1205="Client",1,0)</f>
        <v>1</v>
      </c>
      <c r="AB1205" s="13" t="n">
        <f aca="false">(D1205-AVERAGE(D$2:D$2001))/STDEV(D$2:D$2001)</f>
        <v>1.54898654177821</v>
      </c>
      <c r="AC1205" s="13" t="n">
        <f aca="false">(I1205-AVERAGE(I$2:I$2001))/STDEV(I$2:I$2001)</f>
        <v>-0.727948160798201</v>
      </c>
      <c r="AD1205" s="13" t="n">
        <f aca="false">(L1205-AVERAGE(L$2:L$2001))/STDEV(L$2:L$2001)</f>
        <v>0.413838214490712</v>
      </c>
      <c r="AE1205" s="13" t="n">
        <f aca="false">(M1205-AVERAGE(M$2:M$2001))/STDEV(M$2:M$2001)</f>
        <v>0.493895095951972</v>
      </c>
      <c r="AF1205" s="13" t="n">
        <f aca="false">(N1205-AVERAGE(N$2:N$2001))/STDEV(N$2:N$2001)</f>
        <v>0.157079646600296</v>
      </c>
      <c r="AG1205" s="13" t="n">
        <f aca="false">(O1205-AVERAGE(O$2:O$2001))/STDEV(O$2:O$2001)</f>
        <v>-0.0543357922416864</v>
      </c>
      <c r="AH1205" s="0" t="str">
        <f aca="false">IF(B1205="Company","C3 - Corporate Buyers",IF(AND(H1205="Investment",M1205&gt;'Segmentation Summary'!$C$1),"C1 - Global Investors",IF(AND(I1205&gt;=4,M1205&gt;'Segmentation Summary'!$C$1),"C4 - Luxury Investors",IF(AND(D1205&lt;'Segmentation Summary'!$C$2,J1205=1),"C2 - First-Time Buyers","C5 - Other Individual Buyers"))))</f>
        <v>C1 - Global Investors</v>
      </c>
    </row>
    <row r="1206" customFormat="false" ht="15" hidden="false" customHeight="true" outlineLevel="0" collapsed="false">
      <c r="A1206" s="13" t="s">
        <v>2431</v>
      </c>
      <c r="B1206" s="13" t="s">
        <v>34</v>
      </c>
      <c r="C1206" s="13" t="s">
        <v>2432</v>
      </c>
      <c r="D1206" s="13" t="n">
        <v>74</v>
      </c>
      <c r="E1206" s="13" t="s">
        <v>83</v>
      </c>
      <c r="F1206" s="13" t="s">
        <v>33</v>
      </c>
      <c r="G1206" s="13" t="s">
        <v>120</v>
      </c>
      <c r="H1206" s="13" t="s">
        <v>41</v>
      </c>
      <c r="I1206" s="13" t="n">
        <v>1</v>
      </c>
      <c r="J1206" s="13" t="n">
        <v>0</v>
      </c>
      <c r="K1206" s="13" t="s">
        <v>85</v>
      </c>
      <c r="L1206" s="13" t="n">
        <v>3</v>
      </c>
      <c r="M1206" s="13" t="n">
        <v>917921.54</v>
      </c>
      <c r="N1206" s="13" t="n">
        <v>305973.846666667</v>
      </c>
      <c r="O1206" s="13" t="n">
        <v>979.086666666667</v>
      </c>
      <c r="P1206" s="13" t="n">
        <v>1</v>
      </c>
      <c r="Q1206" s="13" t="n">
        <v>2</v>
      </c>
      <c r="R1206" s="13" t="s">
        <v>92</v>
      </c>
      <c r="S1206" s="13" t="s">
        <v>164</v>
      </c>
      <c r="T1206" s="13" t="n">
        <v>1</v>
      </c>
      <c r="U1206" s="13" t="n">
        <f aca="false">IF(B1206="Individual",1,0)</f>
        <v>1</v>
      </c>
      <c r="V1206" s="13" t="n">
        <f aca="false">IF(B1206="Company",1,0)</f>
        <v>0</v>
      </c>
      <c r="W1206" s="13" t="n">
        <f aca="false">IF(H1206="Home",1,0)</f>
        <v>1</v>
      </c>
      <c r="X1206" s="13" t="n">
        <f aca="false">IF(H1206="Investment",1,0)</f>
        <v>0</v>
      </c>
      <c r="Y1206" s="13" t="n">
        <f aca="false">IF(K1206="Website",1,0)</f>
        <v>1</v>
      </c>
      <c r="Z1206" s="13" t="n">
        <f aca="false">IF(K1206="Agency",1,0)</f>
        <v>0</v>
      </c>
      <c r="AA1206" s="13" t="n">
        <f aca="false">IF(K1206="Client",1,0)</f>
        <v>0</v>
      </c>
      <c r="AB1206" s="13" t="n">
        <f aca="false">(D1206-AVERAGE(D$2:D$2001))/STDEV(D$2:D$2001)</f>
        <v>1.14534935336115</v>
      </c>
      <c r="AC1206" s="13" t="n">
        <f aca="false">(I1206-AVERAGE(I$2:I$2001))/STDEV(I$2:I$2001)</f>
        <v>-1.43538077576244</v>
      </c>
      <c r="AD1206" s="13" t="n">
        <f aca="false">(L1206-AVERAGE(L$2:L$2001))/STDEV(L$2:L$2001)</f>
        <v>-0.777063122173208</v>
      </c>
      <c r="AE1206" s="13" t="n">
        <f aca="false">(M1206-AVERAGE(M$2:M$2001))/STDEV(M$2:M$2001)</f>
        <v>-0.98454212077554</v>
      </c>
      <c r="AF1206" s="13" t="n">
        <f aca="false">(N1206-AVERAGE(N$2:N$2001))/STDEV(N$2:N$2001)</f>
        <v>-0.589716506722338</v>
      </c>
      <c r="AG1206" s="13" t="n">
        <f aca="false">(O1206-AVERAGE(O$2:O$2001))/STDEV(O$2:O$2001)</f>
        <v>-0.765692163116904</v>
      </c>
      <c r="AH1206" s="0" t="str">
        <f aca="false">IF(B1206="Company","C3 - Corporate Buyers",IF(AND(H1206="Investment",M1206&gt;'Segmentation Summary'!$C$1),"C1 - Global Investors",IF(AND(I1206&gt;=4,M1206&gt;'Segmentation Summary'!$C$1),"C4 - Luxury Investors",IF(AND(D1206&lt;'Segmentation Summary'!$C$2,J1206=1),"C2 - First-Time Buyers","C5 - Other Individual Buyers"))))</f>
        <v>C5 - Other Individual Buyers</v>
      </c>
    </row>
    <row r="1207" customFormat="false" ht="15" hidden="false" customHeight="true" outlineLevel="0" collapsed="false">
      <c r="A1207" s="13" t="s">
        <v>2433</v>
      </c>
      <c r="B1207" s="13" t="s">
        <v>34</v>
      </c>
      <c r="C1207" s="13" t="s">
        <v>2434</v>
      </c>
      <c r="D1207" s="13" t="n">
        <v>54</v>
      </c>
      <c r="E1207" s="13" t="s">
        <v>83</v>
      </c>
      <c r="F1207" s="13" t="s">
        <v>33</v>
      </c>
      <c r="G1207" s="13" t="s">
        <v>162</v>
      </c>
      <c r="H1207" s="13" t="s">
        <v>41</v>
      </c>
      <c r="I1207" s="13" t="n">
        <v>1</v>
      </c>
      <c r="J1207" s="13" t="n">
        <v>0</v>
      </c>
      <c r="K1207" s="13" t="s">
        <v>85</v>
      </c>
      <c r="L1207" s="13" t="n">
        <v>3</v>
      </c>
      <c r="M1207" s="13" t="n">
        <v>1512121.64</v>
      </c>
      <c r="N1207" s="13" t="n">
        <v>504040.546666667</v>
      </c>
      <c r="O1207" s="13" t="n">
        <v>1538.77666666667</v>
      </c>
      <c r="P1207" s="13" t="n">
        <v>0</v>
      </c>
      <c r="Q1207" s="13" t="n">
        <v>3</v>
      </c>
      <c r="R1207" s="13" t="s">
        <v>150</v>
      </c>
      <c r="S1207" s="13" t="s">
        <v>154</v>
      </c>
      <c r="T1207" s="13" t="n">
        <v>1</v>
      </c>
      <c r="U1207" s="13" t="n">
        <f aca="false">IF(B1207="Individual",1,0)</f>
        <v>1</v>
      </c>
      <c r="V1207" s="13" t="n">
        <f aca="false">IF(B1207="Company",1,0)</f>
        <v>0</v>
      </c>
      <c r="W1207" s="13" t="n">
        <f aca="false">IF(H1207="Home",1,0)</f>
        <v>1</v>
      </c>
      <c r="X1207" s="13" t="n">
        <f aca="false">IF(H1207="Investment",1,0)</f>
        <v>0</v>
      </c>
      <c r="Y1207" s="13" t="n">
        <f aca="false">IF(K1207="Website",1,0)</f>
        <v>1</v>
      </c>
      <c r="Z1207" s="13" t="n">
        <f aca="false">IF(K1207="Agency",1,0)</f>
        <v>0</v>
      </c>
      <c r="AA1207" s="13" t="n">
        <f aca="false">IF(K1207="Client",1,0)</f>
        <v>0</v>
      </c>
      <c r="AB1207" s="13" t="n">
        <f aca="false">(D1207-AVERAGE(D$2:D$2001))/STDEV(D$2:D$2001)</f>
        <v>-0.00789975640187674</v>
      </c>
      <c r="AC1207" s="13" t="n">
        <f aca="false">(I1207-AVERAGE(I$2:I$2001))/STDEV(I$2:I$2001)</f>
        <v>-1.43538077576244</v>
      </c>
      <c r="AD1207" s="13" t="n">
        <f aca="false">(L1207-AVERAGE(L$2:L$2001))/STDEV(L$2:L$2001)</f>
        <v>-0.777063122173208</v>
      </c>
      <c r="AE1207" s="13" t="n">
        <f aca="false">(M1207-AVERAGE(M$2:M$2001))/STDEV(M$2:M$2001)</f>
        <v>0.723760683103868</v>
      </c>
      <c r="AF1207" s="13" t="n">
        <f aca="false">(N1207-AVERAGE(N$2:N$2001))/STDEV(N$2:N$2001)</f>
        <v>2.25109709864246</v>
      </c>
      <c r="AG1207" s="13" t="n">
        <f aca="false">(O1207-AVERAGE(O$2:O$2001))/STDEV(O$2:O$2001)</f>
        <v>1.77924879877656</v>
      </c>
      <c r="AH1207" s="0" t="str">
        <f aca="false">IF(B1207="Company","C3 - Corporate Buyers",IF(AND(H1207="Investment",M1207&gt;'Segmentation Summary'!$C$1),"C1 - Global Investors",IF(AND(I1207&gt;=4,M1207&gt;'Segmentation Summary'!$C$1),"C4 - Luxury Investors",IF(AND(D1207&lt;'Segmentation Summary'!$C$2,J1207=1),"C2 - First-Time Buyers","C5 - Other Individual Buyers"))))</f>
        <v>C5 - Other Individual Buyers</v>
      </c>
    </row>
    <row r="1208" customFormat="false" ht="15" hidden="false" customHeight="true" outlineLevel="0" collapsed="false">
      <c r="A1208" s="13" t="s">
        <v>2435</v>
      </c>
      <c r="B1208" s="13" t="s">
        <v>34</v>
      </c>
      <c r="C1208" s="13" t="s">
        <v>2436</v>
      </c>
      <c r="D1208" s="13" t="n">
        <v>49</v>
      </c>
      <c r="E1208" s="13" t="s">
        <v>83</v>
      </c>
      <c r="F1208" s="13" t="s">
        <v>33</v>
      </c>
      <c r="G1208" s="13" t="s">
        <v>145</v>
      </c>
      <c r="H1208" s="13" t="s">
        <v>43</v>
      </c>
      <c r="I1208" s="13" t="n">
        <v>2</v>
      </c>
      <c r="J1208" s="13" t="n">
        <v>0</v>
      </c>
      <c r="K1208" s="13" t="s">
        <v>85</v>
      </c>
      <c r="L1208" s="13" t="n">
        <v>3</v>
      </c>
      <c r="M1208" s="13" t="n">
        <v>1029238.79</v>
      </c>
      <c r="N1208" s="13" t="n">
        <v>343079.596666667</v>
      </c>
      <c r="O1208" s="13" t="n">
        <v>1140.18666666667</v>
      </c>
      <c r="P1208" s="13" t="n">
        <v>0</v>
      </c>
      <c r="Q1208" s="13" t="n">
        <v>3</v>
      </c>
      <c r="R1208" s="13" t="s">
        <v>92</v>
      </c>
      <c r="S1208" s="13" t="s">
        <v>215</v>
      </c>
      <c r="T1208" s="13" t="n">
        <v>1</v>
      </c>
      <c r="U1208" s="13" t="n">
        <f aca="false">IF(B1208="Individual",1,0)</f>
        <v>1</v>
      </c>
      <c r="V1208" s="13" t="n">
        <f aca="false">IF(B1208="Company",1,0)</f>
        <v>0</v>
      </c>
      <c r="W1208" s="13" t="n">
        <f aca="false">IF(H1208="Home",1,0)</f>
        <v>0</v>
      </c>
      <c r="X1208" s="13" t="n">
        <f aca="false">IF(H1208="Investment",1,0)</f>
        <v>1</v>
      </c>
      <c r="Y1208" s="13" t="n">
        <f aca="false">IF(K1208="Website",1,0)</f>
        <v>1</v>
      </c>
      <c r="Z1208" s="13" t="n">
        <f aca="false">IF(K1208="Agency",1,0)</f>
        <v>0</v>
      </c>
      <c r="AA1208" s="13" t="n">
        <f aca="false">IF(K1208="Client",1,0)</f>
        <v>0</v>
      </c>
      <c r="AB1208" s="13" t="n">
        <f aca="false">(D1208-AVERAGE(D$2:D$2001))/STDEV(D$2:D$2001)</f>
        <v>-0.296212033842633</v>
      </c>
      <c r="AC1208" s="13" t="n">
        <f aca="false">(I1208-AVERAGE(I$2:I$2001))/STDEV(I$2:I$2001)</f>
        <v>-0.727948160798201</v>
      </c>
      <c r="AD1208" s="13" t="n">
        <f aca="false">(L1208-AVERAGE(L$2:L$2001))/STDEV(L$2:L$2001)</f>
        <v>-0.777063122173208</v>
      </c>
      <c r="AE1208" s="13" t="n">
        <f aca="false">(M1208-AVERAGE(M$2:M$2001))/STDEV(M$2:M$2001)</f>
        <v>-0.664509239099578</v>
      </c>
      <c r="AF1208" s="13" t="n">
        <f aca="false">(N1208-AVERAGE(N$2:N$2001))/STDEV(N$2:N$2001)</f>
        <v>-0.0575194264596539</v>
      </c>
      <c r="AG1208" s="13" t="n">
        <f aca="false">(O1208-AVERAGE(O$2:O$2001))/STDEV(O$2:O$2001)</f>
        <v>-0.0331616748804826</v>
      </c>
      <c r="AH1208" s="0" t="str">
        <f aca="false">IF(B1208="Company","C3 - Corporate Buyers",IF(AND(H1208="Investment",M1208&gt;'Segmentation Summary'!$C$1),"C1 - Global Investors",IF(AND(I1208&gt;=4,M1208&gt;'Segmentation Summary'!$C$1),"C4 - Luxury Investors",IF(AND(D1208&lt;'Segmentation Summary'!$C$2,J1208=1),"C2 - First-Time Buyers","C5 - Other Individual Buyers"))))</f>
        <v>C5 - Other Individual Buyers</v>
      </c>
    </row>
    <row r="1209" customFormat="false" ht="15" hidden="false" customHeight="true" outlineLevel="0" collapsed="false">
      <c r="A1209" s="13" t="s">
        <v>2437</v>
      </c>
      <c r="B1209" s="13" t="s">
        <v>34</v>
      </c>
      <c r="C1209" s="13" t="s">
        <v>2438</v>
      </c>
      <c r="D1209" s="13" t="n">
        <v>78</v>
      </c>
      <c r="E1209" s="13" t="s">
        <v>83</v>
      </c>
      <c r="F1209" s="13" t="s">
        <v>33</v>
      </c>
      <c r="G1209" s="13" t="s">
        <v>157</v>
      </c>
      <c r="H1209" s="13" t="s">
        <v>41</v>
      </c>
      <c r="I1209" s="13" t="n">
        <v>3</v>
      </c>
      <c r="J1209" s="13" t="n">
        <v>1</v>
      </c>
      <c r="K1209" s="13" t="s">
        <v>85</v>
      </c>
      <c r="L1209" s="13" t="n">
        <v>4</v>
      </c>
      <c r="M1209" s="13" t="n">
        <v>1392690.12</v>
      </c>
      <c r="N1209" s="13" t="n">
        <v>348172.53</v>
      </c>
      <c r="O1209" s="13" t="n">
        <v>1053.27</v>
      </c>
      <c r="P1209" s="13" t="n">
        <v>1</v>
      </c>
      <c r="Q1209" s="13" t="n">
        <v>3</v>
      </c>
      <c r="R1209" s="13" t="s">
        <v>121</v>
      </c>
      <c r="S1209" s="13" t="s">
        <v>125</v>
      </c>
      <c r="T1209" s="13" t="n">
        <v>1</v>
      </c>
      <c r="U1209" s="13" t="n">
        <f aca="false">IF(B1209="Individual",1,0)</f>
        <v>1</v>
      </c>
      <c r="V1209" s="13" t="n">
        <f aca="false">IF(B1209="Company",1,0)</f>
        <v>0</v>
      </c>
      <c r="W1209" s="13" t="n">
        <f aca="false">IF(H1209="Home",1,0)</f>
        <v>1</v>
      </c>
      <c r="X1209" s="13" t="n">
        <f aca="false">IF(H1209="Investment",1,0)</f>
        <v>0</v>
      </c>
      <c r="Y1209" s="13" t="n">
        <f aca="false">IF(K1209="Website",1,0)</f>
        <v>1</v>
      </c>
      <c r="Z1209" s="13" t="n">
        <f aca="false">IF(K1209="Agency",1,0)</f>
        <v>0</v>
      </c>
      <c r="AA1209" s="13" t="n">
        <f aca="false">IF(K1209="Client",1,0)</f>
        <v>0</v>
      </c>
      <c r="AB1209" s="13" t="n">
        <f aca="false">(D1209-AVERAGE(D$2:D$2001))/STDEV(D$2:D$2001)</f>
        <v>1.37599917531375</v>
      </c>
      <c r="AC1209" s="13" t="n">
        <f aca="false">(I1209-AVERAGE(I$2:I$2001))/STDEV(I$2:I$2001)</f>
        <v>-0.0205155458339628</v>
      </c>
      <c r="AD1209" s="13" t="n">
        <f aca="false">(L1209-AVERAGE(L$2:L$2001))/STDEV(L$2:L$2001)</f>
        <v>0.413838214490712</v>
      </c>
      <c r="AE1209" s="13" t="n">
        <f aca="false">(M1209-AVERAGE(M$2:M$2001))/STDEV(M$2:M$2001)</f>
        <v>0.38039958220944</v>
      </c>
      <c r="AF1209" s="13" t="n">
        <f aca="false">(N1209-AVERAGE(N$2:N$2001))/STDEV(N$2:N$2001)</f>
        <v>0.0155270488163429</v>
      </c>
      <c r="AG1209" s="13" t="n">
        <f aca="false">(O1209-AVERAGE(O$2:O$2001))/STDEV(O$2:O$2001)</f>
        <v>-0.428376499642847</v>
      </c>
      <c r="AH1209" s="0" t="str">
        <f aca="false">IF(B1209="Company","C3 - Corporate Buyers",IF(AND(H1209="Investment",M1209&gt;'Segmentation Summary'!$C$1),"C1 - Global Investors",IF(AND(I1209&gt;=4,M1209&gt;'Segmentation Summary'!$C$1),"C4 - Luxury Investors",IF(AND(D1209&lt;'Segmentation Summary'!$C$2,J1209=1),"C2 - First-Time Buyers","C5 - Other Individual Buyers"))))</f>
        <v>C5 - Other Individual Buyers</v>
      </c>
    </row>
    <row r="1210" customFormat="false" ht="15" hidden="false" customHeight="true" outlineLevel="0" collapsed="false">
      <c r="A1210" s="13" t="s">
        <v>2439</v>
      </c>
      <c r="B1210" s="13" t="s">
        <v>34</v>
      </c>
      <c r="C1210" s="13" t="s">
        <v>2440</v>
      </c>
      <c r="D1210" s="13" t="n">
        <v>62</v>
      </c>
      <c r="E1210" s="13" t="s">
        <v>90</v>
      </c>
      <c r="F1210" s="13" t="s">
        <v>44</v>
      </c>
      <c r="G1210" s="13" t="s">
        <v>318</v>
      </c>
      <c r="H1210" s="13" t="s">
        <v>41</v>
      </c>
      <c r="I1210" s="13" t="n">
        <v>5</v>
      </c>
      <c r="J1210" s="13" t="n">
        <v>1</v>
      </c>
      <c r="K1210" s="13" t="s">
        <v>85</v>
      </c>
      <c r="L1210" s="13" t="n">
        <v>3</v>
      </c>
      <c r="M1210" s="13" t="n">
        <v>1025934.71</v>
      </c>
      <c r="N1210" s="13" t="n">
        <v>341978.236666667</v>
      </c>
      <c r="O1210" s="13" t="n">
        <v>1110.27</v>
      </c>
      <c r="P1210" s="13" t="n">
        <v>0</v>
      </c>
      <c r="Q1210" s="13" t="n">
        <v>3</v>
      </c>
      <c r="R1210" s="13" t="s">
        <v>98</v>
      </c>
      <c r="S1210" s="13" t="s">
        <v>215</v>
      </c>
      <c r="T1210" s="13" t="n">
        <v>1</v>
      </c>
      <c r="U1210" s="13" t="n">
        <f aca="false">IF(B1210="Individual",1,0)</f>
        <v>1</v>
      </c>
      <c r="V1210" s="13" t="n">
        <f aca="false">IF(B1210="Company",1,0)</f>
        <v>0</v>
      </c>
      <c r="W1210" s="13" t="n">
        <f aca="false">IF(H1210="Home",1,0)</f>
        <v>1</v>
      </c>
      <c r="X1210" s="13" t="n">
        <f aca="false">IF(H1210="Investment",1,0)</f>
        <v>0</v>
      </c>
      <c r="Y1210" s="13" t="n">
        <f aca="false">IF(K1210="Website",1,0)</f>
        <v>1</v>
      </c>
      <c r="Z1210" s="13" t="n">
        <f aca="false">IF(K1210="Agency",1,0)</f>
        <v>0</v>
      </c>
      <c r="AA1210" s="13" t="n">
        <f aca="false">IF(K1210="Client",1,0)</f>
        <v>0</v>
      </c>
      <c r="AB1210" s="13" t="n">
        <f aca="false">(D1210-AVERAGE(D$2:D$2001))/STDEV(D$2:D$2001)</f>
        <v>0.453399887503333</v>
      </c>
      <c r="AC1210" s="13" t="n">
        <f aca="false">(I1210-AVERAGE(I$2:I$2001))/STDEV(I$2:I$2001)</f>
        <v>1.39434968409451</v>
      </c>
      <c r="AD1210" s="13" t="n">
        <f aca="false">(L1210-AVERAGE(L$2:L$2001))/STDEV(L$2:L$2001)</f>
        <v>-0.777063122173208</v>
      </c>
      <c r="AE1210" s="13" t="n">
        <f aca="false">(M1210-AVERAGE(M$2:M$2001))/STDEV(M$2:M$2001)</f>
        <v>-0.674008344078257</v>
      </c>
      <c r="AF1210" s="13" t="n">
        <f aca="false">(N1210-AVERAGE(N$2:N$2001))/STDEV(N$2:N$2001)</f>
        <v>-0.073315915583796</v>
      </c>
      <c r="AG1210" s="13" t="n">
        <f aca="false">(O1210-AVERAGE(O$2:O$2001))/STDEV(O$2:O$2001)</f>
        <v>-0.16919439021097</v>
      </c>
      <c r="AH1210" s="0" t="str">
        <f aca="false">IF(B1210="Company","C3 - Corporate Buyers",IF(AND(H1210="Investment",M1210&gt;'Segmentation Summary'!$C$1),"C1 - Global Investors",IF(AND(I1210&gt;=4,M1210&gt;'Segmentation Summary'!$C$1),"C4 - Luxury Investors",IF(AND(D1210&lt;'Segmentation Summary'!$C$2,J1210=1),"C2 - First-Time Buyers","C5 - Other Individual Buyers"))))</f>
        <v>C5 - Other Individual Buyers</v>
      </c>
    </row>
    <row r="1211" customFormat="false" ht="15" hidden="false" customHeight="true" outlineLevel="0" collapsed="false">
      <c r="A1211" s="13" t="s">
        <v>2441</v>
      </c>
      <c r="B1211" s="13" t="s">
        <v>34</v>
      </c>
      <c r="C1211" s="13" t="s">
        <v>2442</v>
      </c>
      <c r="D1211" s="13" t="n">
        <v>78</v>
      </c>
      <c r="E1211" s="13" t="s">
        <v>90</v>
      </c>
      <c r="F1211" s="13" t="s">
        <v>33</v>
      </c>
      <c r="G1211" s="13" t="s">
        <v>84</v>
      </c>
      <c r="H1211" s="13" t="s">
        <v>41</v>
      </c>
      <c r="I1211" s="13" t="n">
        <v>2</v>
      </c>
      <c r="J1211" s="13" t="n">
        <v>0</v>
      </c>
      <c r="K1211" s="13" t="s">
        <v>91</v>
      </c>
      <c r="L1211" s="13" t="n">
        <v>4</v>
      </c>
      <c r="M1211" s="13" t="n">
        <v>1668335.18</v>
      </c>
      <c r="N1211" s="13" t="n">
        <v>417083.795</v>
      </c>
      <c r="O1211" s="13" t="n">
        <v>1338.9</v>
      </c>
      <c r="P1211" s="13" t="n">
        <v>2</v>
      </c>
      <c r="Q1211" s="13" t="n">
        <v>2</v>
      </c>
      <c r="R1211" s="13" t="s">
        <v>92</v>
      </c>
      <c r="S1211" s="13" t="s">
        <v>107</v>
      </c>
      <c r="T1211" s="13" t="n">
        <v>1</v>
      </c>
      <c r="U1211" s="13" t="n">
        <f aca="false">IF(B1211="Individual",1,0)</f>
        <v>1</v>
      </c>
      <c r="V1211" s="13" t="n">
        <f aca="false">IF(B1211="Company",1,0)</f>
        <v>0</v>
      </c>
      <c r="W1211" s="13" t="n">
        <f aca="false">IF(H1211="Home",1,0)</f>
        <v>1</v>
      </c>
      <c r="X1211" s="13" t="n">
        <f aca="false">IF(H1211="Investment",1,0)</f>
        <v>0</v>
      </c>
      <c r="Y1211" s="13" t="n">
        <f aca="false">IF(K1211="Website",1,0)</f>
        <v>0</v>
      </c>
      <c r="Z1211" s="13" t="n">
        <f aca="false">IF(K1211="Agency",1,0)</f>
        <v>1</v>
      </c>
      <c r="AA1211" s="13" t="n">
        <f aca="false">IF(K1211="Client",1,0)</f>
        <v>0</v>
      </c>
      <c r="AB1211" s="13" t="n">
        <f aca="false">(D1211-AVERAGE(D$2:D$2001))/STDEV(D$2:D$2001)</f>
        <v>1.37599917531375</v>
      </c>
      <c r="AC1211" s="13" t="n">
        <f aca="false">(I1211-AVERAGE(I$2:I$2001))/STDEV(I$2:I$2001)</f>
        <v>-0.727948160798201</v>
      </c>
      <c r="AD1211" s="13" t="n">
        <f aca="false">(L1211-AVERAGE(L$2:L$2001))/STDEV(L$2:L$2001)</f>
        <v>0.413838214490712</v>
      </c>
      <c r="AE1211" s="13" t="n">
        <f aca="false">(M1211-AVERAGE(M$2:M$2001))/STDEV(M$2:M$2001)</f>
        <v>1.17286869972306</v>
      </c>
      <c r="AF1211" s="13" t="n">
        <f aca="false">(N1211-AVERAGE(N$2:N$2001))/STDEV(N$2:N$2001)</f>
        <v>1.00390146599449</v>
      </c>
      <c r="AG1211" s="13" t="n">
        <f aca="false">(O1211-AVERAGE(O$2:O$2001))/STDEV(O$2:O$2001)</f>
        <v>0.87039869188394</v>
      </c>
      <c r="AH1211" s="0" t="str">
        <f aca="false">IF(B1211="Company","C3 - Corporate Buyers",IF(AND(H1211="Investment",M1211&gt;'Segmentation Summary'!$C$1),"C1 - Global Investors",IF(AND(I1211&gt;=4,M1211&gt;'Segmentation Summary'!$C$1),"C4 - Luxury Investors",IF(AND(D1211&lt;'Segmentation Summary'!$C$2,J1211=1),"C2 - First-Time Buyers","C5 - Other Individual Buyers"))))</f>
        <v>C5 - Other Individual Buyers</v>
      </c>
    </row>
    <row r="1212" customFormat="false" ht="15" hidden="false" customHeight="true" outlineLevel="0" collapsed="false">
      <c r="A1212" s="13" t="s">
        <v>2443</v>
      </c>
      <c r="B1212" s="13" t="s">
        <v>34</v>
      </c>
      <c r="C1212" s="13" t="s">
        <v>2444</v>
      </c>
      <c r="D1212" s="13" t="n">
        <v>31</v>
      </c>
      <c r="E1212" s="13" t="s">
        <v>90</v>
      </c>
      <c r="F1212" s="13" t="s">
        <v>42</v>
      </c>
      <c r="G1212" s="13" t="s">
        <v>288</v>
      </c>
      <c r="H1212" s="13" t="s">
        <v>41</v>
      </c>
      <c r="I1212" s="13" t="n">
        <v>3</v>
      </c>
      <c r="J1212" s="13" t="n">
        <v>0</v>
      </c>
      <c r="K1212" s="13" t="s">
        <v>116</v>
      </c>
      <c r="L1212" s="13" t="n">
        <v>3</v>
      </c>
      <c r="M1212" s="13" t="n">
        <v>1320005.77</v>
      </c>
      <c r="N1212" s="13" t="n">
        <v>440001.923333333</v>
      </c>
      <c r="O1212" s="13" t="n">
        <v>1487.66</v>
      </c>
      <c r="P1212" s="13" t="n">
        <v>0</v>
      </c>
      <c r="Q1212" s="13" t="n">
        <v>3</v>
      </c>
      <c r="R1212" s="13" t="s">
        <v>92</v>
      </c>
      <c r="S1212" s="13" t="s">
        <v>164</v>
      </c>
      <c r="T1212" s="13" t="n">
        <v>1</v>
      </c>
      <c r="U1212" s="13" t="n">
        <f aca="false">IF(B1212="Individual",1,0)</f>
        <v>1</v>
      </c>
      <c r="V1212" s="13" t="n">
        <f aca="false">IF(B1212="Company",1,0)</f>
        <v>0</v>
      </c>
      <c r="W1212" s="13" t="n">
        <f aca="false">IF(H1212="Home",1,0)</f>
        <v>1</v>
      </c>
      <c r="X1212" s="13" t="n">
        <f aca="false">IF(H1212="Investment",1,0)</f>
        <v>0</v>
      </c>
      <c r="Y1212" s="13" t="n">
        <f aca="false">IF(K1212="Website",1,0)</f>
        <v>0</v>
      </c>
      <c r="Z1212" s="13" t="n">
        <f aca="false">IF(K1212="Agency",1,0)</f>
        <v>0</v>
      </c>
      <c r="AA1212" s="13" t="n">
        <f aca="false">IF(K1212="Client",1,0)</f>
        <v>1</v>
      </c>
      <c r="AB1212" s="13" t="n">
        <f aca="false">(D1212-AVERAGE(D$2:D$2001))/STDEV(D$2:D$2001)</f>
        <v>-1.33413623262935</v>
      </c>
      <c r="AC1212" s="13" t="n">
        <f aca="false">(I1212-AVERAGE(I$2:I$2001))/STDEV(I$2:I$2001)</f>
        <v>-0.0205155458339628</v>
      </c>
      <c r="AD1212" s="13" t="n">
        <f aca="false">(L1212-AVERAGE(L$2:L$2001))/STDEV(L$2:L$2001)</f>
        <v>-0.777063122173208</v>
      </c>
      <c r="AE1212" s="13" t="n">
        <f aca="false">(M1212-AVERAGE(M$2:M$2001))/STDEV(M$2:M$2001)</f>
        <v>0.171434826223784</v>
      </c>
      <c r="AF1212" s="13" t="n">
        <f aca="false">(N1212-AVERAGE(N$2:N$2001))/STDEV(N$2:N$2001)</f>
        <v>1.33260957684214</v>
      </c>
      <c r="AG1212" s="13" t="n">
        <f aca="false">(O1212-AVERAGE(O$2:O$2001))/STDEV(O$2:O$2001)</f>
        <v>1.54681852695562</v>
      </c>
      <c r="AH1212" s="0" t="str">
        <f aca="false">IF(B1212="Company","C3 - Corporate Buyers",IF(AND(H1212="Investment",M1212&gt;'Segmentation Summary'!$C$1),"C1 - Global Investors",IF(AND(I1212&gt;=4,M1212&gt;'Segmentation Summary'!$C$1),"C4 - Luxury Investors",IF(AND(D1212&lt;'Segmentation Summary'!$C$2,J1212=1),"C2 - First-Time Buyers","C5 - Other Individual Buyers"))))</f>
        <v>C5 - Other Individual Buyers</v>
      </c>
    </row>
    <row r="1213" customFormat="false" ht="15" hidden="false" customHeight="true" outlineLevel="0" collapsed="false">
      <c r="A1213" s="13" t="s">
        <v>2445</v>
      </c>
      <c r="B1213" s="13" t="s">
        <v>34</v>
      </c>
      <c r="C1213" s="13" t="s">
        <v>2446</v>
      </c>
      <c r="D1213" s="13" t="n">
        <v>25</v>
      </c>
      <c r="E1213" s="13" t="s">
        <v>90</v>
      </c>
      <c r="F1213" s="13" t="s">
        <v>33</v>
      </c>
      <c r="G1213" s="13" t="s">
        <v>100</v>
      </c>
      <c r="H1213" s="13" t="s">
        <v>41</v>
      </c>
      <c r="I1213" s="13" t="n">
        <v>3</v>
      </c>
      <c r="J1213" s="13" t="n">
        <v>1</v>
      </c>
      <c r="K1213" s="13" t="s">
        <v>91</v>
      </c>
      <c r="L1213" s="13" t="n">
        <v>3</v>
      </c>
      <c r="M1213" s="13" t="n">
        <v>1122021.28</v>
      </c>
      <c r="N1213" s="13" t="n">
        <v>374007.093333333</v>
      </c>
      <c r="O1213" s="13" t="n">
        <v>1271.67</v>
      </c>
      <c r="P1213" s="13" t="n">
        <v>1</v>
      </c>
      <c r="Q1213" s="13" t="n">
        <v>2</v>
      </c>
      <c r="R1213" s="13" t="s">
        <v>98</v>
      </c>
      <c r="S1213" s="13" t="s">
        <v>125</v>
      </c>
      <c r="T1213" s="13" t="n">
        <v>1</v>
      </c>
      <c r="U1213" s="13" t="n">
        <f aca="false">IF(B1213="Individual",1,0)</f>
        <v>1</v>
      </c>
      <c r="V1213" s="13" t="n">
        <f aca="false">IF(B1213="Company",1,0)</f>
        <v>0</v>
      </c>
      <c r="W1213" s="13" t="n">
        <f aca="false">IF(H1213="Home",1,0)</f>
        <v>1</v>
      </c>
      <c r="X1213" s="13" t="n">
        <f aca="false">IF(H1213="Investment",1,0)</f>
        <v>0</v>
      </c>
      <c r="Y1213" s="13" t="n">
        <f aca="false">IF(K1213="Website",1,0)</f>
        <v>0</v>
      </c>
      <c r="Z1213" s="13" t="n">
        <f aca="false">IF(K1213="Agency",1,0)</f>
        <v>1</v>
      </c>
      <c r="AA1213" s="13" t="n">
        <f aca="false">IF(K1213="Client",1,0)</f>
        <v>0</v>
      </c>
      <c r="AB1213" s="13" t="n">
        <f aca="false">(D1213-AVERAGE(D$2:D$2001))/STDEV(D$2:D$2001)</f>
        <v>-1.68011096555826</v>
      </c>
      <c r="AC1213" s="13" t="n">
        <f aca="false">(I1213-AVERAGE(I$2:I$2001))/STDEV(I$2:I$2001)</f>
        <v>-0.0205155458339628</v>
      </c>
      <c r="AD1213" s="13" t="n">
        <f aca="false">(L1213-AVERAGE(L$2:L$2001))/STDEV(L$2:L$2001)</f>
        <v>-0.777063122173208</v>
      </c>
      <c r="AE1213" s="13" t="n">
        <f aca="false">(M1213-AVERAGE(M$2:M$2001))/STDEV(M$2:M$2001)</f>
        <v>-0.397763091096719</v>
      </c>
      <c r="AF1213" s="13" t="n">
        <f aca="false">(N1213-AVERAGE(N$2:N$2001))/STDEV(N$2:N$2001)</f>
        <v>0.386064746500966</v>
      </c>
      <c r="AG1213" s="13" t="n">
        <f aca="false">(O1213-AVERAGE(O$2:O$2001))/STDEV(O$2:O$2001)</f>
        <v>0.564700214390869</v>
      </c>
      <c r="AH1213" s="0" t="str">
        <f aca="false">IF(B1213="Company","C3 - Corporate Buyers",IF(AND(H1213="Investment",M1213&gt;'Segmentation Summary'!$C$1),"C1 - Global Investors",IF(AND(I1213&gt;=4,M1213&gt;'Segmentation Summary'!$C$1),"C4 - Luxury Investors",IF(AND(D1213&lt;'Segmentation Summary'!$C$2,J1213=1),"C2 - First-Time Buyers","C5 - Other Individual Buyers"))))</f>
        <v>C2 - First-Time Buyers</v>
      </c>
    </row>
    <row r="1214" customFormat="false" ht="15" hidden="false" customHeight="true" outlineLevel="0" collapsed="false">
      <c r="A1214" s="13" t="s">
        <v>2447</v>
      </c>
      <c r="B1214" s="13" t="s">
        <v>34</v>
      </c>
      <c r="C1214" s="13" t="s">
        <v>2448</v>
      </c>
      <c r="D1214" s="13" t="n">
        <v>49</v>
      </c>
      <c r="E1214" s="13" t="s">
        <v>90</v>
      </c>
      <c r="F1214" s="13" t="s">
        <v>33</v>
      </c>
      <c r="G1214" s="13" t="s">
        <v>162</v>
      </c>
      <c r="H1214" s="13" t="s">
        <v>43</v>
      </c>
      <c r="I1214" s="13" t="n">
        <v>2</v>
      </c>
      <c r="J1214" s="13" t="n">
        <v>0</v>
      </c>
      <c r="K1214" s="13" t="s">
        <v>91</v>
      </c>
      <c r="L1214" s="13" t="n">
        <v>4</v>
      </c>
      <c r="M1214" s="13" t="n">
        <v>835096.87</v>
      </c>
      <c r="N1214" s="13" t="n">
        <v>208774.2175</v>
      </c>
      <c r="O1214" s="13" t="n">
        <v>699.545</v>
      </c>
      <c r="P1214" s="13" t="n">
        <v>1</v>
      </c>
      <c r="Q1214" s="13" t="n">
        <v>3</v>
      </c>
      <c r="R1214" s="13" t="s">
        <v>117</v>
      </c>
      <c r="S1214" s="13" t="s">
        <v>103</v>
      </c>
      <c r="T1214" s="13" t="n">
        <v>1</v>
      </c>
      <c r="U1214" s="13" t="n">
        <f aca="false">IF(B1214="Individual",1,0)</f>
        <v>1</v>
      </c>
      <c r="V1214" s="13" t="n">
        <f aca="false">IF(B1214="Company",1,0)</f>
        <v>0</v>
      </c>
      <c r="W1214" s="13" t="n">
        <f aca="false">IF(H1214="Home",1,0)</f>
        <v>0</v>
      </c>
      <c r="X1214" s="13" t="n">
        <f aca="false">IF(H1214="Investment",1,0)</f>
        <v>1</v>
      </c>
      <c r="Y1214" s="13" t="n">
        <f aca="false">IF(K1214="Website",1,0)</f>
        <v>0</v>
      </c>
      <c r="Z1214" s="13" t="n">
        <f aca="false">IF(K1214="Agency",1,0)</f>
        <v>1</v>
      </c>
      <c r="AA1214" s="13" t="n">
        <f aca="false">IF(K1214="Client",1,0)</f>
        <v>0</v>
      </c>
      <c r="AB1214" s="13" t="n">
        <f aca="false">(D1214-AVERAGE(D$2:D$2001))/STDEV(D$2:D$2001)</f>
        <v>-0.296212033842633</v>
      </c>
      <c r="AC1214" s="13" t="n">
        <f aca="false">(I1214-AVERAGE(I$2:I$2001))/STDEV(I$2:I$2001)</f>
        <v>-0.727948160798201</v>
      </c>
      <c r="AD1214" s="13" t="n">
        <f aca="false">(L1214-AVERAGE(L$2:L$2001))/STDEV(L$2:L$2001)</f>
        <v>0.413838214490712</v>
      </c>
      <c r="AE1214" s="13" t="n">
        <f aca="false">(M1214-AVERAGE(M$2:M$2001))/STDEV(M$2:M$2001)</f>
        <v>-1.22265991306704</v>
      </c>
      <c r="AF1214" s="13" t="n">
        <f aca="false">(N1214-AVERAGE(N$2:N$2001))/STDEV(N$2:N$2001)</f>
        <v>-1.98382277987719</v>
      </c>
      <c r="AG1214" s="13" t="n">
        <f aca="false">(O1214-AVERAGE(O$2:O$2001))/STDEV(O$2:O$2001)</f>
        <v>-2.0367833708497</v>
      </c>
      <c r="AH1214" s="0" t="str">
        <f aca="false">IF(B1214="Company","C3 - Corporate Buyers",IF(AND(H1214="Investment",M1214&gt;'Segmentation Summary'!$C$1),"C1 - Global Investors",IF(AND(I1214&gt;=4,M1214&gt;'Segmentation Summary'!$C$1),"C4 - Luxury Investors",IF(AND(D1214&lt;'Segmentation Summary'!$C$2,J1214=1),"C2 - First-Time Buyers","C5 - Other Individual Buyers"))))</f>
        <v>C5 - Other Individual Buyers</v>
      </c>
    </row>
    <row r="1215" customFormat="false" ht="15" hidden="false" customHeight="true" outlineLevel="0" collapsed="false">
      <c r="A1215" s="13" t="s">
        <v>2449</v>
      </c>
      <c r="B1215" s="13" t="s">
        <v>34</v>
      </c>
      <c r="C1215" s="13" t="s">
        <v>2450</v>
      </c>
      <c r="D1215" s="13" t="n">
        <v>56</v>
      </c>
      <c r="E1215" s="13" t="s">
        <v>90</v>
      </c>
      <c r="F1215" s="13" t="s">
        <v>44</v>
      </c>
      <c r="G1215" s="13" t="s">
        <v>1956</v>
      </c>
      <c r="H1215" s="13" t="s">
        <v>41</v>
      </c>
      <c r="I1215" s="13" t="n">
        <v>1</v>
      </c>
      <c r="J1215" s="13" t="n">
        <v>1</v>
      </c>
      <c r="K1215" s="13" t="s">
        <v>91</v>
      </c>
      <c r="L1215" s="13" t="n">
        <v>3</v>
      </c>
      <c r="M1215" s="13" t="n">
        <v>949224.48</v>
      </c>
      <c r="N1215" s="13" t="n">
        <v>316408.16</v>
      </c>
      <c r="O1215" s="13" t="n">
        <v>1072.72666666667</v>
      </c>
      <c r="P1215" s="13" t="n">
        <v>1</v>
      </c>
      <c r="Q1215" s="13" t="n">
        <v>2</v>
      </c>
      <c r="R1215" s="13" t="s">
        <v>111</v>
      </c>
      <c r="S1215" s="13" t="s">
        <v>87</v>
      </c>
      <c r="T1215" s="13" t="n">
        <v>1</v>
      </c>
      <c r="U1215" s="13" t="n">
        <f aca="false">IF(B1215="Individual",1,0)</f>
        <v>1</v>
      </c>
      <c r="V1215" s="13" t="n">
        <f aca="false">IF(B1215="Company",1,0)</f>
        <v>0</v>
      </c>
      <c r="W1215" s="13" t="n">
        <f aca="false">IF(H1215="Home",1,0)</f>
        <v>1</v>
      </c>
      <c r="X1215" s="13" t="n">
        <f aca="false">IF(H1215="Investment",1,0)</f>
        <v>0</v>
      </c>
      <c r="Y1215" s="13" t="n">
        <f aca="false">IF(K1215="Website",1,0)</f>
        <v>0</v>
      </c>
      <c r="Z1215" s="13" t="n">
        <f aca="false">IF(K1215="Agency",1,0)</f>
        <v>1</v>
      </c>
      <c r="AA1215" s="13" t="n">
        <f aca="false">IF(K1215="Client",1,0)</f>
        <v>0</v>
      </c>
      <c r="AB1215" s="13" t="n">
        <f aca="false">(D1215-AVERAGE(D$2:D$2001))/STDEV(D$2:D$2001)</f>
        <v>0.107425154574426</v>
      </c>
      <c r="AC1215" s="13" t="n">
        <f aca="false">(I1215-AVERAGE(I$2:I$2001))/STDEV(I$2:I$2001)</f>
        <v>-1.43538077576244</v>
      </c>
      <c r="AD1215" s="13" t="n">
        <f aca="false">(L1215-AVERAGE(L$2:L$2001))/STDEV(L$2:L$2001)</f>
        <v>-0.777063122173208</v>
      </c>
      <c r="AE1215" s="13" t="n">
        <f aca="false">(M1215-AVERAGE(M$2:M$2001))/STDEV(M$2:M$2001)</f>
        <v>-0.894547352730787</v>
      </c>
      <c r="AF1215" s="13" t="n">
        <f aca="false">(N1215-AVERAGE(N$2:N$2001))/STDEV(N$2:N$2001)</f>
        <v>-0.440060157220016</v>
      </c>
      <c r="AG1215" s="13" t="n">
        <f aca="false">(O1215-AVERAGE(O$2:O$2001))/STDEV(O$2:O$2001)</f>
        <v>-0.339905974920383</v>
      </c>
      <c r="AH1215" s="0" t="str">
        <f aca="false">IF(B1215="Company","C3 - Corporate Buyers",IF(AND(H1215="Investment",M1215&gt;'Segmentation Summary'!$C$1),"C1 - Global Investors",IF(AND(I1215&gt;=4,M1215&gt;'Segmentation Summary'!$C$1),"C4 - Luxury Investors",IF(AND(D1215&lt;'Segmentation Summary'!$C$2,J1215=1),"C2 - First-Time Buyers","C5 - Other Individual Buyers"))))</f>
        <v>C5 - Other Individual Buyers</v>
      </c>
    </row>
    <row r="1216" customFormat="false" ht="15" hidden="false" customHeight="true" outlineLevel="0" collapsed="false">
      <c r="A1216" s="13" t="s">
        <v>2451</v>
      </c>
      <c r="B1216" s="13" t="s">
        <v>34</v>
      </c>
      <c r="C1216" s="13" t="s">
        <v>2452</v>
      </c>
      <c r="D1216" s="13" t="n">
        <v>75</v>
      </c>
      <c r="E1216" s="13" t="s">
        <v>83</v>
      </c>
      <c r="F1216" s="13" t="s">
        <v>33</v>
      </c>
      <c r="G1216" s="13" t="s">
        <v>95</v>
      </c>
      <c r="H1216" s="13" t="s">
        <v>41</v>
      </c>
      <c r="I1216" s="13" t="n">
        <v>5</v>
      </c>
      <c r="J1216" s="13" t="n">
        <v>0</v>
      </c>
      <c r="K1216" s="13" t="s">
        <v>85</v>
      </c>
      <c r="L1216" s="13" t="n">
        <v>4</v>
      </c>
      <c r="M1216" s="13" t="n">
        <v>1268586.58</v>
      </c>
      <c r="N1216" s="13" t="n">
        <v>317146.645</v>
      </c>
      <c r="O1216" s="13" t="n">
        <v>1092.085</v>
      </c>
      <c r="P1216" s="13" t="n">
        <v>0</v>
      </c>
      <c r="Q1216" s="13" t="n">
        <v>4</v>
      </c>
      <c r="R1216" s="13" t="s">
        <v>101</v>
      </c>
      <c r="S1216" s="13" t="s">
        <v>87</v>
      </c>
      <c r="T1216" s="13" t="n">
        <v>1</v>
      </c>
      <c r="U1216" s="13" t="n">
        <f aca="false">IF(B1216="Individual",1,0)</f>
        <v>1</v>
      </c>
      <c r="V1216" s="13" t="n">
        <f aca="false">IF(B1216="Company",1,0)</f>
        <v>0</v>
      </c>
      <c r="W1216" s="13" t="n">
        <f aca="false">IF(H1216="Home",1,0)</f>
        <v>1</v>
      </c>
      <c r="X1216" s="13" t="n">
        <f aca="false">IF(H1216="Investment",1,0)</f>
        <v>0</v>
      </c>
      <c r="Y1216" s="13" t="n">
        <f aca="false">IF(K1216="Website",1,0)</f>
        <v>1</v>
      </c>
      <c r="Z1216" s="13" t="n">
        <f aca="false">IF(K1216="Agency",1,0)</f>
        <v>0</v>
      </c>
      <c r="AA1216" s="13" t="n">
        <f aca="false">IF(K1216="Client",1,0)</f>
        <v>0</v>
      </c>
      <c r="AB1216" s="13" t="n">
        <f aca="false">(D1216-AVERAGE(D$2:D$2001))/STDEV(D$2:D$2001)</f>
        <v>1.2030118088493</v>
      </c>
      <c r="AC1216" s="13" t="n">
        <f aca="false">(I1216-AVERAGE(I$2:I$2001))/STDEV(I$2:I$2001)</f>
        <v>1.39434968409451</v>
      </c>
      <c r="AD1216" s="13" t="n">
        <f aca="false">(L1216-AVERAGE(L$2:L$2001))/STDEV(L$2:L$2001)</f>
        <v>0.413838214490712</v>
      </c>
      <c r="AE1216" s="13" t="n">
        <f aca="false">(M1216-AVERAGE(M$2:M$2001))/STDEV(M$2:M$2001)</f>
        <v>0.0236066005970832</v>
      </c>
      <c r="AF1216" s="13" t="n">
        <f aca="false">(N1216-AVERAGE(N$2:N$2001))/STDEV(N$2:N$2001)</f>
        <v>-0.42946827965878</v>
      </c>
      <c r="AG1216" s="13" t="n">
        <f aca="false">(O1216-AVERAGE(O$2:O$2001))/STDEV(O$2:O$2001)</f>
        <v>-0.251882577228842</v>
      </c>
      <c r="AH1216" s="0" t="str">
        <f aca="false">IF(B1216="Company","C3 - Corporate Buyers",IF(AND(H1216="Investment",M1216&gt;'Segmentation Summary'!$C$1),"C1 - Global Investors",IF(AND(I1216&gt;=4,M1216&gt;'Segmentation Summary'!$C$1),"C4 - Luxury Investors",IF(AND(D1216&lt;'Segmentation Summary'!$C$2,J1216=1),"C2 - First-Time Buyers","C5 - Other Individual Buyers"))))</f>
        <v>C4 - Luxury Investors</v>
      </c>
    </row>
    <row r="1217" customFormat="false" ht="15" hidden="false" customHeight="true" outlineLevel="0" collapsed="false">
      <c r="A1217" s="13" t="s">
        <v>2453</v>
      </c>
      <c r="B1217" s="13" t="s">
        <v>34</v>
      </c>
      <c r="C1217" s="13" t="s">
        <v>2454</v>
      </c>
      <c r="D1217" s="13" t="n">
        <v>81</v>
      </c>
      <c r="E1217" s="13" t="s">
        <v>83</v>
      </c>
      <c r="F1217" s="13" t="s">
        <v>33</v>
      </c>
      <c r="G1217" s="13" t="s">
        <v>95</v>
      </c>
      <c r="H1217" s="13" t="s">
        <v>43</v>
      </c>
      <c r="I1217" s="13" t="n">
        <v>4</v>
      </c>
      <c r="J1217" s="13" t="n">
        <v>0</v>
      </c>
      <c r="K1217" s="13" t="s">
        <v>91</v>
      </c>
      <c r="L1217" s="13" t="n">
        <v>4</v>
      </c>
      <c r="M1217" s="13" t="n">
        <v>948552.89</v>
      </c>
      <c r="N1217" s="13" t="n">
        <v>237138.2225</v>
      </c>
      <c r="O1217" s="13" t="n">
        <v>816.16</v>
      </c>
      <c r="P1217" s="13" t="n">
        <v>0</v>
      </c>
      <c r="Q1217" s="13" t="n">
        <v>4</v>
      </c>
      <c r="R1217" s="13" t="s">
        <v>98</v>
      </c>
      <c r="S1217" s="13" t="s">
        <v>133</v>
      </c>
      <c r="T1217" s="13" t="n">
        <v>1</v>
      </c>
      <c r="U1217" s="13" t="n">
        <f aca="false">IF(B1217="Individual",1,0)</f>
        <v>1</v>
      </c>
      <c r="V1217" s="13" t="n">
        <f aca="false">IF(B1217="Company",1,0)</f>
        <v>0</v>
      </c>
      <c r="W1217" s="13" t="n">
        <f aca="false">IF(H1217="Home",1,0)</f>
        <v>0</v>
      </c>
      <c r="X1217" s="13" t="n">
        <f aca="false">IF(H1217="Investment",1,0)</f>
        <v>1</v>
      </c>
      <c r="Y1217" s="13" t="n">
        <f aca="false">IF(K1217="Website",1,0)</f>
        <v>0</v>
      </c>
      <c r="Z1217" s="13" t="n">
        <f aca="false">IF(K1217="Agency",1,0)</f>
        <v>1</v>
      </c>
      <c r="AA1217" s="13" t="n">
        <f aca="false">IF(K1217="Client",1,0)</f>
        <v>0</v>
      </c>
      <c r="AB1217" s="13" t="n">
        <f aca="false">(D1217-AVERAGE(D$2:D$2001))/STDEV(D$2:D$2001)</f>
        <v>1.54898654177821</v>
      </c>
      <c r="AC1217" s="13" t="n">
        <f aca="false">(I1217-AVERAGE(I$2:I$2001))/STDEV(I$2:I$2001)</f>
        <v>0.686917069130275</v>
      </c>
      <c r="AD1217" s="13" t="n">
        <f aca="false">(L1217-AVERAGE(L$2:L$2001))/STDEV(L$2:L$2001)</f>
        <v>0.413838214490712</v>
      </c>
      <c r="AE1217" s="13" t="n">
        <f aca="false">(M1217-AVERAGE(M$2:M$2001))/STDEV(M$2:M$2001)</f>
        <v>-0.896478148568852</v>
      </c>
      <c r="AF1217" s="13" t="n">
        <f aca="false">(N1217-AVERAGE(N$2:N$2001))/STDEV(N$2:N$2001)</f>
        <v>-1.57700602922383</v>
      </c>
      <c r="AG1217" s="13" t="n">
        <f aca="false">(O1217-AVERAGE(O$2:O$2001))/STDEV(O$2:O$2001)</f>
        <v>-1.50652860433394</v>
      </c>
      <c r="AH1217" s="0" t="str">
        <f aca="false">IF(B1217="Company","C3 - Corporate Buyers",IF(AND(H1217="Investment",M1217&gt;'Segmentation Summary'!$C$1),"C1 - Global Investors",IF(AND(I1217&gt;=4,M1217&gt;'Segmentation Summary'!$C$1),"C4 - Luxury Investors",IF(AND(D1217&lt;'Segmentation Summary'!$C$2,J1217=1),"C2 - First-Time Buyers","C5 - Other Individual Buyers"))))</f>
        <v>C5 - Other Individual Buyers</v>
      </c>
    </row>
    <row r="1218" customFormat="false" ht="15" hidden="false" customHeight="true" outlineLevel="0" collapsed="false">
      <c r="A1218" s="13" t="s">
        <v>2455</v>
      </c>
      <c r="B1218" s="13" t="s">
        <v>34</v>
      </c>
      <c r="C1218" s="13" t="s">
        <v>2456</v>
      </c>
      <c r="D1218" s="13" t="n">
        <v>44</v>
      </c>
      <c r="E1218" s="13" t="s">
        <v>83</v>
      </c>
      <c r="F1218" s="13" t="s">
        <v>44</v>
      </c>
      <c r="G1218" s="13" t="s">
        <v>497</v>
      </c>
      <c r="H1218" s="13" t="s">
        <v>41</v>
      </c>
      <c r="I1218" s="13" t="n">
        <v>4</v>
      </c>
      <c r="J1218" s="13" t="n">
        <v>0</v>
      </c>
      <c r="K1218" s="13" t="s">
        <v>91</v>
      </c>
      <c r="L1218" s="13" t="n">
        <v>4</v>
      </c>
      <c r="M1218" s="13" t="n">
        <v>1140899.22</v>
      </c>
      <c r="N1218" s="13" t="n">
        <v>285224.805</v>
      </c>
      <c r="O1218" s="13" t="n">
        <v>994.0725</v>
      </c>
      <c r="P1218" s="13" t="n">
        <v>1</v>
      </c>
      <c r="Q1218" s="13" t="n">
        <v>3</v>
      </c>
      <c r="R1218" s="13" t="s">
        <v>101</v>
      </c>
      <c r="S1218" s="13" t="s">
        <v>103</v>
      </c>
      <c r="T1218" s="13" t="n">
        <v>1</v>
      </c>
      <c r="U1218" s="13" t="n">
        <f aca="false">IF(B1218="Individual",1,0)</f>
        <v>1</v>
      </c>
      <c r="V1218" s="13" t="n">
        <f aca="false">IF(B1218="Company",1,0)</f>
        <v>0</v>
      </c>
      <c r="W1218" s="13" t="n">
        <f aca="false">IF(H1218="Home",1,0)</f>
        <v>1</v>
      </c>
      <c r="X1218" s="13" t="n">
        <f aca="false">IF(H1218="Investment",1,0)</f>
        <v>0</v>
      </c>
      <c r="Y1218" s="13" t="n">
        <f aca="false">IF(K1218="Website",1,0)</f>
        <v>0</v>
      </c>
      <c r="Z1218" s="13" t="n">
        <f aca="false">IF(K1218="Agency",1,0)</f>
        <v>1</v>
      </c>
      <c r="AA1218" s="13" t="n">
        <f aca="false">IF(K1218="Client",1,0)</f>
        <v>0</v>
      </c>
      <c r="AB1218" s="13" t="n">
        <f aca="false">(D1218-AVERAGE(D$2:D$2001))/STDEV(D$2:D$2001)</f>
        <v>-0.584524311283389</v>
      </c>
      <c r="AC1218" s="13" t="n">
        <f aca="false">(I1218-AVERAGE(I$2:I$2001))/STDEV(I$2:I$2001)</f>
        <v>0.686917069130275</v>
      </c>
      <c r="AD1218" s="13" t="n">
        <f aca="false">(L1218-AVERAGE(L$2:L$2001))/STDEV(L$2:L$2001)</f>
        <v>0.413838214490712</v>
      </c>
      <c r="AE1218" s="13" t="n">
        <f aca="false">(M1218-AVERAGE(M$2:M$2001))/STDEV(M$2:M$2001)</f>
        <v>-0.34348972790902</v>
      </c>
      <c r="AF1218" s="13" t="n">
        <f aca="false">(N1218-AVERAGE(N$2:N$2001))/STDEV(N$2:N$2001)</f>
        <v>-0.887314032530305</v>
      </c>
      <c r="AG1218" s="13" t="n">
        <f aca="false">(O1218-AVERAGE(O$2:O$2001))/STDEV(O$2:O$2001)</f>
        <v>-0.697550761451504</v>
      </c>
      <c r="AH1218" s="0" t="str">
        <f aca="false">IF(B1218="Company","C3 - Corporate Buyers",IF(AND(H1218="Investment",M1218&gt;'Segmentation Summary'!$C$1),"C1 - Global Investors",IF(AND(I1218&gt;=4,M1218&gt;'Segmentation Summary'!$C$1),"C4 - Luxury Investors",IF(AND(D1218&lt;'Segmentation Summary'!$C$2,J1218=1),"C2 - First-Time Buyers","C5 - Other Individual Buyers"))))</f>
        <v>C5 - Other Individual Buyers</v>
      </c>
    </row>
    <row r="1219" customFormat="false" ht="15" hidden="false" customHeight="true" outlineLevel="0" collapsed="false">
      <c r="A1219" s="13" t="s">
        <v>2457</v>
      </c>
      <c r="B1219" s="13" t="s">
        <v>34</v>
      </c>
      <c r="C1219" s="13" t="s">
        <v>2458</v>
      </c>
      <c r="D1219" s="13" t="n">
        <v>80</v>
      </c>
      <c r="E1219" s="13" t="s">
        <v>83</v>
      </c>
      <c r="F1219" s="13" t="s">
        <v>37</v>
      </c>
      <c r="G1219" s="13" t="s">
        <v>169</v>
      </c>
      <c r="H1219" s="13" t="s">
        <v>43</v>
      </c>
      <c r="I1219" s="13" t="n">
        <v>2</v>
      </c>
      <c r="J1219" s="13" t="n">
        <v>0</v>
      </c>
      <c r="K1219" s="13" t="s">
        <v>85</v>
      </c>
      <c r="L1219" s="13" t="n">
        <v>4</v>
      </c>
      <c r="M1219" s="13" t="n">
        <v>894080.38</v>
      </c>
      <c r="N1219" s="13" t="n">
        <v>223520.095</v>
      </c>
      <c r="O1219" s="13" t="n">
        <v>716.4525</v>
      </c>
      <c r="P1219" s="13" t="n">
        <v>0</v>
      </c>
      <c r="Q1219" s="13" t="n">
        <v>4</v>
      </c>
      <c r="R1219" s="13" t="s">
        <v>101</v>
      </c>
      <c r="S1219" s="13" t="s">
        <v>154</v>
      </c>
      <c r="T1219" s="13" t="n">
        <v>1</v>
      </c>
      <c r="U1219" s="13" t="n">
        <f aca="false">IF(B1219="Individual",1,0)</f>
        <v>1</v>
      </c>
      <c r="V1219" s="13" t="n">
        <f aca="false">IF(B1219="Company",1,0)</f>
        <v>0</v>
      </c>
      <c r="W1219" s="13" t="n">
        <f aca="false">IF(H1219="Home",1,0)</f>
        <v>0</v>
      </c>
      <c r="X1219" s="13" t="n">
        <f aca="false">IF(H1219="Investment",1,0)</f>
        <v>1</v>
      </c>
      <c r="Y1219" s="13" t="n">
        <f aca="false">IF(K1219="Website",1,0)</f>
        <v>1</v>
      </c>
      <c r="Z1219" s="13" t="n">
        <f aca="false">IF(K1219="Agency",1,0)</f>
        <v>0</v>
      </c>
      <c r="AA1219" s="13" t="n">
        <f aca="false">IF(K1219="Client",1,0)</f>
        <v>0</v>
      </c>
      <c r="AB1219" s="13" t="n">
        <f aca="false">(D1219-AVERAGE(D$2:D$2001))/STDEV(D$2:D$2001)</f>
        <v>1.49132408629005</v>
      </c>
      <c r="AC1219" s="13" t="n">
        <f aca="false">(I1219-AVERAGE(I$2:I$2001))/STDEV(I$2:I$2001)</f>
        <v>-0.727948160798201</v>
      </c>
      <c r="AD1219" s="13" t="n">
        <f aca="false">(L1219-AVERAGE(L$2:L$2001))/STDEV(L$2:L$2001)</f>
        <v>0.413838214490712</v>
      </c>
      <c r="AE1219" s="13" t="n">
        <f aca="false">(M1219-AVERAGE(M$2:M$2001))/STDEV(M$2:M$2001)</f>
        <v>-1.05308455366261</v>
      </c>
      <c r="AF1219" s="13" t="n">
        <f aca="false">(N1219-AVERAGE(N$2:N$2001))/STDEV(N$2:N$2001)</f>
        <v>-1.77232690790557</v>
      </c>
      <c r="AG1219" s="13" t="n">
        <f aca="false">(O1219-AVERAGE(O$2:O$2001))/STDEV(O$2:O$2001)</f>
        <v>-1.95990404602128</v>
      </c>
      <c r="AH1219" s="0" t="str">
        <f aca="false">IF(B1219="Company","C3 - Corporate Buyers",IF(AND(H1219="Investment",M1219&gt;'Segmentation Summary'!$C$1),"C1 - Global Investors",IF(AND(I1219&gt;=4,M1219&gt;'Segmentation Summary'!$C$1),"C4 - Luxury Investors",IF(AND(D1219&lt;'Segmentation Summary'!$C$2,J1219=1),"C2 - First-Time Buyers","C5 - Other Individual Buyers"))))</f>
        <v>C5 - Other Individual Buyers</v>
      </c>
    </row>
    <row r="1220" customFormat="false" ht="15" hidden="false" customHeight="true" outlineLevel="0" collapsed="false">
      <c r="A1220" s="13" t="s">
        <v>2459</v>
      </c>
      <c r="B1220" s="13" t="s">
        <v>34</v>
      </c>
      <c r="C1220" s="13" t="s">
        <v>2460</v>
      </c>
      <c r="D1220" s="13" t="n">
        <v>44</v>
      </c>
      <c r="E1220" s="13" t="s">
        <v>83</v>
      </c>
      <c r="F1220" s="13" t="s">
        <v>35</v>
      </c>
      <c r="G1220" s="13" t="s">
        <v>267</v>
      </c>
      <c r="H1220" s="13" t="s">
        <v>43</v>
      </c>
      <c r="I1220" s="13" t="n">
        <v>1</v>
      </c>
      <c r="J1220" s="13" t="n">
        <v>0</v>
      </c>
      <c r="K1220" s="13" t="s">
        <v>91</v>
      </c>
      <c r="L1220" s="13" t="n">
        <v>3</v>
      </c>
      <c r="M1220" s="13" t="n">
        <v>1399940.21</v>
      </c>
      <c r="N1220" s="13" t="n">
        <v>466646.736666667</v>
      </c>
      <c r="O1220" s="13" t="n">
        <v>1457.83333333333</v>
      </c>
      <c r="P1220" s="13" t="n">
        <v>0</v>
      </c>
      <c r="Q1220" s="13" t="n">
        <v>3</v>
      </c>
      <c r="R1220" s="13" t="s">
        <v>121</v>
      </c>
      <c r="S1220" s="13" t="s">
        <v>141</v>
      </c>
      <c r="T1220" s="13" t="n">
        <v>1</v>
      </c>
      <c r="U1220" s="13" t="n">
        <f aca="false">IF(B1220="Individual",1,0)</f>
        <v>1</v>
      </c>
      <c r="V1220" s="13" t="n">
        <f aca="false">IF(B1220="Company",1,0)</f>
        <v>0</v>
      </c>
      <c r="W1220" s="13" t="n">
        <f aca="false">IF(H1220="Home",1,0)</f>
        <v>0</v>
      </c>
      <c r="X1220" s="13" t="n">
        <f aca="false">IF(H1220="Investment",1,0)</f>
        <v>1</v>
      </c>
      <c r="Y1220" s="13" t="n">
        <f aca="false">IF(K1220="Website",1,0)</f>
        <v>0</v>
      </c>
      <c r="Z1220" s="13" t="n">
        <f aca="false">IF(K1220="Agency",1,0)</f>
        <v>1</v>
      </c>
      <c r="AA1220" s="13" t="n">
        <f aca="false">IF(K1220="Client",1,0)</f>
        <v>0</v>
      </c>
      <c r="AB1220" s="13" t="n">
        <f aca="false">(D1220-AVERAGE(D$2:D$2001))/STDEV(D$2:D$2001)</f>
        <v>-0.584524311283389</v>
      </c>
      <c r="AC1220" s="13" t="n">
        <f aca="false">(I1220-AVERAGE(I$2:I$2001))/STDEV(I$2:I$2001)</f>
        <v>-1.43538077576244</v>
      </c>
      <c r="AD1220" s="13" t="n">
        <f aca="false">(L1220-AVERAGE(L$2:L$2001))/STDEV(L$2:L$2001)</f>
        <v>-0.777063122173208</v>
      </c>
      <c r="AE1220" s="13" t="n">
        <f aca="false">(M1220-AVERAGE(M$2:M$2001))/STDEV(M$2:M$2001)</f>
        <v>0.401243316627151</v>
      </c>
      <c r="AF1220" s="13" t="n">
        <f aca="false">(N1220-AVERAGE(N$2:N$2001))/STDEV(N$2:N$2001)</f>
        <v>1.714768456804</v>
      </c>
      <c r="AG1220" s="13" t="n">
        <f aca="false">(O1220-AVERAGE(O$2:O$2001))/STDEV(O$2:O$2001)</f>
        <v>1.41119504653476</v>
      </c>
      <c r="AH1220" s="0" t="str">
        <f aca="false">IF(B1220="Company","C3 - Corporate Buyers",IF(AND(H1220="Investment",M1220&gt;'Segmentation Summary'!$C$1),"C1 - Global Investors",IF(AND(I1220&gt;=4,M1220&gt;'Segmentation Summary'!$C$1),"C4 - Luxury Investors",IF(AND(D1220&lt;'Segmentation Summary'!$C$2,J1220=1),"C2 - First-Time Buyers","C5 - Other Individual Buyers"))))</f>
        <v>C1 - Global Investors</v>
      </c>
    </row>
    <row r="1221" customFormat="false" ht="15" hidden="false" customHeight="true" outlineLevel="0" collapsed="false">
      <c r="A1221" s="13" t="s">
        <v>2461</v>
      </c>
      <c r="B1221" s="13" t="s">
        <v>34</v>
      </c>
      <c r="C1221" s="13" t="s">
        <v>2462</v>
      </c>
      <c r="D1221" s="13" t="n">
        <v>45</v>
      </c>
      <c r="E1221" s="13" t="s">
        <v>83</v>
      </c>
      <c r="F1221" s="13" t="s">
        <v>33</v>
      </c>
      <c r="G1221" s="13" t="s">
        <v>100</v>
      </c>
      <c r="H1221" s="13" t="s">
        <v>43</v>
      </c>
      <c r="I1221" s="13" t="n">
        <v>3</v>
      </c>
      <c r="J1221" s="13" t="n">
        <v>1</v>
      </c>
      <c r="K1221" s="13" t="s">
        <v>85</v>
      </c>
      <c r="L1221" s="13" t="n">
        <v>3</v>
      </c>
      <c r="M1221" s="13" t="n">
        <v>1031987.68</v>
      </c>
      <c r="N1221" s="13" t="n">
        <v>343995.893333333</v>
      </c>
      <c r="O1221" s="13" t="n">
        <v>1049.30666666667</v>
      </c>
      <c r="P1221" s="13" t="n">
        <v>0</v>
      </c>
      <c r="Q1221" s="13" t="n">
        <v>3</v>
      </c>
      <c r="R1221" s="13" t="s">
        <v>128</v>
      </c>
      <c r="S1221" s="13" t="s">
        <v>152</v>
      </c>
      <c r="T1221" s="13" t="n">
        <v>1</v>
      </c>
      <c r="U1221" s="13" t="n">
        <f aca="false">IF(B1221="Individual",1,0)</f>
        <v>1</v>
      </c>
      <c r="V1221" s="13" t="n">
        <f aca="false">IF(B1221="Company",1,0)</f>
        <v>0</v>
      </c>
      <c r="W1221" s="13" t="n">
        <f aca="false">IF(H1221="Home",1,0)</f>
        <v>0</v>
      </c>
      <c r="X1221" s="13" t="n">
        <f aca="false">IF(H1221="Investment",1,0)</f>
        <v>1</v>
      </c>
      <c r="Y1221" s="13" t="n">
        <f aca="false">IF(K1221="Website",1,0)</f>
        <v>1</v>
      </c>
      <c r="Z1221" s="13" t="n">
        <f aca="false">IF(K1221="Agency",1,0)</f>
        <v>0</v>
      </c>
      <c r="AA1221" s="13" t="n">
        <f aca="false">IF(K1221="Client",1,0)</f>
        <v>0</v>
      </c>
      <c r="AB1221" s="13" t="n">
        <f aca="false">(D1221-AVERAGE(D$2:D$2001))/STDEV(D$2:D$2001)</f>
        <v>-0.526861855795238</v>
      </c>
      <c r="AC1221" s="13" t="n">
        <f aca="false">(I1221-AVERAGE(I$2:I$2001))/STDEV(I$2:I$2001)</f>
        <v>-0.0205155458339628</v>
      </c>
      <c r="AD1221" s="13" t="n">
        <f aca="false">(L1221-AVERAGE(L$2:L$2001))/STDEV(L$2:L$2001)</f>
        <v>-0.777063122173208</v>
      </c>
      <c r="AE1221" s="13" t="n">
        <f aca="false">(M1221-AVERAGE(M$2:M$2001))/STDEV(M$2:M$2001)</f>
        <v>-0.65660628436336</v>
      </c>
      <c r="AF1221" s="13" t="n">
        <f aca="false">(N1221-AVERAGE(N$2:N$2001))/STDEV(N$2:N$2001)</f>
        <v>-0.044377247399695</v>
      </c>
      <c r="AG1221" s="13" t="n">
        <f aca="false">(O1221-AVERAGE(O$2:O$2001))/STDEV(O$2:O$2001)</f>
        <v>-0.446397992515024</v>
      </c>
      <c r="AH1221" s="0" t="str">
        <f aca="false">IF(B1221="Company","C3 - Corporate Buyers",IF(AND(H1221="Investment",M1221&gt;'Segmentation Summary'!$C$1),"C1 - Global Investors",IF(AND(I1221&gt;=4,M1221&gt;'Segmentation Summary'!$C$1),"C4 - Luxury Investors",IF(AND(D1221&lt;'Segmentation Summary'!$C$2,J1221=1),"C2 - First-Time Buyers","C5 - Other Individual Buyers"))))</f>
        <v>C2 - First-Time Buyers</v>
      </c>
    </row>
    <row r="1222" customFormat="false" ht="15" hidden="false" customHeight="true" outlineLevel="0" collapsed="false">
      <c r="A1222" s="13" t="s">
        <v>2463</v>
      </c>
      <c r="B1222" s="13" t="s">
        <v>34</v>
      </c>
      <c r="C1222" s="13" t="s">
        <v>2464</v>
      </c>
      <c r="D1222" s="13" t="n">
        <v>56</v>
      </c>
      <c r="E1222" s="13" t="s">
        <v>83</v>
      </c>
      <c r="F1222" s="13" t="s">
        <v>33</v>
      </c>
      <c r="G1222" s="13" t="s">
        <v>120</v>
      </c>
      <c r="H1222" s="13" t="s">
        <v>41</v>
      </c>
      <c r="I1222" s="13" t="n">
        <v>2</v>
      </c>
      <c r="J1222" s="13" t="n">
        <v>1</v>
      </c>
      <c r="K1222" s="13" t="s">
        <v>91</v>
      </c>
      <c r="L1222" s="13" t="n">
        <v>3</v>
      </c>
      <c r="M1222" s="13" t="n">
        <v>756785.49</v>
      </c>
      <c r="N1222" s="13" t="n">
        <v>252261.83</v>
      </c>
      <c r="O1222" s="13" t="n">
        <v>851.426666666667</v>
      </c>
      <c r="P1222" s="13" t="n">
        <v>0</v>
      </c>
      <c r="Q1222" s="13" t="n">
        <v>3</v>
      </c>
      <c r="R1222" s="13" t="s">
        <v>150</v>
      </c>
      <c r="S1222" s="13" t="s">
        <v>135</v>
      </c>
      <c r="T1222" s="13" t="n">
        <v>1</v>
      </c>
      <c r="U1222" s="13" t="n">
        <f aca="false">IF(B1222="Individual",1,0)</f>
        <v>1</v>
      </c>
      <c r="V1222" s="13" t="n">
        <f aca="false">IF(B1222="Company",1,0)</f>
        <v>0</v>
      </c>
      <c r="W1222" s="13" t="n">
        <f aca="false">IF(H1222="Home",1,0)</f>
        <v>1</v>
      </c>
      <c r="X1222" s="13" t="n">
        <f aca="false">IF(H1222="Investment",1,0)</f>
        <v>0</v>
      </c>
      <c r="Y1222" s="13" t="n">
        <f aca="false">IF(K1222="Website",1,0)</f>
        <v>0</v>
      </c>
      <c r="Z1222" s="13" t="n">
        <f aca="false">IF(K1222="Agency",1,0)</f>
        <v>1</v>
      </c>
      <c r="AA1222" s="13" t="n">
        <f aca="false">IF(K1222="Client",1,0)</f>
        <v>0</v>
      </c>
      <c r="AB1222" s="13" t="n">
        <f aca="false">(D1222-AVERAGE(D$2:D$2001))/STDEV(D$2:D$2001)</f>
        <v>0.107425154574426</v>
      </c>
      <c r="AC1222" s="13" t="n">
        <f aca="false">(I1222-AVERAGE(I$2:I$2001))/STDEV(I$2:I$2001)</f>
        <v>-0.727948160798201</v>
      </c>
      <c r="AD1222" s="13" t="n">
        <f aca="false">(L1222-AVERAGE(L$2:L$2001))/STDEV(L$2:L$2001)</f>
        <v>-0.777063122173208</v>
      </c>
      <c r="AE1222" s="13" t="n">
        <f aca="false">(M1222-AVERAGE(M$2:M$2001))/STDEV(M$2:M$2001)</f>
        <v>-1.44780216738451</v>
      </c>
      <c r="AF1222" s="13" t="n">
        <f aca="false">(N1222-AVERAGE(N$2:N$2001))/STDEV(N$2:N$2001)</f>
        <v>-1.36009248470475</v>
      </c>
      <c r="AG1222" s="13" t="n">
        <f aca="false">(O1222-AVERAGE(O$2:O$2001))/STDEV(O$2:O$2001)</f>
        <v>-1.34616914715328</v>
      </c>
      <c r="AH1222" s="0" t="str">
        <f aca="false">IF(B1222="Company","C3 - Corporate Buyers",IF(AND(H1222="Investment",M1222&gt;'Segmentation Summary'!$C$1),"C1 - Global Investors",IF(AND(I1222&gt;=4,M1222&gt;'Segmentation Summary'!$C$1),"C4 - Luxury Investors",IF(AND(D1222&lt;'Segmentation Summary'!$C$2,J1222=1),"C2 - First-Time Buyers","C5 - Other Individual Buyers"))))</f>
        <v>C5 - Other Individual Buyers</v>
      </c>
    </row>
    <row r="1223" customFormat="false" ht="15" hidden="false" customHeight="true" outlineLevel="0" collapsed="false">
      <c r="A1223" s="13" t="s">
        <v>2465</v>
      </c>
      <c r="B1223" s="13" t="s">
        <v>34</v>
      </c>
      <c r="C1223" s="13" t="s">
        <v>2466</v>
      </c>
      <c r="D1223" s="13" t="n">
        <v>29</v>
      </c>
      <c r="E1223" s="13" t="s">
        <v>83</v>
      </c>
      <c r="F1223" s="13" t="s">
        <v>33</v>
      </c>
      <c r="G1223" s="13" t="s">
        <v>84</v>
      </c>
      <c r="H1223" s="13" t="s">
        <v>43</v>
      </c>
      <c r="I1223" s="13" t="n">
        <v>5</v>
      </c>
      <c r="J1223" s="13" t="n">
        <v>1</v>
      </c>
      <c r="K1223" s="13" t="s">
        <v>91</v>
      </c>
      <c r="L1223" s="13" t="n">
        <v>4</v>
      </c>
      <c r="M1223" s="13" t="n">
        <v>1741166.27</v>
      </c>
      <c r="N1223" s="13" t="n">
        <v>435291.5675</v>
      </c>
      <c r="O1223" s="13" t="n">
        <v>1454.35</v>
      </c>
      <c r="P1223" s="13" t="n">
        <v>1</v>
      </c>
      <c r="Q1223" s="13" t="n">
        <v>3</v>
      </c>
      <c r="R1223" s="13" t="s">
        <v>92</v>
      </c>
      <c r="S1223" s="13" t="s">
        <v>135</v>
      </c>
      <c r="T1223" s="13" t="n">
        <v>1</v>
      </c>
      <c r="U1223" s="13" t="n">
        <f aca="false">IF(B1223="Individual",1,0)</f>
        <v>1</v>
      </c>
      <c r="V1223" s="13" t="n">
        <f aca="false">IF(B1223="Company",1,0)</f>
        <v>0</v>
      </c>
      <c r="W1223" s="13" t="n">
        <f aca="false">IF(H1223="Home",1,0)</f>
        <v>0</v>
      </c>
      <c r="X1223" s="13" t="n">
        <f aca="false">IF(H1223="Investment",1,0)</f>
        <v>1</v>
      </c>
      <c r="Y1223" s="13" t="n">
        <f aca="false">IF(K1223="Website",1,0)</f>
        <v>0</v>
      </c>
      <c r="Z1223" s="13" t="n">
        <f aca="false">IF(K1223="Agency",1,0)</f>
        <v>1</v>
      </c>
      <c r="AA1223" s="13" t="n">
        <f aca="false">IF(K1223="Client",1,0)</f>
        <v>0</v>
      </c>
      <c r="AB1223" s="13" t="n">
        <f aca="false">(D1223-AVERAGE(D$2:D$2001))/STDEV(D$2:D$2001)</f>
        <v>-1.44946114360566</v>
      </c>
      <c r="AC1223" s="13" t="n">
        <f aca="false">(I1223-AVERAGE(I$2:I$2001))/STDEV(I$2:I$2001)</f>
        <v>1.39434968409451</v>
      </c>
      <c r="AD1223" s="13" t="n">
        <f aca="false">(L1223-AVERAGE(L$2:L$2001))/STDEV(L$2:L$2001)</f>
        <v>0.413838214490712</v>
      </c>
      <c r="AE1223" s="13" t="n">
        <f aca="false">(M1223-AVERAGE(M$2:M$2001))/STDEV(M$2:M$2001)</f>
        <v>1.3822553276563</v>
      </c>
      <c r="AF1223" s="13" t="n">
        <f aca="false">(N1223-AVERAGE(N$2:N$2001))/STDEV(N$2:N$2001)</f>
        <v>1.2650503004093</v>
      </c>
      <c r="AG1223" s="13" t="n">
        <f aca="false">(O1223-AVERAGE(O$2:O$2001))/STDEV(O$2:O$2001)</f>
        <v>1.39535613984727</v>
      </c>
      <c r="AH1223" s="0" t="str">
        <f aca="false">IF(B1223="Company","C3 - Corporate Buyers",IF(AND(H1223="Investment",M1223&gt;'Segmentation Summary'!$C$1),"C1 - Global Investors",IF(AND(I1223&gt;=4,M1223&gt;'Segmentation Summary'!$C$1),"C4 - Luxury Investors",IF(AND(D1223&lt;'Segmentation Summary'!$C$2,J1223=1),"C2 - First-Time Buyers","C5 - Other Individual Buyers"))))</f>
        <v>C1 - Global Investors</v>
      </c>
    </row>
    <row r="1224" customFormat="false" ht="15" hidden="false" customHeight="true" outlineLevel="0" collapsed="false">
      <c r="A1224" s="13" t="s">
        <v>2467</v>
      </c>
      <c r="B1224" s="13" t="s">
        <v>34</v>
      </c>
      <c r="C1224" s="13" t="s">
        <v>2468</v>
      </c>
      <c r="D1224" s="13" t="n">
        <v>79</v>
      </c>
      <c r="E1224" s="13" t="s">
        <v>83</v>
      </c>
      <c r="F1224" s="13" t="s">
        <v>33</v>
      </c>
      <c r="G1224" s="13" t="s">
        <v>95</v>
      </c>
      <c r="H1224" s="13" t="s">
        <v>41</v>
      </c>
      <c r="I1224" s="13" t="n">
        <v>1</v>
      </c>
      <c r="J1224" s="13" t="n">
        <v>0</v>
      </c>
      <c r="K1224" s="13" t="s">
        <v>91</v>
      </c>
      <c r="L1224" s="13" t="n">
        <v>3</v>
      </c>
      <c r="M1224" s="13" t="n">
        <v>1182983.03</v>
      </c>
      <c r="N1224" s="13" t="n">
        <v>394327.676666667</v>
      </c>
      <c r="O1224" s="13" t="n">
        <v>1186.43666666667</v>
      </c>
      <c r="P1224" s="13" t="n">
        <v>1</v>
      </c>
      <c r="Q1224" s="13" t="n">
        <v>2</v>
      </c>
      <c r="R1224" s="13" t="s">
        <v>92</v>
      </c>
      <c r="S1224" s="13" t="s">
        <v>112</v>
      </c>
      <c r="T1224" s="13" t="n">
        <v>1</v>
      </c>
      <c r="U1224" s="13" t="n">
        <f aca="false">IF(B1224="Individual",1,0)</f>
        <v>1</v>
      </c>
      <c r="V1224" s="13" t="n">
        <f aca="false">IF(B1224="Company",1,0)</f>
        <v>0</v>
      </c>
      <c r="W1224" s="13" t="n">
        <f aca="false">IF(H1224="Home",1,0)</f>
        <v>1</v>
      </c>
      <c r="X1224" s="13" t="n">
        <f aca="false">IF(H1224="Investment",1,0)</f>
        <v>0</v>
      </c>
      <c r="Y1224" s="13" t="n">
        <f aca="false">IF(K1224="Website",1,0)</f>
        <v>0</v>
      </c>
      <c r="Z1224" s="13" t="n">
        <f aca="false">IF(K1224="Agency",1,0)</f>
        <v>1</v>
      </c>
      <c r="AA1224" s="13" t="n">
        <f aca="false">IF(K1224="Client",1,0)</f>
        <v>0</v>
      </c>
      <c r="AB1224" s="13" t="n">
        <f aca="false">(D1224-AVERAGE(D$2:D$2001))/STDEV(D$2:D$2001)</f>
        <v>1.4336616308019</v>
      </c>
      <c r="AC1224" s="13" t="n">
        <f aca="false">(I1224-AVERAGE(I$2:I$2001))/STDEV(I$2:I$2001)</f>
        <v>-1.43538077576244</v>
      </c>
      <c r="AD1224" s="13" t="n">
        <f aca="false">(L1224-AVERAGE(L$2:L$2001))/STDEV(L$2:L$2001)</f>
        <v>-0.777063122173208</v>
      </c>
      <c r="AE1224" s="13" t="n">
        <f aca="false">(M1224-AVERAGE(M$2:M$2001))/STDEV(M$2:M$2001)</f>
        <v>-0.222500366545856</v>
      </c>
      <c r="AF1224" s="13" t="n">
        <f aca="false">(N1224-AVERAGE(N$2:N$2001))/STDEV(N$2:N$2001)</f>
        <v>0.677517017893807</v>
      </c>
      <c r="AG1224" s="13" t="n">
        <f aca="false">(O1224-AVERAGE(O$2:O$2001))/STDEV(O$2:O$2001)</f>
        <v>0.177139598123452</v>
      </c>
      <c r="AH1224" s="0" t="str">
        <f aca="false">IF(B1224="Company","C3 - Corporate Buyers",IF(AND(H1224="Investment",M1224&gt;'Segmentation Summary'!$C$1),"C1 - Global Investors",IF(AND(I1224&gt;=4,M1224&gt;'Segmentation Summary'!$C$1),"C4 - Luxury Investors",IF(AND(D1224&lt;'Segmentation Summary'!$C$2,J1224=1),"C2 - First-Time Buyers","C5 - Other Individual Buyers"))))</f>
        <v>C5 - Other Individual Buyers</v>
      </c>
    </row>
    <row r="1225" customFormat="false" ht="15" hidden="false" customHeight="true" outlineLevel="0" collapsed="false">
      <c r="A1225" s="13" t="s">
        <v>2469</v>
      </c>
      <c r="B1225" s="13" t="s">
        <v>34</v>
      </c>
      <c r="C1225" s="13" t="s">
        <v>2470</v>
      </c>
      <c r="D1225" s="13" t="n">
        <v>43</v>
      </c>
      <c r="E1225" s="13" t="s">
        <v>83</v>
      </c>
      <c r="F1225" s="13" t="s">
        <v>33</v>
      </c>
      <c r="G1225" s="13" t="s">
        <v>95</v>
      </c>
      <c r="H1225" s="13" t="s">
        <v>41</v>
      </c>
      <c r="I1225" s="13" t="n">
        <v>2</v>
      </c>
      <c r="J1225" s="13" t="n">
        <v>0</v>
      </c>
      <c r="K1225" s="13" t="s">
        <v>91</v>
      </c>
      <c r="L1225" s="13" t="n">
        <v>3</v>
      </c>
      <c r="M1225" s="13" t="n">
        <v>1145044.9</v>
      </c>
      <c r="N1225" s="13" t="n">
        <v>381681.633333333</v>
      </c>
      <c r="O1225" s="13" t="n">
        <v>1243.82333333333</v>
      </c>
      <c r="P1225" s="13" t="n">
        <v>0</v>
      </c>
      <c r="Q1225" s="13" t="n">
        <v>3</v>
      </c>
      <c r="R1225" s="13" t="s">
        <v>103</v>
      </c>
      <c r="S1225" s="13" t="s">
        <v>152</v>
      </c>
      <c r="T1225" s="13" t="n">
        <v>1</v>
      </c>
      <c r="U1225" s="13" t="n">
        <f aca="false">IF(B1225="Individual",1,0)</f>
        <v>1</v>
      </c>
      <c r="V1225" s="13" t="n">
        <f aca="false">IF(B1225="Company",1,0)</f>
        <v>0</v>
      </c>
      <c r="W1225" s="13" t="n">
        <f aca="false">IF(H1225="Home",1,0)</f>
        <v>1</v>
      </c>
      <c r="X1225" s="13" t="n">
        <f aca="false">IF(H1225="Investment",1,0)</f>
        <v>0</v>
      </c>
      <c r="Y1225" s="13" t="n">
        <f aca="false">IF(K1225="Website",1,0)</f>
        <v>0</v>
      </c>
      <c r="Z1225" s="13" t="n">
        <f aca="false">IF(K1225="Agency",1,0)</f>
        <v>1</v>
      </c>
      <c r="AA1225" s="13" t="n">
        <f aca="false">IF(K1225="Client",1,0)</f>
        <v>0</v>
      </c>
      <c r="AB1225" s="13" t="n">
        <f aca="false">(D1225-AVERAGE(D$2:D$2001))/STDEV(D$2:D$2001)</f>
        <v>-0.64218676677154</v>
      </c>
      <c r="AC1225" s="13" t="n">
        <f aca="false">(I1225-AVERAGE(I$2:I$2001))/STDEV(I$2:I$2001)</f>
        <v>-0.727948160798201</v>
      </c>
      <c r="AD1225" s="13" t="n">
        <f aca="false">(L1225-AVERAGE(L$2:L$2001))/STDEV(L$2:L$2001)</f>
        <v>-0.777063122173208</v>
      </c>
      <c r="AE1225" s="13" t="n">
        <f aca="false">(M1225-AVERAGE(M$2:M$2001))/STDEV(M$2:M$2001)</f>
        <v>-0.331571054775194</v>
      </c>
      <c r="AF1225" s="13" t="n">
        <f aca="false">(N1225-AVERAGE(N$2:N$2001))/STDEV(N$2:N$2001)</f>
        <v>0.49613846230941</v>
      </c>
      <c r="AG1225" s="13" t="n">
        <f aca="false">(O1225-AVERAGE(O$2:O$2001))/STDEV(O$2:O$2001)</f>
        <v>0.438079901981854</v>
      </c>
      <c r="AH1225" s="0" t="str">
        <f aca="false">IF(B1225="Company","C3 - Corporate Buyers",IF(AND(H1225="Investment",M1225&gt;'Segmentation Summary'!$C$1),"C1 - Global Investors",IF(AND(I1225&gt;=4,M1225&gt;'Segmentation Summary'!$C$1),"C4 - Luxury Investors",IF(AND(D1225&lt;'Segmentation Summary'!$C$2,J1225=1),"C2 - First-Time Buyers","C5 - Other Individual Buyers"))))</f>
        <v>C5 - Other Individual Buyers</v>
      </c>
    </row>
    <row r="1226" customFormat="false" ht="15" hidden="false" customHeight="true" outlineLevel="0" collapsed="false">
      <c r="A1226" s="13" t="s">
        <v>2471</v>
      </c>
      <c r="B1226" s="13" t="s">
        <v>34</v>
      </c>
      <c r="C1226" s="13" t="s">
        <v>2472</v>
      </c>
      <c r="D1226" s="13" t="n">
        <v>42</v>
      </c>
      <c r="E1226" s="13" t="s">
        <v>83</v>
      </c>
      <c r="F1226" s="13" t="s">
        <v>33</v>
      </c>
      <c r="G1226" s="13" t="s">
        <v>84</v>
      </c>
      <c r="H1226" s="13" t="s">
        <v>41</v>
      </c>
      <c r="I1226" s="13" t="n">
        <v>2</v>
      </c>
      <c r="J1226" s="13" t="n">
        <v>0</v>
      </c>
      <c r="K1226" s="13" t="s">
        <v>91</v>
      </c>
      <c r="L1226" s="13" t="n">
        <v>4</v>
      </c>
      <c r="M1226" s="13" t="n">
        <v>1414798.99</v>
      </c>
      <c r="N1226" s="13" t="n">
        <v>353699.7475</v>
      </c>
      <c r="O1226" s="13" t="n">
        <v>1244.805</v>
      </c>
      <c r="P1226" s="13" t="n">
        <v>1</v>
      </c>
      <c r="Q1226" s="13" t="n">
        <v>3</v>
      </c>
      <c r="R1226" s="13" t="s">
        <v>107</v>
      </c>
      <c r="S1226" s="13" t="s">
        <v>114</v>
      </c>
      <c r="T1226" s="13" t="n">
        <v>1</v>
      </c>
      <c r="U1226" s="13" t="n">
        <f aca="false">IF(B1226="Individual",1,0)</f>
        <v>1</v>
      </c>
      <c r="V1226" s="13" t="n">
        <f aca="false">IF(B1226="Company",1,0)</f>
        <v>0</v>
      </c>
      <c r="W1226" s="13" t="n">
        <f aca="false">IF(H1226="Home",1,0)</f>
        <v>1</v>
      </c>
      <c r="X1226" s="13" t="n">
        <f aca="false">IF(H1226="Investment",1,0)</f>
        <v>0</v>
      </c>
      <c r="Y1226" s="13" t="n">
        <f aca="false">IF(K1226="Website",1,0)</f>
        <v>0</v>
      </c>
      <c r="Z1226" s="13" t="n">
        <f aca="false">IF(K1226="Agency",1,0)</f>
        <v>1</v>
      </c>
      <c r="AA1226" s="13" t="n">
        <f aca="false">IF(K1226="Client",1,0)</f>
        <v>0</v>
      </c>
      <c r="AB1226" s="13" t="n">
        <f aca="false">(D1226-AVERAGE(D$2:D$2001))/STDEV(D$2:D$2001)</f>
        <v>-0.699849222259691</v>
      </c>
      <c r="AC1226" s="13" t="n">
        <f aca="false">(I1226-AVERAGE(I$2:I$2001))/STDEV(I$2:I$2001)</f>
        <v>-0.727948160798201</v>
      </c>
      <c r="AD1226" s="13" t="n">
        <f aca="false">(L1226-AVERAGE(L$2:L$2001))/STDEV(L$2:L$2001)</f>
        <v>0.413838214490712</v>
      </c>
      <c r="AE1226" s="13" t="n">
        <f aca="false">(M1226-AVERAGE(M$2:M$2001))/STDEV(M$2:M$2001)</f>
        <v>0.443961746893702</v>
      </c>
      <c r="AF1226" s="13" t="n">
        <f aca="false">(N1226-AVERAGE(N$2:N$2001))/STDEV(N$2:N$2001)</f>
        <v>0.0948023367562659</v>
      </c>
      <c r="AG1226" s="13" t="n">
        <f aca="false">(O1226-AVERAGE(O$2:O$2001))/STDEV(O$2:O$2001)</f>
        <v>0.442543593866529</v>
      </c>
      <c r="AH1226" s="0" t="str">
        <f aca="false">IF(B1226="Company","C3 - Corporate Buyers",IF(AND(H1226="Investment",M1226&gt;'Segmentation Summary'!$C$1),"C1 - Global Investors",IF(AND(I1226&gt;=4,M1226&gt;'Segmentation Summary'!$C$1),"C4 - Luxury Investors",IF(AND(D1226&lt;'Segmentation Summary'!$C$2,J1226=1),"C2 - First-Time Buyers","C5 - Other Individual Buyers"))))</f>
        <v>C5 - Other Individual Buyers</v>
      </c>
    </row>
    <row r="1227" customFormat="false" ht="15" hidden="false" customHeight="true" outlineLevel="0" collapsed="false">
      <c r="A1227" s="13" t="s">
        <v>2473</v>
      </c>
      <c r="B1227" s="13" t="s">
        <v>34</v>
      </c>
      <c r="C1227" s="13" t="s">
        <v>2472</v>
      </c>
      <c r="D1227" s="13" t="n">
        <v>57</v>
      </c>
      <c r="E1227" s="13" t="s">
        <v>83</v>
      </c>
      <c r="F1227" s="13" t="s">
        <v>33</v>
      </c>
      <c r="G1227" s="13" t="s">
        <v>95</v>
      </c>
      <c r="H1227" s="13" t="s">
        <v>43</v>
      </c>
      <c r="I1227" s="13" t="n">
        <v>3</v>
      </c>
      <c r="J1227" s="13" t="n">
        <v>0</v>
      </c>
      <c r="K1227" s="13" t="s">
        <v>85</v>
      </c>
      <c r="L1227" s="13" t="n">
        <v>4</v>
      </c>
      <c r="M1227" s="13" t="n">
        <v>1249167.74</v>
      </c>
      <c r="N1227" s="13" t="n">
        <v>312291.935</v>
      </c>
      <c r="O1227" s="13" t="n">
        <v>1114.2125</v>
      </c>
      <c r="P1227" s="13" t="n">
        <v>1</v>
      </c>
      <c r="Q1227" s="13" t="n">
        <v>3</v>
      </c>
      <c r="R1227" s="13" t="s">
        <v>98</v>
      </c>
      <c r="S1227" s="13" t="s">
        <v>125</v>
      </c>
      <c r="T1227" s="13" t="n">
        <v>1</v>
      </c>
      <c r="U1227" s="13" t="n">
        <f aca="false">IF(B1227="Individual",1,0)</f>
        <v>1</v>
      </c>
      <c r="V1227" s="13" t="n">
        <f aca="false">IF(B1227="Company",1,0)</f>
        <v>0</v>
      </c>
      <c r="W1227" s="13" t="n">
        <f aca="false">IF(H1227="Home",1,0)</f>
        <v>0</v>
      </c>
      <c r="X1227" s="13" t="n">
        <f aca="false">IF(H1227="Investment",1,0)</f>
        <v>1</v>
      </c>
      <c r="Y1227" s="13" t="n">
        <f aca="false">IF(K1227="Website",1,0)</f>
        <v>1</v>
      </c>
      <c r="Z1227" s="13" t="n">
        <f aca="false">IF(K1227="Agency",1,0)</f>
        <v>0</v>
      </c>
      <c r="AA1227" s="13" t="n">
        <f aca="false">IF(K1227="Client",1,0)</f>
        <v>0</v>
      </c>
      <c r="AB1227" s="13" t="n">
        <f aca="false">(D1227-AVERAGE(D$2:D$2001))/STDEV(D$2:D$2001)</f>
        <v>0.165087610062577</v>
      </c>
      <c r="AC1227" s="13" t="n">
        <f aca="false">(I1227-AVERAGE(I$2:I$2001))/STDEV(I$2:I$2001)</f>
        <v>-0.0205155458339628</v>
      </c>
      <c r="AD1227" s="13" t="n">
        <f aca="false">(L1227-AVERAGE(L$2:L$2001))/STDEV(L$2:L$2001)</f>
        <v>0.413838214490712</v>
      </c>
      <c r="AE1227" s="13" t="n">
        <f aca="false">(M1227-AVERAGE(M$2:M$2001))/STDEV(M$2:M$2001)</f>
        <v>-0.0322218296237898</v>
      </c>
      <c r="AF1227" s="13" t="n">
        <f aca="false">(N1227-AVERAGE(N$2:N$2001))/STDEV(N$2:N$2001)</f>
        <v>-0.499097986308614</v>
      </c>
      <c r="AG1227" s="13" t="n">
        <f aca="false">(O1227-AVERAGE(O$2:O$2001))/STDEV(O$2:O$2001)</f>
        <v>-0.151267627641932</v>
      </c>
      <c r="AH1227" s="0" t="str">
        <f aca="false">IF(B1227="Company","C3 - Corporate Buyers",IF(AND(H1227="Investment",M1227&gt;'Segmentation Summary'!$C$1),"C1 - Global Investors",IF(AND(I1227&gt;=4,M1227&gt;'Segmentation Summary'!$C$1),"C4 - Luxury Investors",IF(AND(D1227&lt;'Segmentation Summary'!$C$2,J1227=1),"C2 - First-Time Buyers","C5 - Other Individual Buyers"))))</f>
        <v>C1 - Global Investors</v>
      </c>
    </row>
    <row r="1228" customFormat="false" ht="15" hidden="false" customHeight="true" outlineLevel="0" collapsed="false">
      <c r="A1228" s="13" t="s">
        <v>2474</v>
      </c>
      <c r="B1228" s="13" t="s">
        <v>34</v>
      </c>
      <c r="C1228" s="13" t="s">
        <v>2475</v>
      </c>
      <c r="D1228" s="13" t="n">
        <v>44</v>
      </c>
      <c r="E1228" s="13" t="s">
        <v>83</v>
      </c>
      <c r="F1228" s="13" t="s">
        <v>33</v>
      </c>
      <c r="G1228" s="13" t="s">
        <v>84</v>
      </c>
      <c r="H1228" s="13" t="s">
        <v>43</v>
      </c>
      <c r="I1228" s="13" t="n">
        <v>3</v>
      </c>
      <c r="J1228" s="13" t="n">
        <v>1</v>
      </c>
      <c r="K1228" s="13" t="s">
        <v>91</v>
      </c>
      <c r="L1228" s="13" t="n">
        <v>4</v>
      </c>
      <c r="M1228" s="13" t="n">
        <v>1284141.19</v>
      </c>
      <c r="N1228" s="13" t="n">
        <v>321035.2975</v>
      </c>
      <c r="O1228" s="13" t="n">
        <v>984.6475</v>
      </c>
      <c r="P1228" s="13" t="n">
        <v>1</v>
      </c>
      <c r="Q1228" s="13" t="n">
        <v>3</v>
      </c>
      <c r="R1228" s="13" t="s">
        <v>117</v>
      </c>
      <c r="S1228" s="13" t="s">
        <v>112</v>
      </c>
      <c r="T1228" s="13" t="n">
        <v>1</v>
      </c>
      <c r="U1228" s="13" t="n">
        <f aca="false">IF(B1228="Individual",1,0)</f>
        <v>1</v>
      </c>
      <c r="V1228" s="13" t="n">
        <f aca="false">IF(B1228="Company",1,0)</f>
        <v>0</v>
      </c>
      <c r="W1228" s="13" t="n">
        <f aca="false">IF(H1228="Home",1,0)</f>
        <v>0</v>
      </c>
      <c r="X1228" s="13" t="n">
        <f aca="false">IF(H1228="Investment",1,0)</f>
        <v>1</v>
      </c>
      <c r="Y1228" s="13" t="n">
        <f aca="false">IF(K1228="Website",1,0)</f>
        <v>0</v>
      </c>
      <c r="Z1228" s="13" t="n">
        <f aca="false">IF(K1228="Agency",1,0)</f>
        <v>1</v>
      </c>
      <c r="AA1228" s="13" t="n">
        <f aca="false">IF(K1228="Client",1,0)</f>
        <v>0</v>
      </c>
      <c r="AB1228" s="13" t="n">
        <f aca="false">(D1228-AVERAGE(D$2:D$2001))/STDEV(D$2:D$2001)</f>
        <v>-0.584524311283389</v>
      </c>
      <c r="AC1228" s="13" t="n">
        <f aca="false">(I1228-AVERAGE(I$2:I$2001))/STDEV(I$2:I$2001)</f>
        <v>-0.0205155458339628</v>
      </c>
      <c r="AD1228" s="13" t="n">
        <f aca="false">(L1228-AVERAGE(L$2:L$2001))/STDEV(L$2:L$2001)</f>
        <v>0.413838214490712</v>
      </c>
      <c r="AE1228" s="13" t="n">
        <f aca="false">(M1228-AVERAGE(M$2:M$2001))/STDEV(M$2:M$2001)</f>
        <v>0.0683255157844931</v>
      </c>
      <c r="AF1228" s="13" t="n">
        <f aca="false">(N1228-AVERAGE(N$2:N$2001))/STDEV(N$2:N$2001)</f>
        <v>-0.373694457362878</v>
      </c>
      <c r="AG1228" s="13" t="n">
        <f aca="false">(O1228-AVERAGE(O$2:O$2001))/STDEV(O$2:O$2001)</f>
        <v>-0.740406750598792</v>
      </c>
      <c r="AH1228" s="0" t="str">
        <f aca="false">IF(B1228="Company","C3 - Corporate Buyers",IF(AND(H1228="Investment",M1228&gt;'Segmentation Summary'!$C$1),"C1 - Global Investors",IF(AND(I1228&gt;=4,M1228&gt;'Segmentation Summary'!$C$1),"C4 - Luxury Investors",IF(AND(D1228&lt;'Segmentation Summary'!$C$2,J1228=1),"C2 - First-Time Buyers","C5 - Other Individual Buyers"))))</f>
        <v>C1 - Global Investors</v>
      </c>
    </row>
    <row r="1229" customFormat="false" ht="15" hidden="false" customHeight="true" outlineLevel="0" collapsed="false">
      <c r="A1229" s="13" t="s">
        <v>2476</v>
      </c>
      <c r="B1229" s="13" t="s">
        <v>34</v>
      </c>
      <c r="C1229" s="13" t="s">
        <v>2477</v>
      </c>
      <c r="D1229" s="13" t="n">
        <v>57</v>
      </c>
      <c r="E1229" s="13" t="s">
        <v>83</v>
      </c>
      <c r="F1229" s="13" t="s">
        <v>35</v>
      </c>
      <c r="G1229" s="13" t="s">
        <v>137</v>
      </c>
      <c r="H1229" s="13" t="s">
        <v>41</v>
      </c>
      <c r="I1229" s="13" t="n">
        <v>3</v>
      </c>
      <c r="J1229" s="13" t="n">
        <v>0</v>
      </c>
      <c r="K1229" s="13" t="s">
        <v>85</v>
      </c>
      <c r="L1229" s="13" t="n">
        <v>3</v>
      </c>
      <c r="M1229" s="13" t="n">
        <v>1163104.83</v>
      </c>
      <c r="N1229" s="13" t="n">
        <v>387701.61</v>
      </c>
      <c r="O1229" s="13" t="n">
        <v>1193.77333333333</v>
      </c>
      <c r="P1229" s="13" t="n">
        <v>1</v>
      </c>
      <c r="Q1229" s="13" t="n">
        <v>2</v>
      </c>
      <c r="R1229" s="13" t="s">
        <v>92</v>
      </c>
      <c r="S1229" s="13" t="s">
        <v>133</v>
      </c>
      <c r="T1229" s="13" t="n">
        <v>1</v>
      </c>
      <c r="U1229" s="13" t="n">
        <f aca="false">IF(B1229="Individual",1,0)</f>
        <v>1</v>
      </c>
      <c r="V1229" s="13" t="n">
        <f aca="false">IF(B1229="Company",1,0)</f>
        <v>0</v>
      </c>
      <c r="W1229" s="13" t="n">
        <f aca="false">IF(H1229="Home",1,0)</f>
        <v>1</v>
      </c>
      <c r="X1229" s="13" t="n">
        <f aca="false">IF(H1229="Investment",1,0)</f>
        <v>0</v>
      </c>
      <c r="Y1229" s="13" t="n">
        <f aca="false">IF(K1229="Website",1,0)</f>
        <v>1</v>
      </c>
      <c r="Z1229" s="13" t="n">
        <f aca="false">IF(K1229="Agency",1,0)</f>
        <v>0</v>
      </c>
      <c r="AA1229" s="13" t="n">
        <f aca="false">IF(K1229="Client",1,0)</f>
        <v>0</v>
      </c>
      <c r="AB1229" s="13" t="n">
        <f aca="false">(D1229-AVERAGE(D$2:D$2001))/STDEV(D$2:D$2001)</f>
        <v>0.165087610062577</v>
      </c>
      <c r="AC1229" s="13" t="n">
        <f aca="false">(I1229-AVERAGE(I$2:I$2001))/STDEV(I$2:I$2001)</f>
        <v>-0.0205155458339628</v>
      </c>
      <c r="AD1229" s="13" t="n">
        <f aca="false">(L1229-AVERAGE(L$2:L$2001))/STDEV(L$2:L$2001)</f>
        <v>-0.777063122173208</v>
      </c>
      <c r="AE1229" s="13" t="n">
        <f aca="false">(M1229-AVERAGE(M$2:M$2001))/STDEV(M$2:M$2001)</f>
        <v>-0.279649439385251</v>
      </c>
      <c r="AF1229" s="13" t="n">
        <f aca="false">(N1229-AVERAGE(N$2:N$2001))/STDEV(N$2:N$2001)</f>
        <v>0.582481252988743</v>
      </c>
      <c r="AG1229" s="13" t="n">
        <f aca="false">(O1229-AVERAGE(O$2:O$2001))/STDEV(O$2:O$2001)</f>
        <v>0.21049982168246</v>
      </c>
      <c r="AH1229" s="0" t="str">
        <f aca="false">IF(B1229="Company","C3 - Corporate Buyers",IF(AND(H1229="Investment",M1229&gt;'Segmentation Summary'!$C$1),"C1 - Global Investors",IF(AND(I1229&gt;=4,M1229&gt;'Segmentation Summary'!$C$1),"C4 - Luxury Investors",IF(AND(D1229&lt;'Segmentation Summary'!$C$2,J1229=1),"C2 - First-Time Buyers","C5 - Other Individual Buyers"))))</f>
        <v>C5 - Other Individual Buyers</v>
      </c>
    </row>
    <row r="1230" customFormat="false" ht="15" hidden="false" customHeight="true" outlineLevel="0" collapsed="false">
      <c r="A1230" s="13" t="s">
        <v>2478</v>
      </c>
      <c r="B1230" s="13" t="s">
        <v>34</v>
      </c>
      <c r="C1230" s="13" t="s">
        <v>2479</v>
      </c>
      <c r="D1230" s="13" t="n">
        <v>55</v>
      </c>
      <c r="E1230" s="13" t="s">
        <v>83</v>
      </c>
      <c r="F1230" s="13" t="s">
        <v>33</v>
      </c>
      <c r="G1230" s="13" t="s">
        <v>157</v>
      </c>
      <c r="H1230" s="13" t="s">
        <v>41</v>
      </c>
      <c r="I1230" s="13" t="n">
        <v>3</v>
      </c>
      <c r="J1230" s="13" t="n">
        <v>0</v>
      </c>
      <c r="K1230" s="13" t="s">
        <v>85</v>
      </c>
      <c r="L1230" s="13" t="n">
        <v>4</v>
      </c>
      <c r="M1230" s="13" t="n">
        <v>1563434.47</v>
      </c>
      <c r="N1230" s="13" t="n">
        <v>390858.6175</v>
      </c>
      <c r="O1230" s="13" t="n">
        <v>1307.3</v>
      </c>
      <c r="P1230" s="13" t="n">
        <v>0</v>
      </c>
      <c r="Q1230" s="13" t="n">
        <v>4</v>
      </c>
      <c r="R1230" s="13" t="s">
        <v>121</v>
      </c>
      <c r="S1230" s="13" t="s">
        <v>125</v>
      </c>
      <c r="T1230" s="13" t="n">
        <v>1</v>
      </c>
      <c r="U1230" s="13" t="n">
        <f aca="false">IF(B1230="Individual",1,0)</f>
        <v>1</v>
      </c>
      <c r="V1230" s="13" t="n">
        <f aca="false">IF(B1230="Company",1,0)</f>
        <v>0</v>
      </c>
      <c r="W1230" s="13" t="n">
        <f aca="false">IF(H1230="Home",1,0)</f>
        <v>1</v>
      </c>
      <c r="X1230" s="13" t="n">
        <f aca="false">IF(H1230="Investment",1,0)</f>
        <v>0</v>
      </c>
      <c r="Y1230" s="13" t="n">
        <f aca="false">IF(K1230="Website",1,0)</f>
        <v>1</v>
      </c>
      <c r="Z1230" s="13" t="n">
        <f aca="false">IF(K1230="Agency",1,0)</f>
        <v>0</v>
      </c>
      <c r="AA1230" s="13" t="n">
        <f aca="false">IF(K1230="Client",1,0)</f>
        <v>0</v>
      </c>
      <c r="AB1230" s="13" t="n">
        <f aca="false">(D1230-AVERAGE(D$2:D$2001))/STDEV(D$2:D$2001)</f>
        <v>0.0497626990862745</v>
      </c>
      <c r="AC1230" s="13" t="n">
        <f aca="false">(I1230-AVERAGE(I$2:I$2001))/STDEV(I$2:I$2001)</f>
        <v>-0.0205155458339628</v>
      </c>
      <c r="AD1230" s="13" t="n">
        <f aca="false">(L1230-AVERAGE(L$2:L$2001))/STDEV(L$2:L$2001)</f>
        <v>0.413838214490712</v>
      </c>
      <c r="AE1230" s="13" t="n">
        <f aca="false">(M1230-AVERAGE(M$2:M$2001))/STDEV(M$2:M$2001)</f>
        <v>0.871283127755068</v>
      </c>
      <c r="AF1230" s="13" t="n">
        <f aca="false">(N1230-AVERAGE(N$2:N$2001))/STDEV(N$2:N$2001)</f>
        <v>0.627761301872471</v>
      </c>
      <c r="AG1230" s="13" t="n">
        <f aca="false">(O1230-AVERAGE(O$2:O$2001))/STDEV(O$2:O$2001)</f>
        <v>0.726711768058548</v>
      </c>
      <c r="AH1230" s="0" t="str">
        <f aca="false">IF(B1230="Company","C3 - Corporate Buyers",IF(AND(H1230="Investment",M1230&gt;'Segmentation Summary'!$C$1),"C1 - Global Investors",IF(AND(I1230&gt;=4,M1230&gt;'Segmentation Summary'!$C$1),"C4 - Luxury Investors",IF(AND(D1230&lt;'Segmentation Summary'!$C$2,J1230=1),"C2 - First-Time Buyers","C5 - Other Individual Buyers"))))</f>
        <v>C5 - Other Individual Buyers</v>
      </c>
    </row>
    <row r="1231" customFormat="false" ht="15" hidden="false" customHeight="true" outlineLevel="0" collapsed="false">
      <c r="A1231" s="13" t="s">
        <v>2480</v>
      </c>
      <c r="B1231" s="13" t="s">
        <v>34</v>
      </c>
      <c r="C1231" s="13" t="s">
        <v>2479</v>
      </c>
      <c r="D1231" s="13" t="n">
        <v>55</v>
      </c>
      <c r="E1231" s="13" t="s">
        <v>83</v>
      </c>
      <c r="F1231" s="13" t="s">
        <v>33</v>
      </c>
      <c r="G1231" s="13" t="s">
        <v>207</v>
      </c>
      <c r="H1231" s="13" t="s">
        <v>41</v>
      </c>
      <c r="I1231" s="13" t="n">
        <v>4</v>
      </c>
      <c r="J1231" s="13" t="n">
        <v>0</v>
      </c>
      <c r="K1231" s="13" t="s">
        <v>91</v>
      </c>
      <c r="L1231" s="13" t="n">
        <v>4</v>
      </c>
      <c r="M1231" s="13" t="n">
        <v>1245234.35</v>
      </c>
      <c r="N1231" s="13" t="n">
        <v>311308.5875</v>
      </c>
      <c r="O1231" s="13" t="n">
        <v>1048.44</v>
      </c>
      <c r="P1231" s="13" t="n">
        <v>0</v>
      </c>
      <c r="Q1231" s="13" t="n">
        <v>4</v>
      </c>
      <c r="R1231" s="13" t="s">
        <v>98</v>
      </c>
      <c r="S1231" s="13" t="s">
        <v>164</v>
      </c>
      <c r="T1231" s="13" t="n">
        <v>1</v>
      </c>
      <c r="U1231" s="13" t="n">
        <f aca="false">IF(B1231="Individual",1,0)</f>
        <v>1</v>
      </c>
      <c r="V1231" s="13" t="n">
        <f aca="false">IF(B1231="Company",1,0)</f>
        <v>0</v>
      </c>
      <c r="W1231" s="13" t="n">
        <f aca="false">IF(H1231="Home",1,0)</f>
        <v>1</v>
      </c>
      <c r="X1231" s="13" t="n">
        <f aca="false">IF(H1231="Investment",1,0)</f>
        <v>0</v>
      </c>
      <c r="Y1231" s="13" t="n">
        <f aca="false">IF(K1231="Website",1,0)</f>
        <v>0</v>
      </c>
      <c r="Z1231" s="13" t="n">
        <f aca="false">IF(K1231="Agency",1,0)</f>
        <v>1</v>
      </c>
      <c r="AA1231" s="13" t="n">
        <f aca="false">IF(K1231="Client",1,0)</f>
        <v>0</v>
      </c>
      <c r="AB1231" s="13" t="n">
        <f aca="false">(D1231-AVERAGE(D$2:D$2001))/STDEV(D$2:D$2001)</f>
        <v>0.0497626990862745</v>
      </c>
      <c r="AC1231" s="13" t="n">
        <f aca="false">(I1231-AVERAGE(I$2:I$2001))/STDEV(I$2:I$2001)</f>
        <v>0.686917069130275</v>
      </c>
      <c r="AD1231" s="13" t="n">
        <f aca="false">(L1231-AVERAGE(L$2:L$2001))/STDEV(L$2:L$2001)</f>
        <v>0.413838214490712</v>
      </c>
      <c r="AE1231" s="13" t="n">
        <f aca="false">(M1231-AVERAGE(M$2:M$2001))/STDEV(M$2:M$2001)</f>
        <v>-0.0435301770403437</v>
      </c>
      <c r="AF1231" s="13" t="n">
        <f aca="false">(N1231-AVERAGE(N$2:N$2001))/STDEV(N$2:N$2001)</f>
        <v>-0.513201856150447</v>
      </c>
      <c r="AG1231" s="13" t="n">
        <f aca="false">(O1231-AVERAGE(O$2:O$2001))/STDEV(O$2:O$2001)</f>
        <v>-0.450338773126284</v>
      </c>
      <c r="AH1231" s="0" t="str">
        <f aca="false">IF(B1231="Company","C3 - Corporate Buyers",IF(AND(H1231="Investment",M1231&gt;'Segmentation Summary'!$C$1),"C1 - Global Investors",IF(AND(I1231&gt;=4,M1231&gt;'Segmentation Summary'!$C$1),"C4 - Luxury Investors",IF(AND(D1231&lt;'Segmentation Summary'!$C$2,J1231=1),"C2 - First-Time Buyers","C5 - Other Individual Buyers"))))</f>
        <v>C4 - Luxury Investors</v>
      </c>
    </row>
    <row r="1232" customFormat="false" ht="15" hidden="false" customHeight="true" outlineLevel="0" collapsed="false">
      <c r="A1232" s="13" t="s">
        <v>2481</v>
      </c>
      <c r="B1232" s="13" t="s">
        <v>34</v>
      </c>
      <c r="C1232" s="13" t="s">
        <v>2482</v>
      </c>
      <c r="D1232" s="13" t="n">
        <v>27</v>
      </c>
      <c r="E1232" s="13" t="s">
        <v>83</v>
      </c>
      <c r="F1232" s="13" t="s">
        <v>33</v>
      </c>
      <c r="G1232" s="13" t="s">
        <v>162</v>
      </c>
      <c r="H1232" s="13" t="s">
        <v>43</v>
      </c>
      <c r="I1232" s="13" t="n">
        <v>4</v>
      </c>
      <c r="J1232" s="13" t="n">
        <v>0</v>
      </c>
      <c r="K1232" s="13" t="s">
        <v>91</v>
      </c>
      <c r="L1232" s="13" t="n">
        <v>4</v>
      </c>
      <c r="M1232" s="13" t="n">
        <v>1364289.23</v>
      </c>
      <c r="N1232" s="13" t="n">
        <v>341072.3075</v>
      </c>
      <c r="O1232" s="13" t="n">
        <v>1198.3725</v>
      </c>
      <c r="P1232" s="13" t="n">
        <v>0</v>
      </c>
      <c r="Q1232" s="13" t="n">
        <v>4</v>
      </c>
      <c r="R1232" s="13" t="s">
        <v>101</v>
      </c>
      <c r="S1232" s="13" t="s">
        <v>152</v>
      </c>
      <c r="T1232" s="13" t="n">
        <v>1</v>
      </c>
      <c r="U1232" s="13" t="n">
        <f aca="false">IF(B1232="Individual",1,0)</f>
        <v>1</v>
      </c>
      <c r="V1232" s="13" t="n">
        <f aca="false">IF(B1232="Company",1,0)</f>
        <v>0</v>
      </c>
      <c r="W1232" s="13" t="n">
        <f aca="false">IF(H1232="Home",1,0)</f>
        <v>0</v>
      </c>
      <c r="X1232" s="13" t="n">
        <f aca="false">IF(H1232="Investment",1,0)</f>
        <v>1</v>
      </c>
      <c r="Y1232" s="13" t="n">
        <f aca="false">IF(K1232="Website",1,0)</f>
        <v>0</v>
      </c>
      <c r="Z1232" s="13" t="n">
        <f aca="false">IF(K1232="Agency",1,0)</f>
        <v>1</v>
      </c>
      <c r="AA1232" s="13" t="n">
        <f aca="false">IF(K1232="Client",1,0)</f>
        <v>0</v>
      </c>
      <c r="AB1232" s="13" t="n">
        <f aca="false">(D1232-AVERAGE(D$2:D$2001))/STDEV(D$2:D$2001)</f>
        <v>-1.56478605458196</v>
      </c>
      <c r="AC1232" s="13" t="n">
        <f aca="false">(I1232-AVERAGE(I$2:I$2001))/STDEV(I$2:I$2001)</f>
        <v>0.686917069130275</v>
      </c>
      <c r="AD1232" s="13" t="n">
        <f aca="false">(L1232-AVERAGE(L$2:L$2001))/STDEV(L$2:L$2001)</f>
        <v>0.413838214490712</v>
      </c>
      <c r="AE1232" s="13" t="n">
        <f aca="false">(M1232-AVERAGE(M$2:M$2001))/STDEV(M$2:M$2001)</f>
        <v>0.298748098105565</v>
      </c>
      <c r="AF1232" s="13" t="n">
        <f aca="false">(N1232-AVERAGE(N$2:N$2001))/STDEV(N$2:N$2001)</f>
        <v>-0.0863093965786547</v>
      </c>
      <c r="AG1232" s="13" t="n">
        <f aca="false">(O1232-AVERAGE(O$2:O$2001))/STDEV(O$2:O$2001)</f>
        <v>0.231412483406957</v>
      </c>
      <c r="AH1232" s="0" t="str">
        <f aca="false">IF(B1232="Company","C3 - Corporate Buyers",IF(AND(H1232="Investment",M1232&gt;'Segmentation Summary'!$C$1),"C1 - Global Investors",IF(AND(I1232&gt;=4,M1232&gt;'Segmentation Summary'!$C$1),"C4 - Luxury Investors",IF(AND(D1232&lt;'Segmentation Summary'!$C$2,J1232=1),"C2 - First-Time Buyers","C5 - Other Individual Buyers"))))</f>
        <v>C1 - Global Investors</v>
      </c>
    </row>
    <row r="1233" customFormat="false" ht="15" hidden="false" customHeight="true" outlineLevel="0" collapsed="false">
      <c r="A1233" s="13" t="s">
        <v>2483</v>
      </c>
      <c r="B1233" s="13" t="s">
        <v>34</v>
      </c>
      <c r="C1233" s="13" t="s">
        <v>2484</v>
      </c>
      <c r="D1233" s="13" t="n">
        <v>54</v>
      </c>
      <c r="E1233" s="13" t="s">
        <v>83</v>
      </c>
      <c r="F1233" s="13" t="s">
        <v>35</v>
      </c>
      <c r="G1233" s="13" t="s">
        <v>137</v>
      </c>
      <c r="H1233" s="13" t="s">
        <v>41</v>
      </c>
      <c r="I1233" s="13" t="n">
        <v>2</v>
      </c>
      <c r="J1233" s="13" t="n">
        <v>0</v>
      </c>
      <c r="K1233" s="13" t="s">
        <v>85</v>
      </c>
      <c r="L1233" s="13" t="n">
        <v>3</v>
      </c>
      <c r="M1233" s="13" t="n">
        <v>827767.69</v>
      </c>
      <c r="N1233" s="13" t="n">
        <v>275922.563333333</v>
      </c>
      <c r="O1233" s="13" t="n">
        <v>1077.32333333333</v>
      </c>
      <c r="P1233" s="13" t="n">
        <v>0</v>
      </c>
      <c r="Q1233" s="13" t="n">
        <v>3</v>
      </c>
      <c r="R1233" s="13" t="s">
        <v>92</v>
      </c>
      <c r="S1233" s="13" t="s">
        <v>150</v>
      </c>
      <c r="T1233" s="13" t="n">
        <v>1</v>
      </c>
      <c r="U1233" s="13" t="n">
        <f aca="false">IF(B1233="Individual",1,0)</f>
        <v>1</v>
      </c>
      <c r="V1233" s="13" t="n">
        <f aca="false">IF(B1233="Company",1,0)</f>
        <v>0</v>
      </c>
      <c r="W1233" s="13" t="n">
        <f aca="false">IF(H1233="Home",1,0)</f>
        <v>1</v>
      </c>
      <c r="X1233" s="13" t="n">
        <f aca="false">IF(H1233="Investment",1,0)</f>
        <v>0</v>
      </c>
      <c r="Y1233" s="13" t="n">
        <f aca="false">IF(K1233="Website",1,0)</f>
        <v>1</v>
      </c>
      <c r="Z1233" s="13" t="n">
        <f aca="false">IF(K1233="Agency",1,0)</f>
        <v>0</v>
      </c>
      <c r="AA1233" s="13" t="n">
        <f aca="false">IF(K1233="Client",1,0)</f>
        <v>0</v>
      </c>
      <c r="AB1233" s="13" t="n">
        <f aca="false">(D1233-AVERAGE(D$2:D$2001))/STDEV(D$2:D$2001)</f>
        <v>-0.00789975640187674</v>
      </c>
      <c r="AC1233" s="13" t="n">
        <f aca="false">(I1233-AVERAGE(I$2:I$2001))/STDEV(I$2:I$2001)</f>
        <v>-0.727948160798201</v>
      </c>
      <c r="AD1233" s="13" t="n">
        <f aca="false">(L1233-AVERAGE(L$2:L$2001))/STDEV(L$2:L$2001)</f>
        <v>-0.777063122173208</v>
      </c>
      <c r="AE1233" s="13" t="n">
        <f aca="false">(M1233-AVERAGE(M$2:M$2001))/STDEV(M$2:M$2001)</f>
        <v>-1.24373102824211</v>
      </c>
      <c r="AF1233" s="13" t="n">
        <f aca="false">(N1233-AVERAGE(N$2:N$2001))/STDEV(N$2:N$2001)</f>
        <v>-1.02073340432303</v>
      </c>
      <c r="AG1233" s="13" t="n">
        <f aca="false">(O1233-AVERAGE(O$2:O$2001))/STDEV(O$2:O$2001)</f>
        <v>-0.319004680832311</v>
      </c>
      <c r="AH1233" s="0" t="str">
        <f aca="false">IF(B1233="Company","C3 - Corporate Buyers",IF(AND(H1233="Investment",M1233&gt;'Segmentation Summary'!$C$1),"C1 - Global Investors",IF(AND(I1233&gt;=4,M1233&gt;'Segmentation Summary'!$C$1),"C4 - Luxury Investors",IF(AND(D1233&lt;'Segmentation Summary'!$C$2,J1233=1),"C2 - First-Time Buyers","C5 - Other Individual Buyers"))))</f>
        <v>C5 - Other Individual Buyers</v>
      </c>
    </row>
    <row r="1234" customFormat="false" ht="15" hidden="false" customHeight="true" outlineLevel="0" collapsed="false">
      <c r="A1234" s="13" t="s">
        <v>2485</v>
      </c>
      <c r="B1234" s="13" t="s">
        <v>34</v>
      </c>
      <c r="C1234" s="13" t="s">
        <v>2486</v>
      </c>
      <c r="D1234" s="13" t="n">
        <v>50</v>
      </c>
      <c r="E1234" s="13" t="s">
        <v>83</v>
      </c>
      <c r="F1234" s="13" t="s">
        <v>33</v>
      </c>
      <c r="G1234" s="13" t="s">
        <v>95</v>
      </c>
      <c r="H1234" s="13" t="s">
        <v>43</v>
      </c>
      <c r="I1234" s="13" t="n">
        <v>2</v>
      </c>
      <c r="J1234" s="13" t="n">
        <v>0</v>
      </c>
      <c r="K1234" s="13" t="s">
        <v>116</v>
      </c>
      <c r="L1234" s="13" t="n">
        <v>3</v>
      </c>
      <c r="M1234" s="13" t="n">
        <v>1290567.39</v>
      </c>
      <c r="N1234" s="13" t="n">
        <v>430189.13</v>
      </c>
      <c r="O1234" s="13" t="n">
        <v>1286.43</v>
      </c>
      <c r="P1234" s="13" t="n">
        <v>0</v>
      </c>
      <c r="Q1234" s="13" t="n">
        <v>3</v>
      </c>
      <c r="R1234" s="13" t="s">
        <v>124</v>
      </c>
      <c r="S1234" s="13" t="s">
        <v>154</v>
      </c>
      <c r="T1234" s="13" t="n">
        <v>1</v>
      </c>
      <c r="U1234" s="13" t="n">
        <f aca="false">IF(B1234="Individual",1,0)</f>
        <v>1</v>
      </c>
      <c r="V1234" s="13" t="n">
        <f aca="false">IF(B1234="Company",1,0)</f>
        <v>0</v>
      </c>
      <c r="W1234" s="13" t="n">
        <f aca="false">IF(H1234="Home",1,0)</f>
        <v>0</v>
      </c>
      <c r="X1234" s="13" t="n">
        <f aca="false">IF(H1234="Investment",1,0)</f>
        <v>1</v>
      </c>
      <c r="Y1234" s="13" t="n">
        <f aca="false">IF(K1234="Website",1,0)</f>
        <v>0</v>
      </c>
      <c r="Z1234" s="13" t="n">
        <f aca="false">IF(K1234="Agency",1,0)</f>
        <v>0</v>
      </c>
      <c r="AA1234" s="13" t="n">
        <f aca="false">IF(K1234="Client",1,0)</f>
        <v>1</v>
      </c>
      <c r="AB1234" s="13" t="n">
        <f aca="false">(D1234-AVERAGE(D$2:D$2001))/STDEV(D$2:D$2001)</f>
        <v>-0.238549578354482</v>
      </c>
      <c r="AC1234" s="13" t="n">
        <f aca="false">(I1234-AVERAGE(I$2:I$2001))/STDEV(I$2:I$2001)</f>
        <v>-0.727948160798201</v>
      </c>
      <c r="AD1234" s="13" t="n">
        <f aca="false">(L1234-AVERAGE(L$2:L$2001))/STDEV(L$2:L$2001)</f>
        <v>-0.777063122173208</v>
      </c>
      <c r="AE1234" s="13" t="n">
        <f aca="false">(M1234-AVERAGE(M$2:M$2001))/STDEV(M$2:M$2001)</f>
        <v>0.0868005976269394</v>
      </c>
      <c r="AF1234" s="13" t="n">
        <f aca="false">(N1234-AVERAGE(N$2:N$2001))/STDEV(N$2:N$2001)</f>
        <v>1.19186750960941</v>
      </c>
      <c r="AG1234" s="13" t="n">
        <f aca="false">(O1234-AVERAGE(O$2:O$2001))/STDEV(O$2:O$2001)</f>
        <v>0.63181473957007</v>
      </c>
      <c r="AH1234" s="0" t="str">
        <f aca="false">IF(B1234="Company","C3 - Corporate Buyers",IF(AND(H1234="Investment",M1234&gt;'Segmentation Summary'!$C$1),"C1 - Global Investors",IF(AND(I1234&gt;=4,M1234&gt;'Segmentation Summary'!$C$1),"C4 - Luxury Investors",IF(AND(D1234&lt;'Segmentation Summary'!$C$2,J1234=1),"C2 - First-Time Buyers","C5 - Other Individual Buyers"))))</f>
        <v>C1 - Global Investors</v>
      </c>
    </row>
    <row r="1235" customFormat="false" ht="15" hidden="false" customHeight="true" outlineLevel="0" collapsed="false">
      <c r="A1235" s="13" t="s">
        <v>2487</v>
      </c>
      <c r="B1235" s="13" t="s">
        <v>34</v>
      </c>
      <c r="C1235" s="13" t="s">
        <v>2488</v>
      </c>
      <c r="D1235" s="13" t="n">
        <v>24</v>
      </c>
      <c r="E1235" s="13" t="s">
        <v>83</v>
      </c>
      <c r="F1235" s="13" t="s">
        <v>33</v>
      </c>
      <c r="G1235" s="13" t="s">
        <v>84</v>
      </c>
      <c r="H1235" s="13" t="s">
        <v>41</v>
      </c>
      <c r="I1235" s="13" t="n">
        <v>1</v>
      </c>
      <c r="J1235" s="13" t="n">
        <v>0</v>
      </c>
      <c r="K1235" s="13" t="s">
        <v>91</v>
      </c>
      <c r="L1235" s="13" t="n">
        <v>4</v>
      </c>
      <c r="M1235" s="13" t="n">
        <v>1505369.42</v>
      </c>
      <c r="N1235" s="13" t="n">
        <v>376342.355</v>
      </c>
      <c r="O1235" s="13" t="n">
        <v>1141.225</v>
      </c>
      <c r="P1235" s="13" t="n">
        <v>1</v>
      </c>
      <c r="Q1235" s="13" t="n">
        <v>3</v>
      </c>
      <c r="R1235" s="13" t="s">
        <v>101</v>
      </c>
      <c r="S1235" s="13" t="s">
        <v>114</v>
      </c>
      <c r="T1235" s="13" t="n">
        <v>1</v>
      </c>
      <c r="U1235" s="13" t="n">
        <f aca="false">IF(B1235="Individual",1,0)</f>
        <v>1</v>
      </c>
      <c r="V1235" s="13" t="n">
        <f aca="false">IF(B1235="Company",1,0)</f>
        <v>0</v>
      </c>
      <c r="W1235" s="13" t="n">
        <f aca="false">IF(H1235="Home",1,0)</f>
        <v>1</v>
      </c>
      <c r="X1235" s="13" t="n">
        <f aca="false">IF(H1235="Investment",1,0)</f>
        <v>0</v>
      </c>
      <c r="Y1235" s="13" t="n">
        <f aca="false">IF(K1235="Website",1,0)</f>
        <v>0</v>
      </c>
      <c r="Z1235" s="13" t="n">
        <f aca="false">IF(K1235="Agency",1,0)</f>
        <v>1</v>
      </c>
      <c r="AA1235" s="13" t="n">
        <f aca="false">IF(K1235="Client",1,0)</f>
        <v>0</v>
      </c>
      <c r="AB1235" s="13" t="n">
        <f aca="false">(D1235-AVERAGE(D$2:D$2001))/STDEV(D$2:D$2001)</f>
        <v>-1.73777342104641</v>
      </c>
      <c r="AC1235" s="13" t="n">
        <f aca="false">(I1235-AVERAGE(I$2:I$2001))/STDEV(I$2:I$2001)</f>
        <v>-1.43538077576244</v>
      </c>
      <c r="AD1235" s="13" t="n">
        <f aca="false">(L1235-AVERAGE(L$2:L$2001))/STDEV(L$2:L$2001)</f>
        <v>0.413838214490712</v>
      </c>
      <c r="AE1235" s="13" t="n">
        <f aca="false">(M1235-AVERAGE(M$2:M$2001))/STDEV(M$2:M$2001)</f>
        <v>0.704348306097518</v>
      </c>
      <c r="AF1235" s="13" t="n">
        <f aca="false">(N1235-AVERAGE(N$2:N$2001))/STDEV(N$2:N$2001)</f>
        <v>0.419558731682495</v>
      </c>
      <c r="AG1235" s="13" t="n">
        <f aca="false">(O1235-AVERAGE(O$2:O$2001))/STDEV(O$2:O$2001)</f>
        <v>-0.0284403165712562</v>
      </c>
      <c r="AH1235" s="0" t="str">
        <f aca="false">IF(B1235="Company","C3 - Corporate Buyers",IF(AND(H1235="Investment",M1235&gt;'Segmentation Summary'!$C$1),"C1 - Global Investors",IF(AND(I1235&gt;=4,M1235&gt;'Segmentation Summary'!$C$1),"C4 - Luxury Investors",IF(AND(D1235&lt;'Segmentation Summary'!$C$2,J1235=1),"C2 - First-Time Buyers","C5 - Other Individual Buyers"))))</f>
        <v>C5 - Other Individual Buyers</v>
      </c>
    </row>
    <row r="1236" customFormat="false" ht="15" hidden="false" customHeight="true" outlineLevel="0" collapsed="false">
      <c r="A1236" s="13" t="s">
        <v>2489</v>
      </c>
      <c r="B1236" s="13" t="s">
        <v>34</v>
      </c>
      <c r="C1236" s="13" t="s">
        <v>2488</v>
      </c>
      <c r="D1236" s="13" t="n">
        <v>39</v>
      </c>
      <c r="E1236" s="13" t="s">
        <v>83</v>
      </c>
      <c r="F1236" s="13" t="s">
        <v>33</v>
      </c>
      <c r="G1236" s="13" t="s">
        <v>120</v>
      </c>
      <c r="H1236" s="13" t="s">
        <v>43</v>
      </c>
      <c r="I1236" s="13" t="n">
        <v>1</v>
      </c>
      <c r="J1236" s="13" t="n">
        <v>0</v>
      </c>
      <c r="K1236" s="13" t="s">
        <v>85</v>
      </c>
      <c r="L1236" s="13" t="n">
        <v>3</v>
      </c>
      <c r="M1236" s="13" t="n">
        <v>881113.79</v>
      </c>
      <c r="N1236" s="13" t="n">
        <v>293704.596666667</v>
      </c>
      <c r="O1236" s="13" t="n">
        <v>934.873333333333</v>
      </c>
      <c r="P1236" s="13" t="n">
        <v>0</v>
      </c>
      <c r="Q1236" s="13" t="n">
        <v>3</v>
      </c>
      <c r="R1236" s="13" t="s">
        <v>98</v>
      </c>
      <c r="S1236" s="13" t="s">
        <v>103</v>
      </c>
      <c r="T1236" s="13" t="n">
        <v>1</v>
      </c>
      <c r="U1236" s="13" t="n">
        <f aca="false">IF(B1236="Individual",1,0)</f>
        <v>1</v>
      </c>
      <c r="V1236" s="13" t="n">
        <f aca="false">IF(B1236="Company",1,0)</f>
        <v>0</v>
      </c>
      <c r="W1236" s="13" t="n">
        <f aca="false">IF(H1236="Home",1,0)</f>
        <v>0</v>
      </c>
      <c r="X1236" s="13" t="n">
        <f aca="false">IF(H1236="Investment",1,0)</f>
        <v>1</v>
      </c>
      <c r="Y1236" s="13" t="n">
        <f aca="false">IF(K1236="Website",1,0)</f>
        <v>1</v>
      </c>
      <c r="Z1236" s="13" t="n">
        <f aca="false">IF(K1236="Agency",1,0)</f>
        <v>0</v>
      </c>
      <c r="AA1236" s="13" t="n">
        <f aca="false">IF(K1236="Client",1,0)</f>
        <v>0</v>
      </c>
      <c r="AB1236" s="13" t="n">
        <f aca="false">(D1236-AVERAGE(D$2:D$2001))/STDEV(D$2:D$2001)</f>
        <v>-0.872836588724145</v>
      </c>
      <c r="AC1236" s="13" t="n">
        <f aca="false">(I1236-AVERAGE(I$2:I$2001))/STDEV(I$2:I$2001)</f>
        <v>-1.43538077576244</v>
      </c>
      <c r="AD1236" s="13" t="n">
        <f aca="false">(L1236-AVERAGE(L$2:L$2001))/STDEV(L$2:L$2001)</f>
        <v>-0.777063122173208</v>
      </c>
      <c r="AE1236" s="13" t="n">
        <f aca="false">(M1236-AVERAGE(M$2:M$2001))/STDEV(M$2:M$2001)</f>
        <v>-1.09036300927672</v>
      </c>
      <c r="AF1236" s="13" t="n">
        <f aca="false">(N1236-AVERAGE(N$2:N$2001))/STDEV(N$2:N$2001)</f>
        <v>-0.765690824099373</v>
      </c>
      <c r="AG1236" s="13" t="n">
        <f aca="false">(O1236-AVERAGE(O$2:O$2001))/STDEV(O$2:O$2001)</f>
        <v>-0.966732601684416</v>
      </c>
      <c r="AH1236" s="0" t="str">
        <f aca="false">IF(B1236="Company","C3 - Corporate Buyers",IF(AND(H1236="Investment",M1236&gt;'Segmentation Summary'!$C$1),"C1 - Global Investors",IF(AND(I1236&gt;=4,M1236&gt;'Segmentation Summary'!$C$1),"C4 - Luxury Investors",IF(AND(D1236&lt;'Segmentation Summary'!$C$2,J1236=1),"C2 - First-Time Buyers","C5 - Other Individual Buyers"))))</f>
        <v>C5 - Other Individual Buyers</v>
      </c>
    </row>
    <row r="1237" customFormat="false" ht="15" hidden="false" customHeight="true" outlineLevel="0" collapsed="false">
      <c r="A1237" s="13" t="s">
        <v>2490</v>
      </c>
      <c r="B1237" s="13" t="s">
        <v>34</v>
      </c>
      <c r="C1237" s="13" t="s">
        <v>2491</v>
      </c>
      <c r="D1237" s="13" t="n">
        <v>52</v>
      </c>
      <c r="E1237" s="13" t="s">
        <v>83</v>
      </c>
      <c r="F1237" s="13" t="s">
        <v>33</v>
      </c>
      <c r="G1237" s="13" t="s">
        <v>100</v>
      </c>
      <c r="H1237" s="13" t="s">
        <v>41</v>
      </c>
      <c r="I1237" s="13" t="n">
        <v>5</v>
      </c>
      <c r="J1237" s="13" t="n">
        <v>0</v>
      </c>
      <c r="K1237" s="13" t="s">
        <v>91</v>
      </c>
      <c r="L1237" s="13" t="n">
        <v>3</v>
      </c>
      <c r="M1237" s="13" t="n">
        <v>1149434.67</v>
      </c>
      <c r="N1237" s="13" t="n">
        <v>383144.89</v>
      </c>
      <c r="O1237" s="13" t="n">
        <v>1359.24</v>
      </c>
      <c r="P1237" s="13" t="n">
        <v>1</v>
      </c>
      <c r="Q1237" s="13" t="n">
        <v>2</v>
      </c>
      <c r="R1237" s="13" t="s">
        <v>121</v>
      </c>
      <c r="S1237" s="13" t="s">
        <v>135</v>
      </c>
      <c r="T1237" s="13" t="n">
        <v>1</v>
      </c>
      <c r="U1237" s="13" t="n">
        <f aca="false">IF(B1237="Individual",1,0)</f>
        <v>1</v>
      </c>
      <c r="V1237" s="13" t="n">
        <f aca="false">IF(B1237="Company",1,0)</f>
        <v>0</v>
      </c>
      <c r="W1237" s="13" t="n">
        <f aca="false">IF(H1237="Home",1,0)</f>
        <v>1</v>
      </c>
      <c r="X1237" s="13" t="n">
        <f aca="false">IF(H1237="Investment",1,0)</f>
        <v>0</v>
      </c>
      <c r="Y1237" s="13" t="n">
        <f aca="false">IF(K1237="Website",1,0)</f>
        <v>0</v>
      </c>
      <c r="Z1237" s="13" t="n">
        <f aca="false">IF(K1237="Agency",1,0)</f>
        <v>1</v>
      </c>
      <c r="AA1237" s="13" t="n">
        <f aca="false">IF(K1237="Client",1,0)</f>
        <v>0</v>
      </c>
      <c r="AB1237" s="13" t="n">
        <f aca="false">(D1237-AVERAGE(D$2:D$2001))/STDEV(D$2:D$2001)</f>
        <v>-0.123224667378179</v>
      </c>
      <c r="AC1237" s="13" t="n">
        <f aca="false">(I1237-AVERAGE(I$2:I$2001))/STDEV(I$2:I$2001)</f>
        <v>1.39434968409451</v>
      </c>
      <c r="AD1237" s="13" t="n">
        <f aca="false">(L1237-AVERAGE(L$2:L$2001))/STDEV(L$2:L$2001)</f>
        <v>-0.777063122173208</v>
      </c>
      <c r="AE1237" s="13" t="n">
        <f aca="false">(M1237-AVERAGE(M$2:M$2001))/STDEV(M$2:M$2001)</f>
        <v>-0.31895063212736</v>
      </c>
      <c r="AF1237" s="13" t="n">
        <f aca="false">(N1237-AVERAGE(N$2:N$2001))/STDEV(N$2:N$2001)</f>
        <v>0.517125531043369</v>
      </c>
      <c r="AG1237" s="13" t="n">
        <f aca="false">(O1237-AVERAGE(O$2:O$2001))/STDEV(O$2:O$2001)</f>
        <v>0.962885781460156</v>
      </c>
      <c r="AH1237" s="0" t="str">
        <f aca="false">IF(B1237="Company","C3 - Corporate Buyers",IF(AND(H1237="Investment",M1237&gt;'Segmentation Summary'!$C$1),"C1 - Global Investors",IF(AND(I1237&gt;=4,M1237&gt;'Segmentation Summary'!$C$1),"C4 - Luxury Investors",IF(AND(D1237&lt;'Segmentation Summary'!$C$2,J1237=1),"C2 - First-Time Buyers","C5 - Other Individual Buyers"))))</f>
        <v>C5 - Other Individual Buyers</v>
      </c>
    </row>
    <row r="1238" customFormat="false" ht="15" hidden="false" customHeight="true" outlineLevel="0" collapsed="false">
      <c r="A1238" s="13" t="s">
        <v>2492</v>
      </c>
      <c r="B1238" s="13" t="s">
        <v>34</v>
      </c>
      <c r="C1238" s="13" t="s">
        <v>2493</v>
      </c>
      <c r="D1238" s="13" t="n">
        <v>56</v>
      </c>
      <c r="E1238" s="13" t="s">
        <v>83</v>
      </c>
      <c r="F1238" s="13" t="s">
        <v>33</v>
      </c>
      <c r="G1238" s="13" t="s">
        <v>162</v>
      </c>
      <c r="H1238" s="13" t="s">
        <v>43</v>
      </c>
      <c r="I1238" s="13" t="n">
        <v>2</v>
      </c>
      <c r="J1238" s="13" t="n">
        <v>0</v>
      </c>
      <c r="K1238" s="13" t="s">
        <v>91</v>
      </c>
      <c r="L1238" s="13" t="n">
        <v>5</v>
      </c>
      <c r="M1238" s="13" t="n">
        <v>1463432.36</v>
      </c>
      <c r="N1238" s="13" t="n">
        <v>292686.472</v>
      </c>
      <c r="O1238" s="13" t="n">
        <v>913.774</v>
      </c>
      <c r="P1238" s="13" t="n">
        <v>0</v>
      </c>
      <c r="Q1238" s="13" t="n">
        <v>5</v>
      </c>
      <c r="R1238" s="13" t="s">
        <v>98</v>
      </c>
      <c r="S1238" s="13" t="s">
        <v>154</v>
      </c>
      <c r="T1238" s="13" t="n">
        <v>1</v>
      </c>
      <c r="U1238" s="13" t="n">
        <f aca="false">IF(B1238="Individual",1,0)</f>
        <v>1</v>
      </c>
      <c r="V1238" s="13" t="n">
        <f aca="false">IF(B1238="Company",1,0)</f>
        <v>0</v>
      </c>
      <c r="W1238" s="13" t="n">
        <f aca="false">IF(H1238="Home",1,0)</f>
        <v>0</v>
      </c>
      <c r="X1238" s="13" t="n">
        <f aca="false">IF(H1238="Investment",1,0)</f>
        <v>1</v>
      </c>
      <c r="Y1238" s="13" t="n">
        <f aca="false">IF(K1238="Website",1,0)</f>
        <v>0</v>
      </c>
      <c r="Z1238" s="13" t="n">
        <f aca="false">IF(K1238="Agency",1,0)</f>
        <v>1</v>
      </c>
      <c r="AA1238" s="13" t="n">
        <f aca="false">IF(K1238="Client",1,0)</f>
        <v>0</v>
      </c>
      <c r="AB1238" s="13" t="n">
        <f aca="false">(D1238-AVERAGE(D$2:D$2001))/STDEV(D$2:D$2001)</f>
        <v>0.107425154574426</v>
      </c>
      <c r="AC1238" s="13" t="n">
        <f aca="false">(I1238-AVERAGE(I$2:I$2001))/STDEV(I$2:I$2001)</f>
        <v>-0.727948160798201</v>
      </c>
      <c r="AD1238" s="13" t="n">
        <f aca="false">(L1238-AVERAGE(L$2:L$2001))/STDEV(L$2:L$2001)</f>
        <v>1.60473955115463</v>
      </c>
      <c r="AE1238" s="13" t="n">
        <f aca="false">(M1238-AVERAGE(M$2:M$2001))/STDEV(M$2:M$2001)</f>
        <v>0.58378084543156</v>
      </c>
      <c r="AF1238" s="13" t="n">
        <f aca="false">(N1238-AVERAGE(N$2:N$2001))/STDEV(N$2:N$2001)</f>
        <v>-0.780293492821704</v>
      </c>
      <c r="AG1238" s="13" t="n">
        <f aca="false">(O1238-AVERAGE(O$2:O$2001))/STDEV(O$2:O$2001)</f>
        <v>-1.06267242135002</v>
      </c>
      <c r="AH1238" s="0" t="str">
        <f aca="false">IF(B1238="Company","C3 - Corporate Buyers",IF(AND(H1238="Investment",M1238&gt;'Segmentation Summary'!$C$1),"C1 - Global Investors",IF(AND(I1238&gt;=4,M1238&gt;'Segmentation Summary'!$C$1),"C4 - Luxury Investors",IF(AND(D1238&lt;'Segmentation Summary'!$C$2,J1238=1),"C2 - First-Time Buyers","C5 - Other Individual Buyers"))))</f>
        <v>C1 - Global Investors</v>
      </c>
    </row>
    <row r="1239" customFormat="false" ht="15" hidden="false" customHeight="true" outlineLevel="0" collapsed="false">
      <c r="A1239" s="13" t="s">
        <v>2494</v>
      </c>
      <c r="B1239" s="13" t="s">
        <v>34</v>
      </c>
      <c r="C1239" s="13" t="s">
        <v>2495</v>
      </c>
      <c r="D1239" s="13" t="n">
        <v>59</v>
      </c>
      <c r="E1239" s="13" t="s">
        <v>83</v>
      </c>
      <c r="F1239" s="13" t="s">
        <v>33</v>
      </c>
      <c r="G1239" s="13" t="s">
        <v>95</v>
      </c>
      <c r="H1239" s="13" t="s">
        <v>41</v>
      </c>
      <c r="I1239" s="13" t="n">
        <v>1</v>
      </c>
      <c r="J1239" s="13" t="n">
        <v>0</v>
      </c>
      <c r="K1239" s="13" t="s">
        <v>85</v>
      </c>
      <c r="L1239" s="13" t="n">
        <v>4</v>
      </c>
      <c r="M1239" s="13" t="n">
        <v>1696540.52</v>
      </c>
      <c r="N1239" s="13" t="n">
        <v>424135.13</v>
      </c>
      <c r="O1239" s="13" t="n">
        <v>1458.93</v>
      </c>
      <c r="P1239" s="13" t="n">
        <v>0</v>
      </c>
      <c r="Q1239" s="13" t="n">
        <v>4</v>
      </c>
      <c r="R1239" s="13" t="s">
        <v>215</v>
      </c>
      <c r="S1239" s="13" t="s">
        <v>164</v>
      </c>
      <c r="T1239" s="13" t="n">
        <v>1</v>
      </c>
      <c r="U1239" s="13" t="n">
        <f aca="false">IF(B1239="Individual",1,0)</f>
        <v>1</v>
      </c>
      <c r="V1239" s="13" t="n">
        <f aca="false">IF(B1239="Company",1,0)</f>
        <v>0</v>
      </c>
      <c r="W1239" s="13" t="n">
        <f aca="false">IF(H1239="Home",1,0)</f>
        <v>1</v>
      </c>
      <c r="X1239" s="13" t="n">
        <f aca="false">IF(H1239="Investment",1,0)</f>
        <v>0</v>
      </c>
      <c r="Y1239" s="13" t="n">
        <f aca="false">IF(K1239="Website",1,0)</f>
        <v>1</v>
      </c>
      <c r="Z1239" s="13" t="n">
        <f aca="false">IF(K1239="Agency",1,0)</f>
        <v>0</v>
      </c>
      <c r="AA1239" s="13" t="n">
        <f aca="false">IF(K1239="Client",1,0)</f>
        <v>0</v>
      </c>
      <c r="AB1239" s="13" t="n">
        <f aca="false">(D1239-AVERAGE(D$2:D$2001))/STDEV(D$2:D$2001)</f>
        <v>0.280412521038879</v>
      </c>
      <c r="AC1239" s="13" t="n">
        <f aca="false">(I1239-AVERAGE(I$2:I$2001))/STDEV(I$2:I$2001)</f>
        <v>-1.43538077576244</v>
      </c>
      <c r="AD1239" s="13" t="n">
        <f aca="false">(L1239-AVERAGE(L$2:L$2001))/STDEV(L$2:L$2001)</f>
        <v>0.413838214490712</v>
      </c>
      <c r="AE1239" s="13" t="n">
        <f aca="false">(M1239-AVERAGE(M$2:M$2001))/STDEV(M$2:M$2001)</f>
        <v>1.25395798497625</v>
      </c>
      <c r="AF1239" s="13" t="n">
        <f aca="false">(N1239-AVERAGE(N$2:N$2001))/STDEV(N$2:N$2001)</f>
        <v>1.10503673206388</v>
      </c>
      <c r="AG1239" s="13" t="n">
        <f aca="false">(O1239-AVERAGE(O$2:O$2001))/STDEV(O$2:O$2001)</f>
        <v>1.41618164969285</v>
      </c>
      <c r="AH1239" s="0" t="str">
        <f aca="false">IF(B1239="Company","C3 - Corporate Buyers",IF(AND(H1239="Investment",M1239&gt;'Segmentation Summary'!$C$1),"C1 - Global Investors",IF(AND(I1239&gt;=4,M1239&gt;'Segmentation Summary'!$C$1),"C4 - Luxury Investors",IF(AND(D1239&lt;'Segmentation Summary'!$C$2,J1239=1),"C2 - First-Time Buyers","C5 - Other Individual Buyers"))))</f>
        <v>C5 - Other Individual Buyers</v>
      </c>
    </row>
    <row r="1240" customFormat="false" ht="15" hidden="false" customHeight="true" outlineLevel="0" collapsed="false">
      <c r="A1240" s="13" t="s">
        <v>2496</v>
      </c>
      <c r="B1240" s="13" t="s">
        <v>34</v>
      </c>
      <c r="C1240" s="13" t="s">
        <v>2497</v>
      </c>
      <c r="D1240" s="13" t="n">
        <v>38</v>
      </c>
      <c r="E1240" s="13" t="s">
        <v>83</v>
      </c>
      <c r="F1240" s="13" t="s">
        <v>33</v>
      </c>
      <c r="G1240" s="13" t="s">
        <v>95</v>
      </c>
      <c r="H1240" s="13" t="s">
        <v>41</v>
      </c>
      <c r="I1240" s="13" t="n">
        <v>2</v>
      </c>
      <c r="J1240" s="13" t="n">
        <v>0</v>
      </c>
      <c r="K1240" s="13" t="s">
        <v>91</v>
      </c>
      <c r="L1240" s="13" t="n">
        <v>4</v>
      </c>
      <c r="M1240" s="13" t="n">
        <v>1237228.18</v>
      </c>
      <c r="N1240" s="13" t="n">
        <v>309307.045</v>
      </c>
      <c r="O1240" s="13" t="n">
        <v>996.7025</v>
      </c>
      <c r="P1240" s="13" t="n">
        <v>0</v>
      </c>
      <c r="Q1240" s="13" t="n">
        <v>4</v>
      </c>
      <c r="R1240" s="13" t="s">
        <v>101</v>
      </c>
      <c r="S1240" s="13" t="s">
        <v>87</v>
      </c>
      <c r="T1240" s="13" t="n">
        <v>1</v>
      </c>
      <c r="U1240" s="13" t="n">
        <f aca="false">IF(B1240="Individual",1,0)</f>
        <v>1</v>
      </c>
      <c r="V1240" s="13" t="n">
        <f aca="false">IF(B1240="Company",1,0)</f>
        <v>0</v>
      </c>
      <c r="W1240" s="13" t="n">
        <f aca="false">IF(H1240="Home",1,0)</f>
        <v>1</v>
      </c>
      <c r="X1240" s="13" t="n">
        <f aca="false">IF(H1240="Investment",1,0)</f>
        <v>0</v>
      </c>
      <c r="Y1240" s="13" t="n">
        <f aca="false">IF(K1240="Website",1,0)</f>
        <v>0</v>
      </c>
      <c r="Z1240" s="13" t="n">
        <f aca="false">IF(K1240="Agency",1,0)</f>
        <v>1</v>
      </c>
      <c r="AA1240" s="13" t="n">
        <f aca="false">IF(K1240="Client",1,0)</f>
        <v>0</v>
      </c>
      <c r="AB1240" s="13" t="n">
        <f aca="false">(D1240-AVERAGE(D$2:D$2001))/STDEV(D$2:D$2001)</f>
        <v>-0.930499044212296</v>
      </c>
      <c r="AC1240" s="13" t="n">
        <f aca="false">(I1240-AVERAGE(I$2:I$2001))/STDEV(I$2:I$2001)</f>
        <v>-0.727948160798201</v>
      </c>
      <c r="AD1240" s="13" t="n">
        <f aca="false">(L1240-AVERAGE(L$2:L$2001))/STDEV(L$2:L$2001)</f>
        <v>0.413838214490712</v>
      </c>
      <c r="AE1240" s="13" t="n">
        <f aca="false">(M1240-AVERAGE(M$2:M$2001))/STDEV(M$2:M$2001)</f>
        <v>-0.0665476128491486</v>
      </c>
      <c r="AF1240" s="13" t="n">
        <f aca="false">(N1240-AVERAGE(N$2:N$2001))/STDEV(N$2:N$2001)</f>
        <v>-0.54190940348534</v>
      </c>
      <c r="AG1240" s="13" t="n">
        <f aca="false">(O1240-AVERAGE(O$2:O$2001))/STDEV(O$2:O$2001)</f>
        <v>-0.685592007981226</v>
      </c>
      <c r="AH1240" s="0" t="str">
        <f aca="false">IF(B1240="Company","C3 - Corporate Buyers",IF(AND(H1240="Investment",M1240&gt;'Segmentation Summary'!$C$1),"C1 - Global Investors",IF(AND(I1240&gt;=4,M1240&gt;'Segmentation Summary'!$C$1),"C4 - Luxury Investors",IF(AND(D1240&lt;'Segmentation Summary'!$C$2,J1240=1),"C2 - First-Time Buyers","C5 - Other Individual Buyers"))))</f>
        <v>C5 - Other Individual Buyers</v>
      </c>
    </row>
    <row r="1241" customFormat="false" ht="15" hidden="false" customHeight="true" outlineLevel="0" collapsed="false">
      <c r="A1241" s="13" t="s">
        <v>2498</v>
      </c>
      <c r="B1241" s="13" t="s">
        <v>34</v>
      </c>
      <c r="C1241" s="13" t="s">
        <v>2499</v>
      </c>
      <c r="D1241" s="13" t="n">
        <v>60</v>
      </c>
      <c r="E1241" s="13" t="s">
        <v>83</v>
      </c>
      <c r="F1241" s="13" t="s">
        <v>33</v>
      </c>
      <c r="G1241" s="13" t="s">
        <v>265</v>
      </c>
      <c r="H1241" s="13" t="s">
        <v>41</v>
      </c>
      <c r="I1241" s="13" t="n">
        <v>1</v>
      </c>
      <c r="J1241" s="13" t="n">
        <v>1</v>
      </c>
      <c r="K1241" s="13" t="s">
        <v>85</v>
      </c>
      <c r="L1241" s="13" t="n">
        <v>3</v>
      </c>
      <c r="M1241" s="13" t="n">
        <v>942915.18</v>
      </c>
      <c r="N1241" s="13" t="n">
        <v>314305.06</v>
      </c>
      <c r="O1241" s="13" t="n">
        <v>975.943333333333</v>
      </c>
      <c r="P1241" s="13" t="n">
        <v>0</v>
      </c>
      <c r="Q1241" s="13" t="n">
        <v>3</v>
      </c>
      <c r="R1241" s="13" t="s">
        <v>92</v>
      </c>
      <c r="S1241" s="13" t="s">
        <v>164</v>
      </c>
      <c r="T1241" s="13" t="n">
        <v>1</v>
      </c>
      <c r="U1241" s="13" t="n">
        <f aca="false">IF(B1241="Individual",1,0)</f>
        <v>1</v>
      </c>
      <c r="V1241" s="13" t="n">
        <f aca="false">IF(B1241="Company",1,0)</f>
        <v>0</v>
      </c>
      <c r="W1241" s="13" t="n">
        <f aca="false">IF(H1241="Home",1,0)</f>
        <v>1</v>
      </c>
      <c r="X1241" s="13" t="n">
        <f aca="false">IF(H1241="Investment",1,0)</f>
        <v>0</v>
      </c>
      <c r="Y1241" s="13" t="n">
        <f aca="false">IF(K1241="Website",1,0)</f>
        <v>1</v>
      </c>
      <c r="Z1241" s="13" t="n">
        <f aca="false">IF(K1241="Agency",1,0)</f>
        <v>0</v>
      </c>
      <c r="AA1241" s="13" t="n">
        <f aca="false">IF(K1241="Client",1,0)</f>
        <v>0</v>
      </c>
      <c r="AB1241" s="13" t="n">
        <f aca="false">(D1241-AVERAGE(D$2:D$2001))/STDEV(D$2:D$2001)</f>
        <v>0.338074976527031</v>
      </c>
      <c r="AC1241" s="13" t="n">
        <f aca="false">(I1241-AVERAGE(I$2:I$2001))/STDEV(I$2:I$2001)</f>
        <v>-1.43538077576244</v>
      </c>
      <c r="AD1241" s="13" t="n">
        <f aca="false">(L1241-AVERAGE(L$2:L$2001))/STDEV(L$2:L$2001)</f>
        <v>-0.777063122173208</v>
      </c>
      <c r="AE1241" s="13" t="n">
        <f aca="false">(M1241-AVERAGE(M$2:M$2001))/STDEV(M$2:M$2001)</f>
        <v>-0.91268635149655</v>
      </c>
      <c r="AF1241" s="13" t="n">
        <f aca="false">(N1241-AVERAGE(N$2:N$2001))/STDEV(N$2:N$2001)</f>
        <v>-0.470224314513709</v>
      </c>
      <c r="AG1241" s="13" t="n">
        <f aca="false">(O1241-AVERAGE(O$2:O$2001))/STDEV(O$2:O$2001)</f>
        <v>-0.779985071256922</v>
      </c>
      <c r="AH1241" s="0" t="str">
        <f aca="false">IF(B1241="Company","C3 - Corporate Buyers",IF(AND(H1241="Investment",M1241&gt;'Segmentation Summary'!$C$1),"C1 - Global Investors",IF(AND(I1241&gt;=4,M1241&gt;'Segmentation Summary'!$C$1),"C4 - Luxury Investors",IF(AND(D1241&lt;'Segmentation Summary'!$C$2,J1241=1),"C2 - First-Time Buyers","C5 - Other Individual Buyers"))))</f>
        <v>C5 - Other Individual Buyers</v>
      </c>
    </row>
    <row r="1242" customFormat="false" ht="15" hidden="false" customHeight="true" outlineLevel="0" collapsed="false">
      <c r="A1242" s="13" t="s">
        <v>2500</v>
      </c>
      <c r="B1242" s="13" t="s">
        <v>34</v>
      </c>
      <c r="C1242" s="13" t="s">
        <v>2501</v>
      </c>
      <c r="D1242" s="13" t="n">
        <v>64</v>
      </c>
      <c r="E1242" s="13" t="s">
        <v>83</v>
      </c>
      <c r="F1242" s="13" t="s">
        <v>37</v>
      </c>
      <c r="G1242" s="13" t="s">
        <v>940</v>
      </c>
      <c r="H1242" s="13" t="s">
        <v>41</v>
      </c>
      <c r="I1242" s="13" t="n">
        <v>5</v>
      </c>
      <c r="J1242" s="13" t="n">
        <v>0</v>
      </c>
      <c r="K1242" s="13" t="s">
        <v>85</v>
      </c>
      <c r="L1242" s="13" t="n">
        <v>4</v>
      </c>
      <c r="M1242" s="13" t="n">
        <v>1480011.91</v>
      </c>
      <c r="N1242" s="13" t="n">
        <v>370002.9775</v>
      </c>
      <c r="O1242" s="13" t="n">
        <v>1276.8225</v>
      </c>
      <c r="P1242" s="13" t="n">
        <v>0</v>
      </c>
      <c r="Q1242" s="13" t="n">
        <v>4</v>
      </c>
      <c r="R1242" s="13" t="s">
        <v>121</v>
      </c>
      <c r="S1242" s="13" t="s">
        <v>107</v>
      </c>
      <c r="T1242" s="13" t="n">
        <v>1</v>
      </c>
      <c r="U1242" s="13" t="n">
        <f aca="false">IF(B1242="Individual",1,0)</f>
        <v>1</v>
      </c>
      <c r="V1242" s="13" t="n">
        <f aca="false">IF(B1242="Company",1,0)</f>
        <v>0</v>
      </c>
      <c r="W1242" s="13" t="n">
        <f aca="false">IF(H1242="Home",1,0)</f>
        <v>1</v>
      </c>
      <c r="X1242" s="13" t="n">
        <f aca="false">IF(H1242="Investment",1,0)</f>
        <v>0</v>
      </c>
      <c r="Y1242" s="13" t="n">
        <f aca="false">IF(K1242="Website",1,0)</f>
        <v>1</v>
      </c>
      <c r="Z1242" s="13" t="n">
        <f aca="false">IF(K1242="Agency",1,0)</f>
        <v>0</v>
      </c>
      <c r="AA1242" s="13" t="n">
        <f aca="false">IF(K1242="Client",1,0)</f>
        <v>0</v>
      </c>
      <c r="AB1242" s="13" t="n">
        <f aca="false">(D1242-AVERAGE(D$2:D$2001))/STDEV(D$2:D$2001)</f>
        <v>0.568724798479635</v>
      </c>
      <c r="AC1242" s="13" t="n">
        <f aca="false">(I1242-AVERAGE(I$2:I$2001))/STDEV(I$2:I$2001)</f>
        <v>1.39434968409451</v>
      </c>
      <c r="AD1242" s="13" t="n">
        <f aca="false">(L1242-AVERAGE(L$2:L$2001))/STDEV(L$2:L$2001)</f>
        <v>0.413838214490712</v>
      </c>
      <c r="AE1242" s="13" t="n">
        <f aca="false">(M1242-AVERAGE(M$2:M$2001))/STDEV(M$2:M$2001)</f>
        <v>0.631446424336811</v>
      </c>
      <c r="AF1242" s="13" t="n">
        <f aca="false">(N1242-AVERAGE(N$2:N$2001))/STDEV(N$2:N$2001)</f>
        <v>0.32863486688572</v>
      </c>
      <c r="AG1242" s="13" t="n">
        <f aca="false">(O1242-AVERAGE(O$2:O$2001))/STDEV(O$2:O$2001)</f>
        <v>0.588128912967145</v>
      </c>
      <c r="AH1242" s="0" t="str">
        <f aca="false">IF(B1242="Company","C3 - Corporate Buyers",IF(AND(H1242="Investment",M1242&gt;'Segmentation Summary'!$C$1),"C1 - Global Investors",IF(AND(I1242&gt;=4,M1242&gt;'Segmentation Summary'!$C$1),"C4 - Luxury Investors",IF(AND(D1242&lt;'Segmentation Summary'!$C$2,J1242=1),"C2 - First-Time Buyers","C5 - Other Individual Buyers"))))</f>
        <v>C4 - Luxury Investors</v>
      </c>
    </row>
    <row r="1243" customFormat="false" ht="15" hidden="false" customHeight="true" outlineLevel="0" collapsed="false">
      <c r="A1243" s="13" t="s">
        <v>2502</v>
      </c>
      <c r="B1243" s="13" t="s">
        <v>34</v>
      </c>
      <c r="C1243" s="13" t="s">
        <v>2503</v>
      </c>
      <c r="D1243" s="13" t="n">
        <v>50</v>
      </c>
      <c r="E1243" s="13" t="s">
        <v>83</v>
      </c>
      <c r="F1243" s="13" t="s">
        <v>33</v>
      </c>
      <c r="G1243" s="13" t="s">
        <v>110</v>
      </c>
      <c r="H1243" s="13" t="s">
        <v>41</v>
      </c>
      <c r="I1243" s="13" t="n">
        <v>2</v>
      </c>
      <c r="J1243" s="13" t="n">
        <v>0</v>
      </c>
      <c r="K1243" s="13" t="s">
        <v>85</v>
      </c>
      <c r="L1243" s="13" t="n">
        <v>4</v>
      </c>
      <c r="M1243" s="13" t="n">
        <v>1636756.28</v>
      </c>
      <c r="N1243" s="13" t="n">
        <v>409189.07</v>
      </c>
      <c r="O1243" s="13" t="n">
        <v>1326.2525</v>
      </c>
      <c r="P1243" s="13" t="n">
        <v>0</v>
      </c>
      <c r="Q1243" s="13" t="n">
        <v>4</v>
      </c>
      <c r="R1243" s="13" t="s">
        <v>124</v>
      </c>
      <c r="S1243" s="13" t="s">
        <v>164</v>
      </c>
      <c r="T1243" s="13" t="n">
        <v>1</v>
      </c>
      <c r="U1243" s="13" t="n">
        <f aca="false">IF(B1243="Individual",1,0)</f>
        <v>1</v>
      </c>
      <c r="V1243" s="13" t="n">
        <f aca="false">IF(B1243="Company",1,0)</f>
        <v>0</v>
      </c>
      <c r="W1243" s="13" t="n">
        <f aca="false">IF(H1243="Home",1,0)</f>
        <v>1</v>
      </c>
      <c r="X1243" s="13" t="n">
        <f aca="false">IF(H1243="Investment",1,0)</f>
        <v>0</v>
      </c>
      <c r="Y1243" s="13" t="n">
        <f aca="false">IF(K1243="Website",1,0)</f>
        <v>1</v>
      </c>
      <c r="Z1243" s="13" t="n">
        <f aca="false">IF(K1243="Agency",1,0)</f>
        <v>0</v>
      </c>
      <c r="AA1243" s="13" t="n">
        <f aca="false">IF(K1243="Client",1,0)</f>
        <v>0</v>
      </c>
      <c r="AB1243" s="13" t="n">
        <f aca="false">(D1243-AVERAGE(D$2:D$2001))/STDEV(D$2:D$2001)</f>
        <v>-0.238549578354482</v>
      </c>
      <c r="AC1243" s="13" t="n">
        <f aca="false">(I1243-AVERAGE(I$2:I$2001))/STDEV(I$2:I$2001)</f>
        <v>-0.727948160798201</v>
      </c>
      <c r="AD1243" s="13" t="n">
        <f aca="false">(L1243-AVERAGE(L$2:L$2001))/STDEV(L$2:L$2001)</f>
        <v>0.413838214490712</v>
      </c>
      <c r="AE1243" s="13" t="n">
        <f aca="false">(M1243-AVERAGE(M$2:M$2001))/STDEV(M$2:M$2001)</f>
        <v>1.08208055712021</v>
      </c>
      <c r="AF1243" s="13" t="n">
        <f aca="false">(N1243-AVERAGE(N$2:N$2001))/STDEV(N$2:N$2001)</f>
        <v>0.89066970017715</v>
      </c>
      <c r="AG1243" s="13" t="n">
        <f aca="false">(O1243-AVERAGE(O$2:O$2001))/STDEV(O$2:O$2001)</f>
        <v>0.812889819444647</v>
      </c>
      <c r="AH1243" s="0" t="str">
        <f aca="false">IF(B1243="Company","C3 - Corporate Buyers",IF(AND(H1243="Investment",M1243&gt;'Segmentation Summary'!$C$1),"C1 - Global Investors",IF(AND(I1243&gt;=4,M1243&gt;'Segmentation Summary'!$C$1),"C4 - Luxury Investors",IF(AND(D1243&lt;'Segmentation Summary'!$C$2,J1243=1),"C2 - First-Time Buyers","C5 - Other Individual Buyers"))))</f>
        <v>C5 - Other Individual Buyers</v>
      </c>
    </row>
    <row r="1244" customFormat="false" ht="15" hidden="false" customHeight="true" outlineLevel="0" collapsed="false">
      <c r="A1244" s="13" t="s">
        <v>2504</v>
      </c>
      <c r="B1244" s="13" t="s">
        <v>34</v>
      </c>
      <c r="C1244" s="13" t="s">
        <v>2505</v>
      </c>
      <c r="D1244" s="13" t="n">
        <v>64</v>
      </c>
      <c r="E1244" s="13" t="s">
        <v>83</v>
      </c>
      <c r="F1244" s="13" t="s">
        <v>33</v>
      </c>
      <c r="G1244" s="13" t="s">
        <v>145</v>
      </c>
      <c r="H1244" s="13" t="s">
        <v>41</v>
      </c>
      <c r="I1244" s="13" t="n">
        <v>4</v>
      </c>
      <c r="J1244" s="13" t="n">
        <v>0</v>
      </c>
      <c r="K1244" s="13" t="s">
        <v>91</v>
      </c>
      <c r="L1244" s="13" t="n">
        <v>4</v>
      </c>
      <c r="M1244" s="13" t="n">
        <v>1671846.3</v>
      </c>
      <c r="N1244" s="13" t="n">
        <v>417961.575</v>
      </c>
      <c r="O1244" s="13" t="n">
        <v>1389.15</v>
      </c>
      <c r="P1244" s="13" t="n">
        <v>0</v>
      </c>
      <c r="Q1244" s="13" t="n">
        <v>4</v>
      </c>
      <c r="R1244" s="13" t="s">
        <v>92</v>
      </c>
      <c r="S1244" s="13" t="s">
        <v>93</v>
      </c>
      <c r="T1244" s="13" t="n">
        <v>1</v>
      </c>
      <c r="U1244" s="13" t="n">
        <f aca="false">IF(B1244="Individual",1,0)</f>
        <v>1</v>
      </c>
      <c r="V1244" s="13" t="n">
        <f aca="false">IF(B1244="Company",1,0)</f>
        <v>0</v>
      </c>
      <c r="W1244" s="13" t="n">
        <f aca="false">IF(H1244="Home",1,0)</f>
        <v>1</v>
      </c>
      <c r="X1244" s="13" t="n">
        <f aca="false">IF(H1244="Investment",1,0)</f>
        <v>0</v>
      </c>
      <c r="Y1244" s="13" t="n">
        <f aca="false">IF(K1244="Website",1,0)</f>
        <v>0</v>
      </c>
      <c r="Z1244" s="13" t="n">
        <f aca="false">IF(K1244="Agency",1,0)</f>
        <v>1</v>
      </c>
      <c r="AA1244" s="13" t="n">
        <f aca="false">IF(K1244="Client",1,0)</f>
        <v>0</v>
      </c>
      <c r="AB1244" s="13" t="n">
        <f aca="false">(D1244-AVERAGE(D$2:D$2001))/STDEV(D$2:D$2001)</f>
        <v>0.568724798479635</v>
      </c>
      <c r="AC1244" s="13" t="n">
        <f aca="false">(I1244-AVERAGE(I$2:I$2001))/STDEV(I$2:I$2001)</f>
        <v>0.686917069130275</v>
      </c>
      <c r="AD1244" s="13" t="n">
        <f aca="false">(L1244-AVERAGE(L$2:L$2001))/STDEV(L$2:L$2001)</f>
        <v>0.413838214490712</v>
      </c>
      <c r="AE1244" s="13" t="n">
        <f aca="false">(M1244-AVERAGE(M$2:M$2001))/STDEV(M$2:M$2001)</f>
        <v>1.18296303686767</v>
      </c>
      <c r="AF1244" s="13" t="n">
        <f aca="false">(N1244-AVERAGE(N$2:N$2001))/STDEV(N$2:N$2001)</f>
        <v>1.016491211603</v>
      </c>
      <c r="AG1244" s="13" t="n">
        <f aca="false">(O1244-AVERAGE(O$2:O$2001))/STDEV(O$2:O$2001)</f>
        <v>1.09888818309362</v>
      </c>
      <c r="AH1244" s="0" t="str">
        <f aca="false">IF(B1244="Company","C3 - Corporate Buyers",IF(AND(H1244="Investment",M1244&gt;'Segmentation Summary'!$C$1),"C1 - Global Investors",IF(AND(I1244&gt;=4,M1244&gt;'Segmentation Summary'!$C$1),"C4 - Luxury Investors",IF(AND(D1244&lt;'Segmentation Summary'!$C$2,J1244=1),"C2 - First-Time Buyers","C5 - Other Individual Buyers"))))</f>
        <v>C4 - Luxury Investors</v>
      </c>
    </row>
    <row r="1245" customFormat="false" ht="15" hidden="false" customHeight="true" outlineLevel="0" collapsed="false">
      <c r="A1245" s="13" t="s">
        <v>2506</v>
      </c>
      <c r="B1245" s="13" t="s">
        <v>34</v>
      </c>
      <c r="C1245" s="13" t="s">
        <v>2507</v>
      </c>
      <c r="D1245" s="13" t="n">
        <v>81</v>
      </c>
      <c r="E1245" s="13" t="s">
        <v>83</v>
      </c>
      <c r="F1245" s="13" t="s">
        <v>33</v>
      </c>
      <c r="G1245" s="13" t="s">
        <v>100</v>
      </c>
      <c r="H1245" s="13" t="s">
        <v>41</v>
      </c>
      <c r="I1245" s="13" t="n">
        <v>4</v>
      </c>
      <c r="J1245" s="13" t="n">
        <v>0</v>
      </c>
      <c r="K1245" s="13" t="s">
        <v>116</v>
      </c>
      <c r="L1245" s="13" t="n">
        <v>8</v>
      </c>
      <c r="M1245" s="13" t="n">
        <v>2775768.6</v>
      </c>
      <c r="N1245" s="13" t="n">
        <v>346971.075</v>
      </c>
      <c r="O1245" s="13" t="n">
        <v>1082.87</v>
      </c>
      <c r="P1245" s="13" t="n">
        <v>0</v>
      </c>
      <c r="Q1245" s="13" t="n">
        <v>8</v>
      </c>
      <c r="R1245" s="13" t="s">
        <v>117</v>
      </c>
      <c r="S1245" s="13" t="s">
        <v>125</v>
      </c>
      <c r="T1245" s="13" t="n">
        <v>1</v>
      </c>
      <c r="U1245" s="13" t="n">
        <f aca="false">IF(B1245="Individual",1,0)</f>
        <v>1</v>
      </c>
      <c r="V1245" s="13" t="n">
        <f aca="false">IF(B1245="Company",1,0)</f>
        <v>0</v>
      </c>
      <c r="W1245" s="13" t="n">
        <f aca="false">IF(H1245="Home",1,0)</f>
        <v>1</v>
      </c>
      <c r="X1245" s="13" t="n">
        <f aca="false">IF(H1245="Investment",1,0)</f>
        <v>0</v>
      </c>
      <c r="Y1245" s="13" t="n">
        <f aca="false">IF(K1245="Website",1,0)</f>
        <v>0</v>
      </c>
      <c r="Z1245" s="13" t="n">
        <f aca="false">IF(K1245="Agency",1,0)</f>
        <v>0</v>
      </c>
      <c r="AA1245" s="13" t="n">
        <f aca="false">IF(K1245="Client",1,0)</f>
        <v>1</v>
      </c>
      <c r="AB1245" s="13" t="n">
        <f aca="false">(D1245-AVERAGE(D$2:D$2001))/STDEV(D$2:D$2001)</f>
        <v>1.54898654177821</v>
      </c>
      <c r="AC1245" s="13" t="n">
        <f aca="false">(I1245-AVERAGE(I$2:I$2001))/STDEV(I$2:I$2001)</f>
        <v>0.686917069130275</v>
      </c>
      <c r="AD1245" s="13" t="n">
        <f aca="false">(L1245-AVERAGE(L$2:L$2001))/STDEV(L$2:L$2001)</f>
        <v>5.17744356114639</v>
      </c>
      <c r="AE1245" s="13" t="n">
        <f aca="false">(M1245-AVERAGE(M$2:M$2001))/STDEV(M$2:M$2001)</f>
        <v>4.35669787864068</v>
      </c>
      <c r="AF1245" s="13" t="n">
        <f aca="false">(N1245-AVERAGE(N$2:N$2001))/STDEV(N$2:N$2001)</f>
        <v>-0.00170507405051764</v>
      </c>
      <c r="AG1245" s="13" t="n">
        <f aca="false">(O1245-AVERAGE(O$2:O$2001))/STDEV(O$2:O$2001)</f>
        <v>-0.293783684920329</v>
      </c>
      <c r="AH1245" s="0" t="str">
        <f aca="false">IF(B1245="Company","C3 - Corporate Buyers",IF(AND(H1245="Investment",M1245&gt;'Segmentation Summary'!$C$1),"C1 - Global Investors",IF(AND(I1245&gt;=4,M1245&gt;'Segmentation Summary'!$C$1),"C4 - Luxury Investors",IF(AND(D1245&lt;'Segmentation Summary'!$C$2,J1245=1),"C2 - First-Time Buyers","C5 - Other Individual Buyers"))))</f>
        <v>C4 - Luxury Investors</v>
      </c>
    </row>
    <row r="1246" customFormat="false" ht="15" hidden="false" customHeight="true" outlineLevel="0" collapsed="false">
      <c r="A1246" s="13" t="s">
        <v>2508</v>
      </c>
      <c r="B1246" s="13" t="s">
        <v>34</v>
      </c>
      <c r="C1246" s="13" t="s">
        <v>2509</v>
      </c>
      <c r="D1246" s="13" t="n">
        <v>80</v>
      </c>
      <c r="E1246" s="13" t="s">
        <v>90</v>
      </c>
      <c r="F1246" s="13" t="s">
        <v>33</v>
      </c>
      <c r="G1246" s="13" t="s">
        <v>157</v>
      </c>
      <c r="H1246" s="13" t="s">
        <v>41</v>
      </c>
      <c r="I1246" s="13" t="n">
        <v>3</v>
      </c>
      <c r="J1246" s="13" t="n">
        <v>1</v>
      </c>
      <c r="K1246" s="13" t="s">
        <v>116</v>
      </c>
      <c r="L1246" s="13" t="n">
        <v>4</v>
      </c>
      <c r="M1246" s="13" t="n">
        <v>1436312.58</v>
      </c>
      <c r="N1246" s="13" t="n">
        <v>359078.145</v>
      </c>
      <c r="O1246" s="13" t="n">
        <v>1225.265</v>
      </c>
      <c r="P1246" s="13" t="n">
        <v>0</v>
      </c>
      <c r="Q1246" s="13" t="n">
        <v>4</v>
      </c>
      <c r="R1246" s="13" t="s">
        <v>92</v>
      </c>
      <c r="S1246" s="13" t="s">
        <v>114</v>
      </c>
      <c r="T1246" s="13" t="n">
        <v>1</v>
      </c>
      <c r="U1246" s="13" t="n">
        <f aca="false">IF(B1246="Individual",1,0)</f>
        <v>1</v>
      </c>
      <c r="V1246" s="13" t="n">
        <f aca="false">IF(B1246="Company",1,0)</f>
        <v>0</v>
      </c>
      <c r="W1246" s="13" t="n">
        <f aca="false">IF(H1246="Home",1,0)</f>
        <v>1</v>
      </c>
      <c r="X1246" s="13" t="n">
        <f aca="false">IF(H1246="Investment",1,0)</f>
        <v>0</v>
      </c>
      <c r="Y1246" s="13" t="n">
        <f aca="false">IF(K1246="Website",1,0)</f>
        <v>0</v>
      </c>
      <c r="Z1246" s="13" t="n">
        <f aca="false">IF(K1246="Agency",1,0)</f>
        <v>0</v>
      </c>
      <c r="AA1246" s="13" t="n">
        <f aca="false">IF(K1246="Client",1,0)</f>
        <v>1</v>
      </c>
      <c r="AB1246" s="13" t="n">
        <f aca="false">(D1246-AVERAGE(D$2:D$2001))/STDEV(D$2:D$2001)</f>
        <v>1.49132408629005</v>
      </c>
      <c r="AC1246" s="13" t="n">
        <f aca="false">(I1246-AVERAGE(I$2:I$2001))/STDEV(I$2:I$2001)</f>
        <v>-0.0205155458339628</v>
      </c>
      <c r="AD1246" s="13" t="n">
        <f aca="false">(L1246-AVERAGE(L$2:L$2001))/STDEV(L$2:L$2001)</f>
        <v>0.413838214490712</v>
      </c>
      <c r="AE1246" s="13" t="n">
        <f aca="false">(M1246-AVERAGE(M$2:M$2001))/STDEV(M$2:M$2001)</f>
        <v>0.505812504102447</v>
      </c>
      <c r="AF1246" s="13" t="n">
        <f aca="false">(N1246-AVERAGE(N$2:N$2001))/STDEV(N$2:N$2001)</f>
        <v>0.171943142318534</v>
      </c>
      <c r="AG1246" s="13" t="n">
        <f aca="false">(O1246-AVERAGE(O$2:O$2001))/STDEV(O$2:O$2001)</f>
        <v>0.353694147931462</v>
      </c>
      <c r="AH1246" s="0" t="str">
        <f aca="false">IF(B1246="Company","C3 - Corporate Buyers",IF(AND(H1246="Investment",M1246&gt;'Segmentation Summary'!$C$1),"C1 - Global Investors",IF(AND(I1246&gt;=4,M1246&gt;'Segmentation Summary'!$C$1),"C4 - Luxury Investors",IF(AND(D1246&lt;'Segmentation Summary'!$C$2,J1246=1),"C2 - First-Time Buyers","C5 - Other Individual Buyers"))))</f>
        <v>C5 - Other Individual Buyers</v>
      </c>
    </row>
    <row r="1247" customFormat="false" ht="15" hidden="false" customHeight="true" outlineLevel="0" collapsed="false">
      <c r="A1247" s="13" t="s">
        <v>2510</v>
      </c>
      <c r="B1247" s="13" t="s">
        <v>34</v>
      </c>
      <c r="C1247" s="13" t="s">
        <v>2511</v>
      </c>
      <c r="D1247" s="13" t="n">
        <v>30</v>
      </c>
      <c r="E1247" s="13" t="s">
        <v>90</v>
      </c>
      <c r="F1247" s="13" t="s">
        <v>44</v>
      </c>
      <c r="G1247" s="13" t="s">
        <v>1956</v>
      </c>
      <c r="H1247" s="13" t="s">
        <v>41</v>
      </c>
      <c r="I1247" s="13" t="n">
        <v>5</v>
      </c>
      <c r="J1247" s="13" t="n">
        <v>0</v>
      </c>
      <c r="K1247" s="13" t="s">
        <v>91</v>
      </c>
      <c r="L1247" s="13" t="n">
        <v>3</v>
      </c>
      <c r="M1247" s="13" t="n">
        <v>971475.24</v>
      </c>
      <c r="N1247" s="13" t="n">
        <v>323825.08</v>
      </c>
      <c r="O1247" s="13" t="n">
        <v>1108.10333333333</v>
      </c>
      <c r="P1247" s="13" t="n">
        <v>0</v>
      </c>
      <c r="Q1247" s="13" t="n">
        <v>3</v>
      </c>
      <c r="R1247" s="13" t="s">
        <v>121</v>
      </c>
      <c r="S1247" s="13" t="s">
        <v>164</v>
      </c>
      <c r="T1247" s="13" t="n">
        <v>1</v>
      </c>
      <c r="U1247" s="13" t="n">
        <f aca="false">IF(B1247="Individual",1,0)</f>
        <v>1</v>
      </c>
      <c r="V1247" s="13" t="n">
        <f aca="false">IF(B1247="Company",1,0)</f>
        <v>0</v>
      </c>
      <c r="W1247" s="13" t="n">
        <f aca="false">IF(H1247="Home",1,0)</f>
        <v>1</v>
      </c>
      <c r="X1247" s="13" t="n">
        <f aca="false">IF(H1247="Investment",1,0)</f>
        <v>0</v>
      </c>
      <c r="Y1247" s="13" t="n">
        <f aca="false">IF(K1247="Website",1,0)</f>
        <v>0</v>
      </c>
      <c r="Z1247" s="13" t="n">
        <f aca="false">IF(K1247="Agency",1,0)</f>
        <v>1</v>
      </c>
      <c r="AA1247" s="13" t="n">
        <f aca="false">IF(K1247="Client",1,0)</f>
        <v>0</v>
      </c>
      <c r="AB1247" s="13" t="n">
        <f aca="false">(D1247-AVERAGE(D$2:D$2001))/STDEV(D$2:D$2001)</f>
        <v>-1.39179868811751</v>
      </c>
      <c r="AC1247" s="13" t="n">
        <f aca="false">(I1247-AVERAGE(I$2:I$2001))/STDEV(I$2:I$2001)</f>
        <v>1.39434968409451</v>
      </c>
      <c r="AD1247" s="13" t="n">
        <f aca="false">(L1247-AVERAGE(L$2:L$2001))/STDEV(L$2:L$2001)</f>
        <v>-0.777063122173208</v>
      </c>
      <c r="AE1247" s="13" t="n">
        <f aca="false">(M1247-AVERAGE(M$2:M$2001))/STDEV(M$2:M$2001)</f>
        <v>-0.830577259665425</v>
      </c>
      <c r="AF1247" s="13" t="n">
        <f aca="false">(N1247-AVERAGE(N$2:N$2001))/STDEV(N$2:N$2001)</f>
        <v>-0.333681410838608</v>
      </c>
      <c r="AG1247" s="13" t="n">
        <f aca="false">(O1247-AVERAGE(O$2:O$2001))/STDEV(O$2:O$2001)</f>
        <v>-0.179046341739097</v>
      </c>
      <c r="AH1247" s="0" t="str">
        <f aca="false">IF(B1247="Company","C3 - Corporate Buyers",IF(AND(H1247="Investment",M1247&gt;'Segmentation Summary'!$C$1),"C1 - Global Investors",IF(AND(I1247&gt;=4,M1247&gt;'Segmentation Summary'!$C$1),"C4 - Luxury Investors",IF(AND(D1247&lt;'Segmentation Summary'!$C$2,J1247=1),"C2 - First-Time Buyers","C5 - Other Individual Buyers"))))</f>
        <v>C5 - Other Individual Buyers</v>
      </c>
    </row>
    <row r="1248" customFormat="false" ht="15" hidden="false" customHeight="true" outlineLevel="0" collapsed="false">
      <c r="A1248" s="13" t="s">
        <v>2512</v>
      </c>
      <c r="B1248" s="13" t="s">
        <v>34</v>
      </c>
      <c r="C1248" s="13" t="s">
        <v>2513</v>
      </c>
      <c r="D1248" s="13" t="n">
        <v>69</v>
      </c>
      <c r="E1248" s="13" t="s">
        <v>90</v>
      </c>
      <c r="F1248" s="13" t="s">
        <v>33</v>
      </c>
      <c r="G1248" s="13" t="s">
        <v>95</v>
      </c>
      <c r="H1248" s="13" t="s">
        <v>41</v>
      </c>
      <c r="I1248" s="13" t="n">
        <v>4</v>
      </c>
      <c r="J1248" s="13" t="n">
        <v>0</v>
      </c>
      <c r="K1248" s="13" t="s">
        <v>85</v>
      </c>
      <c r="L1248" s="13" t="n">
        <v>3</v>
      </c>
      <c r="M1248" s="13" t="n">
        <v>1077170.94</v>
      </c>
      <c r="N1248" s="13" t="n">
        <v>359056.98</v>
      </c>
      <c r="O1248" s="13" t="n">
        <v>1155.46333333333</v>
      </c>
      <c r="P1248" s="13" t="n">
        <v>1</v>
      </c>
      <c r="Q1248" s="13" t="n">
        <v>2</v>
      </c>
      <c r="R1248" s="13" t="s">
        <v>124</v>
      </c>
      <c r="S1248" s="13" t="s">
        <v>87</v>
      </c>
      <c r="T1248" s="13" t="n">
        <v>1</v>
      </c>
      <c r="U1248" s="13" t="n">
        <f aca="false">IF(B1248="Individual",1,0)</f>
        <v>1</v>
      </c>
      <c r="V1248" s="13" t="n">
        <f aca="false">IF(B1248="Company",1,0)</f>
        <v>0</v>
      </c>
      <c r="W1248" s="13" t="n">
        <f aca="false">IF(H1248="Home",1,0)</f>
        <v>1</v>
      </c>
      <c r="X1248" s="13" t="n">
        <f aca="false">IF(H1248="Investment",1,0)</f>
        <v>0</v>
      </c>
      <c r="Y1248" s="13" t="n">
        <f aca="false">IF(K1248="Website",1,0)</f>
        <v>1</v>
      </c>
      <c r="Z1248" s="13" t="n">
        <f aca="false">IF(K1248="Agency",1,0)</f>
        <v>0</v>
      </c>
      <c r="AA1248" s="13" t="n">
        <f aca="false">IF(K1248="Client",1,0)</f>
        <v>0</v>
      </c>
      <c r="AB1248" s="13" t="n">
        <f aca="false">(D1248-AVERAGE(D$2:D$2001))/STDEV(D$2:D$2001)</f>
        <v>0.857037075920391</v>
      </c>
      <c r="AC1248" s="13" t="n">
        <f aca="false">(I1248-AVERAGE(I$2:I$2001))/STDEV(I$2:I$2001)</f>
        <v>0.686917069130275</v>
      </c>
      <c r="AD1248" s="13" t="n">
        <f aca="false">(L1248-AVERAGE(L$2:L$2001))/STDEV(L$2:L$2001)</f>
        <v>-0.777063122173208</v>
      </c>
      <c r="AE1248" s="13" t="n">
        <f aca="false">(M1248-AVERAGE(M$2:M$2001))/STDEV(M$2:M$2001)</f>
        <v>-0.526706121528631</v>
      </c>
      <c r="AF1248" s="13" t="n">
        <f aca="false">(N1248-AVERAGE(N$2:N$2001))/STDEV(N$2:N$2001)</f>
        <v>0.171639578822208</v>
      </c>
      <c r="AG1248" s="13" t="n">
        <f aca="false">(O1248-AVERAGE(O$2:O$2001))/STDEV(O$2:O$2001)</f>
        <v>0.0363021618169311</v>
      </c>
      <c r="AH1248" s="0" t="str">
        <f aca="false">IF(B1248="Company","C3 - Corporate Buyers",IF(AND(H1248="Investment",M1248&gt;'Segmentation Summary'!$C$1),"C1 - Global Investors",IF(AND(I1248&gt;=4,M1248&gt;'Segmentation Summary'!$C$1),"C4 - Luxury Investors",IF(AND(D1248&lt;'Segmentation Summary'!$C$2,J1248=1),"C2 - First-Time Buyers","C5 - Other Individual Buyers"))))</f>
        <v>C5 - Other Individual Buyers</v>
      </c>
    </row>
    <row r="1249" customFormat="false" ht="15" hidden="false" customHeight="true" outlineLevel="0" collapsed="false">
      <c r="A1249" s="13" t="s">
        <v>2514</v>
      </c>
      <c r="B1249" s="13" t="s">
        <v>34</v>
      </c>
      <c r="C1249" s="13" t="s">
        <v>2515</v>
      </c>
      <c r="D1249" s="13" t="n">
        <v>62</v>
      </c>
      <c r="E1249" s="13" t="s">
        <v>90</v>
      </c>
      <c r="F1249" s="13" t="s">
        <v>33</v>
      </c>
      <c r="G1249" s="13" t="s">
        <v>110</v>
      </c>
      <c r="H1249" s="13" t="s">
        <v>41</v>
      </c>
      <c r="I1249" s="13" t="n">
        <v>3</v>
      </c>
      <c r="J1249" s="13" t="n">
        <v>0</v>
      </c>
      <c r="K1249" s="13" t="s">
        <v>91</v>
      </c>
      <c r="L1249" s="13" t="n">
        <v>3</v>
      </c>
      <c r="M1249" s="13" t="n">
        <v>829884.93</v>
      </c>
      <c r="N1249" s="13" t="n">
        <v>276628.31</v>
      </c>
      <c r="O1249" s="13" t="n">
        <v>979.086666666667</v>
      </c>
      <c r="P1249" s="13" t="n">
        <v>0</v>
      </c>
      <c r="Q1249" s="13" t="n">
        <v>3</v>
      </c>
      <c r="R1249" s="13" t="s">
        <v>101</v>
      </c>
      <c r="S1249" s="13" t="s">
        <v>125</v>
      </c>
      <c r="T1249" s="13" t="n">
        <v>1</v>
      </c>
      <c r="U1249" s="13" t="n">
        <f aca="false">IF(B1249="Individual",1,0)</f>
        <v>1</v>
      </c>
      <c r="V1249" s="13" t="n">
        <f aca="false">IF(B1249="Company",1,0)</f>
        <v>0</v>
      </c>
      <c r="W1249" s="13" t="n">
        <f aca="false">IF(H1249="Home",1,0)</f>
        <v>1</v>
      </c>
      <c r="X1249" s="13" t="n">
        <f aca="false">IF(H1249="Investment",1,0)</f>
        <v>0</v>
      </c>
      <c r="Y1249" s="13" t="n">
        <f aca="false">IF(K1249="Website",1,0)</f>
        <v>0</v>
      </c>
      <c r="Z1249" s="13" t="n">
        <f aca="false">IF(K1249="Agency",1,0)</f>
        <v>1</v>
      </c>
      <c r="AA1249" s="13" t="n">
        <f aca="false">IF(K1249="Client",1,0)</f>
        <v>0</v>
      </c>
      <c r="AB1249" s="13" t="n">
        <f aca="false">(D1249-AVERAGE(D$2:D$2001))/STDEV(D$2:D$2001)</f>
        <v>0.453399887503333</v>
      </c>
      <c r="AC1249" s="13" t="n">
        <f aca="false">(I1249-AVERAGE(I$2:I$2001))/STDEV(I$2:I$2001)</f>
        <v>-0.0205155458339628</v>
      </c>
      <c r="AD1249" s="13" t="n">
        <f aca="false">(L1249-AVERAGE(L$2:L$2001))/STDEV(L$2:L$2001)</f>
        <v>-0.777063122173208</v>
      </c>
      <c r="AE1249" s="13" t="n">
        <f aca="false">(M1249-AVERAGE(M$2:M$2001))/STDEV(M$2:M$2001)</f>
        <v>-1.23764404335522</v>
      </c>
      <c r="AF1249" s="13" t="n">
        <f aca="false">(N1249-AVERAGE(N$2:N$2001))/STDEV(N$2:N$2001)</f>
        <v>-1.01061108324327</v>
      </c>
      <c r="AG1249" s="13" t="n">
        <f aca="false">(O1249-AVERAGE(O$2:O$2001))/STDEV(O$2:O$2001)</f>
        <v>-0.765692163116904</v>
      </c>
      <c r="AH1249" s="0" t="str">
        <f aca="false">IF(B1249="Company","C3 - Corporate Buyers",IF(AND(H1249="Investment",M1249&gt;'Segmentation Summary'!$C$1),"C1 - Global Investors",IF(AND(I1249&gt;=4,M1249&gt;'Segmentation Summary'!$C$1),"C4 - Luxury Investors",IF(AND(D1249&lt;'Segmentation Summary'!$C$2,J1249=1),"C2 - First-Time Buyers","C5 - Other Individual Buyers"))))</f>
        <v>C5 - Other Individual Buyers</v>
      </c>
    </row>
    <row r="1250" customFormat="false" ht="15" hidden="false" customHeight="true" outlineLevel="0" collapsed="false">
      <c r="A1250" s="13" t="s">
        <v>2516</v>
      </c>
      <c r="B1250" s="13" t="s">
        <v>34</v>
      </c>
      <c r="C1250" s="13" t="s">
        <v>2517</v>
      </c>
      <c r="D1250" s="13" t="n">
        <v>64</v>
      </c>
      <c r="E1250" s="13" t="s">
        <v>90</v>
      </c>
      <c r="F1250" s="13" t="s">
        <v>35</v>
      </c>
      <c r="G1250" s="13" t="s">
        <v>137</v>
      </c>
      <c r="H1250" s="13" t="s">
        <v>43</v>
      </c>
      <c r="I1250" s="13" t="n">
        <v>5</v>
      </c>
      <c r="J1250" s="13" t="n">
        <v>0</v>
      </c>
      <c r="K1250" s="13" t="s">
        <v>85</v>
      </c>
      <c r="L1250" s="13" t="n">
        <v>3</v>
      </c>
      <c r="M1250" s="13" t="n">
        <v>1375700.03</v>
      </c>
      <c r="N1250" s="13" t="n">
        <v>458566.676666667</v>
      </c>
      <c r="O1250" s="13" t="n">
        <v>1460.49333333333</v>
      </c>
      <c r="P1250" s="13" t="n">
        <v>2</v>
      </c>
      <c r="Q1250" s="13" t="n">
        <v>1</v>
      </c>
      <c r="R1250" s="13" t="s">
        <v>128</v>
      </c>
      <c r="S1250" s="13" t="s">
        <v>112</v>
      </c>
      <c r="T1250" s="13" t="n">
        <v>1</v>
      </c>
      <c r="U1250" s="13" t="n">
        <f aca="false">IF(B1250="Individual",1,0)</f>
        <v>1</v>
      </c>
      <c r="V1250" s="13" t="n">
        <f aca="false">IF(B1250="Company",1,0)</f>
        <v>0</v>
      </c>
      <c r="W1250" s="13" t="n">
        <f aca="false">IF(H1250="Home",1,0)</f>
        <v>0</v>
      </c>
      <c r="X1250" s="13" t="n">
        <f aca="false">IF(H1250="Investment",1,0)</f>
        <v>1</v>
      </c>
      <c r="Y1250" s="13" t="n">
        <f aca="false">IF(K1250="Website",1,0)</f>
        <v>1</v>
      </c>
      <c r="Z1250" s="13" t="n">
        <f aca="false">IF(K1250="Agency",1,0)</f>
        <v>0</v>
      </c>
      <c r="AA1250" s="13" t="n">
        <f aca="false">IF(K1250="Client",1,0)</f>
        <v>0</v>
      </c>
      <c r="AB1250" s="13" t="n">
        <f aca="false">(D1250-AVERAGE(D$2:D$2001))/STDEV(D$2:D$2001)</f>
        <v>0.568724798479635</v>
      </c>
      <c r="AC1250" s="13" t="n">
        <f aca="false">(I1250-AVERAGE(I$2:I$2001))/STDEV(I$2:I$2001)</f>
        <v>1.39434968409451</v>
      </c>
      <c r="AD1250" s="13" t="n">
        <f aca="false">(L1250-AVERAGE(L$2:L$2001))/STDEV(L$2:L$2001)</f>
        <v>-0.777063122173208</v>
      </c>
      <c r="AE1250" s="13" t="n">
        <f aca="false">(M1250-AVERAGE(M$2:M$2001))/STDEV(M$2:M$2001)</f>
        <v>0.331553716338391</v>
      </c>
      <c r="AF1250" s="13" t="n">
        <f aca="false">(N1250-AVERAGE(N$2:N$2001))/STDEV(N$2:N$2001)</f>
        <v>1.59887848448576</v>
      </c>
      <c r="AG1250" s="13" t="n">
        <f aca="false">(O1250-AVERAGE(O$2:O$2001))/STDEV(O$2:O$2001)</f>
        <v>1.42329021164158</v>
      </c>
      <c r="AH1250" s="0" t="str">
        <f aca="false">IF(B1250="Company","C3 - Corporate Buyers",IF(AND(H1250="Investment",M1250&gt;'Segmentation Summary'!$C$1),"C1 - Global Investors",IF(AND(I1250&gt;=4,M1250&gt;'Segmentation Summary'!$C$1),"C4 - Luxury Investors",IF(AND(D1250&lt;'Segmentation Summary'!$C$2,J1250=1),"C2 - First-Time Buyers","C5 - Other Individual Buyers"))))</f>
        <v>C1 - Global Investors</v>
      </c>
    </row>
    <row r="1251" customFormat="false" ht="15" hidden="false" customHeight="true" outlineLevel="0" collapsed="false">
      <c r="A1251" s="13" t="s">
        <v>2518</v>
      </c>
      <c r="B1251" s="13" t="s">
        <v>34</v>
      </c>
      <c r="C1251" s="13" t="s">
        <v>2519</v>
      </c>
      <c r="D1251" s="13" t="n">
        <v>70</v>
      </c>
      <c r="E1251" s="13" t="s">
        <v>90</v>
      </c>
      <c r="F1251" s="13" t="s">
        <v>35</v>
      </c>
      <c r="G1251" s="13" t="s">
        <v>374</v>
      </c>
      <c r="H1251" s="13" t="s">
        <v>41</v>
      </c>
      <c r="I1251" s="13" t="n">
        <v>3</v>
      </c>
      <c r="J1251" s="13" t="n">
        <v>1</v>
      </c>
      <c r="K1251" s="13" t="s">
        <v>91</v>
      </c>
      <c r="L1251" s="13" t="n">
        <v>4</v>
      </c>
      <c r="M1251" s="13" t="n">
        <v>1552543.97</v>
      </c>
      <c r="N1251" s="13" t="n">
        <v>388135.9925</v>
      </c>
      <c r="O1251" s="13" t="n">
        <v>1153.5575</v>
      </c>
      <c r="P1251" s="13" t="n">
        <v>3</v>
      </c>
      <c r="Q1251" s="13" t="n">
        <v>1</v>
      </c>
      <c r="R1251" s="13" t="s">
        <v>86</v>
      </c>
      <c r="S1251" s="13" t="s">
        <v>112</v>
      </c>
      <c r="T1251" s="13" t="n">
        <v>1</v>
      </c>
      <c r="U1251" s="13" t="n">
        <f aca="false">IF(B1251="Individual",1,0)</f>
        <v>1</v>
      </c>
      <c r="V1251" s="13" t="n">
        <f aca="false">IF(B1251="Company",1,0)</f>
        <v>0</v>
      </c>
      <c r="W1251" s="13" t="n">
        <f aca="false">IF(H1251="Home",1,0)</f>
        <v>1</v>
      </c>
      <c r="X1251" s="13" t="n">
        <f aca="false">IF(H1251="Investment",1,0)</f>
        <v>0</v>
      </c>
      <c r="Y1251" s="13" t="n">
        <f aca="false">IF(K1251="Website",1,0)</f>
        <v>0</v>
      </c>
      <c r="Z1251" s="13" t="n">
        <f aca="false">IF(K1251="Agency",1,0)</f>
        <v>1</v>
      </c>
      <c r="AA1251" s="13" t="n">
        <f aca="false">IF(K1251="Client",1,0)</f>
        <v>0</v>
      </c>
      <c r="AB1251" s="13" t="n">
        <f aca="false">(D1251-AVERAGE(D$2:D$2001))/STDEV(D$2:D$2001)</f>
        <v>0.914699531408543</v>
      </c>
      <c r="AC1251" s="13" t="n">
        <f aca="false">(I1251-AVERAGE(I$2:I$2001))/STDEV(I$2:I$2001)</f>
        <v>-0.0205155458339628</v>
      </c>
      <c r="AD1251" s="13" t="n">
        <f aca="false">(L1251-AVERAGE(L$2:L$2001))/STDEV(L$2:L$2001)</f>
        <v>0.413838214490712</v>
      </c>
      <c r="AE1251" s="13" t="n">
        <f aca="false">(M1251-AVERAGE(M$2:M$2001))/STDEV(M$2:M$2001)</f>
        <v>0.839973352334887</v>
      </c>
      <c r="AF1251" s="13" t="n">
        <f aca="false">(N1251-AVERAGE(N$2:N$2001))/STDEV(N$2:N$2001)</f>
        <v>0.58871147601933</v>
      </c>
      <c r="AG1251" s="13" t="n">
        <f aca="false">(O1251-AVERAGE(O$2:O$2001))/STDEV(O$2:O$2001)</f>
        <v>0.0276362336843334</v>
      </c>
      <c r="AH1251" s="0" t="str">
        <f aca="false">IF(B1251="Company","C3 - Corporate Buyers",IF(AND(H1251="Investment",M1251&gt;'Segmentation Summary'!$C$1),"C1 - Global Investors",IF(AND(I1251&gt;=4,M1251&gt;'Segmentation Summary'!$C$1),"C4 - Luxury Investors",IF(AND(D1251&lt;'Segmentation Summary'!$C$2,J1251=1),"C2 - First-Time Buyers","C5 - Other Individual Buyers"))))</f>
        <v>C5 - Other Individual Buyers</v>
      </c>
    </row>
    <row r="1252" customFormat="false" ht="15" hidden="false" customHeight="true" outlineLevel="0" collapsed="false">
      <c r="A1252" s="13" t="s">
        <v>2520</v>
      </c>
      <c r="B1252" s="13" t="s">
        <v>34</v>
      </c>
      <c r="C1252" s="13" t="s">
        <v>2521</v>
      </c>
      <c r="D1252" s="13" t="n">
        <v>24</v>
      </c>
      <c r="E1252" s="13" t="s">
        <v>90</v>
      </c>
      <c r="F1252" s="13" t="s">
        <v>33</v>
      </c>
      <c r="G1252" s="13" t="s">
        <v>120</v>
      </c>
      <c r="H1252" s="13" t="s">
        <v>43</v>
      </c>
      <c r="I1252" s="13" t="n">
        <v>3</v>
      </c>
      <c r="J1252" s="13" t="n">
        <v>0</v>
      </c>
      <c r="K1252" s="13" t="s">
        <v>85</v>
      </c>
      <c r="L1252" s="13" t="n">
        <v>3</v>
      </c>
      <c r="M1252" s="13" t="n">
        <v>990242.33</v>
      </c>
      <c r="N1252" s="13" t="n">
        <v>330080.776666667</v>
      </c>
      <c r="O1252" s="13" t="n">
        <v>1101.55</v>
      </c>
      <c r="P1252" s="13" t="n">
        <v>0</v>
      </c>
      <c r="Q1252" s="13" t="n">
        <v>3</v>
      </c>
      <c r="R1252" s="13" t="s">
        <v>101</v>
      </c>
      <c r="S1252" s="13" t="s">
        <v>87</v>
      </c>
      <c r="T1252" s="13" t="n">
        <v>1</v>
      </c>
      <c r="U1252" s="13" t="n">
        <f aca="false">IF(B1252="Individual",1,0)</f>
        <v>1</v>
      </c>
      <c r="V1252" s="13" t="n">
        <f aca="false">IF(B1252="Company",1,0)</f>
        <v>0</v>
      </c>
      <c r="W1252" s="13" t="n">
        <f aca="false">IF(H1252="Home",1,0)</f>
        <v>0</v>
      </c>
      <c r="X1252" s="13" t="n">
        <f aca="false">IF(H1252="Investment",1,0)</f>
        <v>1</v>
      </c>
      <c r="Y1252" s="13" t="n">
        <f aca="false">IF(K1252="Website",1,0)</f>
        <v>1</v>
      </c>
      <c r="Z1252" s="13" t="n">
        <f aca="false">IF(K1252="Agency",1,0)</f>
        <v>0</v>
      </c>
      <c r="AA1252" s="13" t="n">
        <f aca="false">IF(K1252="Client",1,0)</f>
        <v>0</v>
      </c>
      <c r="AB1252" s="13" t="n">
        <f aca="false">(D1252-AVERAGE(D$2:D$2001))/STDEV(D$2:D$2001)</f>
        <v>-1.73777342104641</v>
      </c>
      <c r="AC1252" s="13" t="n">
        <f aca="false">(I1252-AVERAGE(I$2:I$2001))/STDEV(I$2:I$2001)</f>
        <v>-0.0205155458339628</v>
      </c>
      <c r="AD1252" s="13" t="n">
        <f aca="false">(L1252-AVERAGE(L$2:L$2001))/STDEV(L$2:L$2001)</f>
        <v>-0.777063122173208</v>
      </c>
      <c r="AE1252" s="13" t="n">
        <f aca="false">(M1252-AVERAGE(M$2:M$2001))/STDEV(M$2:M$2001)</f>
        <v>-0.776622586033332</v>
      </c>
      <c r="AF1252" s="13" t="n">
        <f aca="false">(N1252-AVERAGE(N$2:N$2001))/STDEV(N$2:N$2001)</f>
        <v>-0.243957756121773</v>
      </c>
      <c r="AG1252" s="13" t="n">
        <f aca="false">(O1252-AVERAGE(O$2:O$2001))/STDEV(O$2:O$2001)</f>
        <v>-0.208844705899496</v>
      </c>
      <c r="AH1252" s="0" t="str">
        <f aca="false">IF(B1252="Company","C3 - Corporate Buyers",IF(AND(H1252="Investment",M1252&gt;'Segmentation Summary'!$C$1),"C1 - Global Investors",IF(AND(I1252&gt;=4,M1252&gt;'Segmentation Summary'!$C$1),"C4 - Luxury Investors",IF(AND(D1252&lt;'Segmentation Summary'!$C$2,J1252=1),"C2 - First-Time Buyers","C5 - Other Individual Buyers"))))</f>
        <v>C5 - Other Individual Buyers</v>
      </c>
    </row>
    <row r="1253" customFormat="false" ht="15" hidden="false" customHeight="true" outlineLevel="0" collapsed="false">
      <c r="A1253" s="13" t="s">
        <v>2522</v>
      </c>
      <c r="B1253" s="13" t="s">
        <v>34</v>
      </c>
      <c r="C1253" s="13" t="s">
        <v>2523</v>
      </c>
      <c r="D1253" s="13" t="n">
        <v>71</v>
      </c>
      <c r="E1253" s="13" t="s">
        <v>90</v>
      </c>
      <c r="F1253" s="13" t="s">
        <v>33</v>
      </c>
      <c r="G1253" s="13" t="s">
        <v>157</v>
      </c>
      <c r="H1253" s="13" t="s">
        <v>41</v>
      </c>
      <c r="I1253" s="13" t="n">
        <v>2</v>
      </c>
      <c r="J1253" s="13" t="n">
        <v>1</v>
      </c>
      <c r="K1253" s="13" t="s">
        <v>85</v>
      </c>
      <c r="L1253" s="13" t="n">
        <v>4</v>
      </c>
      <c r="M1253" s="13" t="n">
        <v>1665015.17</v>
      </c>
      <c r="N1253" s="13" t="n">
        <v>416253.7925</v>
      </c>
      <c r="O1253" s="13" t="n">
        <v>1312.8225</v>
      </c>
      <c r="P1253" s="13" t="n">
        <v>1</v>
      </c>
      <c r="Q1253" s="13" t="n">
        <v>3</v>
      </c>
      <c r="R1253" s="13" t="s">
        <v>98</v>
      </c>
      <c r="S1253" s="13" t="s">
        <v>114</v>
      </c>
      <c r="T1253" s="13" t="n">
        <v>1</v>
      </c>
      <c r="U1253" s="13" t="n">
        <f aca="false">IF(B1253="Individual",1,0)</f>
        <v>1</v>
      </c>
      <c r="V1253" s="13" t="n">
        <f aca="false">IF(B1253="Company",1,0)</f>
        <v>0</v>
      </c>
      <c r="W1253" s="13" t="n">
        <f aca="false">IF(H1253="Home",1,0)</f>
        <v>1</v>
      </c>
      <c r="X1253" s="13" t="n">
        <f aca="false">IF(H1253="Investment",1,0)</f>
        <v>0</v>
      </c>
      <c r="Y1253" s="13" t="n">
        <f aca="false">IF(K1253="Website",1,0)</f>
        <v>1</v>
      </c>
      <c r="Z1253" s="13" t="n">
        <f aca="false">IF(K1253="Agency",1,0)</f>
        <v>0</v>
      </c>
      <c r="AA1253" s="13" t="n">
        <f aca="false">IF(K1253="Client",1,0)</f>
        <v>0</v>
      </c>
      <c r="AB1253" s="13" t="n">
        <f aca="false">(D1253-AVERAGE(D$2:D$2001))/STDEV(D$2:D$2001)</f>
        <v>0.972361986896694</v>
      </c>
      <c r="AC1253" s="13" t="n">
        <f aca="false">(I1253-AVERAGE(I$2:I$2001))/STDEV(I$2:I$2001)</f>
        <v>-0.727948160798201</v>
      </c>
      <c r="AD1253" s="13" t="n">
        <f aca="false">(L1253-AVERAGE(L$2:L$2001))/STDEV(L$2:L$2001)</f>
        <v>0.413838214490712</v>
      </c>
      <c r="AE1253" s="13" t="n">
        <f aca="false">(M1253-AVERAGE(M$2:M$2001))/STDEV(M$2:M$2001)</f>
        <v>1.16332379659715</v>
      </c>
      <c r="AF1253" s="13" t="n">
        <f aca="false">(N1253-AVERAGE(N$2:N$2001))/STDEV(N$2:N$2001)</f>
        <v>0.991996979301438</v>
      </c>
      <c r="AG1253" s="13" t="n">
        <f aca="false">(O1253-AVERAGE(O$2:O$2001))/STDEV(O$2:O$2001)</f>
        <v>0.751822876818856</v>
      </c>
      <c r="AH1253" s="0" t="str">
        <f aca="false">IF(B1253="Company","C3 - Corporate Buyers",IF(AND(H1253="Investment",M1253&gt;'Segmentation Summary'!$C$1),"C1 - Global Investors",IF(AND(I1253&gt;=4,M1253&gt;'Segmentation Summary'!$C$1),"C4 - Luxury Investors",IF(AND(D1253&lt;'Segmentation Summary'!$C$2,J1253=1),"C2 - First-Time Buyers","C5 - Other Individual Buyers"))))</f>
        <v>C5 - Other Individual Buyers</v>
      </c>
    </row>
    <row r="1254" customFormat="false" ht="15" hidden="false" customHeight="true" outlineLevel="0" collapsed="false">
      <c r="A1254" s="13" t="s">
        <v>2524</v>
      </c>
      <c r="B1254" s="13" t="s">
        <v>34</v>
      </c>
      <c r="C1254" s="13" t="s">
        <v>2525</v>
      </c>
      <c r="D1254" s="13" t="n">
        <v>71</v>
      </c>
      <c r="E1254" s="13" t="s">
        <v>90</v>
      </c>
      <c r="F1254" s="13" t="s">
        <v>33</v>
      </c>
      <c r="G1254" s="13" t="s">
        <v>110</v>
      </c>
      <c r="H1254" s="13" t="s">
        <v>41</v>
      </c>
      <c r="I1254" s="13" t="n">
        <v>1</v>
      </c>
      <c r="J1254" s="13" t="n">
        <v>1</v>
      </c>
      <c r="K1254" s="13" t="s">
        <v>91</v>
      </c>
      <c r="L1254" s="13" t="n">
        <v>4</v>
      </c>
      <c r="M1254" s="13" t="n">
        <v>1008000.54</v>
      </c>
      <c r="N1254" s="13" t="n">
        <v>252000.135</v>
      </c>
      <c r="O1254" s="13" t="n">
        <v>836.9425</v>
      </c>
      <c r="P1254" s="13" t="n">
        <v>0</v>
      </c>
      <c r="Q1254" s="13" t="n">
        <v>4</v>
      </c>
      <c r="R1254" s="13" t="s">
        <v>86</v>
      </c>
      <c r="S1254" s="13" t="s">
        <v>112</v>
      </c>
      <c r="T1254" s="13" t="n">
        <v>1</v>
      </c>
      <c r="U1254" s="13" t="n">
        <f aca="false">IF(B1254="Individual",1,0)</f>
        <v>1</v>
      </c>
      <c r="V1254" s="13" t="n">
        <f aca="false">IF(B1254="Company",1,0)</f>
        <v>0</v>
      </c>
      <c r="W1254" s="13" t="n">
        <f aca="false">IF(H1254="Home",1,0)</f>
        <v>1</v>
      </c>
      <c r="X1254" s="13" t="n">
        <f aca="false">IF(H1254="Investment",1,0)</f>
        <v>0</v>
      </c>
      <c r="Y1254" s="13" t="n">
        <f aca="false">IF(K1254="Website",1,0)</f>
        <v>0</v>
      </c>
      <c r="Z1254" s="13" t="n">
        <f aca="false">IF(K1254="Agency",1,0)</f>
        <v>1</v>
      </c>
      <c r="AA1254" s="13" t="n">
        <f aca="false">IF(K1254="Client",1,0)</f>
        <v>0</v>
      </c>
      <c r="AB1254" s="13" t="n">
        <f aca="false">(D1254-AVERAGE(D$2:D$2001))/STDEV(D$2:D$2001)</f>
        <v>0.972361986896694</v>
      </c>
      <c r="AC1254" s="13" t="n">
        <f aca="false">(I1254-AVERAGE(I$2:I$2001))/STDEV(I$2:I$2001)</f>
        <v>-1.43538077576244</v>
      </c>
      <c r="AD1254" s="13" t="n">
        <f aca="false">(L1254-AVERAGE(L$2:L$2001))/STDEV(L$2:L$2001)</f>
        <v>0.413838214490712</v>
      </c>
      <c r="AE1254" s="13" t="n">
        <f aca="false">(M1254-AVERAGE(M$2:M$2001))/STDEV(M$2:M$2001)</f>
        <v>-0.725568404226766</v>
      </c>
      <c r="AF1254" s="13" t="n">
        <f aca="false">(N1254-AVERAGE(N$2:N$2001))/STDEV(N$2:N$2001)</f>
        <v>-1.36384590068258</v>
      </c>
      <c r="AG1254" s="13" t="n">
        <f aca="false">(O1254-AVERAGE(O$2:O$2001))/STDEV(O$2:O$2001)</f>
        <v>-1.41202944311871</v>
      </c>
      <c r="AH1254" s="0" t="str">
        <f aca="false">IF(B1254="Company","C3 - Corporate Buyers",IF(AND(H1254="Investment",M1254&gt;'Segmentation Summary'!$C$1),"C1 - Global Investors",IF(AND(I1254&gt;=4,M1254&gt;'Segmentation Summary'!$C$1),"C4 - Luxury Investors",IF(AND(D1254&lt;'Segmentation Summary'!$C$2,J1254=1),"C2 - First-Time Buyers","C5 - Other Individual Buyers"))))</f>
        <v>C5 - Other Individual Buyers</v>
      </c>
    </row>
    <row r="1255" customFormat="false" ht="15" hidden="false" customHeight="true" outlineLevel="0" collapsed="false">
      <c r="A1255" s="13" t="s">
        <v>2526</v>
      </c>
      <c r="B1255" s="13" t="s">
        <v>34</v>
      </c>
      <c r="C1255" s="13" t="s">
        <v>2527</v>
      </c>
      <c r="D1255" s="13" t="n">
        <v>67</v>
      </c>
      <c r="E1255" s="13" t="s">
        <v>90</v>
      </c>
      <c r="F1255" s="13" t="s">
        <v>33</v>
      </c>
      <c r="G1255" s="13" t="s">
        <v>95</v>
      </c>
      <c r="H1255" s="13" t="s">
        <v>43</v>
      </c>
      <c r="I1255" s="13" t="n">
        <v>5</v>
      </c>
      <c r="J1255" s="13" t="n">
        <v>1</v>
      </c>
      <c r="K1255" s="13" t="s">
        <v>85</v>
      </c>
      <c r="L1255" s="13" t="n">
        <v>4</v>
      </c>
      <c r="M1255" s="13" t="n">
        <v>1029755.56</v>
      </c>
      <c r="N1255" s="13" t="n">
        <v>257438.89</v>
      </c>
      <c r="O1255" s="13" t="n">
        <v>801.065</v>
      </c>
      <c r="P1255" s="13" t="n">
        <v>1</v>
      </c>
      <c r="Q1255" s="13" t="n">
        <v>3</v>
      </c>
      <c r="R1255" s="13" t="s">
        <v>98</v>
      </c>
      <c r="S1255" s="13" t="s">
        <v>128</v>
      </c>
      <c r="T1255" s="13" t="n">
        <v>1</v>
      </c>
      <c r="U1255" s="13" t="n">
        <f aca="false">IF(B1255="Individual",1,0)</f>
        <v>1</v>
      </c>
      <c r="V1255" s="13" t="n">
        <f aca="false">IF(B1255="Company",1,0)</f>
        <v>0</v>
      </c>
      <c r="W1255" s="13" t="n">
        <f aca="false">IF(H1255="Home",1,0)</f>
        <v>0</v>
      </c>
      <c r="X1255" s="13" t="n">
        <f aca="false">IF(H1255="Investment",1,0)</f>
        <v>1</v>
      </c>
      <c r="Y1255" s="13" t="n">
        <f aca="false">IF(K1255="Website",1,0)</f>
        <v>1</v>
      </c>
      <c r="Z1255" s="13" t="n">
        <f aca="false">IF(K1255="Agency",1,0)</f>
        <v>0</v>
      </c>
      <c r="AA1255" s="13" t="n">
        <f aca="false">IF(K1255="Client",1,0)</f>
        <v>0</v>
      </c>
      <c r="AB1255" s="13" t="n">
        <f aca="false">(D1255-AVERAGE(D$2:D$2001))/STDEV(D$2:D$2001)</f>
        <v>0.741712164944089</v>
      </c>
      <c r="AC1255" s="13" t="n">
        <f aca="false">(I1255-AVERAGE(I$2:I$2001))/STDEV(I$2:I$2001)</f>
        <v>1.39434968409451</v>
      </c>
      <c r="AD1255" s="13" t="n">
        <f aca="false">(L1255-AVERAGE(L$2:L$2001))/STDEV(L$2:L$2001)</f>
        <v>0.413838214490712</v>
      </c>
      <c r="AE1255" s="13" t="n">
        <f aca="false">(M1255-AVERAGE(M$2:M$2001))/STDEV(M$2:M$2001)</f>
        <v>-0.663023544903362</v>
      </c>
      <c r="AF1255" s="13" t="n">
        <f aca="false">(N1255-AVERAGE(N$2:N$2001))/STDEV(N$2:N$2001)</f>
        <v>-1.28583940488977</v>
      </c>
      <c r="AG1255" s="13" t="n">
        <f aca="false">(O1255-AVERAGE(O$2:O$2001))/STDEV(O$2:O$2001)</f>
        <v>-1.57516639278787</v>
      </c>
      <c r="AH1255" s="0" t="str">
        <f aca="false">IF(B1255="Company","C3 - Corporate Buyers",IF(AND(H1255="Investment",M1255&gt;'Segmentation Summary'!$C$1),"C1 - Global Investors",IF(AND(I1255&gt;=4,M1255&gt;'Segmentation Summary'!$C$1),"C4 - Luxury Investors",IF(AND(D1255&lt;'Segmentation Summary'!$C$2,J1255=1),"C2 - First-Time Buyers","C5 - Other Individual Buyers"))))</f>
        <v>C5 - Other Individual Buyers</v>
      </c>
    </row>
    <row r="1256" customFormat="false" ht="15" hidden="false" customHeight="true" outlineLevel="0" collapsed="false">
      <c r="A1256" s="13" t="s">
        <v>2528</v>
      </c>
      <c r="B1256" s="13" t="s">
        <v>34</v>
      </c>
      <c r="C1256" s="13" t="s">
        <v>2529</v>
      </c>
      <c r="D1256" s="13" t="n">
        <v>44</v>
      </c>
      <c r="E1256" s="13" t="s">
        <v>90</v>
      </c>
      <c r="F1256" s="13" t="s">
        <v>46</v>
      </c>
      <c r="G1256" s="13" t="s">
        <v>414</v>
      </c>
      <c r="H1256" s="13" t="s">
        <v>41</v>
      </c>
      <c r="I1256" s="13" t="n">
        <v>3</v>
      </c>
      <c r="J1256" s="13" t="n">
        <v>0</v>
      </c>
      <c r="K1256" s="13" t="s">
        <v>91</v>
      </c>
      <c r="L1256" s="13" t="n">
        <v>4</v>
      </c>
      <c r="M1256" s="13" t="n">
        <v>1277449.99</v>
      </c>
      <c r="N1256" s="13" t="n">
        <v>319362.4975</v>
      </c>
      <c r="O1256" s="13" t="n">
        <v>1053.27</v>
      </c>
      <c r="P1256" s="13" t="n">
        <v>0</v>
      </c>
      <c r="Q1256" s="13" t="n">
        <v>4</v>
      </c>
      <c r="R1256" s="13" t="s">
        <v>121</v>
      </c>
      <c r="S1256" s="13" t="s">
        <v>112</v>
      </c>
      <c r="T1256" s="13" t="n">
        <v>1</v>
      </c>
      <c r="U1256" s="13" t="n">
        <f aca="false">IF(B1256="Individual",1,0)</f>
        <v>1</v>
      </c>
      <c r="V1256" s="13" t="n">
        <f aca="false">IF(B1256="Company",1,0)</f>
        <v>0</v>
      </c>
      <c r="W1256" s="13" t="n">
        <f aca="false">IF(H1256="Home",1,0)</f>
        <v>1</v>
      </c>
      <c r="X1256" s="13" t="n">
        <f aca="false">IF(H1256="Investment",1,0)</f>
        <v>0</v>
      </c>
      <c r="Y1256" s="13" t="n">
        <f aca="false">IF(K1256="Website",1,0)</f>
        <v>0</v>
      </c>
      <c r="Z1256" s="13" t="n">
        <f aca="false">IF(K1256="Agency",1,0)</f>
        <v>1</v>
      </c>
      <c r="AA1256" s="13" t="n">
        <f aca="false">IF(K1256="Client",1,0)</f>
        <v>0</v>
      </c>
      <c r="AB1256" s="13" t="n">
        <f aca="false">(D1256-AVERAGE(D$2:D$2001))/STDEV(D$2:D$2001)</f>
        <v>-0.584524311283389</v>
      </c>
      <c r="AC1256" s="13" t="n">
        <f aca="false">(I1256-AVERAGE(I$2:I$2001))/STDEV(I$2:I$2001)</f>
        <v>-0.0205155458339628</v>
      </c>
      <c r="AD1256" s="13" t="n">
        <f aca="false">(L1256-AVERAGE(L$2:L$2001))/STDEV(L$2:L$2001)</f>
        <v>0.413838214490712</v>
      </c>
      <c r="AE1256" s="13" t="n">
        <f aca="false">(M1256-AVERAGE(M$2:M$2001))/STDEV(M$2:M$2001)</f>
        <v>0.0490885689692404</v>
      </c>
      <c r="AF1256" s="13" t="n">
        <f aca="false">(N1256-AVERAGE(N$2:N$2001))/STDEV(N$2:N$2001)</f>
        <v>-0.397686945747116</v>
      </c>
      <c r="AG1256" s="13" t="n">
        <f aca="false">(O1256-AVERAGE(O$2:O$2001))/STDEV(O$2:O$2001)</f>
        <v>-0.428376499642847</v>
      </c>
      <c r="AH1256" s="0" t="str">
        <f aca="false">IF(B1256="Company","C3 - Corporate Buyers",IF(AND(H1256="Investment",M1256&gt;'Segmentation Summary'!$C$1),"C1 - Global Investors",IF(AND(I1256&gt;=4,M1256&gt;'Segmentation Summary'!$C$1),"C4 - Luxury Investors",IF(AND(D1256&lt;'Segmentation Summary'!$C$2,J1256=1),"C2 - First-Time Buyers","C5 - Other Individual Buyers"))))</f>
        <v>C5 - Other Individual Buyers</v>
      </c>
    </row>
    <row r="1257" customFormat="false" ht="15" hidden="false" customHeight="true" outlineLevel="0" collapsed="false">
      <c r="A1257" s="13" t="s">
        <v>2530</v>
      </c>
      <c r="B1257" s="13" t="s">
        <v>34</v>
      </c>
      <c r="C1257" s="13" t="s">
        <v>2531</v>
      </c>
      <c r="D1257" s="13" t="n">
        <v>26</v>
      </c>
      <c r="E1257" s="13" t="s">
        <v>90</v>
      </c>
      <c r="F1257" s="13" t="s">
        <v>33</v>
      </c>
      <c r="G1257" s="13" t="s">
        <v>95</v>
      </c>
      <c r="H1257" s="13" t="s">
        <v>41</v>
      </c>
      <c r="I1257" s="13" t="n">
        <v>4</v>
      </c>
      <c r="J1257" s="13" t="n">
        <v>0</v>
      </c>
      <c r="K1257" s="13" t="s">
        <v>85</v>
      </c>
      <c r="L1257" s="13" t="n">
        <v>3</v>
      </c>
      <c r="M1257" s="13" t="n">
        <v>962196.6</v>
      </c>
      <c r="N1257" s="13" t="n">
        <v>320732.2</v>
      </c>
      <c r="O1257" s="13" t="n">
        <v>1059.15</v>
      </c>
      <c r="P1257" s="13" t="n">
        <v>1</v>
      </c>
      <c r="Q1257" s="13" t="n">
        <v>2</v>
      </c>
      <c r="R1257" s="13" t="s">
        <v>101</v>
      </c>
      <c r="S1257" s="13" t="s">
        <v>93</v>
      </c>
      <c r="T1257" s="13" t="n">
        <v>1</v>
      </c>
      <c r="U1257" s="13" t="n">
        <f aca="false">IF(B1257="Individual",1,0)</f>
        <v>1</v>
      </c>
      <c r="V1257" s="13" t="n">
        <f aca="false">IF(B1257="Company",1,0)</f>
        <v>0</v>
      </c>
      <c r="W1257" s="13" t="n">
        <f aca="false">IF(H1257="Home",1,0)</f>
        <v>1</v>
      </c>
      <c r="X1257" s="13" t="n">
        <f aca="false">IF(H1257="Investment",1,0)</f>
        <v>0</v>
      </c>
      <c r="Y1257" s="13" t="n">
        <f aca="false">IF(K1257="Website",1,0)</f>
        <v>1</v>
      </c>
      <c r="Z1257" s="13" t="n">
        <f aca="false">IF(K1257="Agency",1,0)</f>
        <v>0</v>
      </c>
      <c r="AA1257" s="13" t="n">
        <f aca="false">IF(K1257="Client",1,0)</f>
        <v>0</v>
      </c>
      <c r="AB1257" s="13" t="n">
        <f aca="false">(D1257-AVERAGE(D$2:D$2001))/STDEV(D$2:D$2001)</f>
        <v>-1.62244851007011</v>
      </c>
      <c r="AC1257" s="13" t="n">
        <f aca="false">(I1257-AVERAGE(I$2:I$2001))/STDEV(I$2:I$2001)</f>
        <v>0.686917069130275</v>
      </c>
      <c r="AD1257" s="13" t="n">
        <f aca="false">(L1257-AVERAGE(L$2:L$2001))/STDEV(L$2:L$2001)</f>
        <v>-0.777063122173208</v>
      </c>
      <c r="AE1257" s="13" t="n">
        <f aca="false">(M1257-AVERAGE(M$2:M$2001))/STDEV(M$2:M$2001)</f>
        <v>-0.857252998575916</v>
      </c>
      <c r="AF1257" s="13" t="n">
        <f aca="false">(N1257-AVERAGE(N$2:N$2001))/STDEV(N$2:N$2001)</f>
        <v>-0.378041697468115</v>
      </c>
      <c r="AG1257" s="13" t="n">
        <f aca="false">(O1257-AVERAGE(O$2:O$2001))/STDEV(O$2:O$2001)</f>
        <v>-0.4016398188804</v>
      </c>
      <c r="AH1257" s="0" t="str">
        <f aca="false">IF(B1257="Company","C3 - Corporate Buyers",IF(AND(H1257="Investment",M1257&gt;'Segmentation Summary'!$C$1),"C1 - Global Investors",IF(AND(I1257&gt;=4,M1257&gt;'Segmentation Summary'!$C$1),"C4 - Luxury Investors",IF(AND(D1257&lt;'Segmentation Summary'!$C$2,J1257=1),"C2 - First-Time Buyers","C5 - Other Individual Buyers"))))</f>
        <v>C5 - Other Individual Buyers</v>
      </c>
    </row>
    <row r="1258" customFormat="false" ht="15" hidden="false" customHeight="true" outlineLevel="0" collapsed="false">
      <c r="A1258" s="13" t="s">
        <v>2532</v>
      </c>
      <c r="B1258" s="13" t="s">
        <v>34</v>
      </c>
      <c r="C1258" s="13" t="s">
        <v>2533</v>
      </c>
      <c r="D1258" s="13" t="n">
        <v>70</v>
      </c>
      <c r="E1258" s="13" t="s">
        <v>90</v>
      </c>
      <c r="F1258" s="13" t="s">
        <v>33</v>
      </c>
      <c r="G1258" s="13" t="s">
        <v>207</v>
      </c>
      <c r="H1258" s="13" t="s">
        <v>41</v>
      </c>
      <c r="I1258" s="13" t="n">
        <v>3</v>
      </c>
      <c r="J1258" s="13" t="n">
        <v>0</v>
      </c>
      <c r="K1258" s="13" t="s">
        <v>85</v>
      </c>
      <c r="L1258" s="13" t="n">
        <v>4</v>
      </c>
      <c r="M1258" s="13" t="n">
        <v>1789381.67</v>
      </c>
      <c r="N1258" s="13" t="n">
        <v>447345.4175</v>
      </c>
      <c r="O1258" s="13" t="n">
        <v>1374.585</v>
      </c>
      <c r="P1258" s="13" t="n">
        <v>2</v>
      </c>
      <c r="Q1258" s="13" t="n">
        <v>2</v>
      </c>
      <c r="R1258" s="13" t="s">
        <v>86</v>
      </c>
      <c r="S1258" s="13" t="s">
        <v>87</v>
      </c>
      <c r="T1258" s="13" t="n">
        <v>1</v>
      </c>
      <c r="U1258" s="13" t="n">
        <f aca="false">IF(B1258="Individual",1,0)</f>
        <v>1</v>
      </c>
      <c r="V1258" s="13" t="n">
        <f aca="false">IF(B1258="Company",1,0)</f>
        <v>0</v>
      </c>
      <c r="W1258" s="13" t="n">
        <f aca="false">IF(H1258="Home",1,0)</f>
        <v>1</v>
      </c>
      <c r="X1258" s="13" t="n">
        <f aca="false">IF(H1258="Investment",1,0)</f>
        <v>0</v>
      </c>
      <c r="Y1258" s="13" t="n">
        <f aca="false">IF(K1258="Website",1,0)</f>
        <v>1</v>
      </c>
      <c r="Z1258" s="13" t="n">
        <f aca="false">IF(K1258="Agency",1,0)</f>
        <v>0</v>
      </c>
      <c r="AA1258" s="13" t="n">
        <f aca="false">IF(K1258="Client",1,0)</f>
        <v>0</v>
      </c>
      <c r="AB1258" s="13" t="n">
        <f aca="false">(D1258-AVERAGE(D$2:D$2001))/STDEV(D$2:D$2001)</f>
        <v>0.914699531408543</v>
      </c>
      <c r="AC1258" s="13" t="n">
        <f aca="false">(I1258-AVERAGE(I$2:I$2001))/STDEV(I$2:I$2001)</f>
        <v>-0.0205155458339628</v>
      </c>
      <c r="AD1258" s="13" t="n">
        <f aca="false">(L1258-AVERAGE(L$2:L$2001))/STDEV(L$2:L$2001)</f>
        <v>0.413838214490712</v>
      </c>
      <c r="AE1258" s="13" t="n">
        <f aca="false">(M1258-AVERAGE(M$2:M$2001))/STDEV(M$2:M$2001)</f>
        <v>1.5208727782595</v>
      </c>
      <c r="AF1258" s="13" t="n">
        <f aca="false">(N1258-AVERAGE(N$2:N$2001))/STDEV(N$2:N$2001)</f>
        <v>1.43793519765364</v>
      </c>
      <c r="AG1258" s="13" t="n">
        <f aca="false">(O1258-AVERAGE(O$2:O$2001))/STDEV(O$2:O$2001)</f>
        <v>1.03266033355195</v>
      </c>
      <c r="AH1258" s="0" t="str">
        <f aca="false">IF(B1258="Company","C3 - Corporate Buyers",IF(AND(H1258="Investment",M1258&gt;'Segmentation Summary'!$C$1),"C1 - Global Investors",IF(AND(I1258&gt;=4,M1258&gt;'Segmentation Summary'!$C$1),"C4 - Luxury Investors",IF(AND(D1258&lt;'Segmentation Summary'!$C$2,J1258=1),"C2 - First-Time Buyers","C5 - Other Individual Buyers"))))</f>
        <v>C5 - Other Individual Buyers</v>
      </c>
    </row>
    <row r="1259" customFormat="false" ht="15" hidden="false" customHeight="true" outlineLevel="0" collapsed="false">
      <c r="A1259" s="13" t="s">
        <v>2534</v>
      </c>
      <c r="B1259" s="13" t="s">
        <v>34</v>
      </c>
      <c r="C1259" s="13" t="s">
        <v>2535</v>
      </c>
      <c r="D1259" s="13" t="n">
        <v>45</v>
      </c>
      <c r="E1259" s="13" t="s">
        <v>83</v>
      </c>
      <c r="F1259" s="13" t="s">
        <v>33</v>
      </c>
      <c r="G1259" s="13" t="s">
        <v>120</v>
      </c>
      <c r="H1259" s="13" t="s">
        <v>41</v>
      </c>
      <c r="I1259" s="13" t="n">
        <v>2</v>
      </c>
      <c r="J1259" s="13" t="n">
        <v>1</v>
      </c>
      <c r="K1259" s="13" t="s">
        <v>85</v>
      </c>
      <c r="L1259" s="13" t="n">
        <v>4</v>
      </c>
      <c r="M1259" s="13" t="n">
        <v>1198421.22</v>
      </c>
      <c r="N1259" s="13" t="n">
        <v>299605.305</v>
      </c>
      <c r="O1259" s="13" t="n">
        <v>896.7175</v>
      </c>
      <c r="P1259" s="13" t="n">
        <v>0</v>
      </c>
      <c r="Q1259" s="13" t="n">
        <v>4</v>
      </c>
      <c r="R1259" s="13" t="s">
        <v>117</v>
      </c>
      <c r="S1259" s="13" t="s">
        <v>164</v>
      </c>
      <c r="T1259" s="13" t="n">
        <v>1</v>
      </c>
      <c r="U1259" s="13" t="n">
        <f aca="false">IF(B1259="Individual",1,0)</f>
        <v>1</v>
      </c>
      <c r="V1259" s="13" t="n">
        <f aca="false">IF(B1259="Company",1,0)</f>
        <v>0</v>
      </c>
      <c r="W1259" s="13" t="n">
        <f aca="false">IF(H1259="Home",1,0)</f>
        <v>1</v>
      </c>
      <c r="X1259" s="13" t="n">
        <f aca="false">IF(H1259="Investment",1,0)</f>
        <v>0</v>
      </c>
      <c r="Y1259" s="13" t="n">
        <f aca="false">IF(K1259="Website",1,0)</f>
        <v>1</v>
      </c>
      <c r="Z1259" s="13" t="n">
        <f aca="false">IF(K1259="Agency",1,0)</f>
        <v>0</v>
      </c>
      <c r="AA1259" s="13" t="n">
        <f aca="false">IF(K1259="Client",1,0)</f>
        <v>0</v>
      </c>
      <c r="AB1259" s="13" t="n">
        <f aca="false">(D1259-AVERAGE(D$2:D$2001))/STDEV(D$2:D$2001)</f>
        <v>-0.526861855795238</v>
      </c>
      <c r="AC1259" s="13" t="n">
        <f aca="false">(I1259-AVERAGE(I$2:I$2001))/STDEV(I$2:I$2001)</f>
        <v>-0.727948160798201</v>
      </c>
      <c r="AD1259" s="13" t="n">
        <f aca="false">(L1259-AVERAGE(L$2:L$2001))/STDEV(L$2:L$2001)</f>
        <v>0.413838214490712</v>
      </c>
      <c r="AE1259" s="13" t="n">
        <f aca="false">(M1259-AVERAGE(M$2:M$2001))/STDEV(M$2:M$2001)</f>
        <v>-0.178116154453292</v>
      </c>
      <c r="AF1259" s="13" t="n">
        <f aca="false">(N1259-AVERAGE(N$2:N$2001))/STDEV(N$2:N$2001)</f>
        <v>-0.681058664757991</v>
      </c>
      <c r="AG1259" s="13" t="n">
        <f aca="false">(O1259-AVERAGE(O$2:O$2001))/STDEV(O$2:O$2001)</f>
        <v>-1.1402292573066</v>
      </c>
      <c r="AH1259" s="0" t="str">
        <f aca="false">IF(B1259="Company","C3 - Corporate Buyers",IF(AND(H1259="Investment",M1259&gt;'Segmentation Summary'!$C$1),"C1 - Global Investors",IF(AND(I1259&gt;=4,M1259&gt;'Segmentation Summary'!$C$1),"C4 - Luxury Investors",IF(AND(D1259&lt;'Segmentation Summary'!$C$2,J1259=1),"C2 - First-Time Buyers","C5 - Other Individual Buyers"))))</f>
        <v>C2 - First-Time Buyers</v>
      </c>
    </row>
    <row r="1260" customFormat="false" ht="15" hidden="false" customHeight="true" outlineLevel="0" collapsed="false">
      <c r="A1260" s="13" t="s">
        <v>2536</v>
      </c>
      <c r="B1260" s="13" t="s">
        <v>34</v>
      </c>
      <c r="C1260" s="13" t="s">
        <v>2537</v>
      </c>
      <c r="D1260" s="13" t="n">
        <v>48</v>
      </c>
      <c r="E1260" s="13" t="s">
        <v>90</v>
      </c>
      <c r="F1260" s="13" t="s">
        <v>33</v>
      </c>
      <c r="G1260" s="13" t="s">
        <v>162</v>
      </c>
      <c r="H1260" s="13" t="s">
        <v>41</v>
      </c>
      <c r="I1260" s="13" t="n">
        <v>4</v>
      </c>
      <c r="J1260" s="13" t="n">
        <v>1</v>
      </c>
      <c r="K1260" s="13" t="s">
        <v>91</v>
      </c>
      <c r="L1260" s="13" t="n">
        <v>4</v>
      </c>
      <c r="M1260" s="13" t="n">
        <v>1247795.31</v>
      </c>
      <c r="N1260" s="13" t="n">
        <v>311948.8275</v>
      </c>
      <c r="O1260" s="13" t="n">
        <v>993.05</v>
      </c>
      <c r="P1260" s="13" t="n">
        <v>1</v>
      </c>
      <c r="Q1260" s="13" t="n">
        <v>3</v>
      </c>
      <c r="R1260" s="13" t="s">
        <v>124</v>
      </c>
      <c r="S1260" s="13" t="s">
        <v>154</v>
      </c>
      <c r="T1260" s="13" t="n">
        <v>1</v>
      </c>
      <c r="U1260" s="13" t="n">
        <f aca="false">IF(B1260="Individual",1,0)</f>
        <v>1</v>
      </c>
      <c r="V1260" s="13" t="n">
        <f aca="false">IF(B1260="Company",1,0)</f>
        <v>0</v>
      </c>
      <c r="W1260" s="13" t="n">
        <f aca="false">IF(H1260="Home",1,0)</f>
        <v>1</v>
      </c>
      <c r="X1260" s="13" t="n">
        <f aca="false">IF(H1260="Investment",1,0)</f>
        <v>0</v>
      </c>
      <c r="Y1260" s="13" t="n">
        <f aca="false">IF(K1260="Website",1,0)</f>
        <v>0</v>
      </c>
      <c r="Z1260" s="13" t="n">
        <f aca="false">IF(K1260="Agency",1,0)</f>
        <v>1</v>
      </c>
      <c r="AA1260" s="13" t="n">
        <f aca="false">IF(K1260="Client",1,0)</f>
        <v>0</v>
      </c>
      <c r="AB1260" s="13" t="n">
        <f aca="false">(D1260-AVERAGE(D$2:D$2001))/STDEV(D$2:D$2001)</f>
        <v>-0.353874489330784</v>
      </c>
      <c r="AC1260" s="13" t="n">
        <f aca="false">(I1260-AVERAGE(I$2:I$2001))/STDEV(I$2:I$2001)</f>
        <v>0.686917069130275</v>
      </c>
      <c r="AD1260" s="13" t="n">
        <f aca="false">(L1260-AVERAGE(L$2:L$2001))/STDEV(L$2:L$2001)</f>
        <v>0.413838214490712</v>
      </c>
      <c r="AE1260" s="13" t="n">
        <f aca="false">(M1260-AVERAGE(M$2:M$2001))/STDEV(M$2:M$2001)</f>
        <v>-0.036167513943143</v>
      </c>
      <c r="AF1260" s="13" t="n">
        <f aca="false">(N1260-AVERAGE(N$2:N$2001))/STDEV(N$2:N$2001)</f>
        <v>-0.504019078315007</v>
      </c>
      <c r="AG1260" s="13" t="n">
        <f aca="false">(O1260-AVERAGE(O$2:O$2001))/STDEV(O$2:O$2001)</f>
        <v>-0.702200124730348</v>
      </c>
      <c r="AH1260" s="0" t="str">
        <f aca="false">IF(B1260="Company","C3 - Corporate Buyers",IF(AND(H1260="Investment",M1260&gt;'Segmentation Summary'!$C$1),"C1 - Global Investors",IF(AND(I1260&gt;=4,M1260&gt;'Segmentation Summary'!$C$1),"C4 - Luxury Investors",IF(AND(D1260&lt;'Segmentation Summary'!$C$2,J1260=1),"C2 - First-Time Buyers","C5 - Other Individual Buyers"))))</f>
        <v>C4 - Luxury Investors</v>
      </c>
    </row>
    <row r="1261" customFormat="false" ht="15" hidden="false" customHeight="true" outlineLevel="0" collapsed="false">
      <c r="A1261" s="13" t="s">
        <v>2538</v>
      </c>
      <c r="B1261" s="13" t="s">
        <v>34</v>
      </c>
      <c r="C1261" s="13" t="s">
        <v>2539</v>
      </c>
      <c r="D1261" s="13" t="n">
        <v>39</v>
      </c>
      <c r="E1261" s="13" t="s">
        <v>83</v>
      </c>
      <c r="F1261" s="13" t="s">
        <v>33</v>
      </c>
      <c r="G1261" s="13" t="s">
        <v>100</v>
      </c>
      <c r="H1261" s="13" t="s">
        <v>43</v>
      </c>
      <c r="I1261" s="13" t="n">
        <v>5</v>
      </c>
      <c r="J1261" s="13" t="n">
        <v>0</v>
      </c>
      <c r="K1261" s="13" t="s">
        <v>85</v>
      </c>
      <c r="L1261" s="13" t="n">
        <v>4</v>
      </c>
      <c r="M1261" s="13" t="n">
        <v>1628937.85</v>
      </c>
      <c r="N1261" s="13" t="n">
        <v>407234.4625</v>
      </c>
      <c r="O1261" s="13" t="n">
        <v>1332.2825</v>
      </c>
      <c r="P1261" s="13" t="n">
        <v>1</v>
      </c>
      <c r="Q1261" s="13" t="n">
        <v>3</v>
      </c>
      <c r="R1261" s="13" t="s">
        <v>117</v>
      </c>
      <c r="S1261" s="13" t="s">
        <v>215</v>
      </c>
      <c r="T1261" s="13" t="n">
        <v>1</v>
      </c>
      <c r="U1261" s="13" t="n">
        <f aca="false">IF(B1261="Individual",1,0)</f>
        <v>1</v>
      </c>
      <c r="V1261" s="13" t="n">
        <f aca="false">IF(B1261="Company",1,0)</f>
        <v>0</v>
      </c>
      <c r="W1261" s="13" t="n">
        <f aca="false">IF(H1261="Home",1,0)</f>
        <v>0</v>
      </c>
      <c r="X1261" s="13" t="n">
        <f aca="false">IF(H1261="Investment",1,0)</f>
        <v>1</v>
      </c>
      <c r="Y1261" s="13" t="n">
        <f aca="false">IF(K1261="Website",1,0)</f>
        <v>1</v>
      </c>
      <c r="Z1261" s="13" t="n">
        <f aca="false">IF(K1261="Agency",1,0)</f>
        <v>0</v>
      </c>
      <c r="AA1261" s="13" t="n">
        <f aca="false">IF(K1261="Client",1,0)</f>
        <v>0</v>
      </c>
      <c r="AB1261" s="13" t="n">
        <f aca="false">(D1261-AVERAGE(D$2:D$2001))/STDEV(D$2:D$2001)</f>
        <v>-0.872836588724145</v>
      </c>
      <c r="AC1261" s="13" t="n">
        <f aca="false">(I1261-AVERAGE(I$2:I$2001))/STDEV(I$2:I$2001)</f>
        <v>1.39434968409451</v>
      </c>
      <c r="AD1261" s="13" t="n">
        <f aca="false">(L1261-AVERAGE(L$2:L$2001))/STDEV(L$2:L$2001)</f>
        <v>0.413838214490712</v>
      </c>
      <c r="AE1261" s="13" t="n">
        <f aca="false">(M1261-AVERAGE(M$2:M$2001))/STDEV(M$2:M$2001)</f>
        <v>1.05960286670762</v>
      </c>
      <c r="AF1261" s="13" t="n">
        <f aca="false">(N1261-AVERAGE(N$2:N$2001))/STDEV(N$2:N$2001)</f>
        <v>0.862635328022981</v>
      </c>
      <c r="AG1261" s="13" t="n">
        <f aca="false">(O1261-AVERAGE(O$2:O$2001))/STDEV(O$2:O$2001)</f>
        <v>0.840308558389809</v>
      </c>
      <c r="AH1261" s="0" t="str">
        <f aca="false">IF(B1261="Company","C3 - Corporate Buyers",IF(AND(H1261="Investment",M1261&gt;'Segmentation Summary'!$C$1),"C1 - Global Investors",IF(AND(I1261&gt;=4,M1261&gt;'Segmentation Summary'!$C$1),"C4 - Luxury Investors",IF(AND(D1261&lt;'Segmentation Summary'!$C$2,J1261=1),"C2 - First-Time Buyers","C5 - Other Individual Buyers"))))</f>
        <v>C1 - Global Investors</v>
      </c>
    </row>
    <row r="1262" customFormat="false" ht="15" hidden="false" customHeight="true" outlineLevel="0" collapsed="false">
      <c r="A1262" s="13" t="s">
        <v>2540</v>
      </c>
      <c r="B1262" s="13" t="s">
        <v>34</v>
      </c>
      <c r="C1262" s="13" t="s">
        <v>2541</v>
      </c>
      <c r="D1262" s="13" t="n">
        <v>78</v>
      </c>
      <c r="E1262" s="13" t="s">
        <v>83</v>
      </c>
      <c r="F1262" s="13" t="s">
        <v>33</v>
      </c>
      <c r="G1262" s="13" t="s">
        <v>157</v>
      </c>
      <c r="H1262" s="13" t="s">
        <v>41</v>
      </c>
      <c r="I1262" s="13" t="n">
        <v>2</v>
      </c>
      <c r="J1262" s="13" t="n">
        <v>1</v>
      </c>
      <c r="K1262" s="13" t="s">
        <v>91</v>
      </c>
      <c r="L1262" s="13" t="n">
        <v>4</v>
      </c>
      <c r="M1262" s="13" t="n">
        <v>1158001.36</v>
      </c>
      <c r="N1262" s="13" t="n">
        <v>289500.34</v>
      </c>
      <c r="O1262" s="13" t="n">
        <v>939.3575</v>
      </c>
      <c r="P1262" s="13" t="n">
        <v>0</v>
      </c>
      <c r="Q1262" s="13" t="n">
        <v>4</v>
      </c>
      <c r="R1262" s="13" t="s">
        <v>101</v>
      </c>
      <c r="S1262" s="13" t="s">
        <v>87</v>
      </c>
      <c r="T1262" s="13" t="n">
        <v>1</v>
      </c>
      <c r="U1262" s="13" t="n">
        <f aca="false">IF(B1262="Individual",1,0)</f>
        <v>1</v>
      </c>
      <c r="V1262" s="13" t="n">
        <f aca="false">IF(B1262="Company",1,0)</f>
        <v>0</v>
      </c>
      <c r="W1262" s="13" t="n">
        <f aca="false">IF(H1262="Home",1,0)</f>
        <v>1</v>
      </c>
      <c r="X1262" s="13" t="n">
        <f aca="false">IF(H1262="Investment",1,0)</f>
        <v>0</v>
      </c>
      <c r="Y1262" s="13" t="n">
        <f aca="false">IF(K1262="Website",1,0)</f>
        <v>0</v>
      </c>
      <c r="Z1262" s="13" t="n">
        <f aca="false">IF(K1262="Agency",1,0)</f>
        <v>1</v>
      </c>
      <c r="AA1262" s="13" t="n">
        <f aca="false">IF(K1262="Client",1,0)</f>
        <v>0</v>
      </c>
      <c r="AB1262" s="13" t="n">
        <f aca="false">(D1262-AVERAGE(D$2:D$2001))/STDEV(D$2:D$2001)</f>
        <v>1.37599917531375</v>
      </c>
      <c r="AC1262" s="13" t="n">
        <f aca="false">(I1262-AVERAGE(I$2:I$2001))/STDEV(I$2:I$2001)</f>
        <v>-0.727948160798201</v>
      </c>
      <c r="AD1262" s="13" t="n">
        <f aca="false">(L1262-AVERAGE(L$2:L$2001))/STDEV(L$2:L$2001)</f>
        <v>0.413838214490712</v>
      </c>
      <c r="AE1262" s="13" t="n">
        <f aca="false">(M1262-AVERAGE(M$2:M$2001))/STDEV(M$2:M$2001)</f>
        <v>-0.294321722527772</v>
      </c>
      <c r="AF1262" s="13" t="n">
        <f aca="false">(N1262-AVERAGE(N$2:N$2001))/STDEV(N$2:N$2001)</f>
        <v>-0.825991266016734</v>
      </c>
      <c r="AG1262" s="13" t="n">
        <f aca="false">(O1262-AVERAGE(O$2:O$2001))/STDEV(O$2:O$2001)</f>
        <v>-0.946342851233348</v>
      </c>
      <c r="AH1262" s="0" t="str">
        <f aca="false">IF(B1262="Company","C3 - Corporate Buyers",IF(AND(H1262="Investment",M1262&gt;'Segmentation Summary'!$C$1),"C1 - Global Investors",IF(AND(I1262&gt;=4,M1262&gt;'Segmentation Summary'!$C$1),"C4 - Luxury Investors",IF(AND(D1262&lt;'Segmentation Summary'!$C$2,J1262=1),"C2 - First-Time Buyers","C5 - Other Individual Buyers"))))</f>
        <v>C5 - Other Individual Buyers</v>
      </c>
    </row>
    <row r="1263" customFormat="false" ht="15" hidden="false" customHeight="true" outlineLevel="0" collapsed="false">
      <c r="A1263" s="13" t="s">
        <v>2542</v>
      </c>
      <c r="B1263" s="13" t="s">
        <v>34</v>
      </c>
      <c r="C1263" s="13" t="s">
        <v>2543</v>
      </c>
      <c r="D1263" s="13" t="n">
        <v>59</v>
      </c>
      <c r="E1263" s="13" t="s">
        <v>83</v>
      </c>
      <c r="F1263" s="13" t="s">
        <v>33</v>
      </c>
      <c r="G1263" s="13" t="s">
        <v>100</v>
      </c>
      <c r="H1263" s="13" t="s">
        <v>43</v>
      </c>
      <c r="I1263" s="13" t="n">
        <v>3</v>
      </c>
      <c r="J1263" s="13" t="n">
        <v>0</v>
      </c>
      <c r="K1263" s="13" t="s">
        <v>91</v>
      </c>
      <c r="L1263" s="13" t="n">
        <v>3</v>
      </c>
      <c r="M1263" s="13" t="n">
        <v>1141476.56</v>
      </c>
      <c r="N1263" s="13" t="n">
        <v>380492.186666667</v>
      </c>
      <c r="O1263" s="13" t="n">
        <v>1196.17333333333</v>
      </c>
      <c r="P1263" s="13" t="n">
        <v>1</v>
      </c>
      <c r="Q1263" s="13" t="n">
        <v>2</v>
      </c>
      <c r="R1263" s="13" t="s">
        <v>92</v>
      </c>
      <c r="S1263" s="13" t="s">
        <v>154</v>
      </c>
      <c r="T1263" s="13" t="n">
        <v>1</v>
      </c>
      <c r="U1263" s="13" t="n">
        <f aca="false">IF(B1263="Individual",1,0)</f>
        <v>1</v>
      </c>
      <c r="V1263" s="13" t="n">
        <f aca="false">IF(B1263="Company",1,0)</f>
        <v>0</v>
      </c>
      <c r="W1263" s="13" t="n">
        <f aca="false">IF(H1263="Home",1,0)</f>
        <v>0</v>
      </c>
      <c r="X1263" s="13" t="n">
        <f aca="false">IF(H1263="Investment",1,0)</f>
        <v>1</v>
      </c>
      <c r="Y1263" s="13" t="n">
        <f aca="false">IF(K1263="Website",1,0)</f>
        <v>0</v>
      </c>
      <c r="Z1263" s="13" t="n">
        <f aca="false">IF(K1263="Agency",1,0)</f>
        <v>1</v>
      </c>
      <c r="AA1263" s="13" t="n">
        <f aca="false">IF(K1263="Client",1,0)</f>
        <v>0</v>
      </c>
      <c r="AB1263" s="13" t="n">
        <f aca="false">(D1263-AVERAGE(D$2:D$2001))/STDEV(D$2:D$2001)</f>
        <v>0.280412521038879</v>
      </c>
      <c r="AC1263" s="13" t="n">
        <f aca="false">(I1263-AVERAGE(I$2:I$2001))/STDEV(I$2:I$2001)</f>
        <v>-0.0205155458339628</v>
      </c>
      <c r="AD1263" s="13" t="n">
        <f aca="false">(L1263-AVERAGE(L$2:L$2001))/STDEV(L$2:L$2001)</f>
        <v>-0.777063122173208</v>
      </c>
      <c r="AE1263" s="13" t="n">
        <f aca="false">(M1263-AVERAGE(M$2:M$2001))/STDEV(M$2:M$2001)</f>
        <v>-0.34182989725468</v>
      </c>
      <c r="AF1263" s="13" t="n">
        <f aca="false">(N1263-AVERAGE(N$2:N$2001))/STDEV(N$2:N$2001)</f>
        <v>0.479078571507369</v>
      </c>
      <c r="AG1263" s="13" t="n">
        <f aca="false">(O1263-AVERAGE(O$2:O$2001))/STDEV(O$2:O$2001)</f>
        <v>0.221412752605908</v>
      </c>
      <c r="AH1263" s="0" t="str">
        <f aca="false">IF(B1263="Company","C3 - Corporate Buyers",IF(AND(H1263="Investment",M1263&gt;'Segmentation Summary'!$C$1),"C1 - Global Investors",IF(AND(I1263&gt;=4,M1263&gt;'Segmentation Summary'!$C$1),"C4 - Luxury Investors",IF(AND(D1263&lt;'Segmentation Summary'!$C$2,J1263=1),"C2 - First-Time Buyers","C5 - Other Individual Buyers"))))</f>
        <v>C5 - Other Individual Buyers</v>
      </c>
    </row>
    <row r="1264" customFormat="false" ht="15" hidden="false" customHeight="true" outlineLevel="0" collapsed="false">
      <c r="A1264" s="13" t="s">
        <v>2544</v>
      </c>
      <c r="B1264" s="13" t="s">
        <v>34</v>
      </c>
      <c r="C1264" s="13" t="s">
        <v>2545</v>
      </c>
      <c r="D1264" s="13" t="n">
        <v>70</v>
      </c>
      <c r="E1264" s="13" t="s">
        <v>83</v>
      </c>
      <c r="F1264" s="13" t="s">
        <v>33</v>
      </c>
      <c r="G1264" s="13" t="s">
        <v>123</v>
      </c>
      <c r="H1264" s="13" t="s">
        <v>43</v>
      </c>
      <c r="I1264" s="13" t="n">
        <v>2</v>
      </c>
      <c r="J1264" s="13" t="n">
        <v>0</v>
      </c>
      <c r="K1264" s="13" t="s">
        <v>85</v>
      </c>
      <c r="L1264" s="13" t="n">
        <v>3</v>
      </c>
      <c r="M1264" s="13" t="n">
        <v>1443234.89</v>
      </c>
      <c r="N1264" s="13" t="n">
        <v>481078.296666667</v>
      </c>
      <c r="O1264" s="13" t="n">
        <v>1529.46333333333</v>
      </c>
      <c r="P1264" s="13" t="n">
        <v>0</v>
      </c>
      <c r="Q1264" s="13" t="n">
        <v>3</v>
      </c>
      <c r="R1264" s="13" t="s">
        <v>121</v>
      </c>
      <c r="S1264" s="13" t="s">
        <v>133</v>
      </c>
      <c r="T1264" s="13" t="n">
        <v>1</v>
      </c>
      <c r="U1264" s="13" t="n">
        <f aca="false">IF(B1264="Individual",1,0)</f>
        <v>1</v>
      </c>
      <c r="V1264" s="13" t="n">
        <f aca="false">IF(B1264="Company",1,0)</f>
        <v>0</v>
      </c>
      <c r="W1264" s="13" t="n">
        <f aca="false">IF(H1264="Home",1,0)</f>
        <v>0</v>
      </c>
      <c r="X1264" s="13" t="n">
        <f aca="false">IF(H1264="Investment",1,0)</f>
        <v>1</v>
      </c>
      <c r="Y1264" s="13" t="n">
        <f aca="false">IF(K1264="Website",1,0)</f>
        <v>1</v>
      </c>
      <c r="Z1264" s="13" t="n">
        <f aca="false">IF(K1264="Agency",1,0)</f>
        <v>0</v>
      </c>
      <c r="AA1264" s="13" t="n">
        <f aca="false">IF(K1264="Client",1,0)</f>
        <v>0</v>
      </c>
      <c r="AB1264" s="13" t="n">
        <f aca="false">(D1264-AVERAGE(D$2:D$2001))/STDEV(D$2:D$2001)</f>
        <v>0.914699531408543</v>
      </c>
      <c r="AC1264" s="13" t="n">
        <f aca="false">(I1264-AVERAGE(I$2:I$2001))/STDEV(I$2:I$2001)</f>
        <v>-0.727948160798201</v>
      </c>
      <c r="AD1264" s="13" t="n">
        <f aca="false">(L1264-AVERAGE(L$2:L$2001))/STDEV(L$2:L$2001)</f>
        <v>-0.777063122173208</v>
      </c>
      <c r="AE1264" s="13" t="n">
        <f aca="false">(M1264-AVERAGE(M$2:M$2001))/STDEV(M$2:M$2001)</f>
        <v>0.525713883422851</v>
      </c>
      <c r="AF1264" s="13" t="n">
        <f aca="false">(N1264-AVERAGE(N$2:N$2001))/STDEV(N$2:N$2001)</f>
        <v>1.92175616344342</v>
      </c>
      <c r="AG1264" s="13" t="n">
        <f aca="false">(O1264-AVERAGE(O$2:O$2001))/STDEV(O$2:O$2001)</f>
        <v>1.73690056405415</v>
      </c>
      <c r="AH1264" s="0" t="str">
        <f aca="false">IF(B1264="Company","C3 - Corporate Buyers",IF(AND(H1264="Investment",M1264&gt;'Segmentation Summary'!$C$1),"C1 - Global Investors",IF(AND(I1264&gt;=4,M1264&gt;'Segmentation Summary'!$C$1),"C4 - Luxury Investors",IF(AND(D1264&lt;'Segmentation Summary'!$C$2,J1264=1),"C2 - First-Time Buyers","C5 - Other Individual Buyers"))))</f>
        <v>C1 - Global Investors</v>
      </c>
    </row>
    <row r="1265" customFormat="false" ht="15" hidden="false" customHeight="true" outlineLevel="0" collapsed="false">
      <c r="A1265" s="13" t="s">
        <v>2546</v>
      </c>
      <c r="B1265" s="13" t="s">
        <v>34</v>
      </c>
      <c r="C1265" s="13" t="s">
        <v>2547</v>
      </c>
      <c r="D1265" s="13" t="n">
        <v>48</v>
      </c>
      <c r="E1265" s="13" t="s">
        <v>83</v>
      </c>
      <c r="F1265" s="13" t="s">
        <v>33</v>
      </c>
      <c r="G1265" s="13" t="s">
        <v>95</v>
      </c>
      <c r="H1265" s="13" t="s">
        <v>41</v>
      </c>
      <c r="I1265" s="13" t="n">
        <v>4</v>
      </c>
      <c r="J1265" s="13" t="n">
        <v>1</v>
      </c>
      <c r="K1265" s="13" t="s">
        <v>85</v>
      </c>
      <c r="L1265" s="13" t="n">
        <v>3</v>
      </c>
      <c r="M1265" s="13" t="n">
        <v>884426.51</v>
      </c>
      <c r="N1265" s="13" t="n">
        <v>294808.836666667</v>
      </c>
      <c r="O1265" s="13" t="n">
        <v>973.09</v>
      </c>
      <c r="P1265" s="13" t="n">
        <v>0</v>
      </c>
      <c r="Q1265" s="13" t="n">
        <v>3</v>
      </c>
      <c r="R1265" s="13" t="s">
        <v>101</v>
      </c>
      <c r="S1265" s="13" t="s">
        <v>93</v>
      </c>
      <c r="T1265" s="13" t="n">
        <v>1</v>
      </c>
      <c r="U1265" s="13" t="n">
        <f aca="false">IF(B1265="Individual",1,0)</f>
        <v>1</v>
      </c>
      <c r="V1265" s="13" t="n">
        <f aca="false">IF(B1265="Company",1,0)</f>
        <v>0</v>
      </c>
      <c r="W1265" s="13" t="n">
        <f aca="false">IF(H1265="Home",1,0)</f>
        <v>1</v>
      </c>
      <c r="X1265" s="13" t="n">
        <f aca="false">IF(H1265="Investment",1,0)</f>
        <v>0</v>
      </c>
      <c r="Y1265" s="13" t="n">
        <f aca="false">IF(K1265="Website",1,0)</f>
        <v>1</v>
      </c>
      <c r="Z1265" s="13" t="n">
        <f aca="false">IF(K1265="Agency",1,0)</f>
        <v>0</v>
      </c>
      <c r="AA1265" s="13" t="n">
        <f aca="false">IF(K1265="Client",1,0)</f>
        <v>0</v>
      </c>
      <c r="AB1265" s="13" t="n">
        <f aca="false">(D1265-AVERAGE(D$2:D$2001))/STDEV(D$2:D$2001)</f>
        <v>-0.353874489330784</v>
      </c>
      <c r="AC1265" s="13" t="n">
        <f aca="false">(I1265-AVERAGE(I$2:I$2001))/STDEV(I$2:I$2001)</f>
        <v>0.686917069130275</v>
      </c>
      <c r="AD1265" s="13" t="n">
        <f aca="false">(L1265-AVERAGE(L$2:L$2001))/STDEV(L$2:L$2001)</f>
        <v>-0.777063122173208</v>
      </c>
      <c r="AE1265" s="13" t="n">
        <f aca="false">(M1265-AVERAGE(M$2:M$2001))/STDEV(M$2:M$2001)</f>
        <v>-1.08083906462497</v>
      </c>
      <c r="AF1265" s="13" t="n">
        <f aca="false">(N1265-AVERAGE(N$2:N$2001))/STDEV(N$2:N$2001)</f>
        <v>-0.749853027965101</v>
      </c>
      <c r="AG1265" s="13" t="n">
        <f aca="false">(O1265-AVERAGE(O$2:O$2001))/STDEV(O$2:O$2001)</f>
        <v>-0.792959333577019</v>
      </c>
      <c r="AH1265" s="0" t="str">
        <f aca="false">IF(B1265="Company","C3 - Corporate Buyers",IF(AND(H1265="Investment",M1265&gt;'Segmentation Summary'!$C$1),"C1 - Global Investors",IF(AND(I1265&gt;=4,M1265&gt;'Segmentation Summary'!$C$1),"C4 - Luxury Investors",IF(AND(D1265&lt;'Segmentation Summary'!$C$2,J1265=1),"C2 - First-Time Buyers","C5 - Other Individual Buyers"))))</f>
        <v>C2 - First-Time Buyers</v>
      </c>
    </row>
    <row r="1266" customFormat="false" ht="15" hidden="false" customHeight="true" outlineLevel="0" collapsed="false">
      <c r="A1266" s="13" t="s">
        <v>2548</v>
      </c>
      <c r="B1266" s="13" t="s">
        <v>34</v>
      </c>
      <c r="C1266" s="13" t="s">
        <v>2549</v>
      </c>
      <c r="D1266" s="13" t="n">
        <v>52</v>
      </c>
      <c r="E1266" s="13" t="s">
        <v>83</v>
      </c>
      <c r="F1266" s="13" t="s">
        <v>33</v>
      </c>
      <c r="G1266" s="13" t="s">
        <v>95</v>
      </c>
      <c r="H1266" s="13" t="s">
        <v>41</v>
      </c>
      <c r="I1266" s="13" t="n">
        <v>1</v>
      </c>
      <c r="J1266" s="13" t="n">
        <v>0</v>
      </c>
      <c r="K1266" s="13" t="s">
        <v>91</v>
      </c>
      <c r="L1266" s="13" t="n">
        <v>4</v>
      </c>
      <c r="M1266" s="13" t="n">
        <v>1366990.13</v>
      </c>
      <c r="N1266" s="13" t="n">
        <v>341747.5325</v>
      </c>
      <c r="O1266" s="13" t="n">
        <v>1072.985</v>
      </c>
      <c r="P1266" s="13" t="n">
        <v>0</v>
      </c>
      <c r="Q1266" s="13" t="n">
        <v>4</v>
      </c>
      <c r="R1266" s="13" t="s">
        <v>124</v>
      </c>
      <c r="S1266" s="13" t="s">
        <v>87</v>
      </c>
      <c r="T1266" s="13" t="n">
        <v>1</v>
      </c>
      <c r="U1266" s="13" t="n">
        <f aca="false">IF(B1266="Individual",1,0)</f>
        <v>1</v>
      </c>
      <c r="V1266" s="13" t="n">
        <f aca="false">IF(B1266="Company",1,0)</f>
        <v>0</v>
      </c>
      <c r="W1266" s="13" t="n">
        <f aca="false">IF(H1266="Home",1,0)</f>
        <v>1</v>
      </c>
      <c r="X1266" s="13" t="n">
        <f aca="false">IF(H1266="Investment",1,0)</f>
        <v>0</v>
      </c>
      <c r="Y1266" s="13" t="n">
        <f aca="false">IF(K1266="Website",1,0)</f>
        <v>0</v>
      </c>
      <c r="Z1266" s="13" t="n">
        <f aca="false">IF(K1266="Agency",1,0)</f>
        <v>1</v>
      </c>
      <c r="AA1266" s="13" t="n">
        <f aca="false">IF(K1266="Client",1,0)</f>
        <v>0</v>
      </c>
      <c r="AB1266" s="13" t="n">
        <f aca="false">(D1266-AVERAGE(D$2:D$2001))/STDEV(D$2:D$2001)</f>
        <v>-0.123224667378179</v>
      </c>
      <c r="AC1266" s="13" t="n">
        <f aca="false">(I1266-AVERAGE(I$2:I$2001))/STDEV(I$2:I$2001)</f>
        <v>-1.43538077576244</v>
      </c>
      <c r="AD1266" s="13" t="n">
        <f aca="false">(L1266-AVERAGE(L$2:L$2001))/STDEV(L$2:L$2001)</f>
        <v>0.413838214490712</v>
      </c>
      <c r="AE1266" s="13" t="n">
        <f aca="false">(M1266-AVERAGE(M$2:M$2001))/STDEV(M$2:M$2001)</f>
        <v>0.30651308340765</v>
      </c>
      <c r="AF1266" s="13" t="n">
        <f aca="false">(N1266-AVERAGE(N$2:N$2001))/STDEV(N$2:N$2001)</f>
        <v>-0.0766248389691101</v>
      </c>
      <c r="AG1266" s="13" t="n">
        <f aca="false">(O1266-AVERAGE(O$2:O$2001))/STDEV(O$2:O$2001)</f>
        <v>-0.338731319161278</v>
      </c>
      <c r="AH1266" s="0" t="str">
        <f aca="false">IF(B1266="Company","C3 - Corporate Buyers",IF(AND(H1266="Investment",M1266&gt;'Segmentation Summary'!$C$1),"C1 - Global Investors",IF(AND(I1266&gt;=4,M1266&gt;'Segmentation Summary'!$C$1),"C4 - Luxury Investors",IF(AND(D1266&lt;'Segmentation Summary'!$C$2,J1266=1),"C2 - First-Time Buyers","C5 - Other Individual Buyers"))))</f>
        <v>C5 - Other Individual Buyers</v>
      </c>
    </row>
    <row r="1267" customFormat="false" ht="15" hidden="false" customHeight="true" outlineLevel="0" collapsed="false">
      <c r="A1267" s="13" t="s">
        <v>2550</v>
      </c>
      <c r="B1267" s="13" t="s">
        <v>34</v>
      </c>
      <c r="C1267" s="13" t="s">
        <v>2551</v>
      </c>
      <c r="D1267" s="13" t="n">
        <v>81</v>
      </c>
      <c r="E1267" s="13" t="s">
        <v>83</v>
      </c>
      <c r="F1267" s="13" t="s">
        <v>33</v>
      </c>
      <c r="G1267" s="13" t="s">
        <v>95</v>
      </c>
      <c r="H1267" s="13" t="s">
        <v>43</v>
      </c>
      <c r="I1267" s="13" t="n">
        <v>2</v>
      </c>
      <c r="J1267" s="13" t="n">
        <v>0</v>
      </c>
      <c r="K1267" s="13" t="s">
        <v>91</v>
      </c>
      <c r="L1267" s="13" t="n">
        <v>4</v>
      </c>
      <c r="M1267" s="13" t="n">
        <v>967894.54</v>
      </c>
      <c r="N1267" s="13" t="n">
        <v>241973.635</v>
      </c>
      <c r="O1267" s="13" t="n">
        <v>821.355</v>
      </c>
      <c r="P1267" s="13" t="n">
        <v>0</v>
      </c>
      <c r="Q1267" s="13" t="n">
        <v>4</v>
      </c>
      <c r="R1267" s="13" t="s">
        <v>92</v>
      </c>
      <c r="S1267" s="13" t="s">
        <v>125</v>
      </c>
      <c r="T1267" s="13" t="n">
        <v>1</v>
      </c>
      <c r="U1267" s="13" t="n">
        <f aca="false">IF(B1267="Individual",1,0)</f>
        <v>1</v>
      </c>
      <c r="V1267" s="13" t="n">
        <f aca="false">IF(B1267="Company",1,0)</f>
        <v>0</v>
      </c>
      <c r="W1267" s="13" t="n">
        <f aca="false">IF(H1267="Home",1,0)</f>
        <v>0</v>
      </c>
      <c r="X1267" s="13" t="n">
        <f aca="false">IF(H1267="Investment",1,0)</f>
        <v>1</v>
      </c>
      <c r="Y1267" s="13" t="n">
        <f aca="false">IF(K1267="Website",1,0)</f>
        <v>0</v>
      </c>
      <c r="Z1267" s="13" t="n">
        <f aca="false">IF(K1267="Agency",1,0)</f>
        <v>1</v>
      </c>
      <c r="AA1267" s="13" t="n">
        <f aca="false">IF(K1267="Client",1,0)</f>
        <v>0</v>
      </c>
      <c r="AB1267" s="13" t="n">
        <f aca="false">(D1267-AVERAGE(D$2:D$2001))/STDEV(D$2:D$2001)</f>
        <v>1.54898654177821</v>
      </c>
      <c r="AC1267" s="13" t="n">
        <f aca="false">(I1267-AVERAGE(I$2:I$2001))/STDEV(I$2:I$2001)</f>
        <v>-0.727948160798201</v>
      </c>
      <c r="AD1267" s="13" t="n">
        <f aca="false">(L1267-AVERAGE(L$2:L$2001))/STDEV(L$2:L$2001)</f>
        <v>0.413838214490712</v>
      </c>
      <c r="AE1267" s="13" t="n">
        <f aca="false">(M1267-AVERAGE(M$2:M$2001))/STDEV(M$2:M$2001)</f>
        <v>-0.840871636677228</v>
      </c>
      <c r="AF1267" s="13" t="n">
        <f aca="false">(N1267-AVERAGE(N$2:N$2001))/STDEV(N$2:N$2001)</f>
        <v>-1.50765310105594</v>
      </c>
      <c r="AG1267" s="13" t="n">
        <f aca="false">(O1267-AVERAGE(O$2:O$2001))/STDEV(O$2:O$2001)</f>
        <v>-1.48290665593922</v>
      </c>
      <c r="AH1267" s="0" t="str">
        <f aca="false">IF(B1267="Company","C3 - Corporate Buyers",IF(AND(H1267="Investment",M1267&gt;'Segmentation Summary'!$C$1),"C1 - Global Investors",IF(AND(I1267&gt;=4,M1267&gt;'Segmentation Summary'!$C$1),"C4 - Luxury Investors",IF(AND(D1267&lt;'Segmentation Summary'!$C$2,J1267=1),"C2 - First-Time Buyers","C5 - Other Individual Buyers"))))</f>
        <v>C5 - Other Individual Buyers</v>
      </c>
    </row>
    <row r="1268" customFormat="false" ht="15" hidden="false" customHeight="true" outlineLevel="0" collapsed="false">
      <c r="A1268" s="13" t="s">
        <v>2552</v>
      </c>
      <c r="B1268" s="13" t="s">
        <v>34</v>
      </c>
      <c r="C1268" s="13" t="s">
        <v>2551</v>
      </c>
      <c r="D1268" s="13" t="n">
        <v>80</v>
      </c>
      <c r="E1268" s="13" t="s">
        <v>83</v>
      </c>
      <c r="F1268" s="13" t="s">
        <v>33</v>
      </c>
      <c r="G1268" s="13" t="s">
        <v>100</v>
      </c>
      <c r="H1268" s="13" t="s">
        <v>43</v>
      </c>
      <c r="I1268" s="13" t="n">
        <v>4</v>
      </c>
      <c r="J1268" s="13" t="n">
        <v>0</v>
      </c>
      <c r="K1268" s="13" t="s">
        <v>85</v>
      </c>
      <c r="L1268" s="13" t="n">
        <v>3</v>
      </c>
      <c r="M1268" s="13" t="n">
        <v>889948.76</v>
      </c>
      <c r="N1268" s="13" t="n">
        <v>296649.586666667</v>
      </c>
      <c r="O1268" s="13" t="n">
        <v>1104.51</v>
      </c>
      <c r="P1268" s="13" t="n">
        <v>0</v>
      </c>
      <c r="Q1268" s="13" t="n">
        <v>3</v>
      </c>
      <c r="R1268" s="13" t="s">
        <v>92</v>
      </c>
      <c r="S1268" s="13" t="s">
        <v>150</v>
      </c>
      <c r="T1268" s="13" t="n">
        <v>1</v>
      </c>
      <c r="U1268" s="13" t="n">
        <f aca="false">IF(B1268="Individual",1,0)</f>
        <v>1</v>
      </c>
      <c r="V1268" s="13" t="n">
        <f aca="false">IF(B1268="Company",1,0)</f>
        <v>0</v>
      </c>
      <c r="W1268" s="13" t="n">
        <f aca="false">IF(H1268="Home",1,0)</f>
        <v>0</v>
      </c>
      <c r="X1268" s="13" t="n">
        <f aca="false">IF(H1268="Investment",1,0)</f>
        <v>1</v>
      </c>
      <c r="Y1268" s="13" t="n">
        <f aca="false">IF(K1268="Website",1,0)</f>
        <v>1</v>
      </c>
      <c r="Z1268" s="13" t="n">
        <f aca="false">IF(K1268="Agency",1,0)</f>
        <v>0</v>
      </c>
      <c r="AA1268" s="13" t="n">
        <f aca="false">IF(K1268="Client",1,0)</f>
        <v>0</v>
      </c>
      <c r="AB1268" s="13" t="n">
        <f aca="false">(D1268-AVERAGE(D$2:D$2001))/STDEV(D$2:D$2001)</f>
        <v>1.49132408629005</v>
      </c>
      <c r="AC1268" s="13" t="n">
        <f aca="false">(I1268-AVERAGE(I$2:I$2001))/STDEV(I$2:I$2001)</f>
        <v>0.686917069130275</v>
      </c>
      <c r="AD1268" s="13" t="n">
        <f aca="false">(L1268-AVERAGE(L$2:L$2001))/STDEV(L$2:L$2001)</f>
        <v>-0.777063122173208</v>
      </c>
      <c r="AE1268" s="13" t="n">
        <f aca="false">(M1268-AVERAGE(M$2:M$2001))/STDEV(M$2:M$2001)</f>
        <v>-1.06496280482844</v>
      </c>
      <c r="AF1268" s="13" t="n">
        <f aca="false">(N1268-AVERAGE(N$2:N$2001))/STDEV(N$2:N$2001)</f>
        <v>-0.7234516811255</v>
      </c>
      <c r="AG1268" s="13" t="n">
        <f aca="false">(O1268-AVERAGE(O$2:O$2001))/STDEV(O$2:O$2001)</f>
        <v>-0.195385424427244</v>
      </c>
      <c r="AH1268" s="0" t="str">
        <f aca="false">IF(B1268="Company","C3 - Corporate Buyers",IF(AND(H1268="Investment",M1268&gt;'Segmentation Summary'!$C$1),"C1 - Global Investors",IF(AND(I1268&gt;=4,M1268&gt;'Segmentation Summary'!$C$1),"C4 - Luxury Investors",IF(AND(D1268&lt;'Segmentation Summary'!$C$2,J1268=1),"C2 - First-Time Buyers","C5 - Other Individual Buyers"))))</f>
        <v>C5 - Other Individual Buyers</v>
      </c>
    </row>
    <row r="1269" customFormat="false" ht="15" hidden="false" customHeight="true" outlineLevel="0" collapsed="false">
      <c r="A1269" s="13" t="s">
        <v>2553</v>
      </c>
      <c r="B1269" s="13" t="s">
        <v>34</v>
      </c>
      <c r="C1269" s="13" t="s">
        <v>2554</v>
      </c>
      <c r="D1269" s="13" t="n">
        <v>75</v>
      </c>
      <c r="E1269" s="13" t="s">
        <v>83</v>
      </c>
      <c r="F1269" s="13" t="s">
        <v>33</v>
      </c>
      <c r="G1269" s="13" t="s">
        <v>120</v>
      </c>
      <c r="H1269" s="13" t="s">
        <v>43</v>
      </c>
      <c r="I1269" s="13" t="n">
        <v>3</v>
      </c>
      <c r="J1269" s="13" t="n">
        <v>0</v>
      </c>
      <c r="K1269" s="13" t="s">
        <v>91</v>
      </c>
      <c r="L1269" s="13" t="n">
        <v>4</v>
      </c>
      <c r="M1269" s="13" t="n">
        <v>979868.13</v>
      </c>
      <c r="N1269" s="13" t="n">
        <v>244967.0325</v>
      </c>
      <c r="O1269" s="13" t="n">
        <v>794.1275</v>
      </c>
      <c r="P1269" s="13" t="n">
        <v>1</v>
      </c>
      <c r="Q1269" s="13" t="n">
        <v>3</v>
      </c>
      <c r="R1269" s="13" t="s">
        <v>117</v>
      </c>
      <c r="S1269" s="13" t="s">
        <v>125</v>
      </c>
      <c r="T1269" s="13" t="n">
        <v>1</v>
      </c>
      <c r="U1269" s="13" t="n">
        <f aca="false">IF(B1269="Individual",1,0)</f>
        <v>1</v>
      </c>
      <c r="V1269" s="13" t="n">
        <f aca="false">IF(B1269="Company",1,0)</f>
        <v>0</v>
      </c>
      <c r="W1269" s="13" t="n">
        <f aca="false">IF(H1269="Home",1,0)</f>
        <v>0</v>
      </c>
      <c r="X1269" s="13" t="n">
        <f aca="false">IF(H1269="Investment",1,0)</f>
        <v>1</v>
      </c>
      <c r="Y1269" s="13" t="n">
        <f aca="false">IF(K1269="Website",1,0)</f>
        <v>0</v>
      </c>
      <c r="Z1269" s="13" t="n">
        <f aca="false">IF(K1269="Agency",1,0)</f>
        <v>1</v>
      </c>
      <c r="AA1269" s="13" t="n">
        <f aca="false">IF(K1269="Client",1,0)</f>
        <v>0</v>
      </c>
      <c r="AB1269" s="13" t="n">
        <f aca="false">(D1269-AVERAGE(D$2:D$2001))/STDEV(D$2:D$2001)</f>
        <v>1.2030118088493</v>
      </c>
      <c r="AC1269" s="13" t="n">
        <f aca="false">(I1269-AVERAGE(I$2:I$2001))/STDEV(I$2:I$2001)</f>
        <v>-0.0205155458339628</v>
      </c>
      <c r="AD1269" s="13" t="n">
        <f aca="false">(L1269-AVERAGE(L$2:L$2001))/STDEV(L$2:L$2001)</f>
        <v>0.413838214490712</v>
      </c>
      <c r="AE1269" s="13" t="n">
        <f aca="false">(M1269-AVERAGE(M$2:M$2001))/STDEV(M$2:M$2001)</f>
        <v>-0.806448018489512</v>
      </c>
      <c r="AF1269" s="13" t="n">
        <f aca="false">(N1269-AVERAGE(N$2:N$2001))/STDEV(N$2:N$2001)</f>
        <v>-1.46471966325814</v>
      </c>
      <c r="AG1269" s="13" t="n">
        <f aca="false">(O1269-AVERAGE(O$2:O$2001))/STDEV(O$2:O$2001)</f>
        <v>-1.60671158373846</v>
      </c>
      <c r="AH1269" s="0" t="str">
        <f aca="false">IF(B1269="Company","C3 - Corporate Buyers",IF(AND(H1269="Investment",M1269&gt;'Segmentation Summary'!$C$1),"C1 - Global Investors",IF(AND(I1269&gt;=4,M1269&gt;'Segmentation Summary'!$C$1),"C4 - Luxury Investors",IF(AND(D1269&lt;'Segmentation Summary'!$C$2,J1269=1),"C2 - First-Time Buyers","C5 - Other Individual Buyers"))))</f>
        <v>C5 - Other Individual Buyers</v>
      </c>
    </row>
    <row r="1270" customFormat="false" ht="15" hidden="false" customHeight="true" outlineLevel="0" collapsed="false">
      <c r="A1270" s="13" t="s">
        <v>2555</v>
      </c>
      <c r="B1270" s="13" t="s">
        <v>34</v>
      </c>
      <c r="C1270" s="13" t="s">
        <v>2556</v>
      </c>
      <c r="D1270" s="13" t="n">
        <v>47</v>
      </c>
      <c r="E1270" s="13" t="s">
        <v>83</v>
      </c>
      <c r="F1270" s="13" t="s">
        <v>46</v>
      </c>
      <c r="G1270" s="13" t="s">
        <v>1065</v>
      </c>
      <c r="H1270" s="13" t="s">
        <v>41</v>
      </c>
      <c r="I1270" s="13" t="n">
        <v>3</v>
      </c>
      <c r="J1270" s="13" t="n">
        <v>0</v>
      </c>
      <c r="K1270" s="13" t="s">
        <v>85</v>
      </c>
      <c r="L1270" s="13" t="n">
        <v>3</v>
      </c>
      <c r="M1270" s="13" t="n">
        <v>1520218.18</v>
      </c>
      <c r="N1270" s="13" t="n">
        <v>506739.393333333</v>
      </c>
      <c r="O1270" s="13" t="n">
        <v>1680.52666666667</v>
      </c>
      <c r="P1270" s="13" t="n">
        <v>2</v>
      </c>
      <c r="Q1270" s="13" t="n">
        <v>1</v>
      </c>
      <c r="R1270" s="13" t="s">
        <v>98</v>
      </c>
      <c r="S1270" s="13" t="s">
        <v>114</v>
      </c>
      <c r="T1270" s="13" t="n">
        <v>1</v>
      </c>
      <c r="U1270" s="13" t="n">
        <f aca="false">IF(B1270="Individual",1,0)</f>
        <v>1</v>
      </c>
      <c r="V1270" s="13" t="n">
        <f aca="false">IF(B1270="Company",1,0)</f>
        <v>0</v>
      </c>
      <c r="W1270" s="13" t="n">
        <f aca="false">IF(H1270="Home",1,0)</f>
        <v>1</v>
      </c>
      <c r="X1270" s="13" t="n">
        <f aca="false">IF(H1270="Investment",1,0)</f>
        <v>0</v>
      </c>
      <c r="Y1270" s="13" t="n">
        <f aca="false">IF(K1270="Website",1,0)</f>
        <v>1</v>
      </c>
      <c r="Z1270" s="13" t="n">
        <f aca="false">IF(K1270="Agency",1,0)</f>
        <v>0</v>
      </c>
      <c r="AA1270" s="13" t="n">
        <f aca="false">IF(K1270="Client",1,0)</f>
        <v>0</v>
      </c>
      <c r="AB1270" s="13" t="n">
        <f aca="false">(D1270-AVERAGE(D$2:D$2001))/STDEV(D$2:D$2001)</f>
        <v>-0.411536944818935</v>
      </c>
      <c r="AC1270" s="13" t="n">
        <f aca="false">(I1270-AVERAGE(I$2:I$2001))/STDEV(I$2:I$2001)</f>
        <v>-0.0205155458339628</v>
      </c>
      <c r="AD1270" s="13" t="n">
        <f aca="false">(L1270-AVERAGE(L$2:L$2001))/STDEV(L$2:L$2001)</f>
        <v>-0.777063122173208</v>
      </c>
      <c r="AE1270" s="13" t="n">
        <f aca="false">(M1270-AVERAGE(M$2:M$2001))/STDEV(M$2:M$2001)</f>
        <v>0.74703792924321</v>
      </c>
      <c r="AF1270" s="13" t="n">
        <f aca="false">(N1270-AVERAGE(N$2:N$2001))/STDEV(N$2:N$2001)</f>
        <v>2.2898058787123</v>
      </c>
      <c r="AG1270" s="13" t="n">
        <f aca="false">(O1270-AVERAGE(O$2:O$2001))/STDEV(O$2:O$2001)</f>
        <v>2.42379378144268</v>
      </c>
      <c r="AH1270" s="0" t="str">
        <f aca="false">IF(B1270="Company","C3 - Corporate Buyers",IF(AND(H1270="Investment",M1270&gt;'Segmentation Summary'!$C$1),"C1 - Global Investors",IF(AND(I1270&gt;=4,M1270&gt;'Segmentation Summary'!$C$1),"C4 - Luxury Investors",IF(AND(D1270&lt;'Segmentation Summary'!$C$2,J1270=1),"C2 - First-Time Buyers","C5 - Other Individual Buyers"))))</f>
        <v>C5 - Other Individual Buyers</v>
      </c>
    </row>
    <row r="1271" customFormat="false" ht="15" hidden="false" customHeight="true" outlineLevel="0" collapsed="false">
      <c r="A1271" s="13" t="s">
        <v>2557</v>
      </c>
      <c r="B1271" s="13" t="s">
        <v>34</v>
      </c>
      <c r="C1271" s="13" t="s">
        <v>2558</v>
      </c>
      <c r="D1271" s="13" t="n">
        <v>40</v>
      </c>
      <c r="E1271" s="13" t="s">
        <v>83</v>
      </c>
      <c r="F1271" s="13" t="s">
        <v>35</v>
      </c>
      <c r="G1271" s="13" t="s">
        <v>374</v>
      </c>
      <c r="H1271" s="13" t="s">
        <v>43</v>
      </c>
      <c r="I1271" s="13" t="n">
        <v>2</v>
      </c>
      <c r="J1271" s="13" t="n">
        <v>0</v>
      </c>
      <c r="K1271" s="13" t="s">
        <v>116</v>
      </c>
      <c r="L1271" s="13" t="n">
        <v>3</v>
      </c>
      <c r="M1271" s="13" t="n">
        <v>1034954.84</v>
      </c>
      <c r="N1271" s="13" t="n">
        <v>344984.946666667</v>
      </c>
      <c r="O1271" s="13" t="n">
        <v>1162.61666666667</v>
      </c>
      <c r="P1271" s="13" t="n">
        <v>0</v>
      </c>
      <c r="Q1271" s="13" t="n">
        <v>3</v>
      </c>
      <c r="R1271" s="13" t="s">
        <v>121</v>
      </c>
      <c r="S1271" s="13" t="s">
        <v>103</v>
      </c>
      <c r="T1271" s="13" t="n">
        <v>1</v>
      </c>
      <c r="U1271" s="13" t="n">
        <f aca="false">IF(B1271="Individual",1,0)</f>
        <v>1</v>
      </c>
      <c r="V1271" s="13" t="n">
        <f aca="false">IF(B1271="Company",1,0)</f>
        <v>0</v>
      </c>
      <c r="W1271" s="13" t="n">
        <f aca="false">IF(H1271="Home",1,0)</f>
        <v>0</v>
      </c>
      <c r="X1271" s="13" t="n">
        <f aca="false">IF(H1271="Investment",1,0)</f>
        <v>1</v>
      </c>
      <c r="Y1271" s="13" t="n">
        <f aca="false">IF(K1271="Website",1,0)</f>
        <v>0</v>
      </c>
      <c r="Z1271" s="13" t="n">
        <f aca="false">IF(K1271="Agency",1,0)</f>
        <v>0</v>
      </c>
      <c r="AA1271" s="13" t="n">
        <f aca="false">IF(K1271="Client",1,0)</f>
        <v>1</v>
      </c>
      <c r="AB1271" s="13" t="n">
        <f aca="false">(D1271-AVERAGE(D$2:D$2001))/STDEV(D$2:D$2001)</f>
        <v>-0.815174133235994</v>
      </c>
      <c r="AC1271" s="13" t="n">
        <f aca="false">(I1271-AVERAGE(I$2:I$2001))/STDEV(I$2:I$2001)</f>
        <v>-0.727948160798201</v>
      </c>
      <c r="AD1271" s="13" t="n">
        <f aca="false">(L1271-AVERAGE(L$2:L$2001))/STDEV(L$2:L$2001)</f>
        <v>-0.777063122173208</v>
      </c>
      <c r="AE1271" s="13" t="n">
        <f aca="false">(M1271-AVERAGE(M$2:M$2001))/STDEV(M$2:M$2001)</f>
        <v>-0.648075811636144</v>
      </c>
      <c r="AF1271" s="13" t="n">
        <f aca="false">(N1271-AVERAGE(N$2:N$2001))/STDEV(N$2:N$2001)</f>
        <v>-0.0301915404344828</v>
      </c>
      <c r="AG1271" s="13" t="n">
        <f aca="false">(O1271-AVERAGE(O$2:O$2001))/STDEV(O$2:O$2001)</f>
        <v>0.0688287587082367</v>
      </c>
      <c r="AH1271" s="0" t="str">
        <f aca="false">IF(B1271="Company","C3 - Corporate Buyers",IF(AND(H1271="Investment",M1271&gt;'Segmentation Summary'!$C$1),"C1 - Global Investors",IF(AND(I1271&gt;=4,M1271&gt;'Segmentation Summary'!$C$1),"C4 - Luxury Investors",IF(AND(D1271&lt;'Segmentation Summary'!$C$2,J1271=1),"C2 - First-Time Buyers","C5 - Other Individual Buyers"))))</f>
        <v>C5 - Other Individual Buyers</v>
      </c>
    </row>
    <row r="1272" customFormat="false" ht="15" hidden="false" customHeight="true" outlineLevel="0" collapsed="false">
      <c r="A1272" s="13" t="s">
        <v>2559</v>
      </c>
      <c r="B1272" s="13" t="s">
        <v>34</v>
      </c>
      <c r="C1272" s="13" t="s">
        <v>2560</v>
      </c>
      <c r="D1272" s="13" t="n">
        <v>56</v>
      </c>
      <c r="E1272" s="13" t="s">
        <v>83</v>
      </c>
      <c r="F1272" s="13" t="s">
        <v>33</v>
      </c>
      <c r="G1272" s="13" t="s">
        <v>95</v>
      </c>
      <c r="H1272" s="13" t="s">
        <v>43</v>
      </c>
      <c r="I1272" s="13" t="n">
        <v>4</v>
      </c>
      <c r="J1272" s="13" t="n">
        <v>0</v>
      </c>
      <c r="K1272" s="13" t="s">
        <v>85</v>
      </c>
      <c r="L1272" s="13" t="n">
        <v>3</v>
      </c>
      <c r="M1272" s="13" t="n">
        <v>1178580.64</v>
      </c>
      <c r="N1272" s="13" t="n">
        <v>392860.213333333</v>
      </c>
      <c r="O1272" s="13" t="n">
        <v>1224.68</v>
      </c>
      <c r="P1272" s="13" t="n">
        <v>1</v>
      </c>
      <c r="Q1272" s="13" t="n">
        <v>2</v>
      </c>
      <c r="R1272" s="13" t="s">
        <v>86</v>
      </c>
      <c r="S1272" s="13" t="s">
        <v>103</v>
      </c>
      <c r="T1272" s="13" t="n">
        <v>1</v>
      </c>
      <c r="U1272" s="13" t="n">
        <f aca="false">IF(B1272="Individual",1,0)</f>
        <v>1</v>
      </c>
      <c r="V1272" s="13" t="n">
        <f aca="false">IF(B1272="Company",1,0)</f>
        <v>0</v>
      </c>
      <c r="W1272" s="13" t="n">
        <f aca="false">IF(H1272="Home",1,0)</f>
        <v>0</v>
      </c>
      <c r="X1272" s="13" t="n">
        <f aca="false">IF(H1272="Investment",1,0)</f>
        <v>1</v>
      </c>
      <c r="Y1272" s="13" t="n">
        <f aca="false">IF(K1272="Website",1,0)</f>
        <v>1</v>
      </c>
      <c r="Z1272" s="13" t="n">
        <f aca="false">IF(K1272="Agency",1,0)</f>
        <v>0</v>
      </c>
      <c r="AA1272" s="13" t="n">
        <f aca="false">IF(K1272="Client",1,0)</f>
        <v>0</v>
      </c>
      <c r="AB1272" s="13" t="n">
        <f aca="false">(D1272-AVERAGE(D$2:D$2001))/STDEV(D$2:D$2001)</f>
        <v>0.107425154574426</v>
      </c>
      <c r="AC1272" s="13" t="n">
        <f aca="false">(I1272-AVERAGE(I$2:I$2001))/STDEV(I$2:I$2001)</f>
        <v>0.686917069130275</v>
      </c>
      <c r="AD1272" s="13" t="n">
        <f aca="false">(L1272-AVERAGE(L$2:L$2001))/STDEV(L$2:L$2001)</f>
        <v>-0.777063122173208</v>
      </c>
      <c r="AE1272" s="13" t="n">
        <f aca="false">(M1272-AVERAGE(M$2:M$2001))/STDEV(M$2:M$2001)</f>
        <v>-0.23515707121617</v>
      </c>
      <c r="AF1272" s="13" t="n">
        <f aca="false">(N1272-AVERAGE(N$2:N$2001))/STDEV(N$2:N$2001)</f>
        <v>0.656469614151991</v>
      </c>
      <c r="AG1272" s="13" t="n">
        <f aca="false">(O1272-AVERAGE(O$2:O$2001))/STDEV(O$2:O$2001)</f>
        <v>0.351034121018871</v>
      </c>
      <c r="AH1272" s="0" t="str">
        <f aca="false">IF(B1272="Company","C3 - Corporate Buyers",IF(AND(H1272="Investment",M1272&gt;'Segmentation Summary'!$C$1),"C1 - Global Investors",IF(AND(I1272&gt;=4,M1272&gt;'Segmentation Summary'!$C$1),"C4 - Luxury Investors",IF(AND(D1272&lt;'Segmentation Summary'!$C$2,J1272=1),"C2 - First-Time Buyers","C5 - Other Individual Buyers"))))</f>
        <v>C5 - Other Individual Buyers</v>
      </c>
    </row>
    <row r="1273" customFormat="false" ht="15" hidden="false" customHeight="true" outlineLevel="0" collapsed="false">
      <c r="A1273" s="13" t="s">
        <v>2561</v>
      </c>
      <c r="B1273" s="13" t="s">
        <v>34</v>
      </c>
      <c r="C1273" s="13" t="s">
        <v>2562</v>
      </c>
      <c r="D1273" s="13" t="n">
        <v>31</v>
      </c>
      <c r="E1273" s="13" t="s">
        <v>83</v>
      </c>
      <c r="F1273" s="13" t="s">
        <v>33</v>
      </c>
      <c r="G1273" s="13" t="s">
        <v>95</v>
      </c>
      <c r="H1273" s="13" t="s">
        <v>43</v>
      </c>
      <c r="I1273" s="13" t="n">
        <v>2</v>
      </c>
      <c r="J1273" s="13" t="n">
        <v>1</v>
      </c>
      <c r="K1273" s="13" t="s">
        <v>85</v>
      </c>
      <c r="L1273" s="13" t="n">
        <v>4</v>
      </c>
      <c r="M1273" s="13" t="n">
        <v>1482957.88</v>
      </c>
      <c r="N1273" s="13" t="n">
        <v>370739.47</v>
      </c>
      <c r="O1273" s="13" t="n">
        <v>1259.95</v>
      </c>
      <c r="P1273" s="13" t="n">
        <v>0</v>
      </c>
      <c r="Q1273" s="13" t="n">
        <v>4</v>
      </c>
      <c r="R1273" s="13" t="s">
        <v>92</v>
      </c>
      <c r="S1273" s="13" t="s">
        <v>133</v>
      </c>
      <c r="T1273" s="13" t="n">
        <v>1</v>
      </c>
      <c r="U1273" s="13" t="n">
        <f aca="false">IF(B1273="Individual",1,0)</f>
        <v>1</v>
      </c>
      <c r="V1273" s="13" t="n">
        <f aca="false">IF(B1273="Company",1,0)</f>
        <v>0</v>
      </c>
      <c r="W1273" s="13" t="n">
        <f aca="false">IF(H1273="Home",1,0)</f>
        <v>0</v>
      </c>
      <c r="X1273" s="13" t="n">
        <f aca="false">IF(H1273="Investment",1,0)</f>
        <v>1</v>
      </c>
      <c r="Y1273" s="13" t="n">
        <f aca="false">IF(K1273="Website",1,0)</f>
        <v>1</v>
      </c>
      <c r="Z1273" s="13" t="n">
        <f aca="false">IF(K1273="Agency",1,0)</f>
        <v>0</v>
      </c>
      <c r="AA1273" s="13" t="n">
        <f aca="false">IF(K1273="Client",1,0)</f>
        <v>0</v>
      </c>
      <c r="AB1273" s="13" t="n">
        <f aca="false">(D1273-AVERAGE(D$2:D$2001))/STDEV(D$2:D$2001)</f>
        <v>-1.33413623262935</v>
      </c>
      <c r="AC1273" s="13" t="n">
        <f aca="false">(I1273-AVERAGE(I$2:I$2001))/STDEV(I$2:I$2001)</f>
        <v>-0.727948160798201</v>
      </c>
      <c r="AD1273" s="13" t="n">
        <f aca="false">(L1273-AVERAGE(L$2:L$2001))/STDEV(L$2:L$2001)</f>
        <v>0.413838214490712</v>
      </c>
      <c r="AE1273" s="13" t="n">
        <f aca="false">(M1273-AVERAGE(M$2:M$2001))/STDEV(M$2:M$2001)</f>
        <v>0.639915976615824</v>
      </c>
      <c r="AF1273" s="13" t="n">
        <f aca="false">(N1273-AVERAGE(N$2:N$2001))/STDEV(N$2:N$2001)</f>
        <v>0.339198166593592</v>
      </c>
      <c r="AG1273" s="13" t="n">
        <f aca="false">(O1273-AVERAGE(O$2:O$2001))/STDEV(O$2:O$2001)</f>
        <v>0.511408735048034</v>
      </c>
      <c r="AH1273" s="0" t="str">
        <f aca="false">IF(B1273="Company","C3 - Corporate Buyers",IF(AND(H1273="Investment",M1273&gt;'Segmentation Summary'!$C$1),"C1 - Global Investors",IF(AND(I1273&gt;=4,M1273&gt;'Segmentation Summary'!$C$1),"C4 - Luxury Investors",IF(AND(D1273&lt;'Segmentation Summary'!$C$2,J1273=1),"C2 - First-Time Buyers","C5 - Other Individual Buyers"))))</f>
        <v>C1 - Global Investors</v>
      </c>
    </row>
    <row r="1274" customFormat="false" ht="15" hidden="false" customHeight="true" outlineLevel="0" collapsed="false">
      <c r="A1274" s="13" t="s">
        <v>2563</v>
      </c>
      <c r="B1274" s="13" t="s">
        <v>34</v>
      </c>
      <c r="C1274" s="13" t="s">
        <v>2564</v>
      </c>
      <c r="D1274" s="13" t="n">
        <v>74</v>
      </c>
      <c r="E1274" s="13" t="s">
        <v>83</v>
      </c>
      <c r="F1274" s="13" t="s">
        <v>33</v>
      </c>
      <c r="G1274" s="13" t="s">
        <v>162</v>
      </c>
      <c r="H1274" s="13" t="s">
        <v>41</v>
      </c>
      <c r="I1274" s="13" t="n">
        <v>3</v>
      </c>
      <c r="J1274" s="13" t="n">
        <v>0</v>
      </c>
      <c r="K1274" s="13" t="s">
        <v>85</v>
      </c>
      <c r="L1274" s="13" t="n">
        <v>4</v>
      </c>
      <c r="M1274" s="13" t="n">
        <v>1751481.15</v>
      </c>
      <c r="N1274" s="13" t="n">
        <v>437870.2875</v>
      </c>
      <c r="O1274" s="13" t="n">
        <v>1349.2</v>
      </c>
      <c r="P1274" s="13" t="n">
        <v>3</v>
      </c>
      <c r="Q1274" s="13" t="n">
        <v>1</v>
      </c>
      <c r="R1274" s="13" t="s">
        <v>121</v>
      </c>
      <c r="S1274" s="13" t="s">
        <v>114</v>
      </c>
      <c r="T1274" s="13" t="n">
        <v>1</v>
      </c>
      <c r="U1274" s="13" t="n">
        <f aca="false">IF(B1274="Individual",1,0)</f>
        <v>1</v>
      </c>
      <c r="V1274" s="13" t="n">
        <f aca="false">IF(B1274="Company",1,0)</f>
        <v>0</v>
      </c>
      <c r="W1274" s="13" t="n">
        <f aca="false">IF(H1274="Home",1,0)</f>
        <v>1</v>
      </c>
      <c r="X1274" s="13" t="n">
        <f aca="false">IF(H1274="Investment",1,0)</f>
        <v>0</v>
      </c>
      <c r="Y1274" s="13" t="n">
        <f aca="false">IF(K1274="Website",1,0)</f>
        <v>1</v>
      </c>
      <c r="Z1274" s="13" t="n">
        <f aca="false">IF(K1274="Agency",1,0)</f>
        <v>0</v>
      </c>
      <c r="AA1274" s="13" t="n">
        <f aca="false">IF(K1274="Client",1,0)</f>
        <v>0</v>
      </c>
      <c r="AB1274" s="13" t="n">
        <f aca="false">(D1274-AVERAGE(D$2:D$2001))/STDEV(D$2:D$2001)</f>
        <v>1.14534935336115</v>
      </c>
      <c r="AC1274" s="13" t="n">
        <f aca="false">(I1274-AVERAGE(I$2:I$2001))/STDEV(I$2:I$2001)</f>
        <v>-0.0205155458339628</v>
      </c>
      <c r="AD1274" s="13" t="n">
        <f aca="false">(L1274-AVERAGE(L$2:L$2001))/STDEV(L$2:L$2001)</f>
        <v>0.413838214490712</v>
      </c>
      <c r="AE1274" s="13" t="n">
        <f aca="false">(M1274-AVERAGE(M$2:M$2001))/STDEV(M$2:M$2001)</f>
        <v>1.41191021735706</v>
      </c>
      <c r="AF1274" s="13" t="n">
        <f aca="false">(N1274-AVERAGE(N$2:N$2001))/STDEV(N$2:N$2001)</f>
        <v>1.30203613831353</v>
      </c>
      <c r="AG1274" s="13" t="n">
        <f aca="false">(O1274-AVERAGE(O$2:O$2001))/STDEV(O$2:O$2001)</f>
        <v>0.917233353763735</v>
      </c>
      <c r="AH1274" s="0" t="str">
        <f aca="false">IF(B1274="Company","C3 - Corporate Buyers",IF(AND(H1274="Investment",M1274&gt;'Segmentation Summary'!$C$1),"C1 - Global Investors",IF(AND(I1274&gt;=4,M1274&gt;'Segmentation Summary'!$C$1),"C4 - Luxury Investors",IF(AND(D1274&lt;'Segmentation Summary'!$C$2,J1274=1),"C2 - First-Time Buyers","C5 - Other Individual Buyers"))))</f>
        <v>C5 - Other Individual Buyers</v>
      </c>
    </row>
    <row r="1275" customFormat="false" ht="15" hidden="false" customHeight="true" outlineLevel="0" collapsed="false">
      <c r="A1275" s="13" t="s">
        <v>2565</v>
      </c>
      <c r="B1275" s="13" t="s">
        <v>34</v>
      </c>
      <c r="C1275" s="13" t="s">
        <v>2564</v>
      </c>
      <c r="D1275" s="13" t="n">
        <v>26</v>
      </c>
      <c r="E1275" s="13" t="s">
        <v>83</v>
      </c>
      <c r="F1275" s="13" t="s">
        <v>33</v>
      </c>
      <c r="G1275" s="13" t="s">
        <v>95</v>
      </c>
      <c r="H1275" s="13" t="s">
        <v>41</v>
      </c>
      <c r="I1275" s="13" t="n">
        <v>2</v>
      </c>
      <c r="J1275" s="13" t="n">
        <v>0</v>
      </c>
      <c r="K1275" s="13" t="s">
        <v>85</v>
      </c>
      <c r="L1275" s="13" t="n">
        <v>3</v>
      </c>
      <c r="M1275" s="13" t="n">
        <v>969917.19</v>
      </c>
      <c r="N1275" s="13" t="n">
        <v>323305.73</v>
      </c>
      <c r="O1275" s="13" t="n">
        <v>992.22</v>
      </c>
      <c r="P1275" s="13" t="n">
        <v>1</v>
      </c>
      <c r="Q1275" s="13" t="n">
        <v>2</v>
      </c>
      <c r="R1275" s="13" t="s">
        <v>121</v>
      </c>
      <c r="S1275" s="13" t="s">
        <v>114</v>
      </c>
      <c r="T1275" s="13" t="n">
        <v>1</v>
      </c>
      <c r="U1275" s="13" t="n">
        <f aca="false">IF(B1275="Individual",1,0)</f>
        <v>1</v>
      </c>
      <c r="V1275" s="13" t="n">
        <f aca="false">IF(B1275="Company",1,0)</f>
        <v>0</v>
      </c>
      <c r="W1275" s="13" t="n">
        <f aca="false">IF(H1275="Home",1,0)</f>
        <v>1</v>
      </c>
      <c r="X1275" s="13" t="n">
        <f aca="false">IF(H1275="Investment",1,0)</f>
        <v>0</v>
      </c>
      <c r="Y1275" s="13" t="n">
        <f aca="false">IF(K1275="Website",1,0)</f>
        <v>1</v>
      </c>
      <c r="Z1275" s="13" t="n">
        <f aca="false">IF(K1275="Agency",1,0)</f>
        <v>0</v>
      </c>
      <c r="AA1275" s="13" t="n">
        <f aca="false">IF(K1275="Client",1,0)</f>
        <v>0</v>
      </c>
      <c r="AB1275" s="13" t="n">
        <f aca="false">(D1275-AVERAGE(D$2:D$2001))/STDEV(D$2:D$2001)</f>
        <v>-1.62244851007011</v>
      </c>
      <c r="AC1275" s="13" t="n">
        <f aca="false">(I1275-AVERAGE(I$2:I$2001))/STDEV(I$2:I$2001)</f>
        <v>-0.727948160798201</v>
      </c>
      <c r="AD1275" s="13" t="n">
        <f aca="false">(L1275-AVERAGE(L$2:L$2001))/STDEV(L$2:L$2001)</f>
        <v>-0.777063122173208</v>
      </c>
      <c r="AE1275" s="13" t="n">
        <f aca="false">(M1275-AVERAGE(M$2:M$2001))/STDEV(M$2:M$2001)</f>
        <v>-0.835056594461202</v>
      </c>
      <c r="AF1275" s="13" t="n">
        <f aca="false">(N1275-AVERAGE(N$2:N$2001))/STDEV(N$2:N$2001)</f>
        <v>-0.341130298238389</v>
      </c>
      <c r="AG1275" s="13" t="n">
        <f aca="false">(O1275-AVERAGE(O$2:O$2001))/STDEV(O$2:O$2001)</f>
        <v>-0.70597418000804</v>
      </c>
      <c r="AH1275" s="0" t="str">
        <f aca="false">IF(B1275="Company","C3 - Corporate Buyers",IF(AND(H1275="Investment",M1275&gt;'Segmentation Summary'!$C$1),"C1 - Global Investors",IF(AND(I1275&gt;=4,M1275&gt;'Segmentation Summary'!$C$1),"C4 - Luxury Investors",IF(AND(D1275&lt;'Segmentation Summary'!$C$2,J1275=1),"C2 - First-Time Buyers","C5 - Other Individual Buyers"))))</f>
        <v>C5 - Other Individual Buyers</v>
      </c>
    </row>
    <row r="1276" customFormat="false" ht="15" hidden="false" customHeight="true" outlineLevel="0" collapsed="false">
      <c r="A1276" s="13" t="s">
        <v>2566</v>
      </c>
      <c r="B1276" s="13" t="s">
        <v>34</v>
      </c>
      <c r="C1276" s="13" t="s">
        <v>2567</v>
      </c>
      <c r="D1276" s="13" t="n">
        <v>68</v>
      </c>
      <c r="E1276" s="13" t="s">
        <v>90</v>
      </c>
      <c r="F1276" s="13" t="s">
        <v>33</v>
      </c>
      <c r="G1276" s="13" t="s">
        <v>95</v>
      </c>
      <c r="H1276" s="13" t="s">
        <v>41</v>
      </c>
      <c r="I1276" s="13" t="n">
        <v>2</v>
      </c>
      <c r="J1276" s="13" t="n">
        <v>1</v>
      </c>
      <c r="K1276" s="13" t="s">
        <v>85</v>
      </c>
      <c r="L1276" s="13" t="n">
        <v>5</v>
      </c>
      <c r="M1276" s="13" t="n">
        <v>1325211.52</v>
      </c>
      <c r="N1276" s="13" t="n">
        <v>265042.304</v>
      </c>
      <c r="O1276" s="13" t="n">
        <v>935.914</v>
      </c>
      <c r="P1276" s="13" t="n">
        <v>1</v>
      </c>
      <c r="Q1276" s="13" t="n">
        <v>4</v>
      </c>
      <c r="R1276" s="13" t="s">
        <v>93</v>
      </c>
      <c r="S1276" s="13" t="s">
        <v>154</v>
      </c>
      <c r="T1276" s="13" t="n">
        <v>1</v>
      </c>
      <c r="U1276" s="13" t="n">
        <f aca="false">IF(B1276="Individual",1,0)</f>
        <v>1</v>
      </c>
      <c r="V1276" s="13" t="n">
        <f aca="false">IF(B1276="Company",1,0)</f>
        <v>0</v>
      </c>
      <c r="W1276" s="13" t="n">
        <f aca="false">IF(H1276="Home",1,0)</f>
        <v>1</v>
      </c>
      <c r="X1276" s="13" t="n">
        <f aca="false">IF(H1276="Investment",1,0)</f>
        <v>0</v>
      </c>
      <c r="Y1276" s="13" t="n">
        <f aca="false">IF(K1276="Website",1,0)</f>
        <v>1</v>
      </c>
      <c r="Z1276" s="13" t="n">
        <f aca="false">IF(K1276="Agency",1,0)</f>
        <v>0</v>
      </c>
      <c r="AA1276" s="13" t="n">
        <f aca="false">IF(K1276="Client",1,0)</f>
        <v>0</v>
      </c>
      <c r="AB1276" s="13" t="n">
        <f aca="false">(D1276-AVERAGE(D$2:D$2001))/STDEV(D$2:D$2001)</f>
        <v>0.79937462043224</v>
      </c>
      <c r="AC1276" s="13" t="n">
        <f aca="false">(I1276-AVERAGE(I$2:I$2001))/STDEV(I$2:I$2001)</f>
        <v>-0.727948160798201</v>
      </c>
      <c r="AD1276" s="13" t="n">
        <f aca="false">(L1276-AVERAGE(L$2:L$2001))/STDEV(L$2:L$2001)</f>
        <v>1.60473955115463</v>
      </c>
      <c r="AE1276" s="13" t="n">
        <f aca="false">(M1276-AVERAGE(M$2:M$2001))/STDEV(M$2:M$2001)</f>
        <v>0.186401160496186</v>
      </c>
      <c r="AF1276" s="13" t="n">
        <f aca="false">(N1276-AVERAGE(N$2:N$2001))/STDEV(N$2:N$2001)</f>
        <v>-1.17678582880443</v>
      </c>
      <c r="AG1276" s="13" t="n">
        <f aca="false">(O1276-AVERAGE(O$2:O$2001))/STDEV(O$2:O$2001)</f>
        <v>-0.96200063358122</v>
      </c>
      <c r="AH1276" s="0" t="str">
        <f aca="false">IF(B1276="Company","C3 - Corporate Buyers",IF(AND(H1276="Investment",M1276&gt;'Segmentation Summary'!$C$1),"C1 - Global Investors",IF(AND(I1276&gt;=4,M1276&gt;'Segmentation Summary'!$C$1),"C4 - Luxury Investors",IF(AND(D1276&lt;'Segmentation Summary'!$C$2,J1276=1),"C2 - First-Time Buyers","C5 - Other Individual Buyers"))))</f>
        <v>C5 - Other Individual Buyers</v>
      </c>
    </row>
    <row r="1277" customFormat="false" ht="15" hidden="false" customHeight="true" outlineLevel="0" collapsed="false">
      <c r="A1277" s="13" t="s">
        <v>2568</v>
      </c>
      <c r="B1277" s="13" t="s">
        <v>34</v>
      </c>
      <c r="C1277" s="13" t="s">
        <v>2569</v>
      </c>
      <c r="D1277" s="13" t="n">
        <v>41</v>
      </c>
      <c r="E1277" s="13" t="s">
        <v>90</v>
      </c>
      <c r="F1277" s="13" t="s">
        <v>33</v>
      </c>
      <c r="G1277" s="13" t="s">
        <v>95</v>
      </c>
      <c r="H1277" s="13" t="s">
        <v>41</v>
      </c>
      <c r="I1277" s="13" t="n">
        <v>5</v>
      </c>
      <c r="J1277" s="13" t="n">
        <v>0</v>
      </c>
      <c r="K1277" s="13" t="s">
        <v>85</v>
      </c>
      <c r="L1277" s="13" t="n">
        <v>5</v>
      </c>
      <c r="M1277" s="13" t="n">
        <v>1560375.26</v>
      </c>
      <c r="N1277" s="13" t="n">
        <v>312075.052</v>
      </c>
      <c r="O1277" s="13" t="n">
        <v>944.032</v>
      </c>
      <c r="P1277" s="13" t="n">
        <v>0</v>
      </c>
      <c r="Q1277" s="13" t="n">
        <v>5</v>
      </c>
      <c r="R1277" s="13" t="s">
        <v>117</v>
      </c>
      <c r="S1277" s="13" t="s">
        <v>87</v>
      </c>
      <c r="T1277" s="13" t="n">
        <v>1</v>
      </c>
      <c r="U1277" s="13" t="n">
        <f aca="false">IF(B1277="Individual",1,0)</f>
        <v>1</v>
      </c>
      <c r="V1277" s="13" t="n">
        <f aca="false">IF(B1277="Company",1,0)</f>
        <v>0</v>
      </c>
      <c r="W1277" s="13" t="n">
        <f aca="false">IF(H1277="Home",1,0)</f>
        <v>1</v>
      </c>
      <c r="X1277" s="13" t="n">
        <f aca="false">IF(H1277="Investment",1,0)</f>
        <v>0</v>
      </c>
      <c r="Y1277" s="13" t="n">
        <f aca="false">IF(K1277="Website",1,0)</f>
        <v>1</v>
      </c>
      <c r="Z1277" s="13" t="n">
        <f aca="false">IF(K1277="Agency",1,0)</f>
        <v>0</v>
      </c>
      <c r="AA1277" s="13" t="n">
        <f aca="false">IF(K1277="Client",1,0)</f>
        <v>0</v>
      </c>
      <c r="AB1277" s="13" t="n">
        <f aca="false">(D1277-AVERAGE(D$2:D$2001))/STDEV(D$2:D$2001)</f>
        <v>-0.757511677747842</v>
      </c>
      <c r="AC1277" s="13" t="n">
        <f aca="false">(I1277-AVERAGE(I$2:I$2001))/STDEV(I$2:I$2001)</f>
        <v>1.39434968409451</v>
      </c>
      <c r="AD1277" s="13" t="n">
        <f aca="false">(L1277-AVERAGE(L$2:L$2001))/STDEV(L$2:L$2001)</f>
        <v>1.60473955115463</v>
      </c>
      <c r="AE1277" s="13" t="n">
        <f aca="false">(M1277-AVERAGE(M$2:M$2001))/STDEV(M$2:M$2001)</f>
        <v>0.862488014760883</v>
      </c>
      <c r="AF1277" s="13" t="n">
        <f aca="false">(N1277-AVERAGE(N$2:N$2001))/STDEV(N$2:N$2001)</f>
        <v>-0.502208676682979</v>
      </c>
      <c r="AG1277" s="13" t="n">
        <f aca="false">(O1277-AVERAGE(O$2:O$2001))/STDEV(O$2:O$2001)</f>
        <v>-0.925087644732658</v>
      </c>
      <c r="AH1277" s="0" t="str">
        <f aca="false">IF(B1277="Company","C3 - Corporate Buyers",IF(AND(H1277="Investment",M1277&gt;'Segmentation Summary'!$C$1),"C1 - Global Investors",IF(AND(I1277&gt;=4,M1277&gt;'Segmentation Summary'!$C$1),"C4 - Luxury Investors",IF(AND(D1277&lt;'Segmentation Summary'!$C$2,J1277=1),"C2 - First-Time Buyers","C5 - Other Individual Buyers"))))</f>
        <v>C4 - Luxury Investors</v>
      </c>
    </row>
    <row r="1278" customFormat="false" ht="15" hidden="false" customHeight="true" outlineLevel="0" collapsed="false">
      <c r="A1278" s="13" t="s">
        <v>2570</v>
      </c>
      <c r="B1278" s="13" t="s">
        <v>34</v>
      </c>
      <c r="C1278" s="13" t="s">
        <v>2571</v>
      </c>
      <c r="D1278" s="13" t="n">
        <v>39</v>
      </c>
      <c r="E1278" s="13" t="s">
        <v>83</v>
      </c>
      <c r="F1278" s="13" t="s">
        <v>37</v>
      </c>
      <c r="G1278" s="13" t="s">
        <v>169</v>
      </c>
      <c r="H1278" s="13" t="s">
        <v>43</v>
      </c>
      <c r="I1278" s="13" t="n">
        <v>5</v>
      </c>
      <c r="J1278" s="13" t="n">
        <v>1</v>
      </c>
      <c r="K1278" s="13" t="s">
        <v>116</v>
      </c>
      <c r="L1278" s="13" t="n">
        <v>4</v>
      </c>
      <c r="M1278" s="13" t="n">
        <v>1665967.41</v>
      </c>
      <c r="N1278" s="13" t="n">
        <v>416491.8525</v>
      </c>
      <c r="O1278" s="13" t="n">
        <v>1339.695</v>
      </c>
      <c r="P1278" s="13" t="n">
        <v>1</v>
      </c>
      <c r="Q1278" s="13" t="n">
        <v>3</v>
      </c>
      <c r="R1278" s="13" t="s">
        <v>107</v>
      </c>
      <c r="S1278" s="13" t="s">
        <v>114</v>
      </c>
      <c r="T1278" s="13" t="n">
        <v>1</v>
      </c>
      <c r="U1278" s="13" t="n">
        <f aca="false">IF(B1278="Individual",1,0)</f>
        <v>1</v>
      </c>
      <c r="V1278" s="13" t="n">
        <f aca="false">IF(B1278="Company",1,0)</f>
        <v>0</v>
      </c>
      <c r="W1278" s="13" t="n">
        <f aca="false">IF(H1278="Home",1,0)</f>
        <v>0</v>
      </c>
      <c r="X1278" s="13" t="n">
        <f aca="false">IF(H1278="Investment",1,0)</f>
        <v>1</v>
      </c>
      <c r="Y1278" s="13" t="n">
        <f aca="false">IF(K1278="Website",1,0)</f>
        <v>0</v>
      </c>
      <c r="Z1278" s="13" t="n">
        <f aca="false">IF(K1278="Agency",1,0)</f>
        <v>0</v>
      </c>
      <c r="AA1278" s="13" t="n">
        <f aca="false">IF(K1278="Client",1,0)</f>
        <v>1</v>
      </c>
      <c r="AB1278" s="13" t="n">
        <f aca="false">(D1278-AVERAGE(D$2:D$2001))/STDEV(D$2:D$2001)</f>
        <v>-0.872836588724145</v>
      </c>
      <c r="AC1278" s="13" t="n">
        <f aca="false">(I1278-AVERAGE(I$2:I$2001))/STDEV(I$2:I$2001)</f>
        <v>1.39434968409451</v>
      </c>
      <c r="AD1278" s="13" t="n">
        <f aca="false">(L1278-AVERAGE(L$2:L$2001))/STDEV(L$2:L$2001)</f>
        <v>0.413838214490712</v>
      </c>
      <c r="AE1278" s="13" t="n">
        <f aca="false">(M1278-AVERAGE(M$2:M$2001))/STDEV(M$2:M$2001)</f>
        <v>1.16606145056585</v>
      </c>
      <c r="AF1278" s="13" t="n">
        <f aca="false">(N1278-AVERAGE(N$2:N$2001))/STDEV(N$2:N$2001)</f>
        <v>0.995411405284671</v>
      </c>
      <c r="AG1278" s="13" t="n">
        <f aca="false">(O1278-AVERAGE(O$2:O$2001))/STDEV(O$2:O$2001)</f>
        <v>0.874013600252331</v>
      </c>
      <c r="AH1278" s="0" t="str">
        <f aca="false">IF(B1278="Company","C3 - Corporate Buyers",IF(AND(H1278="Investment",M1278&gt;'Segmentation Summary'!$C$1),"C1 - Global Investors",IF(AND(I1278&gt;=4,M1278&gt;'Segmentation Summary'!$C$1),"C4 - Luxury Investors",IF(AND(D1278&lt;'Segmentation Summary'!$C$2,J1278=1),"C2 - First-Time Buyers","C5 - Other Individual Buyers"))))</f>
        <v>C1 - Global Investors</v>
      </c>
    </row>
    <row r="1279" customFormat="false" ht="15" hidden="false" customHeight="true" outlineLevel="0" collapsed="false">
      <c r="A1279" s="13" t="s">
        <v>2572</v>
      </c>
      <c r="B1279" s="13" t="s">
        <v>34</v>
      </c>
      <c r="C1279" s="13" t="s">
        <v>2573</v>
      </c>
      <c r="D1279" s="13" t="n">
        <v>47</v>
      </c>
      <c r="E1279" s="13" t="s">
        <v>83</v>
      </c>
      <c r="F1279" s="13" t="s">
        <v>33</v>
      </c>
      <c r="G1279" s="13" t="s">
        <v>84</v>
      </c>
      <c r="H1279" s="13" t="s">
        <v>41</v>
      </c>
      <c r="I1279" s="13" t="n">
        <v>5</v>
      </c>
      <c r="J1279" s="13" t="n">
        <v>0</v>
      </c>
      <c r="K1279" s="13" t="s">
        <v>85</v>
      </c>
      <c r="L1279" s="13" t="n">
        <v>4</v>
      </c>
      <c r="M1279" s="13" t="n">
        <v>1494289.73</v>
      </c>
      <c r="N1279" s="13" t="n">
        <v>373572.4325</v>
      </c>
      <c r="O1279" s="13" t="n">
        <v>1086.2275</v>
      </c>
      <c r="P1279" s="13" t="n">
        <v>0</v>
      </c>
      <c r="Q1279" s="13" t="n">
        <v>4</v>
      </c>
      <c r="R1279" s="13" t="s">
        <v>98</v>
      </c>
      <c r="S1279" s="13" t="s">
        <v>164</v>
      </c>
      <c r="T1279" s="13" t="n">
        <v>1</v>
      </c>
      <c r="U1279" s="13" t="n">
        <f aca="false">IF(B1279="Individual",1,0)</f>
        <v>1</v>
      </c>
      <c r="V1279" s="13" t="n">
        <f aca="false">IF(B1279="Company",1,0)</f>
        <v>0</v>
      </c>
      <c r="W1279" s="13" t="n">
        <f aca="false">IF(H1279="Home",1,0)</f>
        <v>1</v>
      </c>
      <c r="X1279" s="13" t="n">
        <f aca="false">IF(H1279="Investment",1,0)</f>
        <v>0</v>
      </c>
      <c r="Y1279" s="13" t="n">
        <f aca="false">IF(K1279="Website",1,0)</f>
        <v>1</v>
      </c>
      <c r="Z1279" s="13" t="n">
        <f aca="false">IF(K1279="Agency",1,0)</f>
        <v>0</v>
      </c>
      <c r="AA1279" s="13" t="n">
        <f aca="false">IF(K1279="Client",1,0)</f>
        <v>0</v>
      </c>
      <c r="AB1279" s="13" t="n">
        <f aca="false">(D1279-AVERAGE(D$2:D$2001))/STDEV(D$2:D$2001)</f>
        <v>-0.411536944818935</v>
      </c>
      <c r="AC1279" s="13" t="n">
        <f aca="false">(I1279-AVERAGE(I$2:I$2001))/STDEV(I$2:I$2001)</f>
        <v>1.39434968409451</v>
      </c>
      <c r="AD1279" s="13" t="n">
        <f aca="false">(L1279-AVERAGE(L$2:L$2001))/STDEV(L$2:L$2001)</f>
        <v>0.413838214490712</v>
      </c>
      <c r="AE1279" s="13" t="n">
        <f aca="false">(M1279-AVERAGE(M$2:M$2001))/STDEV(M$2:M$2001)</f>
        <v>0.672494616585998</v>
      </c>
      <c r="AF1279" s="13" t="n">
        <f aca="false">(N1279-AVERAGE(N$2:N$2001))/STDEV(N$2:N$2001)</f>
        <v>0.379830531415585</v>
      </c>
      <c r="AG1279" s="13" t="n">
        <f aca="false">(O1279-AVERAGE(O$2:O$2001))/STDEV(O$2:O$2001)</f>
        <v>-0.278516949263881</v>
      </c>
      <c r="AH1279" s="0" t="str">
        <f aca="false">IF(B1279="Company","C3 - Corporate Buyers",IF(AND(H1279="Investment",M1279&gt;'Segmentation Summary'!$C$1),"C1 - Global Investors",IF(AND(I1279&gt;=4,M1279&gt;'Segmentation Summary'!$C$1),"C4 - Luxury Investors",IF(AND(D1279&lt;'Segmentation Summary'!$C$2,J1279=1),"C2 - First-Time Buyers","C5 - Other Individual Buyers"))))</f>
        <v>C4 - Luxury Investors</v>
      </c>
    </row>
    <row r="1280" customFormat="false" ht="15" hidden="false" customHeight="true" outlineLevel="0" collapsed="false">
      <c r="A1280" s="13" t="s">
        <v>2574</v>
      </c>
      <c r="B1280" s="13" t="s">
        <v>34</v>
      </c>
      <c r="C1280" s="13" t="s">
        <v>2575</v>
      </c>
      <c r="D1280" s="13" t="n">
        <v>27</v>
      </c>
      <c r="E1280" s="13" t="s">
        <v>83</v>
      </c>
      <c r="F1280" s="13" t="s">
        <v>40</v>
      </c>
      <c r="G1280" s="13" t="s">
        <v>528</v>
      </c>
      <c r="H1280" s="13" t="s">
        <v>41</v>
      </c>
      <c r="I1280" s="13" t="n">
        <v>4</v>
      </c>
      <c r="J1280" s="13" t="n">
        <v>1</v>
      </c>
      <c r="K1280" s="13" t="s">
        <v>85</v>
      </c>
      <c r="L1280" s="13" t="n">
        <v>4</v>
      </c>
      <c r="M1280" s="13" t="n">
        <v>1105806.54</v>
      </c>
      <c r="N1280" s="13" t="n">
        <v>276451.635</v>
      </c>
      <c r="O1280" s="13" t="n">
        <v>914.3125</v>
      </c>
      <c r="P1280" s="13" t="n">
        <v>0</v>
      </c>
      <c r="Q1280" s="13" t="n">
        <v>4</v>
      </c>
      <c r="R1280" s="13" t="s">
        <v>98</v>
      </c>
      <c r="S1280" s="13" t="s">
        <v>112</v>
      </c>
      <c r="T1280" s="13" t="n">
        <v>1</v>
      </c>
      <c r="U1280" s="13" t="n">
        <f aca="false">IF(B1280="Individual",1,0)</f>
        <v>1</v>
      </c>
      <c r="V1280" s="13" t="n">
        <f aca="false">IF(B1280="Company",1,0)</f>
        <v>0</v>
      </c>
      <c r="W1280" s="13" t="n">
        <f aca="false">IF(H1280="Home",1,0)</f>
        <v>1</v>
      </c>
      <c r="X1280" s="13" t="n">
        <f aca="false">IF(H1280="Investment",1,0)</f>
        <v>0</v>
      </c>
      <c r="Y1280" s="13" t="n">
        <f aca="false">IF(K1280="Website",1,0)</f>
        <v>1</v>
      </c>
      <c r="Z1280" s="13" t="n">
        <f aca="false">IF(K1280="Agency",1,0)</f>
        <v>0</v>
      </c>
      <c r="AA1280" s="13" t="n">
        <f aca="false">IF(K1280="Client",1,0)</f>
        <v>0</v>
      </c>
      <c r="AB1280" s="13" t="n">
        <f aca="false">(D1280-AVERAGE(D$2:D$2001))/STDEV(D$2:D$2001)</f>
        <v>-1.56478605458196</v>
      </c>
      <c r="AC1280" s="13" t="n">
        <f aca="false">(I1280-AVERAGE(I$2:I$2001))/STDEV(I$2:I$2001)</f>
        <v>0.686917069130275</v>
      </c>
      <c r="AD1280" s="13" t="n">
        <f aca="false">(L1280-AVERAGE(L$2:L$2001))/STDEV(L$2:L$2001)</f>
        <v>0.413838214490712</v>
      </c>
      <c r="AE1280" s="13" t="n">
        <f aca="false">(M1280-AVERAGE(M$2:M$2001))/STDEV(M$2:M$2001)</f>
        <v>-0.444379855055823</v>
      </c>
      <c r="AF1280" s="13" t="n">
        <f aca="false">(N1280-AVERAGE(N$2:N$2001))/STDEV(N$2:N$2001)</f>
        <v>-1.01314508185954</v>
      </c>
      <c r="AG1280" s="13" t="n">
        <f aca="false">(O1280-AVERAGE(O$2:O$2001))/STDEV(O$2:O$2001)</f>
        <v>-1.06022383247407</v>
      </c>
      <c r="AH1280" s="0" t="str">
        <f aca="false">IF(B1280="Company","C3 - Corporate Buyers",IF(AND(H1280="Investment",M1280&gt;'Segmentation Summary'!$C$1),"C1 - Global Investors",IF(AND(I1280&gt;=4,M1280&gt;'Segmentation Summary'!$C$1),"C4 - Luxury Investors",IF(AND(D1280&lt;'Segmentation Summary'!$C$2,J1280=1),"C2 - First-Time Buyers","C5 - Other Individual Buyers"))))</f>
        <v>C2 - First-Time Buyers</v>
      </c>
    </row>
    <row r="1281" customFormat="false" ht="15" hidden="false" customHeight="true" outlineLevel="0" collapsed="false">
      <c r="A1281" s="13" t="s">
        <v>2576</v>
      </c>
      <c r="B1281" s="13" t="s">
        <v>34</v>
      </c>
      <c r="C1281" s="13" t="s">
        <v>2577</v>
      </c>
      <c r="D1281" s="13" t="n">
        <v>83</v>
      </c>
      <c r="E1281" s="13" t="s">
        <v>83</v>
      </c>
      <c r="F1281" s="13" t="s">
        <v>33</v>
      </c>
      <c r="G1281" s="13" t="s">
        <v>157</v>
      </c>
      <c r="H1281" s="13" t="s">
        <v>41</v>
      </c>
      <c r="I1281" s="13" t="n">
        <v>1</v>
      </c>
      <c r="J1281" s="13" t="n">
        <v>1</v>
      </c>
      <c r="K1281" s="13" t="s">
        <v>85</v>
      </c>
      <c r="L1281" s="13" t="n">
        <v>3</v>
      </c>
      <c r="M1281" s="13" t="n">
        <v>938703.66</v>
      </c>
      <c r="N1281" s="13" t="n">
        <v>312901.22</v>
      </c>
      <c r="O1281" s="13" t="n">
        <v>949.903333333333</v>
      </c>
      <c r="P1281" s="13" t="n">
        <v>0</v>
      </c>
      <c r="Q1281" s="13" t="n">
        <v>3</v>
      </c>
      <c r="R1281" s="13" t="s">
        <v>121</v>
      </c>
      <c r="S1281" s="13" t="s">
        <v>103</v>
      </c>
      <c r="T1281" s="13" t="n">
        <v>1</v>
      </c>
      <c r="U1281" s="13" t="n">
        <f aca="false">IF(B1281="Individual",1,0)</f>
        <v>1</v>
      </c>
      <c r="V1281" s="13" t="n">
        <f aca="false">IF(B1281="Company",1,0)</f>
        <v>0</v>
      </c>
      <c r="W1281" s="13" t="n">
        <f aca="false">IF(H1281="Home",1,0)</f>
        <v>1</v>
      </c>
      <c r="X1281" s="13" t="n">
        <f aca="false">IF(H1281="Investment",1,0)</f>
        <v>0</v>
      </c>
      <c r="Y1281" s="13" t="n">
        <f aca="false">IF(K1281="Website",1,0)</f>
        <v>1</v>
      </c>
      <c r="Z1281" s="13" t="n">
        <f aca="false">IF(K1281="Agency",1,0)</f>
        <v>0</v>
      </c>
      <c r="AA1281" s="13" t="n">
        <f aca="false">IF(K1281="Client",1,0)</f>
        <v>0</v>
      </c>
      <c r="AB1281" s="13" t="n">
        <f aca="false">(D1281-AVERAGE(D$2:D$2001))/STDEV(D$2:D$2001)</f>
        <v>1.66431145275451</v>
      </c>
      <c r="AC1281" s="13" t="n">
        <f aca="false">(I1281-AVERAGE(I$2:I$2001))/STDEV(I$2:I$2001)</f>
        <v>-1.43538077576244</v>
      </c>
      <c r="AD1281" s="13" t="n">
        <f aca="false">(L1281-AVERAGE(L$2:L$2001))/STDEV(L$2:L$2001)</f>
        <v>-0.777063122173208</v>
      </c>
      <c r="AE1281" s="13" t="n">
        <f aca="false">(M1281-AVERAGE(M$2:M$2001))/STDEV(M$2:M$2001)</f>
        <v>-0.924794312139092</v>
      </c>
      <c r="AF1281" s="13" t="n">
        <f aca="false">(N1281-AVERAGE(N$2:N$2001))/STDEV(N$2:N$2001)</f>
        <v>-0.49035918711852</v>
      </c>
      <c r="AG1281" s="13" t="n">
        <f aca="false">(O1281-AVERAGE(O$2:O$2001))/STDEV(O$2:O$2001)</f>
        <v>-0.898390371776326</v>
      </c>
      <c r="AH1281" s="0" t="str">
        <f aca="false">IF(B1281="Company","C3 - Corporate Buyers",IF(AND(H1281="Investment",M1281&gt;'Segmentation Summary'!$C$1),"C1 - Global Investors",IF(AND(I1281&gt;=4,M1281&gt;'Segmentation Summary'!$C$1),"C4 - Luxury Investors",IF(AND(D1281&lt;'Segmentation Summary'!$C$2,J1281=1),"C2 - First-Time Buyers","C5 - Other Individual Buyers"))))</f>
        <v>C5 - Other Individual Buyers</v>
      </c>
    </row>
    <row r="1282" customFormat="false" ht="15" hidden="false" customHeight="true" outlineLevel="0" collapsed="false">
      <c r="A1282" s="13" t="s">
        <v>2578</v>
      </c>
      <c r="B1282" s="13" t="s">
        <v>34</v>
      </c>
      <c r="C1282" s="13" t="s">
        <v>2579</v>
      </c>
      <c r="D1282" s="13" t="n">
        <v>60</v>
      </c>
      <c r="E1282" s="13" t="s">
        <v>83</v>
      </c>
      <c r="F1282" s="13" t="s">
        <v>33</v>
      </c>
      <c r="G1282" s="13" t="s">
        <v>100</v>
      </c>
      <c r="H1282" s="13" t="s">
        <v>41</v>
      </c>
      <c r="I1282" s="13" t="n">
        <v>1</v>
      </c>
      <c r="J1282" s="13" t="n">
        <v>0</v>
      </c>
      <c r="K1282" s="13" t="s">
        <v>85</v>
      </c>
      <c r="L1282" s="13" t="n">
        <v>3</v>
      </c>
      <c r="M1282" s="13" t="n">
        <v>1023352.22</v>
      </c>
      <c r="N1282" s="13" t="n">
        <v>341117.406666667</v>
      </c>
      <c r="O1282" s="13" t="n">
        <v>1090.94666666667</v>
      </c>
      <c r="P1282" s="13" t="n">
        <v>0</v>
      </c>
      <c r="Q1282" s="13" t="n">
        <v>3</v>
      </c>
      <c r="R1282" s="13" t="s">
        <v>101</v>
      </c>
      <c r="S1282" s="13" t="s">
        <v>150</v>
      </c>
      <c r="T1282" s="13" t="n">
        <v>1</v>
      </c>
      <c r="U1282" s="13" t="n">
        <f aca="false">IF(B1282="Individual",1,0)</f>
        <v>1</v>
      </c>
      <c r="V1282" s="13" t="n">
        <f aca="false">IF(B1282="Company",1,0)</f>
        <v>0</v>
      </c>
      <c r="W1282" s="13" t="n">
        <f aca="false">IF(H1282="Home",1,0)</f>
        <v>1</v>
      </c>
      <c r="X1282" s="13" t="n">
        <f aca="false">IF(H1282="Investment",1,0)</f>
        <v>0</v>
      </c>
      <c r="Y1282" s="13" t="n">
        <f aca="false">IF(K1282="Website",1,0)</f>
        <v>1</v>
      </c>
      <c r="Z1282" s="13" t="n">
        <f aca="false">IF(K1282="Agency",1,0)</f>
        <v>0</v>
      </c>
      <c r="AA1282" s="13" t="n">
        <f aca="false">IF(K1282="Client",1,0)</f>
        <v>0</v>
      </c>
      <c r="AB1282" s="13" t="n">
        <f aca="false">(D1282-AVERAGE(D$2:D$2001))/STDEV(D$2:D$2001)</f>
        <v>0.338074976527031</v>
      </c>
      <c r="AC1282" s="13" t="n">
        <f aca="false">(I1282-AVERAGE(I$2:I$2001))/STDEV(I$2:I$2001)</f>
        <v>-1.43538077576244</v>
      </c>
      <c r="AD1282" s="13" t="n">
        <f aca="false">(L1282-AVERAGE(L$2:L$2001))/STDEV(L$2:L$2001)</f>
        <v>-0.777063122173208</v>
      </c>
      <c r="AE1282" s="13" t="n">
        <f aca="false">(M1282-AVERAGE(M$2:M$2001))/STDEV(M$2:M$2001)</f>
        <v>-0.681432905110796</v>
      </c>
      <c r="AF1282" s="13" t="n">
        <f aca="false">(N1282-AVERAGE(N$2:N$2001))/STDEV(N$2:N$2001)</f>
        <v>-0.0856625522264323</v>
      </c>
      <c r="AG1282" s="13" t="n">
        <f aca="false">(O1282-AVERAGE(O$2:O$2001))/STDEV(O$2:O$2001)</f>
        <v>-0.257058640993212</v>
      </c>
      <c r="AH1282" s="0" t="str">
        <f aca="false">IF(B1282="Company","C3 - Corporate Buyers",IF(AND(H1282="Investment",M1282&gt;'Segmentation Summary'!$C$1),"C1 - Global Investors",IF(AND(I1282&gt;=4,M1282&gt;'Segmentation Summary'!$C$1),"C4 - Luxury Investors",IF(AND(D1282&lt;'Segmentation Summary'!$C$2,J1282=1),"C2 - First-Time Buyers","C5 - Other Individual Buyers"))))</f>
        <v>C5 - Other Individual Buyers</v>
      </c>
    </row>
    <row r="1283" customFormat="false" ht="15" hidden="false" customHeight="true" outlineLevel="0" collapsed="false">
      <c r="A1283" s="13" t="s">
        <v>2580</v>
      </c>
      <c r="B1283" s="13" t="s">
        <v>34</v>
      </c>
      <c r="C1283" s="13" t="s">
        <v>2579</v>
      </c>
      <c r="D1283" s="13" t="n">
        <v>24</v>
      </c>
      <c r="E1283" s="13" t="s">
        <v>83</v>
      </c>
      <c r="F1283" s="13" t="s">
        <v>33</v>
      </c>
      <c r="G1283" s="13" t="s">
        <v>95</v>
      </c>
      <c r="H1283" s="13" t="s">
        <v>41</v>
      </c>
      <c r="I1283" s="13" t="n">
        <v>5</v>
      </c>
      <c r="J1283" s="13" t="n">
        <v>0</v>
      </c>
      <c r="K1283" s="13" t="s">
        <v>91</v>
      </c>
      <c r="L1283" s="13" t="n">
        <v>4</v>
      </c>
      <c r="M1283" s="13" t="n">
        <v>2163873.35</v>
      </c>
      <c r="N1283" s="13" t="n">
        <v>540968.3375</v>
      </c>
      <c r="O1283" s="13" t="n">
        <v>1699.3675</v>
      </c>
      <c r="P1283" s="13" t="n">
        <v>0</v>
      </c>
      <c r="Q1283" s="13" t="n">
        <v>4</v>
      </c>
      <c r="R1283" s="13" t="s">
        <v>117</v>
      </c>
      <c r="S1283" s="13" t="s">
        <v>133</v>
      </c>
      <c r="T1283" s="13" t="n">
        <v>1</v>
      </c>
      <c r="U1283" s="13" t="n">
        <f aca="false">IF(B1283="Individual",1,0)</f>
        <v>1</v>
      </c>
      <c r="V1283" s="13" t="n">
        <f aca="false">IF(B1283="Company",1,0)</f>
        <v>0</v>
      </c>
      <c r="W1283" s="13" t="n">
        <f aca="false">IF(H1283="Home",1,0)</f>
        <v>1</v>
      </c>
      <c r="X1283" s="13" t="n">
        <f aca="false">IF(H1283="Investment",1,0)</f>
        <v>0</v>
      </c>
      <c r="Y1283" s="13" t="n">
        <f aca="false">IF(K1283="Website",1,0)</f>
        <v>0</v>
      </c>
      <c r="Z1283" s="13" t="n">
        <f aca="false">IF(K1283="Agency",1,0)</f>
        <v>1</v>
      </c>
      <c r="AA1283" s="13" t="n">
        <f aca="false">IF(K1283="Client",1,0)</f>
        <v>0</v>
      </c>
      <c r="AB1283" s="13" t="n">
        <f aca="false">(D1283-AVERAGE(D$2:D$2001))/STDEV(D$2:D$2001)</f>
        <v>-1.73777342104641</v>
      </c>
      <c r="AC1283" s="13" t="n">
        <f aca="false">(I1283-AVERAGE(I$2:I$2001))/STDEV(I$2:I$2001)</f>
        <v>1.39434968409451</v>
      </c>
      <c r="AD1283" s="13" t="n">
        <f aca="false">(L1283-AVERAGE(L$2:L$2001))/STDEV(L$2:L$2001)</f>
        <v>0.413838214490712</v>
      </c>
      <c r="AE1283" s="13" t="n">
        <f aca="false">(M1283-AVERAGE(M$2:M$2001))/STDEV(M$2:M$2001)</f>
        <v>2.59752218806861</v>
      </c>
      <c r="AF1283" s="13" t="n">
        <f aca="false">(N1283-AVERAGE(N$2:N$2001))/STDEV(N$2:N$2001)</f>
        <v>2.78074176185641</v>
      </c>
      <c r="AG1283" s="13" t="n">
        <f aca="false">(O1283-AVERAGE(O$2:O$2001))/STDEV(O$2:O$2001)</f>
        <v>2.50946407840385</v>
      </c>
      <c r="AH1283" s="0" t="str">
        <f aca="false">IF(B1283="Company","C3 - Corporate Buyers",IF(AND(H1283="Investment",M1283&gt;'Segmentation Summary'!$C$1),"C1 - Global Investors",IF(AND(I1283&gt;=4,M1283&gt;'Segmentation Summary'!$C$1),"C4 - Luxury Investors",IF(AND(D1283&lt;'Segmentation Summary'!$C$2,J1283=1),"C2 - First-Time Buyers","C5 - Other Individual Buyers"))))</f>
        <v>C4 - Luxury Investors</v>
      </c>
    </row>
    <row r="1284" customFormat="false" ht="15" hidden="false" customHeight="true" outlineLevel="0" collapsed="false">
      <c r="A1284" s="13" t="s">
        <v>2581</v>
      </c>
      <c r="B1284" s="13" t="s">
        <v>34</v>
      </c>
      <c r="C1284" s="13" t="s">
        <v>2582</v>
      </c>
      <c r="D1284" s="13" t="n">
        <v>34</v>
      </c>
      <c r="E1284" s="13" t="s">
        <v>83</v>
      </c>
      <c r="F1284" s="13" t="s">
        <v>33</v>
      </c>
      <c r="G1284" s="13" t="s">
        <v>157</v>
      </c>
      <c r="H1284" s="13" t="s">
        <v>41</v>
      </c>
      <c r="I1284" s="13" t="n">
        <v>2</v>
      </c>
      <c r="J1284" s="13" t="n">
        <v>0</v>
      </c>
      <c r="K1284" s="13" t="s">
        <v>85</v>
      </c>
      <c r="L1284" s="13" t="n">
        <v>3</v>
      </c>
      <c r="M1284" s="13" t="n">
        <v>1122587.7</v>
      </c>
      <c r="N1284" s="13" t="n">
        <v>374195.9</v>
      </c>
      <c r="O1284" s="13" t="n">
        <v>1168.33666666667</v>
      </c>
      <c r="P1284" s="13" t="n">
        <v>1</v>
      </c>
      <c r="Q1284" s="13" t="n">
        <v>2</v>
      </c>
      <c r="R1284" s="13" t="s">
        <v>107</v>
      </c>
      <c r="S1284" s="13" t="s">
        <v>154</v>
      </c>
      <c r="T1284" s="13" t="n">
        <v>1</v>
      </c>
      <c r="U1284" s="13" t="n">
        <f aca="false">IF(B1284="Individual",1,0)</f>
        <v>1</v>
      </c>
      <c r="V1284" s="13" t="n">
        <f aca="false">IF(B1284="Company",1,0)</f>
        <v>0</v>
      </c>
      <c r="W1284" s="13" t="n">
        <f aca="false">IF(H1284="Home",1,0)</f>
        <v>1</v>
      </c>
      <c r="X1284" s="13" t="n">
        <f aca="false">IF(H1284="Investment",1,0)</f>
        <v>0</v>
      </c>
      <c r="Y1284" s="13" t="n">
        <f aca="false">IF(K1284="Website",1,0)</f>
        <v>1</v>
      </c>
      <c r="Z1284" s="13" t="n">
        <f aca="false">IF(K1284="Agency",1,0)</f>
        <v>0</v>
      </c>
      <c r="AA1284" s="13" t="n">
        <f aca="false">IF(K1284="Client",1,0)</f>
        <v>0</v>
      </c>
      <c r="AB1284" s="13" t="n">
        <f aca="false">(D1284-AVERAGE(D$2:D$2001))/STDEV(D$2:D$2001)</f>
        <v>-1.1611488661649</v>
      </c>
      <c r="AC1284" s="13" t="n">
        <f aca="false">(I1284-AVERAGE(I$2:I$2001))/STDEV(I$2:I$2001)</f>
        <v>-0.727948160798201</v>
      </c>
      <c r="AD1284" s="13" t="n">
        <f aca="false">(L1284-AVERAGE(L$2:L$2001))/STDEV(L$2:L$2001)</f>
        <v>-0.777063122173208</v>
      </c>
      <c r="AE1284" s="13" t="n">
        <f aca="false">(M1284-AVERAGE(M$2:M$2001))/STDEV(M$2:M$2001)</f>
        <v>-0.396134655029184</v>
      </c>
      <c r="AF1284" s="13" t="n">
        <f aca="false">(N1284-AVERAGE(N$2:N$2001))/STDEV(N$2:N$2001)</f>
        <v>0.388772746116506</v>
      </c>
      <c r="AG1284" s="13" t="n">
        <f aca="false">(O1284-AVERAGE(O$2:O$2001))/STDEV(O$2:O$2001)</f>
        <v>0.0948379107424532</v>
      </c>
      <c r="AH1284" s="0" t="str">
        <f aca="false">IF(B1284="Company","C3 - Corporate Buyers",IF(AND(H1284="Investment",M1284&gt;'Segmentation Summary'!$C$1),"C1 - Global Investors",IF(AND(I1284&gt;=4,M1284&gt;'Segmentation Summary'!$C$1),"C4 - Luxury Investors",IF(AND(D1284&lt;'Segmentation Summary'!$C$2,J1284=1),"C2 - First-Time Buyers","C5 - Other Individual Buyers"))))</f>
        <v>C5 - Other Individual Buyers</v>
      </c>
    </row>
    <row r="1285" customFormat="false" ht="15" hidden="false" customHeight="true" outlineLevel="0" collapsed="false">
      <c r="A1285" s="13" t="s">
        <v>2583</v>
      </c>
      <c r="B1285" s="13" t="s">
        <v>34</v>
      </c>
      <c r="C1285" s="13" t="s">
        <v>2584</v>
      </c>
      <c r="D1285" s="13" t="n">
        <v>74</v>
      </c>
      <c r="E1285" s="13" t="s">
        <v>83</v>
      </c>
      <c r="F1285" s="13" t="s">
        <v>33</v>
      </c>
      <c r="G1285" s="13" t="s">
        <v>110</v>
      </c>
      <c r="H1285" s="13" t="s">
        <v>43</v>
      </c>
      <c r="I1285" s="13" t="n">
        <v>3</v>
      </c>
      <c r="J1285" s="13" t="n">
        <v>0</v>
      </c>
      <c r="K1285" s="13" t="s">
        <v>85</v>
      </c>
      <c r="L1285" s="13" t="n">
        <v>3</v>
      </c>
      <c r="M1285" s="13" t="n">
        <v>1010109.4</v>
      </c>
      <c r="N1285" s="13" t="n">
        <v>336703.133333333</v>
      </c>
      <c r="O1285" s="13" t="n">
        <v>1155.46333333333</v>
      </c>
      <c r="P1285" s="13" t="n">
        <v>1</v>
      </c>
      <c r="Q1285" s="13" t="n">
        <v>2</v>
      </c>
      <c r="R1285" s="13" t="s">
        <v>117</v>
      </c>
      <c r="S1285" s="13" t="s">
        <v>111</v>
      </c>
      <c r="T1285" s="13" t="n">
        <v>1</v>
      </c>
      <c r="U1285" s="13" t="n">
        <f aca="false">IF(B1285="Individual",1,0)</f>
        <v>1</v>
      </c>
      <c r="V1285" s="13" t="n">
        <f aca="false">IF(B1285="Company",1,0)</f>
        <v>0</v>
      </c>
      <c r="W1285" s="13" t="n">
        <f aca="false">IF(H1285="Home",1,0)</f>
        <v>0</v>
      </c>
      <c r="X1285" s="13" t="n">
        <f aca="false">IF(H1285="Investment",1,0)</f>
        <v>1</v>
      </c>
      <c r="Y1285" s="13" t="n">
        <f aca="false">IF(K1285="Website",1,0)</f>
        <v>1</v>
      </c>
      <c r="Z1285" s="13" t="n">
        <f aca="false">IF(K1285="Agency",1,0)</f>
        <v>0</v>
      </c>
      <c r="AA1285" s="13" t="n">
        <f aca="false">IF(K1285="Client",1,0)</f>
        <v>0</v>
      </c>
      <c r="AB1285" s="13" t="n">
        <f aca="false">(D1285-AVERAGE(D$2:D$2001))/STDEV(D$2:D$2001)</f>
        <v>1.14534935336115</v>
      </c>
      <c r="AC1285" s="13" t="n">
        <f aca="false">(I1285-AVERAGE(I$2:I$2001))/STDEV(I$2:I$2001)</f>
        <v>-0.0205155458339628</v>
      </c>
      <c r="AD1285" s="13" t="n">
        <f aca="false">(L1285-AVERAGE(L$2:L$2001))/STDEV(L$2:L$2001)</f>
        <v>-0.777063122173208</v>
      </c>
      <c r="AE1285" s="13" t="n">
        <f aca="false">(M1285-AVERAGE(M$2:M$2001))/STDEV(M$2:M$2001)</f>
        <v>-0.719505511522795</v>
      </c>
      <c r="AF1285" s="13" t="n">
        <f aca="false">(N1285-AVERAGE(N$2:N$2001))/STDEV(N$2:N$2001)</f>
        <v>-0.148975202677691</v>
      </c>
      <c r="AG1285" s="13" t="n">
        <f aca="false">(O1285-AVERAGE(O$2:O$2001))/STDEV(O$2:O$2001)</f>
        <v>0.0363021618169311</v>
      </c>
      <c r="AH1285" s="0" t="str">
        <f aca="false">IF(B1285="Company","C3 - Corporate Buyers",IF(AND(H1285="Investment",M1285&gt;'Segmentation Summary'!$C$1),"C1 - Global Investors",IF(AND(I1285&gt;=4,M1285&gt;'Segmentation Summary'!$C$1),"C4 - Luxury Investors",IF(AND(D1285&lt;'Segmentation Summary'!$C$2,J1285=1),"C2 - First-Time Buyers","C5 - Other Individual Buyers"))))</f>
        <v>C5 - Other Individual Buyers</v>
      </c>
    </row>
    <row r="1286" customFormat="false" ht="15" hidden="false" customHeight="true" outlineLevel="0" collapsed="false">
      <c r="A1286" s="13" t="s">
        <v>2585</v>
      </c>
      <c r="B1286" s="13" t="s">
        <v>34</v>
      </c>
      <c r="C1286" s="13" t="s">
        <v>2586</v>
      </c>
      <c r="D1286" s="13" t="n">
        <v>26</v>
      </c>
      <c r="E1286" s="13" t="s">
        <v>83</v>
      </c>
      <c r="F1286" s="13" t="s">
        <v>33</v>
      </c>
      <c r="G1286" s="13" t="s">
        <v>95</v>
      </c>
      <c r="H1286" s="13" t="s">
        <v>43</v>
      </c>
      <c r="I1286" s="13" t="n">
        <v>2</v>
      </c>
      <c r="J1286" s="13" t="n">
        <v>0</v>
      </c>
      <c r="K1286" s="13" t="s">
        <v>91</v>
      </c>
      <c r="L1286" s="13" t="n">
        <v>4</v>
      </c>
      <c r="M1286" s="13" t="n">
        <v>1047224.27</v>
      </c>
      <c r="N1286" s="13" t="n">
        <v>261806.0675</v>
      </c>
      <c r="O1286" s="13" t="n">
        <v>816.16</v>
      </c>
      <c r="P1286" s="13" t="n">
        <v>2</v>
      </c>
      <c r="Q1286" s="13" t="n">
        <v>2</v>
      </c>
      <c r="R1286" s="13" t="s">
        <v>101</v>
      </c>
      <c r="S1286" s="13" t="s">
        <v>111</v>
      </c>
      <c r="T1286" s="13" t="n">
        <v>1</v>
      </c>
      <c r="U1286" s="13" t="n">
        <f aca="false">IF(B1286="Individual",1,0)</f>
        <v>1</v>
      </c>
      <c r="V1286" s="13" t="n">
        <f aca="false">IF(B1286="Company",1,0)</f>
        <v>0</v>
      </c>
      <c r="W1286" s="13" t="n">
        <f aca="false">IF(H1286="Home",1,0)</f>
        <v>0</v>
      </c>
      <c r="X1286" s="13" t="n">
        <f aca="false">IF(H1286="Investment",1,0)</f>
        <v>1</v>
      </c>
      <c r="Y1286" s="13" t="n">
        <f aca="false">IF(K1286="Website",1,0)</f>
        <v>0</v>
      </c>
      <c r="Z1286" s="13" t="n">
        <f aca="false">IF(K1286="Agency",1,0)</f>
        <v>1</v>
      </c>
      <c r="AA1286" s="13" t="n">
        <f aca="false">IF(K1286="Client",1,0)</f>
        <v>0</v>
      </c>
      <c r="AB1286" s="13" t="n">
        <f aca="false">(D1286-AVERAGE(D$2:D$2001))/STDEV(D$2:D$2001)</f>
        <v>-1.62244851007011</v>
      </c>
      <c r="AC1286" s="13" t="n">
        <f aca="false">(I1286-AVERAGE(I$2:I$2001))/STDEV(I$2:I$2001)</f>
        <v>-0.727948160798201</v>
      </c>
      <c r="AD1286" s="13" t="n">
        <f aca="false">(L1286-AVERAGE(L$2:L$2001))/STDEV(L$2:L$2001)</f>
        <v>0.413838214490712</v>
      </c>
      <c r="AE1286" s="13" t="n">
        <f aca="false">(M1286-AVERAGE(M$2:M$2001))/STDEV(M$2:M$2001)</f>
        <v>-0.612801664642561</v>
      </c>
      <c r="AF1286" s="13" t="n">
        <f aca="false">(N1286-AVERAGE(N$2:N$2001))/STDEV(N$2:N$2001)</f>
        <v>-1.2232022364054</v>
      </c>
      <c r="AG1286" s="13" t="n">
        <f aca="false">(O1286-AVERAGE(O$2:O$2001))/STDEV(O$2:O$2001)</f>
        <v>-1.50652860433394</v>
      </c>
      <c r="AH1286" s="0" t="str">
        <f aca="false">IF(B1286="Company","C3 - Corporate Buyers",IF(AND(H1286="Investment",M1286&gt;'Segmentation Summary'!$C$1),"C1 - Global Investors",IF(AND(I1286&gt;=4,M1286&gt;'Segmentation Summary'!$C$1),"C4 - Luxury Investors",IF(AND(D1286&lt;'Segmentation Summary'!$C$2,J1286=1),"C2 - First-Time Buyers","C5 - Other Individual Buyers"))))</f>
        <v>C5 - Other Individual Buyers</v>
      </c>
    </row>
    <row r="1287" customFormat="false" ht="15" hidden="false" customHeight="true" outlineLevel="0" collapsed="false">
      <c r="A1287" s="13" t="s">
        <v>2587</v>
      </c>
      <c r="B1287" s="13" t="s">
        <v>34</v>
      </c>
      <c r="C1287" s="13" t="s">
        <v>2588</v>
      </c>
      <c r="D1287" s="13" t="n">
        <v>68</v>
      </c>
      <c r="E1287" s="13" t="s">
        <v>83</v>
      </c>
      <c r="F1287" s="13" t="s">
        <v>33</v>
      </c>
      <c r="G1287" s="13" t="s">
        <v>100</v>
      </c>
      <c r="H1287" s="13" t="s">
        <v>41</v>
      </c>
      <c r="I1287" s="13" t="n">
        <v>2</v>
      </c>
      <c r="J1287" s="13" t="n">
        <v>0</v>
      </c>
      <c r="K1287" s="13" t="s">
        <v>91</v>
      </c>
      <c r="L1287" s="13" t="n">
        <v>3</v>
      </c>
      <c r="M1287" s="13" t="n">
        <v>1273328.62</v>
      </c>
      <c r="N1287" s="13" t="n">
        <v>424442.873333333</v>
      </c>
      <c r="O1287" s="13" t="n">
        <v>1422.97</v>
      </c>
      <c r="P1287" s="13" t="n">
        <v>1</v>
      </c>
      <c r="Q1287" s="13" t="n">
        <v>2</v>
      </c>
      <c r="R1287" s="13" t="s">
        <v>101</v>
      </c>
      <c r="S1287" s="13" t="s">
        <v>98</v>
      </c>
      <c r="T1287" s="13" t="n">
        <v>1</v>
      </c>
      <c r="U1287" s="13" t="n">
        <f aca="false">IF(B1287="Individual",1,0)</f>
        <v>1</v>
      </c>
      <c r="V1287" s="13" t="n">
        <f aca="false">IF(B1287="Company",1,0)</f>
        <v>0</v>
      </c>
      <c r="W1287" s="13" t="n">
        <f aca="false">IF(H1287="Home",1,0)</f>
        <v>1</v>
      </c>
      <c r="X1287" s="13" t="n">
        <f aca="false">IF(H1287="Investment",1,0)</f>
        <v>0</v>
      </c>
      <c r="Y1287" s="13" t="n">
        <f aca="false">IF(K1287="Website",1,0)</f>
        <v>0</v>
      </c>
      <c r="Z1287" s="13" t="n">
        <f aca="false">IF(K1287="Agency",1,0)</f>
        <v>1</v>
      </c>
      <c r="AA1287" s="13" t="n">
        <f aca="false">IF(K1287="Client",1,0)</f>
        <v>0</v>
      </c>
      <c r="AB1287" s="13" t="n">
        <f aca="false">(D1287-AVERAGE(D$2:D$2001))/STDEV(D$2:D$2001)</f>
        <v>0.79937462043224</v>
      </c>
      <c r="AC1287" s="13" t="n">
        <f aca="false">(I1287-AVERAGE(I$2:I$2001))/STDEV(I$2:I$2001)</f>
        <v>-0.727948160798201</v>
      </c>
      <c r="AD1287" s="13" t="n">
        <f aca="false">(L1287-AVERAGE(L$2:L$2001))/STDEV(L$2:L$2001)</f>
        <v>-0.777063122173208</v>
      </c>
      <c r="AE1287" s="13" t="n">
        <f aca="false">(M1287-AVERAGE(M$2:M$2001))/STDEV(M$2:M$2001)</f>
        <v>0.0372397861655615</v>
      </c>
      <c r="AF1287" s="13" t="n">
        <f aca="false">(N1287-AVERAGE(N$2:N$2001))/STDEV(N$2:N$2001)</f>
        <v>1.10945060601792</v>
      </c>
      <c r="AG1287" s="13" t="n">
        <f aca="false">(O1287-AVERAGE(O$2:O$2001))/STDEV(O$2:O$2001)</f>
        <v>1.2526695680232</v>
      </c>
      <c r="AH1287" s="0" t="str">
        <f aca="false">IF(B1287="Company","C3 - Corporate Buyers",IF(AND(H1287="Investment",M1287&gt;'Segmentation Summary'!$C$1),"C1 - Global Investors",IF(AND(I1287&gt;=4,M1287&gt;'Segmentation Summary'!$C$1),"C4 - Luxury Investors",IF(AND(D1287&lt;'Segmentation Summary'!$C$2,J1287=1),"C2 - First-Time Buyers","C5 - Other Individual Buyers"))))</f>
        <v>C5 - Other Individual Buyers</v>
      </c>
    </row>
    <row r="1288" customFormat="false" ht="15" hidden="false" customHeight="true" outlineLevel="0" collapsed="false">
      <c r="A1288" s="13" t="s">
        <v>2589</v>
      </c>
      <c r="B1288" s="13" t="s">
        <v>34</v>
      </c>
      <c r="C1288" s="13" t="s">
        <v>2590</v>
      </c>
      <c r="D1288" s="13" t="n">
        <v>38</v>
      </c>
      <c r="E1288" s="13" t="s">
        <v>83</v>
      </c>
      <c r="F1288" s="13" t="s">
        <v>33</v>
      </c>
      <c r="G1288" s="13" t="s">
        <v>110</v>
      </c>
      <c r="H1288" s="13" t="s">
        <v>43</v>
      </c>
      <c r="I1288" s="13" t="n">
        <v>5</v>
      </c>
      <c r="J1288" s="13" t="n">
        <v>1</v>
      </c>
      <c r="K1288" s="13" t="s">
        <v>91</v>
      </c>
      <c r="L1288" s="13" t="n">
        <v>4</v>
      </c>
      <c r="M1288" s="13" t="n">
        <v>1506594.21</v>
      </c>
      <c r="N1288" s="13" t="n">
        <v>376648.5525</v>
      </c>
      <c r="O1288" s="13" t="n">
        <v>1307.32</v>
      </c>
      <c r="P1288" s="13" t="n">
        <v>1</v>
      </c>
      <c r="Q1288" s="13" t="n">
        <v>3</v>
      </c>
      <c r="R1288" s="13" t="s">
        <v>103</v>
      </c>
      <c r="S1288" s="13" t="s">
        <v>125</v>
      </c>
      <c r="T1288" s="13" t="n">
        <v>1</v>
      </c>
      <c r="U1288" s="13" t="n">
        <f aca="false">IF(B1288="Individual",1,0)</f>
        <v>1</v>
      </c>
      <c r="V1288" s="13" t="n">
        <f aca="false">IF(B1288="Company",1,0)</f>
        <v>0</v>
      </c>
      <c r="W1288" s="13" t="n">
        <f aca="false">IF(H1288="Home",1,0)</f>
        <v>0</v>
      </c>
      <c r="X1288" s="13" t="n">
        <f aca="false">IF(H1288="Investment",1,0)</f>
        <v>1</v>
      </c>
      <c r="Y1288" s="13" t="n">
        <f aca="false">IF(K1288="Website",1,0)</f>
        <v>0</v>
      </c>
      <c r="Z1288" s="13" t="n">
        <f aca="false">IF(K1288="Agency",1,0)</f>
        <v>1</v>
      </c>
      <c r="AA1288" s="13" t="n">
        <f aca="false">IF(K1288="Client",1,0)</f>
        <v>0</v>
      </c>
      <c r="AB1288" s="13" t="n">
        <f aca="false">(D1288-AVERAGE(D$2:D$2001))/STDEV(D$2:D$2001)</f>
        <v>-0.930499044212296</v>
      </c>
      <c r="AC1288" s="13" t="n">
        <f aca="false">(I1288-AVERAGE(I$2:I$2001))/STDEV(I$2:I$2001)</f>
        <v>1.39434968409451</v>
      </c>
      <c r="AD1288" s="13" t="n">
        <f aca="false">(L1288-AVERAGE(L$2:L$2001))/STDEV(L$2:L$2001)</f>
        <v>0.413838214490712</v>
      </c>
      <c r="AE1288" s="13" t="n">
        <f aca="false">(M1288-AVERAGE(M$2:M$2001))/STDEV(M$2:M$2001)</f>
        <v>0.707869531003343</v>
      </c>
      <c r="AF1288" s="13" t="n">
        <f aca="false">(N1288-AVERAGE(N$2:N$2001))/STDEV(N$2:N$2001)</f>
        <v>0.423950434194471</v>
      </c>
      <c r="AG1288" s="13" t="n">
        <f aca="false">(O1288-AVERAGE(O$2:O$2001))/STDEV(O$2:O$2001)</f>
        <v>0.726802709149577</v>
      </c>
      <c r="AH1288" s="0" t="str">
        <f aca="false">IF(B1288="Company","C3 - Corporate Buyers",IF(AND(H1288="Investment",M1288&gt;'Segmentation Summary'!$C$1),"C1 - Global Investors",IF(AND(I1288&gt;=4,M1288&gt;'Segmentation Summary'!$C$1),"C4 - Luxury Investors",IF(AND(D1288&lt;'Segmentation Summary'!$C$2,J1288=1),"C2 - First-Time Buyers","C5 - Other Individual Buyers"))))</f>
        <v>C1 - Global Investors</v>
      </c>
    </row>
    <row r="1289" customFormat="false" ht="15" hidden="false" customHeight="true" outlineLevel="0" collapsed="false">
      <c r="A1289" s="13" t="s">
        <v>2591</v>
      </c>
      <c r="B1289" s="13" t="s">
        <v>34</v>
      </c>
      <c r="C1289" s="13" t="s">
        <v>2592</v>
      </c>
      <c r="D1289" s="13" t="n">
        <v>73</v>
      </c>
      <c r="E1289" s="13" t="s">
        <v>83</v>
      </c>
      <c r="F1289" s="13" t="s">
        <v>33</v>
      </c>
      <c r="G1289" s="13" t="s">
        <v>110</v>
      </c>
      <c r="H1289" s="13" t="s">
        <v>41</v>
      </c>
      <c r="I1289" s="13" t="n">
        <v>3</v>
      </c>
      <c r="J1289" s="13" t="n">
        <v>0</v>
      </c>
      <c r="K1289" s="13" t="s">
        <v>91</v>
      </c>
      <c r="L1289" s="13" t="n">
        <v>3</v>
      </c>
      <c r="M1289" s="13" t="n">
        <v>863383.74</v>
      </c>
      <c r="N1289" s="13" t="n">
        <v>287794.58</v>
      </c>
      <c r="O1289" s="13" t="n">
        <v>1033.62</v>
      </c>
      <c r="P1289" s="13" t="n">
        <v>1</v>
      </c>
      <c r="Q1289" s="13" t="n">
        <v>2</v>
      </c>
      <c r="R1289" s="13" t="s">
        <v>124</v>
      </c>
      <c r="S1289" s="13" t="s">
        <v>87</v>
      </c>
      <c r="T1289" s="13" t="n">
        <v>1</v>
      </c>
      <c r="U1289" s="13" t="n">
        <f aca="false">IF(B1289="Individual",1,0)</f>
        <v>1</v>
      </c>
      <c r="V1289" s="13" t="n">
        <f aca="false">IF(B1289="Company",1,0)</f>
        <v>0</v>
      </c>
      <c r="W1289" s="13" t="n">
        <f aca="false">IF(H1289="Home",1,0)</f>
        <v>1</v>
      </c>
      <c r="X1289" s="13" t="n">
        <f aca="false">IF(H1289="Investment",1,0)</f>
        <v>0</v>
      </c>
      <c r="Y1289" s="13" t="n">
        <f aca="false">IF(K1289="Website",1,0)</f>
        <v>0</v>
      </c>
      <c r="Z1289" s="13" t="n">
        <f aca="false">IF(K1289="Agency",1,0)</f>
        <v>1</v>
      </c>
      <c r="AA1289" s="13" t="n">
        <f aca="false">IF(K1289="Client",1,0)</f>
        <v>0</v>
      </c>
      <c r="AB1289" s="13" t="n">
        <f aca="false">(D1289-AVERAGE(D$2:D$2001))/STDEV(D$2:D$2001)</f>
        <v>1.087686897873</v>
      </c>
      <c r="AC1289" s="13" t="n">
        <f aca="false">(I1289-AVERAGE(I$2:I$2001))/STDEV(I$2:I$2001)</f>
        <v>-0.0205155458339628</v>
      </c>
      <c r="AD1289" s="13" t="n">
        <f aca="false">(L1289-AVERAGE(L$2:L$2001))/STDEV(L$2:L$2001)</f>
        <v>-0.777063122173208</v>
      </c>
      <c r="AE1289" s="13" t="n">
        <f aca="false">(M1289-AVERAGE(M$2:M$2001))/STDEV(M$2:M$2001)</f>
        <v>-1.14133623214882</v>
      </c>
      <c r="AF1289" s="13" t="n">
        <f aca="false">(N1289-AVERAGE(N$2:N$2001))/STDEV(N$2:N$2001)</f>
        <v>-0.850456490183578</v>
      </c>
      <c r="AG1289" s="13" t="n">
        <f aca="false">(O1289-AVERAGE(O$2:O$2001))/STDEV(O$2:O$2001)</f>
        <v>-0.517726121578573</v>
      </c>
      <c r="AH1289" s="0" t="str">
        <f aca="false">IF(B1289="Company","C3 - Corporate Buyers",IF(AND(H1289="Investment",M1289&gt;'Segmentation Summary'!$C$1),"C1 - Global Investors",IF(AND(I1289&gt;=4,M1289&gt;'Segmentation Summary'!$C$1),"C4 - Luxury Investors",IF(AND(D1289&lt;'Segmentation Summary'!$C$2,J1289=1),"C2 - First-Time Buyers","C5 - Other Individual Buyers"))))</f>
        <v>C5 - Other Individual Buyers</v>
      </c>
    </row>
    <row r="1290" customFormat="false" ht="15" hidden="false" customHeight="true" outlineLevel="0" collapsed="false">
      <c r="A1290" s="13" t="s">
        <v>2593</v>
      </c>
      <c r="B1290" s="13" t="s">
        <v>34</v>
      </c>
      <c r="C1290" s="13" t="s">
        <v>2594</v>
      </c>
      <c r="D1290" s="13" t="n">
        <v>45</v>
      </c>
      <c r="E1290" s="13" t="s">
        <v>83</v>
      </c>
      <c r="F1290" s="13" t="s">
        <v>33</v>
      </c>
      <c r="G1290" s="13" t="s">
        <v>162</v>
      </c>
      <c r="H1290" s="13" t="s">
        <v>41</v>
      </c>
      <c r="I1290" s="13" t="n">
        <v>1</v>
      </c>
      <c r="J1290" s="13" t="n">
        <v>1</v>
      </c>
      <c r="K1290" s="13" t="s">
        <v>85</v>
      </c>
      <c r="L1290" s="13" t="n">
        <v>3</v>
      </c>
      <c r="M1290" s="13" t="n">
        <v>1436352.77</v>
      </c>
      <c r="N1290" s="13" t="n">
        <v>478784.256666667</v>
      </c>
      <c r="O1290" s="13" t="n">
        <v>1754.93666666667</v>
      </c>
      <c r="P1290" s="13" t="n">
        <v>1</v>
      </c>
      <c r="Q1290" s="13" t="n">
        <v>2</v>
      </c>
      <c r="R1290" s="13" t="s">
        <v>117</v>
      </c>
      <c r="S1290" s="13" t="s">
        <v>107</v>
      </c>
      <c r="T1290" s="13" t="n">
        <v>1</v>
      </c>
      <c r="U1290" s="13" t="n">
        <f aca="false">IF(B1290="Individual",1,0)</f>
        <v>1</v>
      </c>
      <c r="V1290" s="13" t="n">
        <f aca="false">IF(B1290="Company",1,0)</f>
        <v>0</v>
      </c>
      <c r="W1290" s="13" t="n">
        <f aca="false">IF(H1290="Home",1,0)</f>
        <v>1</v>
      </c>
      <c r="X1290" s="13" t="n">
        <f aca="false">IF(H1290="Investment",1,0)</f>
        <v>0</v>
      </c>
      <c r="Y1290" s="13" t="n">
        <f aca="false">IF(K1290="Website",1,0)</f>
        <v>1</v>
      </c>
      <c r="Z1290" s="13" t="n">
        <f aca="false">IF(K1290="Agency",1,0)</f>
        <v>0</v>
      </c>
      <c r="AA1290" s="13" t="n">
        <f aca="false">IF(K1290="Client",1,0)</f>
        <v>0</v>
      </c>
      <c r="AB1290" s="13" t="n">
        <f aca="false">(D1290-AVERAGE(D$2:D$2001))/STDEV(D$2:D$2001)</f>
        <v>-0.526861855795238</v>
      </c>
      <c r="AC1290" s="13" t="n">
        <f aca="false">(I1290-AVERAGE(I$2:I$2001))/STDEV(I$2:I$2001)</f>
        <v>-1.43538077576244</v>
      </c>
      <c r="AD1290" s="13" t="n">
        <f aca="false">(L1290-AVERAGE(L$2:L$2001))/STDEV(L$2:L$2001)</f>
        <v>-0.777063122173208</v>
      </c>
      <c r="AE1290" s="13" t="n">
        <f aca="false">(M1290-AVERAGE(M$2:M$2001))/STDEV(M$2:M$2001)</f>
        <v>0.505928048831719</v>
      </c>
      <c r="AF1290" s="13" t="n">
        <f aca="false">(N1290-AVERAGE(N$2:N$2001))/STDEV(N$2:N$2001)</f>
        <v>1.88885340874891</v>
      </c>
      <c r="AG1290" s="13" t="n">
        <f aca="false">(O1290-AVERAGE(O$2:O$2001))/STDEV(O$2:O$2001)</f>
        <v>2.76214011061506</v>
      </c>
      <c r="AH1290" s="0" t="str">
        <f aca="false">IF(B1290="Company","C3 - Corporate Buyers",IF(AND(H1290="Investment",M1290&gt;'Segmentation Summary'!$C$1),"C1 - Global Investors",IF(AND(I1290&gt;=4,M1290&gt;'Segmentation Summary'!$C$1),"C4 - Luxury Investors",IF(AND(D1290&lt;'Segmentation Summary'!$C$2,J1290=1),"C2 - First-Time Buyers","C5 - Other Individual Buyers"))))</f>
        <v>C2 - First-Time Buyers</v>
      </c>
    </row>
    <row r="1291" customFormat="false" ht="15" hidden="false" customHeight="true" outlineLevel="0" collapsed="false">
      <c r="A1291" s="13" t="s">
        <v>2595</v>
      </c>
      <c r="B1291" s="13" t="s">
        <v>34</v>
      </c>
      <c r="C1291" s="13" t="s">
        <v>2596</v>
      </c>
      <c r="D1291" s="13" t="n">
        <v>76</v>
      </c>
      <c r="E1291" s="13" t="s">
        <v>90</v>
      </c>
      <c r="F1291" s="13" t="s">
        <v>33</v>
      </c>
      <c r="G1291" s="13" t="s">
        <v>110</v>
      </c>
      <c r="H1291" s="13" t="s">
        <v>41</v>
      </c>
      <c r="I1291" s="13" t="n">
        <v>2</v>
      </c>
      <c r="J1291" s="13" t="n">
        <v>1</v>
      </c>
      <c r="K1291" s="13" t="s">
        <v>91</v>
      </c>
      <c r="L1291" s="13" t="n">
        <v>4</v>
      </c>
      <c r="M1291" s="13" t="n">
        <v>1978026.48</v>
      </c>
      <c r="N1291" s="13" t="n">
        <v>494506.62</v>
      </c>
      <c r="O1291" s="13" t="n">
        <v>1676.3825</v>
      </c>
      <c r="P1291" s="13" t="n">
        <v>0</v>
      </c>
      <c r="Q1291" s="13" t="n">
        <v>4</v>
      </c>
      <c r="R1291" s="13" t="s">
        <v>121</v>
      </c>
      <c r="S1291" s="13" t="s">
        <v>87</v>
      </c>
      <c r="T1291" s="13" t="n">
        <v>1</v>
      </c>
      <c r="U1291" s="13" t="n">
        <f aca="false">IF(B1291="Individual",1,0)</f>
        <v>1</v>
      </c>
      <c r="V1291" s="13" t="n">
        <f aca="false">IF(B1291="Company",1,0)</f>
        <v>0</v>
      </c>
      <c r="W1291" s="13" t="n">
        <f aca="false">IF(H1291="Home",1,0)</f>
        <v>1</v>
      </c>
      <c r="X1291" s="13" t="n">
        <f aca="false">IF(H1291="Investment",1,0)</f>
        <v>0</v>
      </c>
      <c r="Y1291" s="13" t="n">
        <f aca="false">IF(K1291="Website",1,0)</f>
        <v>0</v>
      </c>
      <c r="Z1291" s="13" t="n">
        <f aca="false">IF(K1291="Agency",1,0)</f>
        <v>1</v>
      </c>
      <c r="AA1291" s="13" t="n">
        <f aca="false">IF(K1291="Client",1,0)</f>
        <v>0</v>
      </c>
      <c r="AB1291" s="13" t="n">
        <f aca="false">(D1291-AVERAGE(D$2:D$2001))/STDEV(D$2:D$2001)</f>
        <v>1.26067426433745</v>
      </c>
      <c r="AC1291" s="13" t="n">
        <f aca="false">(I1291-AVERAGE(I$2:I$2001))/STDEV(I$2:I$2001)</f>
        <v>-0.727948160798201</v>
      </c>
      <c r="AD1291" s="13" t="n">
        <f aca="false">(L1291-AVERAGE(L$2:L$2001))/STDEV(L$2:L$2001)</f>
        <v>0.413838214490712</v>
      </c>
      <c r="AE1291" s="13" t="n">
        <f aca="false">(M1291-AVERAGE(M$2:M$2001))/STDEV(M$2:M$2001)</f>
        <v>2.06321946897918</v>
      </c>
      <c r="AF1291" s="13" t="n">
        <f aca="false">(N1291-AVERAGE(N$2:N$2001))/STDEV(N$2:N$2001)</f>
        <v>2.11435473565455</v>
      </c>
      <c r="AG1291" s="13" t="n">
        <f aca="false">(O1291-AVERAGE(O$2:O$2001))/STDEV(O$2:O$2001)</f>
        <v>2.40495002953908</v>
      </c>
      <c r="AH1291" s="0" t="str">
        <f aca="false">IF(B1291="Company","C3 - Corporate Buyers",IF(AND(H1291="Investment",M1291&gt;'Segmentation Summary'!$C$1),"C1 - Global Investors",IF(AND(I1291&gt;=4,M1291&gt;'Segmentation Summary'!$C$1),"C4 - Luxury Investors",IF(AND(D1291&lt;'Segmentation Summary'!$C$2,J1291=1),"C2 - First-Time Buyers","C5 - Other Individual Buyers"))))</f>
        <v>C5 - Other Individual Buyers</v>
      </c>
    </row>
    <row r="1292" customFormat="false" ht="15" hidden="false" customHeight="true" outlineLevel="0" collapsed="false">
      <c r="A1292" s="13" t="s">
        <v>2597</v>
      </c>
      <c r="B1292" s="13" t="s">
        <v>34</v>
      </c>
      <c r="C1292" s="13" t="s">
        <v>2598</v>
      </c>
      <c r="D1292" s="13" t="n">
        <v>72</v>
      </c>
      <c r="E1292" s="13" t="s">
        <v>90</v>
      </c>
      <c r="F1292" s="13" t="s">
        <v>33</v>
      </c>
      <c r="G1292" s="13" t="s">
        <v>100</v>
      </c>
      <c r="H1292" s="13" t="s">
        <v>41</v>
      </c>
      <c r="I1292" s="13" t="n">
        <v>4</v>
      </c>
      <c r="J1292" s="13" t="n">
        <v>0</v>
      </c>
      <c r="K1292" s="13" t="s">
        <v>91</v>
      </c>
      <c r="L1292" s="13" t="n">
        <v>7</v>
      </c>
      <c r="M1292" s="13" t="n">
        <v>2665917.96</v>
      </c>
      <c r="N1292" s="13" t="n">
        <v>380845.422857143</v>
      </c>
      <c r="O1292" s="13" t="n">
        <v>1284.99857142857</v>
      </c>
      <c r="P1292" s="13" t="n">
        <v>2</v>
      </c>
      <c r="Q1292" s="13" t="n">
        <v>5</v>
      </c>
      <c r="R1292" s="13" t="s">
        <v>121</v>
      </c>
      <c r="S1292" s="13" t="s">
        <v>133</v>
      </c>
      <c r="T1292" s="13" t="n">
        <v>1</v>
      </c>
      <c r="U1292" s="13" t="n">
        <f aca="false">IF(B1292="Individual",1,0)</f>
        <v>1</v>
      </c>
      <c r="V1292" s="13" t="n">
        <f aca="false">IF(B1292="Company",1,0)</f>
        <v>0</v>
      </c>
      <c r="W1292" s="13" t="n">
        <f aca="false">IF(H1292="Home",1,0)</f>
        <v>1</v>
      </c>
      <c r="X1292" s="13" t="n">
        <f aca="false">IF(H1292="Investment",1,0)</f>
        <v>0</v>
      </c>
      <c r="Y1292" s="13" t="n">
        <f aca="false">IF(K1292="Website",1,0)</f>
        <v>0</v>
      </c>
      <c r="Z1292" s="13" t="n">
        <f aca="false">IF(K1292="Agency",1,0)</f>
        <v>1</v>
      </c>
      <c r="AA1292" s="13" t="n">
        <f aca="false">IF(K1292="Client",1,0)</f>
        <v>0</v>
      </c>
      <c r="AB1292" s="13" t="n">
        <f aca="false">(D1292-AVERAGE(D$2:D$2001))/STDEV(D$2:D$2001)</f>
        <v>1.03002444238485</v>
      </c>
      <c r="AC1292" s="13" t="n">
        <f aca="false">(I1292-AVERAGE(I$2:I$2001))/STDEV(I$2:I$2001)</f>
        <v>0.686917069130275</v>
      </c>
      <c r="AD1292" s="13" t="n">
        <f aca="false">(L1292-AVERAGE(L$2:L$2001))/STDEV(L$2:L$2001)</f>
        <v>3.98654222448247</v>
      </c>
      <c r="AE1292" s="13" t="n">
        <f aca="false">(M1292-AVERAGE(M$2:M$2001))/STDEV(M$2:M$2001)</f>
        <v>4.04088144522044</v>
      </c>
      <c r="AF1292" s="13" t="n">
        <f aca="false">(N1292-AVERAGE(N$2:N$2001))/STDEV(N$2:N$2001)</f>
        <v>0.484144936402687</v>
      </c>
      <c r="AG1292" s="13" t="n">
        <f aca="false">(O1292-AVERAGE(O$2:O$2001))/STDEV(O$2:O$2001)</f>
        <v>0.625305955769293</v>
      </c>
      <c r="AH1292" s="0" t="str">
        <f aca="false">IF(B1292="Company","C3 - Corporate Buyers",IF(AND(H1292="Investment",M1292&gt;'Segmentation Summary'!$C$1),"C1 - Global Investors",IF(AND(I1292&gt;=4,M1292&gt;'Segmentation Summary'!$C$1),"C4 - Luxury Investors",IF(AND(D1292&lt;'Segmentation Summary'!$C$2,J1292=1),"C2 - First-Time Buyers","C5 - Other Individual Buyers"))))</f>
        <v>C4 - Luxury Investors</v>
      </c>
    </row>
    <row r="1293" customFormat="false" ht="15" hidden="false" customHeight="true" outlineLevel="0" collapsed="false">
      <c r="A1293" s="13" t="s">
        <v>2599</v>
      </c>
      <c r="B1293" s="13" t="s">
        <v>34</v>
      </c>
      <c r="C1293" s="13" t="s">
        <v>2600</v>
      </c>
      <c r="D1293" s="13" t="n">
        <v>31</v>
      </c>
      <c r="E1293" s="13" t="s">
        <v>90</v>
      </c>
      <c r="F1293" s="13" t="s">
        <v>33</v>
      </c>
      <c r="G1293" s="13" t="s">
        <v>95</v>
      </c>
      <c r="H1293" s="13" t="s">
        <v>43</v>
      </c>
      <c r="I1293" s="13" t="n">
        <v>5</v>
      </c>
      <c r="J1293" s="13" t="n">
        <v>0</v>
      </c>
      <c r="K1293" s="13" t="s">
        <v>91</v>
      </c>
      <c r="L1293" s="13" t="n">
        <v>4</v>
      </c>
      <c r="M1293" s="13" t="n">
        <v>1533862.35</v>
      </c>
      <c r="N1293" s="13" t="n">
        <v>383465.5875</v>
      </c>
      <c r="O1293" s="13" t="n">
        <v>1200.2725</v>
      </c>
      <c r="P1293" s="13" t="n">
        <v>1</v>
      </c>
      <c r="Q1293" s="13" t="n">
        <v>3</v>
      </c>
      <c r="R1293" s="13" t="s">
        <v>92</v>
      </c>
      <c r="S1293" s="13" t="s">
        <v>154</v>
      </c>
      <c r="T1293" s="13" t="n">
        <v>1</v>
      </c>
      <c r="U1293" s="13" t="n">
        <f aca="false">IF(B1293="Individual",1,0)</f>
        <v>1</v>
      </c>
      <c r="V1293" s="13" t="n">
        <f aca="false">IF(B1293="Company",1,0)</f>
        <v>0</v>
      </c>
      <c r="W1293" s="13" t="n">
        <f aca="false">IF(H1293="Home",1,0)</f>
        <v>0</v>
      </c>
      <c r="X1293" s="13" t="n">
        <f aca="false">IF(H1293="Investment",1,0)</f>
        <v>1</v>
      </c>
      <c r="Y1293" s="13" t="n">
        <f aca="false">IF(K1293="Website",1,0)</f>
        <v>0</v>
      </c>
      <c r="Z1293" s="13" t="n">
        <f aca="false">IF(K1293="Agency",1,0)</f>
        <v>1</v>
      </c>
      <c r="AA1293" s="13" t="n">
        <f aca="false">IF(K1293="Client",1,0)</f>
        <v>0</v>
      </c>
      <c r="AB1293" s="13" t="n">
        <f aca="false">(D1293-AVERAGE(D$2:D$2001))/STDEV(D$2:D$2001)</f>
        <v>-1.33413623262935</v>
      </c>
      <c r="AC1293" s="13" t="n">
        <f aca="false">(I1293-AVERAGE(I$2:I$2001))/STDEV(I$2:I$2001)</f>
        <v>1.39434968409451</v>
      </c>
      <c r="AD1293" s="13" t="n">
        <f aca="false">(L1293-AVERAGE(L$2:L$2001))/STDEV(L$2:L$2001)</f>
        <v>0.413838214490712</v>
      </c>
      <c r="AE1293" s="13" t="n">
        <f aca="false">(M1293-AVERAGE(M$2:M$2001))/STDEV(M$2:M$2001)</f>
        <v>0.786264401718741</v>
      </c>
      <c r="AF1293" s="13" t="n">
        <f aca="false">(N1293-AVERAGE(N$2:N$2001))/STDEV(N$2:N$2001)</f>
        <v>0.521725202877183</v>
      </c>
      <c r="AG1293" s="13" t="n">
        <f aca="false">(O1293-AVERAGE(O$2:O$2001))/STDEV(O$2:O$2001)</f>
        <v>0.240051887054687</v>
      </c>
      <c r="AH1293" s="0" t="str">
        <f aca="false">IF(B1293="Company","C3 - Corporate Buyers",IF(AND(H1293="Investment",M1293&gt;'Segmentation Summary'!$C$1),"C1 - Global Investors",IF(AND(I1293&gt;=4,M1293&gt;'Segmentation Summary'!$C$1),"C4 - Luxury Investors",IF(AND(D1293&lt;'Segmentation Summary'!$C$2,J1293=1),"C2 - First-Time Buyers","C5 - Other Individual Buyers"))))</f>
        <v>C1 - Global Investors</v>
      </c>
    </row>
    <row r="1294" customFormat="false" ht="15" hidden="false" customHeight="true" outlineLevel="0" collapsed="false">
      <c r="A1294" s="13" t="s">
        <v>2601</v>
      </c>
      <c r="B1294" s="13" t="s">
        <v>34</v>
      </c>
      <c r="C1294" s="13" t="s">
        <v>2602</v>
      </c>
      <c r="D1294" s="13" t="n">
        <v>52</v>
      </c>
      <c r="E1294" s="13" t="s">
        <v>90</v>
      </c>
      <c r="F1294" s="13" t="s">
        <v>33</v>
      </c>
      <c r="G1294" s="13" t="s">
        <v>95</v>
      </c>
      <c r="H1294" s="13" t="s">
        <v>43</v>
      </c>
      <c r="I1294" s="13" t="n">
        <v>3</v>
      </c>
      <c r="J1294" s="13" t="n">
        <v>0</v>
      </c>
      <c r="K1294" s="13" t="s">
        <v>91</v>
      </c>
      <c r="L1294" s="13" t="n">
        <v>4</v>
      </c>
      <c r="M1294" s="13" t="n">
        <v>1295689.37</v>
      </c>
      <c r="N1294" s="13" t="n">
        <v>323922.3425</v>
      </c>
      <c r="O1294" s="13" t="n">
        <v>1024.3375</v>
      </c>
      <c r="P1294" s="13" t="n">
        <v>2</v>
      </c>
      <c r="Q1294" s="13" t="n">
        <v>2</v>
      </c>
      <c r="R1294" s="13" t="s">
        <v>117</v>
      </c>
      <c r="S1294" s="13" t="s">
        <v>87</v>
      </c>
      <c r="T1294" s="13" t="n">
        <v>1</v>
      </c>
      <c r="U1294" s="13" t="n">
        <f aca="false">IF(B1294="Individual",1,0)</f>
        <v>1</v>
      </c>
      <c r="V1294" s="13" t="n">
        <f aca="false">IF(B1294="Company",1,0)</f>
        <v>0</v>
      </c>
      <c r="W1294" s="13" t="n">
        <f aca="false">IF(H1294="Home",1,0)</f>
        <v>0</v>
      </c>
      <c r="X1294" s="13" t="n">
        <f aca="false">IF(H1294="Investment",1,0)</f>
        <v>1</v>
      </c>
      <c r="Y1294" s="13" t="n">
        <f aca="false">IF(K1294="Website",1,0)</f>
        <v>0</v>
      </c>
      <c r="Z1294" s="13" t="n">
        <f aca="false">IF(K1294="Agency",1,0)</f>
        <v>1</v>
      </c>
      <c r="AA1294" s="13" t="n">
        <f aca="false">IF(K1294="Client",1,0)</f>
        <v>0</v>
      </c>
      <c r="AB1294" s="13" t="n">
        <f aca="false">(D1294-AVERAGE(D$2:D$2001))/STDEV(D$2:D$2001)</f>
        <v>-0.123224667378179</v>
      </c>
      <c r="AC1294" s="13" t="n">
        <f aca="false">(I1294-AVERAGE(I$2:I$2001))/STDEV(I$2:I$2001)</f>
        <v>-0.0205155458339628</v>
      </c>
      <c r="AD1294" s="13" t="n">
        <f aca="false">(L1294-AVERAGE(L$2:L$2001))/STDEV(L$2:L$2001)</f>
        <v>0.413838214490712</v>
      </c>
      <c r="AE1294" s="13" t="n">
        <f aca="false">(M1294-AVERAGE(M$2:M$2001))/STDEV(M$2:M$2001)</f>
        <v>0.101526096319071</v>
      </c>
      <c r="AF1294" s="13" t="n">
        <f aca="false">(N1294-AVERAGE(N$2:N$2001))/STDEV(N$2:N$2001)</f>
        <v>-0.332286402827207</v>
      </c>
      <c r="AG1294" s="13" t="n">
        <f aca="false">(O1294-AVERAGE(O$2:O$2001))/STDEV(O$2:O$2001)</f>
        <v>-0.55993415545228</v>
      </c>
      <c r="AH1294" s="0" t="str">
        <f aca="false">IF(B1294="Company","C3 - Corporate Buyers",IF(AND(H1294="Investment",M1294&gt;'Segmentation Summary'!$C$1),"C1 - Global Investors",IF(AND(I1294&gt;=4,M1294&gt;'Segmentation Summary'!$C$1),"C4 - Luxury Investors",IF(AND(D1294&lt;'Segmentation Summary'!$C$2,J1294=1),"C2 - First-Time Buyers","C5 - Other Individual Buyers"))))</f>
        <v>C1 - Global Investors</v>
      </c>
    </row>
    <row r="1295" customFormat="false" ht="15" hidden="false" customHeight="true" outlineLevel="0" collapsed="false">
      <c r="A1295" s="13" t="s">
        <v>2603</v>
      </c>
      <c r="B1295" s="13" t="s">
        <v>34</v>
      </c>
      <c r="C1295" s="13" t="s">
        <v>2604</v>
      </c>
      <c r="D1295" s="13" t="n">
        <v>59</v>
      </c>
      <c r="E1295" s="13" t="s">
        <v>90</v>
      </c>
      <c r="F1295" s="13" t="s">
        <v>33</v>
      </c>
      <c r="G1295" s="13" t="s">
        <v>95</v>
      </c>
      <c r="H1295" s="13" t="s">
        <v>43</v>
      </c>
      <c r="I1295" s="13" t="n">
        <v>1</v>
      </c>
      <c r="J1295" s="13" t="n">
        <v>1</v>
      </c>
      <c r="K1295" s="13" t="s">
        <v>91</v>
      </c>
      <c r="L1295" s="13" t="n">
        <v>4</v>
      </c>
      <c r="M1295" s="13" t="n">
        <v>993131.84</v>
      </c>
      <c r="N1295" s="13" t="n">
        <v>248282.96</v>
      </c>
      <c r="O1295" s="13" t="n">
        <v>894.905</v>
      </c>
      <c r="P1295" s="13" t="n">
        <v>0</v>
      </c>
      <c r="Q1295" s="13" t="n">
        <v>4</v>
      </c>
      <c r="R1295" s="13" t="s">
        <v>101</v>
      </c>
      <c r="S1295" s="13" t="s">
        <v>164</v>
      </c>
      <c r="T1295" s="13" t="n">
        <v>1</v>
      </c>
      <c r="U1295" s="13" t="n">
        <f aca="false">IF(B1295="Individual",1,0)</f>
        <v>1</v>
      </c>
      <c r="V1295" s="13" t="n">
        <f aca="false">IF(B1295="Company",1,0)</f>
        <v>0</v>
      </c>
      <c r="W1295" s="13" t="n">
        <f aca="false">IF(H1295="Home",1,0)</f>
        <v>0</v>
      </c>
      <c r="X1295" s="13" t="n">
        <f aca="false">IF(H1295="Investment",1,0)</f>
        <v>1</v>
      </c>
      <c r="Y1295" s="13" t="n">
        <f aca="false">IF(K1295="Website",1,0)</f>
        <v>0</v>
      </c>
      <c r="Z1295" s="13" t="n">
        <f aca="false">IF(K1295="Agency",1,0)</f>
        <v>1</v>
      </c>
      <c r="AA1295" s="13" t="n">
        <f aca="false">IF(K1295="Client",1,0)</f>
        <v>0</v>
      </c>
      <c r="AB1295" s="13" t="n">
        <f aca="false">(D1295-AVERAGE(D$2:D$2001))/STDEV(D$2:D$2001)</f>
        <v>0.280412521038879</v>
      </c>
      <c r="AC1295" s="13" t="n">
        <f aca="false">(I1295-AVERAGE(I$2:I$2001))/STDEV(I$2:I$2001)</f>
        <v>-1.43538077576244</v>
      </c>
      <c r="AD1295" s="13" t="n">
        <f aca="false">(L1295-AVERAGE(L$2:L$2001))/STDEV(L$2:L$2001)</f>
        <v>0.413838214490712</v>
      </c>
      <c r="AE1295" s="13" t="n">
        <f aca="false">(M1295-AVERAGE(M$2:M$2001))/STDEV(M$2:M$2001)</f>
        <v>-0.768315354117959</v>
      </c>
      <c r="AF1295" s="13" t="n">
        <f aca="false">(N1295-AVERAGE(N$2:N$2001))/STDEV(N$2:N$2001)</f>
        <v>-1.41716027060706</v>
      </c>
      <c r="AG1295" s="13" t="n">
        <f aca="false">(O1295-AVERAGE(O$2:O$2001))/STDEV(O$2:O$2001)</f>
        <v>-1.14847079368108</v>
      </c>
      <c r="AH1295" s="0" t="str">
        <f aca="false">IF(B1295="Company","C3 - Corporate Buyers",IF(AND(H1295="Investment",M1295&gt;'Segmentation Summary'!$C$1),"C1 - Global Investors",IF(AND(I1295&gt;=4,M1295&gt;'Segmentation Summary'!$C$1),"C4 - Luxury Investors",IF(AND(D1295&lt;'Segmentation Summary'!$C$2,J1295=1),"C2 - First-Time Buyers","C5 - Other Individual Buyers"))))</f>
        <v>C5 - Other Individual Buyers</v>
      </c>
    </row>
    <row r="1296" customFormat="false" ht="15" hidden="false" customHeight="true" outlineLevel="0" collapsed="false">
      <c r="A1296" s="13" t="s">
        <v>2605</v>
      </c>
      <c r="B1296" s="13" t="s">
        <v>34</v>
      </c>
      <c r="C1296" s="13" t="s">
        <v>2606</v>
      </c>
      <c r="D1296" s="13" t="n">
        <v>40</v>
      </c>
      <c r="E1296" s="13" t="s">
        <v>90</v>
      </c>
      <c r="F1296" s="13" t="s">
        <v>33</v>
      </c>
      <c r="G1296" s="13" t="s">
        <v>110</v>
      </c>
      <c r="H1296" s="13" t="s">
        <v>43</v>
      </c>
      <c r="I1296" s="13" t="n">
        <v>2</v>
      </c>
      <c r="J1296" s="13" t="n">
        <v>0</v>
      </c>
      <c r="K1296" s="13" t="s">
        <v>85</v>
      </c>
      <c r="L1296" s="13" t="n">
        <v>3</v>
      </c>
      <c r="M1296" s="13" t="n">
        <v>828441.41</v>
      </c>
      <c r="N1296" s="13" t="n">
        <v>276147.136666667</v>
      </c>
      <c r="O1296" s="13" t="n">
        <v>862.106666666667</v>
      </c>
      <c r="P1296" s="13" t="n">
        <v>0</v>
      </c>
      <c r="Q1296" s="13" t="n">
        <v>3</v>
      </c>
      <c r="R1296" s="13" t="s">
        <v>128</v>
      </c>
      <c r="S1296" s="13" t="s">
        <v>114</v>
      </c>
      <c r="T1296" s="13" t="n">
        <v>1</v>
      </c>
      <c r="U1296" s="13" t="n">
        <f aca="false">IF(B1296="Individual",1,0)</f>
        <v>1</v>
      </c>
      <c r="V1296" s="13" t="n">
        <f aca="false">IF(B1296="Company",1,0)</f>
        <v>0</v>
      </c>
      <c r="W1296" s="13" t="n">
        <f aca="false">IF(H1296="Home",1,0)</f>
        <v>0</v>
      </c>
      <c r="X1296" s="13" t="n">
        <f aca="false">IF(H1296="Investment",1,0)</f>
        <v>1</v>
      </c>
      <c r="Y1296" s="13" t="n">
        <f aca="false">IF(K1296="Website",1,0)</f>
        <v>1</v>
      </c>
      <c r="Z1296" s="13" t="n">
        <f aca="false">IF(K1296="Agency",1,0)</f>
        <v>0</v>
      </c>
      <c r="AA1296" s="13" t="n">
        <f aca="false">IF(K1296="Client",1,0)</f>
        <v>0</v>
      </c>
      <c r="AB1296" s="13" t="n">
        <f aca="false">(D1296-AVERAGE(D$2:D$2001))/STDEV(D$2:D$2001)</f>
        <v>-0.815174133235994</v>
      </c>
      <c r="AC1296" s="13" t="n">
        <f aca="false">(I1296-AVERAGE(I$2:I$2001))/STDEV(I$2:I$2001)</f>
        <v>-0.727948160798201</v>
      </c>
      <c r="AD1296" s="13" t="n">
        <f aca="false">(L1296-AVERAGE(L$2:L$2001))/STDEV(L$2:L$2001)</f>
        <v>-0.777063122173208</v>
      </c>
      <c r="AE1296" s="13" t="n">
        <f aca="false">(M1296-AVERAGE(M$2:M$2001))/STDEV(M$2:M$2001)</f>
        <v>-1.24179410873464</v>
      </c>
      <c r="AF1296" s="13" t="n">
        <f aca="false">(N1296-AVERAGE(N$2:N$2001))/STDEV(N$2:N$2001)</f>
        <v>-1.01751241371362</v>
      </c>
      <c r="AG1296" s="13" t="n">
        <f aca="false">(O1296-AVERAGE(O$2:O$2001))/STDEV(O$2:O$2001)</f>
        <v>-1.29760660454394</v>
      </c>
      <c r="AH1296" s="0" t="str">
        <f aca="false">IF(B1296="Company","C3 - Corporate Buyers",IF(AND(H1296="Investment",M1296&gt;'Segmentation Summary'!$C$1),"C1 - Global Investors",IF(AND(I1296&gt;=4,M1296&gt;'Segmentation Summary'!$C$1),"C4 - Luxury Investors",IF(AND(D1296&lt;'Segmentation Summary'!$C$2,J1296=1),"C2 - First-Time Buyers","C5 - Other Individual Buyers"))))</f>
        <v>C5 - Other Individual Buyers</v>
      </c>
    </row>
    <row r="1297" customFormat="false" ht="15" hidden="false" customHeight="true" outlineLevel="0" collapsed="false">
      <c r="A1297" s="13" t="s">
        <v>2607</v>
      </c>
      <c r="B1297" s="13" t="s">
        <v>34</v>
      </c>
      <c r="C1297" s="13" t="s">
        <v>2608</v>
      </c>
      <c r="D1297" s="13" t="n">
        <v>62</v>
      </c>
      <c r="E1297" s="13" t="s">
        <v>90</v>
      </c>
      <c r="F1297" s="13" t="s">
        <v>37</v>
      </c>
      <c r="G1297" s="13" t="s">
        <v>169</v>
      </c>
      <c r="H1297" s="13" t="s">
        <v>41</v>
      </c>
      <c r="I1297" s="13" t="n">
        <v>3</v>
      </c>
      <c r="J1297" s="13" t="n">
        <v>1</v>
      </c>
      <c r="K1297" s="13" t="s">
        <v>116</v>
      </c>
      <c r="L1297" s="13" t="n">
        <v>3</v>
      </c>
      <c r="M1297" s="13" t="n">
        <v>1217272.58</v>
      </c>
      <c r="N1297" s="13" t="n">
        <v>405757.526666667</v>
      </c>
      <c r="O1297" s="13" t="n">
        <v>1396.09666666667</v>
      </c>
      <c r="P1297" s="13" t="n">
        <v>1</v>
      </c>
      <c r="Q1297" s="13" t="n">
        <v>2</v>
      </c>
      <c r="R1297" s="13" t="s">
        <v>98</v>
      </c>
      <c r="S1297" s="13" t="s">
        <v>141</v>
      </c>
      <c r="T1297" s="13" t="n">
        <v>1</v>
      </c>
      <c r="U1297" s="13" t="n">
        <f aca="false">IF(B1297="Individual",1,0)</f>
        <v>1</v>
      </c>
      <c r="V1297" s="13" t="n">
        <f aca="false">IF(B1297="Company",1,0)</f>
        <v>0</v>
      </c>
      <c r="W1297" s="13" t="n">
        <f aca="false">IF(H1297="Home",1,0)</f>
        <v>1</v>
      </c>
      <c r="X1297" s="13" t="n">
        <f aca="false">IF(H1297="Investment",1,0)</f>
        <v>0</v>
      </c>
      <c r="Y1297" s="13" t="n">
        <f aca="false">IF(K1297="Website",1,0)</f>
        <v>0</v>
      </c>
      <c r="Z1297" s="13" t="n">
        <f aca="false">IF(K1297="Agency",1,0)</f>
        <v>0</v>
      </c>
      <c r="AA1297" s="13" t="n">
        <f aca="false">IF(K1297="Client",1,0)</f>
        <v>1</v>
      </c>
      <c r="AB1297" s="13" t="n">
        <f aca="false">(D1297-AVERAGE(D$2:D$2001))/STDEV(D$2:D$2001)</f>
        <v>0.453399887503333</v>
      </c>
      <c r="AC1297" s="13" t="n">
        <f aca="false">(I1297-AVERAGE(I$2:I$2001))/STDEV(I$2:I$2001)</f>
        <v>-0.0205155458339628</v>
      </c>
      <c r="AD1297" s="13" t="n">
        <f aca="false">(L1297-AVERAGE(L$2:L$2001))/STDEV(L$2:L$2001)</f>
        <v>-0.777063122173208</v>
      </c>
      <c r="AE1297" s="13" t="n">
        <f aca="false">(M1297-AVERAGE(M$2:M$2001))/STDEV(M$2:M$2001)</f>
        <v>-0.123919207759846</v>
      </c>
      <c r="AF1297" s="13" t="n">
        <f aca="false">(N1297-AVERAGE(N$2:N$2001))/STDEV(N$2:N$2001)</f>
        <v>0.841452062943171</v>
      </c>
      <c r="AG1297" s="13" t="n">
        <f aca="false">(O1297-AVERAGE(O$2:O$2001))/STDEV(O$2:O$2001)</f>
        <v>1.13047505537761</v>
      </c>
      <c r="AH1297" s="0" t="str">
        <f aca="false">IF(B1297="Company","C3 - Corporate Buyers",IF(AND(H1297="Investment",M1297&gt;'Segmentation Summary'!$C$1),"C1 - Global Investors",IF(AND(I1297&gt;=4,M1297&gt;'Segmentation Summary'!$C$1),"C4 - Luxury Investors",IF(AND(D1297&lt;'Segmentation Summary'!$C$2,J1297=1),"C2 - First-Time Buyers","C5 - Other Individual Buyers"))))</f>
        <v>C5 - Other Individual Buyers</v>
      </c>
    </row>
    <row r="1298" customFormat="false" ht="15" hidden="false" customHeight="true" outlineLevel="0" collapsed="false">
      <c r="A1298" s="13" t="s">
        <v>2609</v>
      </c>
      <c r="B1298" s="13" t="s">
        <v>34</v>
      </c>
      <c r="C1298" s="13" t="s">
        <v>2610</v>
      </c>
      <c r="D1298" s="13" t="n">
        <v>43</v>
      </c>
      <c r="E1298" s="13" t="s">
        <v>90</v>
      </c>
      <c r="F1298" s="13" t="s">
        <v>33</v>
      </c>
      <c r="G1298" s="13" t="s">
        <v>207</v>
      </c>
      <c r="H1298" s="13" t="s">
        <v>41</v>
      </c>
      <c r="I1298" s="13" t="n">
        <v>4</v>
      </c>
      <c r="J1298" s="13" t="n">
        <v>1</v>
      </c>
      <c r="K1298" s="13" t="s">
        <v>91</v>
      </c>
      <c r="L1298" s="13" t="n">
        <v>4</v>
      </c>
      <c r="M1298" s="13" t="n">
        <v>1221253.05</v>
      </c>
      <c r="N1298" s="13" t="n">
        <v>305313.2625</v>
      </c>
      <c r="O1298" s="13" t="n">
        <v>1104.2925</v>
      </c>
      <c r="P1298" s="13" t="n">
        <v>0</v>
      </c>
      <c r="Q1298" s="13" t="n">
        <v>4</v>
      </c>
      <c r="R1298" s="13" t="s">
        <v>92</v>
      </c>
      <c r="S1298" s="13" t="s">
        <v>128</v>
      </c>
      <c r="T1298" s="13" t="n">
        <v>1</v>
      </c>
      <c r="U1298" s="13" t="n">
        <f aca="false">IF(B1298="Individual",1,0)</f>
        <v>1</v>
      </c>
      <c r="V1298" s="13" t="n">
        <f aca="false">IF(B1298="Company",1,0)</f>
        <v>0</v>
      </c>
      <c r="W1298" s="13" t="n">
        <f aca="false">IF(H1298="Home",1,0)</f>
        <v>1</v>
      </c>
      <c r="X1298" s="13" t="n">
        <f aca="false">IF(H1298="Investment",1,0)</f>
        <v>0</v>
      </c>
      <c r="Y1298" s="13" t="n">
        <f aca="false">IF(K1298="Website",1,0)</f>
        <v>0</v>
      </c>
      <c r="Z1298" s="13" t="n">
        <f aca="false">IF(K1298="Agency",1,0)</f>
        <v>1</v>
      </c>
      <c r="AA1298" s="13" t="n">
        <f aca="false">IF(K1298="Client",1,0)</f>
        <v>0</v>
      </c>
      <c r="AB1298" s="13" t="n">
        <f aca="false">(D1298-AVERAGE(D$2:D$2001))/STDEV(D$2:D$2001)</f>
        <v>-0.64218676677154</v>
      </c>
      <c r="AC1298" s="13" t="n">
        <f aca="false">(I1298-AVERAGE(I$2:I$2001))/STDEV(I$2:I$2001)</f>
        <v>0.686917069130275</v>
      </c>
      <c r="AD1298" s="13" t="n">
        <f aca="false">(L1298-AVERAGE(L$2:L$2001))/STDEV(L$2:L$2001)</f>
        <v>0.413838214490712</v>
      </c>
      <c r="AE1298" s="13" t="n">
        <f aca="false">(M1298-AVERAGE(M$2:M$2001))/STDEV(M$2:M$2001)</f>
        <v>-0.112475507124727</v>
      </c>
      <c r="AF1298" s="13" t="n">
        <f aca="false">(N1298-AVERAGE(N$2:N$2001))/STDEV(N$2:N$2001)</f>
        <v>-0.59919107507813</v>
      </c>
      <c r="AG1298" s="13" t="n">
        <f aca="false">(O1298-AVERAGE(O$2:O$2001))/STDEV(O$2:O$2001)</f>
        <v>-0.196374408792181</v>
      </c>
      <c r="AH1298" s="0" t="str">
        <f aca="false">IF(B1298="Company","C3 - Corporate Buyers",IF(AND(H1298="Investment",M1298&gt;'Segmentation Summary'!$C$1),"C1 - Global Investors",IF(AND(I1298&gt;=4,M1298&gt;'Segmentation Summary'!$C$1),"C4 - Luxury Investors",IF(AND(D1298&lt;'Segmentation Summary'!$C$2,J1298=1),"C2 - First-Time Buyers","C5 - Other Individual Buyers"))))</f>
        <v>C4 - Luxury Investors</v>
      </c>
    </row>
    <row r="1299" customFormat="false" ht="15" hidden="false" customHeight="true" outlineLevel="0" collapsed="false">
      <c r="A1299" s="13" t="s">
        <v>2611</v>
      </c>
      <c r="B1299" s="13" t="s">
        <v>34</v>
      </c>
      <c r="C1299" s="13" t="s">
        <v>2612</v>
      </c>
      <c r="D1299" s="13" t="n">
        <v>65</v>
      </c>
      <c r="E1299" s="13" t="s">
        <v>83</v>
      </c>
      <c r="F1299" s="13" t="s">
        <v>33</v>
      </c>
      <c r="G1299" s="13" t="s">
        <v>95</v>
      </c>
      <c r="H1299" s="13" t="s">
        <v>41</v>
      </c>
      <c r="I1299" s="13" t="n">
        <v>4</v>
      </c>
      <c r="J1299" s="13" t="n">
        <v>1</v>
      </c>
      <c r="K1299" s="13" t="s">
        <v>91</v>
      </c>
      <c r="L1299" s="13" t="n">
        <v>5</v>
      </c>
      <c r="M1299" s="13" t="n">
        <v>1715058.23</v>
      </c>
      <c r="N1299" s="13" t="n">
        <v>343011.646</v>
      </c>
      <c r="O1299" s="13" t="n">
        <v>1102.66</v>
      </c>
      <c r="P1299" s="13" t="n">
        <v>1</v>
      </c>
      <c r="Q1299" s="13" t="n">
        <v>4</v>
      </c>
      <c r="R1299" s="13" t="s">
        <v>92</v>
      </c>
      <c r="S1299" s="13" t="s">
        <v>152</v>
      </c>
      <c r="T1299" s="13" t="n">
        <v>1</v>
      </c>
      <c r="U1299" s="13" t="n">
        <f aca="false">IF(B1299="Individual",1,0)</f>
        <v>1</v>
      </c>
      <c r="V1299" s="13" t="n">
        <f aca="false">IF(B1299="Company",1,0)</f>
        <v>0</v>
      </c>
      <c r="W1299" s="13" t="n">
        <f aca="false">IF(H1299="Home",1,0)</f>
        <v>1</v>
      </c>
      <c r="X1299" s="13" t="n">
        <f aca="false">IF(H1299="Investment",1,0)</f>
        <v>0</v>
      </c>
      <c r="Y1299" s="13" t="n">
        <f aca="false">IF(K1299="Website",1,0)</f>
        <v>0</v>
      </c>
      <c r="Z1299" s="13" t="n">
        <f aca="false">IF(K1299="Agency",1,0)</f>
        <v>1</v>
      </c>
      <c r="AA1299" s="13" t="n">
        <f aca="false">IF(K1299="Client",1,0)</f>
        <v>0</v>
      </c>
      <c r="AB1299" s="13" t="n">
        <f aca="false">(D1299-AVERAGE(D$2:D$2001))/STDEV(D$2:D$2001)</f>
        <v>0.626387253967787</v>
      </c>
      <c r="AC1299" s="13" t="n">
        <f aca="false">(I1299-AVERAGE(I$2:I$2001))/STDEV(I$2:I$2001)</f>
        <v>0.686917069130275</v>
      </c>
      <c r="AD1299" s="13" t="n">
        <f aca="false">(L1299-AVERAGE(L$2:L$2001))/STDEV(L$2:L$2001)</f>
        <v>1.60473955115463</v>
      </c>
      <c r="AE1299" s="13" t="n">
        <f aca="false">(M1299-AVERAGE(M$2:M$2001))/STDEV(M$2:M$2001)</f>
        <v>1.3071957005445</v>
      </c>
      <c r="AF1299" s="13" t="n">
        <f aca="false">(N1299-AVERAGE(N$2:N$2001))/STDEV(N$2:N$2001)</f>
        <v>-0.0584940232917377</v>
      </c>
      <c r="AG1299" s="13" t="n">
        <f aca="false">(O1299-AVERAGE(O$2:O$2001))/STDEV(O$2:O$2001)</f>
        <v>-0.203797475347401</v>
      </c>
      <c r="AH1299" s="0" t="str">
        <f aca="false">IF(B1299="Company","C3 - Corporate Buyers",IF(AND(H1299="Investment",M1299&gt;'Segmentation Summary'!$C$1),"C1 - Global Investors",IF(AND(I1299&gt;=4,M1299&gt;'Segmentation Summary'!$C$1),"C4 - Luxury Investors",IF(AND(D1299&lt;'Segmentation Summary'!$C$2,J1299=1),"C2 - First-Time Buyers","C5 - Other Individual Buyers"))))</f>
        <v>C4 - Luxury Investors</v>
      </c>
    </row>
    <row r="1300" customFormat="false" ht="15" hidden="false" customHeight="true" outlineLevel="0" collapsed="false">
      <c r="A1300" s="13" t="s">
        <v>2613</v>
      </c>
      <c r="B1300" s="13" t="s">
        <v>34</v>
      </c>
      <c r="C1300" s="13" t="s">
        <v>2614</v>
      </c>
      <c r="D1300" s="13" t="n">
        <v>63</v>
      </c>
      <c r="E1300" s="13" t="s">
        <v>90</v>
      </c>
      <c r="F1300" s="13" t="s">
        <v>33</v>
      </c>
      <c r="G1300" s="13" t="s">
        <v>207</v>
      </c>
      <c r="H1300" s="13" t="s">
        <v>43</v>
      </c>
      <c r="I1300" s="13" t="n">
        <v>3</v>
      </c>
      <c r="J1300" s="13" t="n">
        <v>0</v>
      </c>
      <c r="K1300" s="13" t="s">
        <v>85</v>
      </c>
      <c r="L1300" s="13" t="n">
        <v>3</v>
      </c>
      <c r="M1300" s="13" t="n">
        <v>840199.61</v>
      </c>
      <c r="N1300" s="13" t="n">
        <v>280066.536666667</v>
      </c>
      <c r="O1300" s="13" t="n">
        <v>862.106666666667</v>
      </c>
      <c r="P1300" s="13" t="n">
        <v>1</v>
      </c>
      <c r="Q1300" s="13" t="n">
        <v>2</v>
      </c>
      <c r="R1300" s="13" t="s">
        <v>101</v>
      </c>
      <c r="S1300" s="13" t="s">
        <v>141</v>
      </c>
      <c r="T1300" s="13" t="n">
        <v>1</v>
      </c>
      <c r="U1300" s="13" t="n">
        <f aca="false">IF(B1300="Individual",1,0)</f>
        <v>1</v>
      </c>
      <c r="V1300" s="13" t="n">
        <f aca="false">IF(B1300="Company",1,0)</f>
        <v>0</v>
      </c>
      <c r="W1300" s="13" t="n">
        <f aca="false">IF(H1300="Home",1,0)</f>
        <v>0</v>
      </c>
      <c r="X1300" s="13" t="n">
        <f aca="false">IF(H1300="Investment",1,0)</f>
        <v>1</v>
      </c>
      <c r="Y1300" s="13" t="n">
        <f aca="false">IF(K1300="Website",1,0)</f>
        <v>1</v>
      </c>
      <c r="Z1300" s="13" t="n">
        <f aca="false">IF(K1300="Agency",1,0)</f>
        <v>0</v>
      </c>
      <c r="AA1300" s="13" t="n">
        <f aca="false">IF(K1300="Client",1,0)</f>
        <v>0</v>
      </c>
      <c r="AB1300" s="13" t="n">
        <f aca="false">(D1300-AVERAGE(D$2:D$2001))/STDEV(D$2:D$2001)</f>
        <v>0.511062342991484</v>
      </c>
      <c r="AC1300" s="13" t="n">
        <f aca="false">(I1300-AVERAGE(I$2:I$2001))/STDEV(I$2:I$2001)</f>
        <v>-0.0205155458339628</v>
      </c>
      <c r="AD1300" s="13" t="n">
        <f aca="false">(L1300-AVERAGE(L$2:L$2001))/STDEV(L$2:L$2001)</f>
        <v>-0.777063122173208</v>
      </c>
      <c r="AE1300" s="13" t="n">
        <f aca="false">(M1300-AVERAGE(M$2:M$2001))/STDEV(M$2:M$2001)</f>
        <v>-1.20798972864689</v>
      </c>
      <c r="AF1300" s="13" t="n">
        <f aca="false">(N1300-AVERAGE(N$2:N$2001))/STDEV(N$2:N$2001)</f>
        <v>-0.961297588885083</v>
      </c>
      <c r="AG1300" s="13" t="n">
        <f aca="false">(O1300-AVERAGE(O$2:O$2001))/STDEV(O$2:O$2001)</f>
        <v>-1.29760660454394</v>
      </c>
      <c r="AH1300" s="0" t="str">
        <f aca="false">IF(B1300="Company","C3 - Corporate Buyers",IF(AND(H1300="Investment",M1300&gt;'Segmentation Summary'!$C$1),"C1 - Global Investors",IF(AND(I1300&gt;=4,M1300&gt;'Segmentation Summary'!$C$1),"C4 - Luxury Investors",IF(AND(D1300&lt;'Segmentation Summary'!$C$2,J1300=1),"C2 - First-Time Buyers","C5 - Other Individual Buyers"))))</f>
        <v>C5 - Other Individual Buyers</v>
      </c>
    </row>
    <row r="1301" customFormat="false" ht="15" hidden="false" customHeight="true" outlineLevel="0" collapsed="false">
      <c r="A1301" s="13" t="s">
        <v>2615</v>
      </c>
      <c r="B1301" s="13" t="s">
        <v>34</v>
      </c>
      <c r="C1301" s="13" t="s">
        <v>2616</v>
      </c>
      <c r="D1301" s="13" t="n">
        <v>68</v>
      </c>
      <c r="E1301" s="13" t="s">
        <v>90</v>
      </c>
      <c r="F1301" s="13" t="s">
        <v>33</v>
      </c>
      <c r="G1301" s="13" t="s">
        <v>162</v>
      </c>
      <c r="H1301" s="13" t="s">
        <v>41</v>
      </c>
      <c r="I1301" s="13" t="n">
        <v>1</v>
      </c>
      <c r="J1301" s="13" t="n">
        <v>1</v>
      </c>
      <c r="K1301" s="13" t="s">
        <v>85</v>
      </c>
      <c r="L1301" s="13" t="n">
        <v>3</v>
      </c>
      <c r="M1301" s="13" t="n">
        <v>1006568.23</v>
      </c>
      <c r="N1301" s="13" t="n">
        <v>335522.743333333</v>
      </c>
      <c r="O1301" s="13" t="n">
        <v>1156.56333333333</v>
      </c>
      <c r="P1301" s="13" t="n">
        <v>1</v>
      </c>
      <c r="Q1301" s="13" t="n">
        <v>2</v>
      </c>
      <c r="R1301" s="13" t="s">
        <v>121</v>
      </c>
      <c r="S1301" s="13" t="s">
        <v>133</v>
      </c>
      <c r="T1301" s="13" t="n">
        <v>1</v>
      </c>
      <c r="U1301" s="13" t="n">
        <f aca="false">IF(B1301="Individual",1,0)</f>
        <v>1</v>
      </c>
      <c r="V1301" s="13" t="n">
        <f aca="false">IF(B1301="Company",1,0)</f>
        <v>0</v>
      </c>
      <c r="W1301" s="13" t="n">
        <f aca="false">IF(H1301="Home",1,0)</f>
        <v>1</v>
      </c>
      <c r="X1301" s="13" t="n">
        <f aca="false">IF(H1301="Investment",1,0)</f>
        <v>0</v>
      </c>
      <c r="Y1301" s="13" t="n">
        <f aca="false">IF(K1301="Website",1,0)</f>
        <v>1</v>
      </c>
      <c r="Z1301" s="13" t="n">
        <f aca="false">IF(K1301="Agency",1,0)</f>
        <v>0</v>
      </c>
      <c r="AA1301" s="13" t="n">
        <f aca="false">IF(K1301="Client",1,0)</f>
        <v>0</v>
      </c>
      <c r="AB1301" s="13" t="n">
        <f aca="false">(D1301-AVERAGE(D$2:D$2001))/STDEV(D$2:D$2001)</f>
        <v>0.79937462043224</v>
      </c>
      <c r="AC1301" s="13" t="n">
        <f aca="false">(I1301-AVERAGE(I$2:I$2001))/STDEV(I$2:I$2001)</f>
        <v>-1.43538077576244</v>
      </c>
      <c r="AD1301" s="13" t="n">
        <f aca="false">(L1301-AVERAGE(L$2:L$2001))/STDEV(L$2:L$2001)</f>
        <v>-0.777063122173208</v>
      </c>
      <c r="AE1301" s="13" t="n">
        <f aca="false">(M1301-AVERAGE(M$2:M$2001))/STDEV(M$2:M$2001)</f>
        <v>-0.729686241280352</v>
      </c>
      <c r="AF1301" s="13" t="n">
        <f aca="false">(N1301-AVERAGE(N$2:N$2001))/STDEV(N$2:N$2001)</f>
        <v>-0.165905196319412</v>
      </c>
      <c r="AG1301" s="13" t="n">
        <f aca="false">(O1301-AVERAGE(O$2:O$2001))/STDEV(O$2:O$2001)</f>
        <v>0.0413039218235118</v>
      </c>
      <c r="AH1301" s="0" t="str">
        <f aca="false">IF(B1301="Company","C3 - Corporate Buyers",IF(AND(H1301="Investment",M1301&gt;'Segmentation Summary'!$C$1),"C1 - Global Investors",IF(AND(I1301&gt;=4,M1301&gt;'Segmentation Summary'!$C$1),"C4 - Luxury Investors",IF(AND(D1301&lt;'Segmentation Summary'!$C$2,J1301=1),"C2 - First-Time Buyers","C5 - Other Individual Buyers"))))</f>
        <v>C5 - Other Individual Buyers</v>
      </c>
    </row>
    <row r="1302" customFormat="false" ht="15" hidden="false" customHeight="true" outlineLevel="0" collapsed="false">
      <c r="A1302" s="13" t="s">
        <v>2617</v>
      </c>
      <c r="B1302" s="13" t="s">
        <v>34</v>
      </c>
      <c r="C1302" s="13" t="s">
        <v>2618</v>
      </c>
      <c r="D1302" s="13" t="n">
        <v>49</v>
      </c>
      <c r="E1302" s="13" t="s">
        <v>90</v>
      </c>
      <c r="F1302" s="13" t="s">
        <v>33</v>
      </c>
      <c r="G1302" s="13" t="s">
        <v>95</v>
      </c>
      <c r="H1302" s="13" t="s">
        <v>43</v>
      </c>
      <c r="I1302" s="13" t="n">
        <v>4</v>
      </c>
      <c r="J1302" s="13" t="n">
        <v>1</v>
      </c>
      <c r="K1302" s="13" t="s">
        <v>91</v>
      </c>
      <c r="L1302" s="13" t="n">
        <v>3</v>
      </c>
      <c r="M1302" s="13" t="n">
        <v>1003328.89</v>
      </c>
      <c r="N1302" s="13" t="n">
        <v>334442.963333333</v>
      </c>
      <c r="O1302" s="13" t="n">
        <v>1170.35333333333</v>
      </c>
      <c r="P1302" s="13" t="n">
        <v>2</v>
      </c>
      <c r="Q1302" s="13" t="n">
        <v>1</v>
      </c>
      <c r="R1302" s="13" t="s">
        <v>92</v>
      </c>
      <c r="S1302" s="13" t="s">
        <v>150</v>
      </c>
      <c r="T1302" s="13" t="n">
        <v>1</v>
      </c>
      <c r="U1302" s="13" t="n">
        <f aca="false">IF(B1302="Individual",1,0)</f>
        <v>1</v>
      </c>
      <c r="V1302" s="13" t="n">
        <f aca="false">IF(B1302="Company",1,0)</f>
        <v>0</v>
      </c>
      <c r="W1302" s="13" t="n">
        <f aca="false">IF(H1302="Home",1,0)</f>
        <v>0</v>
      </c>
      <c r="X1302" s="13" t="n">
        <f aca="false">IF(H1302="Investment",1,0)</f>
        <v>1</v>
      </c>
      <c r="Y1302" s="13" t="n">
        <f aca="false">IF(K1302="Website",1,0)</f>
        <v>0</v>
      </c>
      <c r="Z1302" s="13" t="n">
        <f aca="false">IF(K1302="Agency",1,0)</f>
        <v>1</v>
      </c>
      <c r="AA1302" s="13" t="n">
        <f aca="false">IF(K1302="Client",1,0)</f>
        <v>0</v>
      </c>
      <c r="AB1302" s="13" t="n">
        <f aca="false">(D1302-AVERAGE(D$2:D$2001))/STDEV(D$2:D$2001)</f>
        <v>-0.296212033842633</v>
      </c>
      <c r="AC1302" s="13" t="n">
        <f aca="false">(I1302-AVERAGE(I$2:I$2001))/STDEV(I$2:I$2001)</f>
        <v>0.686917069130275</v>
      </c>
      <c r="AD1302" s="13" t="n">
        <f aca="false">(L1302-AVERAGE(L$2:L$2001))/STDEV(L$2:L$2001)</f>
        <v>-0.777063122173208</v>
      </c>
      <c r="AE1302" s="13" t="n">
        <f aca="false">(M1302-AVERAGE(M$2:M$2001))/STDEV(M$2:M$2001)</f>
        <v>-0.738999221208694</v>
      </c>
      <c r="AF1302" s="13" t="n">
        <f aca="false">(N1302-AVERAGE(N$2:N$2001))/STDEV(N$2:N$2001)</f>
        <v>-0.181392169721809</v>
      </c>
      <c r="AG1302" s="13" t="n">
        <f aca="false">(O1302-AVERAGE(O$2:O$2001))/STDEV(O$2:O$2001)</f>
        <v>0.10400780408782</v>
      </c>
      <c r="AH1302" s="0" t="str">
        <f aca="false">IF(B1302="Company","C3 - Corporate Buyers",IF(AND(H1302="Investment",M1302&gt;'Segmentation Summary'!$C$1),"C1 - Global Investors",IF(AND(I1302&gt;=4,M1302&gt;'Segmentation Summary'!$C$1),"C4 - Luxury Investors",IF(AND(D1302&lt;'Segmentation Summary'!$C$2,J1302=1),"C2 - First-Time Buyers","C5 - Other Individual Buyers"))))</f>
        <v>C2 - First-Time Buyers</v>
      </c>
    </row>
    <row r="1303" customFormat="false" ht="15" hidden="false" customHeight="true" outlineLevel="0" collapsed="false">
      <c r="A1303" s="13" t="s">
        <v>2619</v>
      </c>
      <c r="B1303" s="13" t="s">
        <v>34</v>
      </c>
      <c r="C1303" s="13" t="s">
        <v>2620</v>
      </c>
      <c r="D1303" s="13" t="n">
        <v>47</v>
      </c>
      <c r="E1303" s="13" t="s">
        <v>90</v>
      </c>
      <c r="F1303" s="13" t="s">
        <v>33</v>
      </c>
      <c r="G1303" s="13" t="s">
        <v>84</v>
      </c>
      <c r="H1303" s="13" t="s">
        <v>41</v>
      </c>
      <c r="I1303" s="13" t="n">
        <v>2</v>
      </c>
      <c r="J1303" s="13" t="n">
        <v>0</v>
      </c>
      <c r="K1303" s="13" t="s">
        <v>85</v>
      </c>
      <c r="L1303" s="13" t="n">
        <v>3</v>
      </c>
      <c r="M1303" s="13" t="n">
        <v>1164909.23</v>
      </c>
      <c r="N1303" s="13" t="n">
        <v>388303.076666667</v>
      </c>
      <c r="O1303" s="13" t="n">
        <v>1303.77666666667</v>
      </c>
      <c r="P1303" s="13" t="n">
        <v>1</v>
      </c>
      <c r="Q1303" s="13" t="n">
        <v>2</v>
      </c>
      <c r="R1303" s="13" t="s">
        <v>124</v>
      </c>
      <c r="S1303" s="13" t="s">
        <v>133</v>
      </c>
      <c r="T1303" s="13" t="n">
        <v>1</v>
      </c>
      <c r="U1303" s="13" t="n">
        <f aca="false">IF(B1303="Individual",1,0)</f>
        <v>1</v>
      </c>
      <c r="V1303" s="13" t="n">
        <f aca="false">IF(B1303="Company",1,0)</f>
        <v>0</v>
      </c>
      <c r="W1303" s="13" t="n">
        <f aca="false">IF(H1303="Home",1,0)</f>
        <v>1</v>
      </c>
      <c r="X1303" s="13" t="n">
        <f aca="false">IF(H1303="Investment",1,0)</f>
        <v>0</v>
      </c>
      <c r="Y1303" s="13" t="n">
        <f aca="false">IF(K1303="Website",1,0)</f>
        <v>1</v>
      </c>
      <c r="Z1303" s="13" t="n">
        <f aca="false">IF(K1303="Agency",1,0)</f>
        <v>0</v>
      </c>
      <c r="AA1303" s="13" t="n">
        <f aca="false">IF(K1303="Client",1,0)</f>
        <v>0</v>
      </c>
      <c r="AB1303" s="13" t="n">
        <f aca="false">(D1303-AVERAGE(D$2:D$2001))/STDEV(D$2:D$2001)</f>
        <v>-0.411536944818935</v>
      </c>
      <c r="AC1303" s="13" t="n">
        <f aca="false">(I1303-AVERAGE(I$2:I$2001))/STDEV(I$2:I$2001)</f>
        <v>-0.727948160798201</v>
      </c>
      <c r="AD1303" s="13" t="n">
        <f aca="false">(L1303-AVERAGE(L$2:L$2001))/STDEV(L$2:L$2001)</f>
        <v>-0.777063122173208</v>
      </c>
      <c r="AE1303" s="13" t="n">
        <f aca="false">(M1303-AVERAGE(M$2:M$2001))/STDEV(M$2:M$2001)</f>
        <v>-0.27446185766098</v>
      </c>
      <c r="AF1303" s="13" t="n">
        <f aca="false">(N1303-AVERAGE(N$2:N$2001))/STDEV(N$2:N$2001)</f>
        <v>0.591107916076688</v>
      </c>
      <c r="AG1303" s="13" t="n">
        <f aca="false">(O1303-AVERAGE(O$2:O$2001))/STDEV(O$2:O$2001)</f>
        <v>0.710690979189003</v>
      </c>
      <c r="AH1303" s="0" t="str">
        <f aca="false">IF(B1303="Company","C3 - Corporate Buyers",IF(AND(H1303="Investment",M1303&gt;'Segmentation Summary'!$C$1),"C1 - Global Investors",IF(AND(I1303&gt;=4,M1303&gt;'Segmentation Summary'!$C$1),"C4 - Luxury Investors",IF(AND(D1303&lt;'Segmentation Summary'!$C$2,J1303=1),"C2 - First-Time Buyers","C5 - Other Individual Buyers"))))</f>
        <v>C5 - Other Individual Buyers</v>
      </c>
    </row>
    <row r="1304" customFormat="false" ht="15" hidden="false" customHeight="true" outlineLevel="0" collapsed="false">
      <c r="A1304" s="13" t="s">
        <v>2621</v>
      </c>
      <c r="B1304" s="13" t="s">
        <v>34</v>
      </c>
      <c r="C1304" s="13" t="s">
        <v>2622</v>
      </c>
      <c r="D1304" s="13" t="n">
        <v>61</v>
      </c>
      <c r="E1304" s="13" t="s">
        <v>90</v>
      </c>
      <c r="F1304" s="13" t="s">
        <v>33</v>
      </c>
      <c r="G1304" s="13" t="s">
        <v>95</v>
      </c>
      <c r="H1304" s="13" t="s">
        <v>41</v>
      </c>
      <c r="I1304" s="13" t="n">
        <v>4</v>
      </c>
      <c r="J1304" s="13" t="n">
        <v>1</v>
      </c>
      <c r="K1304" s="13" t="s">
        <v>85</v>
      </c>
      <c r="L1304" s="13" t="n">
        <v>3</v>
      </c>
      <c r="M1304" s="13" t="n">
        <v>1449360.91</v>
      </c>
      <c r="N1304" s="13" t="n">
        <v>483120.303333333</v>
      </c>
      <c r="O1304" s="13" t="n">
        <v>1526.95666666667</v>
      </c>
      <c r="P1304" s="13" t="n">
        <v>0</v>
      </c>
      <c r="Q1304" s="13" t="n">
        <v>3</v>
      </c>
      <c r="R1304" s="13" t="s">
        <v>86</v>
      </c>
      <c r="S1304" s="13" t="s">
        <v>141</v>
      </c>
      <c r="T1304" s="13" t="n">
        <v>1</v>
      </c>
      <c r="U1304" s="13" t="n">
        <f aca="false">IF(B1304="Individual",1,0)</f>
        <v>1</v>
      </c>
      <c r="V1304" s="13" t="n">
        <f aca="false">IF(B1304="Company",1,0)</f>
        <v>0</v>
      </c>
      <c r="W1304" s="13" t="n">
        <f aca="false">IF(H1304="Home",1,0)</f>
        <v>1</v>
      </c>
      <c r="X1304" s="13" t="n">
        <f aca="false">IF(H1304="Investment",1,0)</f>
        <v>0</v>
      </c>
      <c r="Y1304" s="13" t="n">
        <f aca="false">IF(K1304="Website",1,0)</f>
        <v>1</v>
      </c>
      <c r="Z1304" s="13" t="n">
        <f aca="false">IF(K1304="Agency",1,0)</f>
        <v>0</v>
      </c>
      <c r="AA1304" s="13" t="n">
        <f aca="false">IF(K1304="Client",1,0)</f>
        <v>0</v>
      </c>
      <c r="AB1304" s="13" t="n">
        <f aca="false">(D1304-AVERAGE(D$2:D$2001))/STDEV(D$2:D$2001)</f>
        <v>0.395737432015182</v>
      </c>
      <c r="AC1304" s="13" t="n">
        <f aca="false">(I1304-AVERAGE(I$2:I$2001))/STDEV(I$2:I$2001)</f>
        <v>0.686917069130275</v>
      </c>
      <c r="AD1304" s="13" t="n">
        <f aca="false">(L1304-AVERAGE(L$2:L$2001))/STDEV(L$2:L$2001)</f>
        <v>-0.777063122173208</v>
      </c>
      <c r="AE1304" s="13" t="n">
        <f aca="false">(M1304-AVERAGE(M$2:M$2001))/STDEV(M$2:M$2001)</f>
        <v>0.543325959123649</v>
      </c>
      <c r="AF1304" s="13" t="n">
        <f aca="false">(N1304-AVERAGE(N$2:N$2001))/STDEV(N$2:N$2001)</f>
        <v>1.95104407666109</v>
      </c>
      <c r="AG1304" s="13" t="n">
        <f aca="false">(O1304-AVERAGE(O$2:O$2001))/STDEV(O$2:O$2001)</f>
        <v>1.72550261397858</v>
      </c>
      <c r="AH1304" s="0" t="str">
        <f aca="false">IF(B1304="Company","C3 - Corporate Buyers",IF(AND(H1304="Investment",M1304&gt;'Segmentation Summary'!$C$1),"C1 - Global Investors",IF(AND(I1304&gt;=4,M1304&gt;'Segmentation Summary'!$C$1),"C4 - Luxury Investors",IF(AND(D1304&lt;'Segmentation Summary'!$C$2,J1304=1),"C2 - First-Time Buyers","C5 - Other Individual Buyers"))))</f>
        <v>C4 - Luxury Investors</v>
      </c>
    </row>
    <row r="1305" customFormat="false" ht="15" hidden="false" customHeight="true" outlineLevel="0" collapsed="false">
      <c r="A1305" s="13" t="s">
        <v>2623</v>
      </c>
      <c r="B1305" s="13" t="s">
        <v>34</v>
      </c>
      <c r="C1305" s="13" t="s">
        <v>2624</v>
      </c>
      <c r="D1305" s="13" t="n">
        <v>46</v>
      </c>
      <c r="E1305" s="13" t="s">
        <v>90</v>
      </c>
      <c r="F1305" s="13" t="s">
        <v>37</v>
      </c>
      <c r="G1305" s="13" t="s">
        <v>572</v>
      </c>
      <c r="H1305" s="13" t="s">
        <v>41</v>
      </c>
      <c r="I1305" s="13" t="n">
        <v>5</v>
      </c>
      <c r="J1305" s="13" t="n">
        <v>0</v>
      </c>
      <c r="K1305" s="13" t="s">
        <v>91</v>
      </c>
      <c r="L1305" s="13" t="n">
        <v>4</v>
      </c>
      <c r="M1305" s="13" t="n">
        <v>1259614.96</v>
      </c>
      <c r="N1305" s="13" t="n">
        <v>314903.74</v>
      </c>
      <c r="O1305" s="13" t="n">
        <v>1061.1325</v>
      </c>
      <c r="P1305" s="13" t="n">
        <v>0</v>
      </c>
      <c r="Q1305" s="13" t="n">
        <v>4</v>
      </c>
      <c r="R1305" s="13" t="s">
        <v>121</v>
      </c>
      <c r="S1305" s="13" t="s">
        <v>125</v>
      </c>
      <c r="T1305" s="13" t="n">
        <v>1</v>
      </c>
      <c r="U1305" s="13" t="n">
        <f aca="false">IF(B1305="Individual",1,0)</f>
        <v>1</v>
      </c>
      <c r="V1305" s="13" t="n">
        <f aca="false">IF(B1305="Company",1,0)</f>
        <v>0</v>
      </c>
      <c r="W1305" s="13" t="n">
        <f aca="false">IF(H1305="Home",1,0)</f>
        <v>1</v>
      </c>
      <c r="X1305" s="13" t="n">
        <f aca="false">IF(H1305="Investment",1,0)</f>
        <v>0</v>
      </c>
      <c r="Y1305" s="13" t="n">
        <f aca="false">IF(K1305="Website",1,0)</f>
        <v>0</v>
      </c>
      <c r="Z1305" s="13" t="n">
        <f aca="false">IF(K1305="Agency",1,0)</f>
        <v>1</v>
      </c>
      <c r="AA1305" s="13" t="n">
        <f aca="false">IF(K1305="Client",1,0)</f>
        <v>0</v>
      </c>
      <c r="AB1305" s="13" t="n">
        <f aca="false">(D1305-AVERAGE(D$2:D$2001))/STDEV(D$2:D$2001)</f>
        <v>-0.469199400307086</v>
      </c>
      <c r="AC1305" s="13" t="n">
        <f aca="false">(I1305-AVERAGE(I$2:I$2001))/STDEV(I$2:I$2001)</f>
        <v>1.39434968409451</v>
      </c>
      <c r="AD1305" s="13" t="n">
        <f aca="false">(L1305-AVERAGE(L$2:L$2001))/STDEV(L$2:L$2001)</f>
        <v>0.413838214490712</v>
      </c>
      <c r="AE1305" s="13" t="n">
        <f aca="false">(M1305-AVERAGE(M$2:M$2001))/STDEV(M$2:M$2001)</f>
        <v>-0.00218646743057409</v>
      </c>
      <c r="AF1305" s="13" t="n">
        <f aca="false">(N1305-AVERAGE(N$2:N$2001))/STDEV(N$2:N$2001)</f>
        <v>-0.461637619782793</v>
      </c>
      <c r="AG1305" s="13" t="n">
        <f aca="false">(O1305-AVERAGE(O$2:O$2001))/STDEV(O$2:O$2001)</f>
        <v>-0.392625283232178</v>
      </c>
      <c r="AH1305" s="0" t="str">
        <f aca="false">IF(B1305="Company","C3 - Corporate Buyers",IF(AND(H1305="Investment",M1305&gt;'Segmentation Summary'!$C$1),"C1 - Global Investors",IF(AND(I1305&gt;=4,M1305&gt;'Segmentation Summary'!$C$1),"C4 - Luxury Investors",IF(AND(D1305&lt;'Segmentation Summary'!$C$2,J1305=1),"C2 - First-Time Buyers","C5 - Other Individual Buyers"))))</f>
        <v>C4 - Luxury Investors</v>
      </c>
    </row>
    <row r="1306" customFormat="false" ht="15" hidden="false" customHeight="true" outlineLevel="0" collapsed="false">
      <c r="A1306" s="13" t="s">
        <v>2625</v>
      </c>
      <c r="B1306" s="13" t="s">
        <v>34</v>
      </c>
      <c r="C1306" s="13" t="s">
        <v>2626</v>
      </c>
      <c r="D1306" s="13" t="n">
        <v>25</v>
      </c>
      <c r="E1306" s="13" t="s">
        <v>90</v>
      </c>
      <c r="F1306" s="13" t="s">
        <v>38</v>
      </c>
      <c r="G1306" s="13" t="s">
        <v>665</v>
      </c>
      <c r="H1306" s="13" t="s">
        <v>43</v>
      </c>
      <c r="I1306" s="13" t="n">
        <v>4</v>
      </c>
      <c r="J1306" s="13" t="n">
        <v>0</v>
      </c>
      <c r="K1306" s="13" t="s">
        <v>85</v>
      </c>
      <c r="L1306" s="13" t="n">
        <v>3</v>
      </c>
      <c r="M1306" s="13" t="n">
        <v>1032856.46</v>
      </c>
      <c r="N1306" s="13" t="n">
        <v>344285.486666667</v>
      </c>
      <c r="O1306" s="13" t="n">
        <v>1110.27</v>
      </c>
      <c r="P1306" s="13" t="n">
        <v>0</v>
      </c>
      <c r="Q1306" s="13" t="n">
        <v>3</v>
      </c>
      <c r="R1306" s="13" t="s">
        <v>117</v>
      </c>
      <c r="S1306" s="13" t="s">
        <v>121</v>
      </c>
      <c r="T1306" s="13" t="n">
        <v>1</v>
      </c>
      <c r="U1306" s="13" t="n">
        <f aca="false">IF(B1306="Individual",1,0)</f>
        <v>1</v>
      </c>
      <c r="V1306" s="13" t="n">
        <f aca="false">IF(B1306="Company",1,0)</f>
        <v>0</v>
      </c>
      <c r="W1306" s="13" t="n">
        <f aca="false">IF(H1306="Home",1,0)</f>
        <v>0</v>
      </c>
      <c r="X1306" s="13" t="n">
        <f aca="false">IF(H1306="Investment",1,0)</f>
        <v>1</v>
      </c>
      <c r="Y1306" s="13" t="n">
        <f aca="false">IF(K1306="Website",1,0)</f>
        <v>1</v>
      </c>
      <c r="Z1306" s="13" t="n">
        <f aca="false">IF(K1306="Agency",1,0)</f>
        <v>0</v>
      </c>
      <c r="AA1306" s="13" t="n">
        <f aca="false">IF(K1306="Client",1,0)</f>
        <v>0</v>
      </c>
      <c r="AB1306" s="13" t="n">
        <f aca="false">(D1306-AVERAGE(D$2:D$2001))/STDEV(D$2:D$2001)</f>
        <v>-1.68011096555826</v>
      </c>
      <c r="AC1306" s="13" t="n">
        <f aca="false">(I1306-AVERAGE(I$2:I$2001))/STDEV(I$2:I$2001)</f>
        <v>0.686917069130275</v>
      </c>
      <c r="AD1306" s="13" t="n">
        <f aca="false">(L1306-AVERAGE(L$2:L$2001))/STDEV(L$2:L$2001)</f>
        <v>-0.777063122173208</v>
      </c>
      <c r="AE1306" s="13" t="n">
        <f aca="false">(M1306-AVERAGE(M$2:M$2001))/STDEV(M$2:M$2001)</f>
        <v>-0.654108574736663</v>
      </c>
      <c r="AF1306" s="13" t="n">
        <f aca="false">(N1306-AVERAGE(N$2:N$2001))/STDEV(N$2:N$2001)</f>
        <v>-0.0402236936657354</v>
      </c>
      <c r="AG1306" s="13" t="n">
        <f aca="false">(O1306-AVERAGE(O$2:O$2001))/STDEV(O$2:O$2001)</f>
        <v>-0.16919439021097</v>
      </c>
      <c r="AH1306" s="0" t="str">
        <f aca="false">IF(B1306="Company","C3 - Corporate Buyers",IF(AND(H1306="Investment",M1306&gt;'Segmentation Summary'!$C$1),"C1 - Global Investors",IF(AND(I1306&gt;=4,M1306&gt;'Segmentation Summary'!$C$1),"C4 - Luxury Investors",IF(AND(D1306&lt;'Segmentation Summary'!$C$2,J1306=1),"C2 - First-Time Buyers","C5 - Other Individual Buyers"))))</f>
        <v>C5 - Other Individual Buyers</v>
      </c>
    </row>
    <row r="1307" customFormat="false" ht="15" hidden="false" customHeight="true" outlineLevel="0" collapsed="false">
      <c r="A1307" s="13" t="s">
        <v>2627</v>
      </c>
      <c r="B1307" s="13" t="s">
        <v>34</v>
      </c>
      <c r="C1307" s="13" t="s">
        <v>2628</v>
      </c>
      <c r="D1307" s="13" t="n">
        <v>27</v>
      </c>
      <c r="E1307" s="13" t="s">
        <v>90</v>
      </c>
      <c r="F1307" s="13" t="s">
        <v>46</v>
      </c>
      <c r="G1307" s="13" t="s">
        <v>1065</v>
      </c>
      <c r="H1307" s="13" t="s">
        <v>41</v>
      </c>
      <c r="I1307" s="13" t="n">
        <v>3</v>
      </c>
      <c r="J1307" s="13" t="n">
        <v>1</v>
      </c>
      <c r="K1307" s="13" t="s">
        <v>91</v>
      </c>
      <c r="L1307" s="13" t="n">
        <v>3</v>
      </c>
      <c r="M1307" s="13" t="n">
        <v>1321905.54</v>
      </c>
      <c r="N1307" s="13" t="n">
        <v>440635.18</v>
      </c>
      <c r="O1307" s="13" t="n">
        <v>1523.69333333333</v>
      </c>
      <c r="P1307" s="13" t="n">
        <v>0</v>
      </c>
      <c r="Q1307" s="13" t="n">
        <v>3</v>
      </c>
      <c r="R1307" s="13" t="s">
        <v>92</v>
      </c>
      <c r="S1307" s="13" t="s">
        <v>133</v>
      </c>
      <c r="T1307" s="13" t="n">
        <v>1</v>
      </c>
      <c r="U1307" s="13" t="n">
        <f aca="false">IF(B1307="Individual",1,0)</f>
        <v>1</v>
      </c>
      <c r="V1307" s="13" t="n">
        <f aca="false">IF(B1307="Company",1,0)</f>
        <v>0</v>
      </c>
      <c r="W1307" s="13" t="n">
        <f aca="false">IF(H1307="Home",1,0)</f>
        <v>1</v>
      </c>
      <c r="X1307" s="13" t="n">
        <f aca="false">IF(H1307="Investment",1,0)</f>
        <v>0</v>
      </c>
      <c r="Y1307" s="13" t="n">
        <f aca="false">IF(K1307="Website",1,0)</f>
        <v>0</v>
      </c>
      <c r="Z1307" s="13" t="n">
        <f aca="false">IF(K1307="Agency",1,0)</f>
        <v>1</v>
      </c>
      <c r="AA1307" s="13" t="n">
        <f aca="false">IF(K1307="Client",1,0)</f>
        <v>0</v>
      </c>
      <c r="AB1307" s="13" t="n">
        <f aca="false">(D1307-AVERAGE(D$2:D$2001))/STDEV(D$2:D$2001)</f>
        <v>-1.56478605458196</v>
      </c>
      <c r="AC1307" s="13" t="n">
        <f aca="false">(I1307-AVERAGE(I$2:I$2001))/STDEV(I$2:I$2001)</f>
        <v>-0.0205155458339628</v>
      </c>
      <c r="AD1307" s="13" t="n">
        <f aca="false">(L1307-AVERAGE(L$2:L$2001))/STDEV(L$2:L$2001)</f>
        <v>-0.777063122173208</v>
      </c>
      <c r="AE1307" s="13" t="n">
        <f aca="false">(M1307-AVERAGE(M$2:M$2001))/STDEV(M$2:M$2001)</f>
        <v>0.1768965930894</v>
      </c>
      <c r="AF1307" s="13" t="n">
        <f aca="false">(N1307-AVERAGE(N$2:N$2001))/STDEV(N$2:N$2001)</f>
        <v>1.34169219473983</v>
      </c>
      <c r="AG1307" s="13" t="n">
        <f aca="false">(O1307-AVERAGE(O$2:O$2001))/STDEV(O$2:O$2001)</f>
        <v>1.71066405929237</v>
      </c>
      <c r="AH1307" s="0" t="str">
        <f aca="false">IF(B1307="Company","C3 - Corporate Buyers",IF(AND(H1307="Investment",M1307&gt;'Segmentation Summary'!$C$1),"C1 - Global Investors",IF(AND(I1307&gt;=4,M1307&gt;'Segmentation Summary'!$C$1),"C4 - Luxury Investors",IF(AND(D1307&lt;'Segmentation Summary'!$C$2,J1307=1),"C2 - First-Time Buyers","C5 - Other Individual Buyers"))))</f>
        <v>C2 - First-Time Buyers</v>
      </c>
    </row>
    <row r="1308" customFormat="false" ht="15" hidden="false" customHeight="true" outlineLevel="0" collapsed="false">
      <c r="A1308" s="13" t="s">
        <v>2629</v>
      </c>
      <c r="B1308" s="13" t="s">
        <v>34</v>
      </c>
      <c r="C1308" s="13" t="s">
        <v>2630</v>
      </c>
      <c r="D1308" s="13" t="n">
        <v>44</v>
      </c>
      <c r="E1308" s="13" t="s">
        <v>90</v>
      </c>
      <c r="F1308" s="13" t="s">
        <v>33</v>
      </c>
      <c r="G1308" s="13" t="s">
        <v>95</v>
      </c>
      <c r="H1308" s="13" t="s">
        <v>43</v>
      </c>
      <c r="I1308" s="13" t="n">
        <v>2</v>
      </c>
      <c r="J1308" s="13" t="n">
        <v>0</v>
      </c>
      <c r="K1308" s="13" t="s">
        <v>91</v>
      </c>
      <c r="L1308" s="13" t="n">
        <v>3</v>
      </c>
      <c r="M1308" s="13" t="n">
        <v>1270250.68</v>
      </c>
      <c r="N1308" s="13" t="n">
        <v>423416.893333333</v>
      </c>
      <c r="O1308" s="13" t="n">
        <v>1267.40666666667</v>
      </c>
      <c r="P1308" s="13" t="n">
        <v>1</v>
      </c>
      <c r="Q1308" s="13" t="n">
        <v>2</v>
      </c>
      <c r="R1308" s="13" t="s">
        <v>215</v>
      </c>
      <c r="S1308" s="13" t="s">
        <v>87</v>
      </c>
      <c r="T1308" s="13" t="n">
        <v>1</v>
      </c>
      <c r="U1308" s="13" t="n">
        <f aca="false">IF(B1308="Individual",1,0)</f>
        <v>1</v>
      </c>
      <c r="V1308" s="13" t="n">
        <f aca="false">IF(B1308="Company",1,0)</f>
        <v>0</v>
      </c>
      <c r="W1308" s="13" t="n">
        <f aca="false">IF(H1308="Home",1,0)</f>
        <v>0</v>
      </c>
      <c r="X1308" s="13" t="n">
        <f aca="false">IF(H1308="Investment",1,0)</f>
        <v>1</v>
      </c>
      <c r="Y1308" s="13" t="n">
        <f aca="false">IF(K1308="Website",1,0)</f>
        <v>0</v>
      </c>
      <c r="Z1308" s="13" t="n">
        <f aca="false">IF(K1308="Agency",1,0)</f>
        <v>1</v>
      </c>
      <c r="AA1308" s="13" t="n">
        <f aca="false">IF(K1308="Client",1,0)</f>
        <v>0</v>
      </c>
      <c r="AB1308" s="13" t="n">
        <f aca="false">(D1308-AVERAGE(D$2:D$2001))/STDEV(D$2:D$2001)</f>
        <v>-0.584524311283389</v>
      </c>
      <c r="AC1308" s="13" t="n">
        <f aca="false">(I1308-AVERAGE(I$2:I$2001))/STDEV(I$2:I$2001)</f>
        <v>-0.727948160798201</v>
      </c>
      <c r="AD1308" s="13" t="n">
        <f aca="false">(L1308-AVERAGE(L$2:L$2001))/STDEV(L$2:L$2001)</f>
        <v>-0.777063122173208</v>
      </c>
      <c r="AE1308" s="13" t="n">
        <f aca="false">(M1308-AVERAGE(M$2:M$2001))/STDEV(M$2:M$2001)</f>
        <v>0.0283908251300907</v>
      </c>
      <c r="AF1308" s="13" t="n">
        <f aca="false">(N1308-AVERAGE(N$2:N$2001))/STDEV(N$2:N$2001)</f>
        <v>1.0947352705131</v>
      </c>
      <c r="AG1308" s="13" t="n">
        <f aca="false">(O1308-AVERAGE(O$2:O$2001))/STDEV(O$2:O$2001)</f>
        <v>0.545314605153259</v>
      </c>
      <c r="AH1308" s="0" t="str">
        <f aca="false">IF(B1308="Company","C3 - Corporate Buyers",IF(AND(H1308="Investment",M1308&gt;'Segmentation Summary'!$C$1),"C1 - Global Investors",IF(AND(I1308&gt;=4,M1308&gt;'Segmentation Summary'!$C$1),"C4 - Luxury Investors",IF(AND(D1308&lt;'Segmentation Summary'!$C$2,J1308=1),"C2 - First-Time Buyers","C5 - Other Individual Buyers"))))</f>
        <v>C1 - Global Investors</v>
      </c>
    </row>
    <row r="1309" customFormat="false" ht="15" hidden="false" customHeight="true" outlineLevel="0" collapsed="false">
      <c r="A1309" s="13" t="s">
        <v>2631</v>
      </c>
      <c r="B1309" s="13" t="s">
        <v>34</v>
      </c>
      <c r="C1309" s="13" t="s">
        <v>2632</v>
      </c>
      <c r="D1309" s="13" t="n">
        <v>63</v>
      </c>
      <c r="E1309" s="13" t="s">
        <v>90</v>
      </c>
      <c r="F1309" s="13" t="s">
        <v>33</v>
      </c>
      <c r="G1309" s="13" t="s">
        <v>95</v>
      </c>
      <c r="H1309" s="13" t="s">
        <v>41</v>
      </c>
      <c r="I1309" s="13" t="n">
        <v>3</v>
      </c>
      <c r="J1309" s="13" t="n">
        <v>0</v>
      </c>
      <c r="K1309" s="13" t="s">
        <v>85</v>
      </c>
      <c r="L1309" s="13" t="n">
        <v>3</v>
      </c>
      <c r="M1309" s="13" t="n">
        <v>1078841.73</v>
      </c>
      <c r="N1309" s="13" t="n">
        <v>359613.91</v>
      </c>
      <c r="O1309" s="13" t="n">
        <v>1207.64666666667</v>
      </c>
      <c r="P1309" s="13" t="n">
        <v>2</v>
      </c>
      <c r="Q1309" s="13" t="n">
        <v>1</v>
      </c>
      <c r="R1309" s="13" t="s">
        <v>98</v>
      </c>
      <c r="S1309" s="13" t="s">
        <v>152</v>
      </c>
      <c r="T1309" s="13" t="n">
        <v>1</v>
      </c>
      <c r="U1309" s="13" t="n">
        <f aca="false">IF(B1309="Individual",1,0)</f>
        <v>1</v>
      </c>
      <c r="V1309" s="13" t="n">
        <f aca="false">IF(B1309="Company",1,0)</f>
        <v>0</v>
      </c>
      <c r="W1309" s="13" t="n">
        <f aca="false">IF(H1309="Home",1,0)</f>
        <v>1</v>
      </c>
      <c r="X1309" s="13" t="n">
        <f aca="false">IF(H1309="Investment",1,0)</f>
        <v>0</v>
      </c>
      <c r="Y1309" s="13" t="n">
        <f aca="false">IF(K1309="Website",1,0)</f>
        <v>1</v>
      </c>
      <c r="Z1309" s="13" t="n">
        <f aca="false">IF(K1309="Agency",1,0)</f>
        <v>0</v>
      </c>
      <c r="AA1309" s="13" t="n">
        <f aca="false">IF(K1309="Client",1,0)</f>
        <v>0</v>
      </c>
      <c r="AB1309" s="13" t="n">
        <f aca="false">(D1309-AVERAGE(D$2:D$2001))/STDEV(D$2:D$2001)</f>
        <v>0.511062342991484</v>
      </c>
      <c r="AC1309" s="13" t="n">
        <f aca="false">(I1309-AVERAGE(I$2:I$2001))/STDEV(I$2:I$2001)</f>
        <v>-0.0205155458339628</v>
      </c>
      <c r="AD1309" s="13" t="n">
        <f aca="false">(L1309-AVERAGE(L$2:L$2001))/STDEV(L$2:L$2001)</f>
        <v>-0.777063122173208</v>
      </c>
      <c r="AE1309" s="13" t="n">
        <f aca="false">(M1309-AVERAGE(M$2:M$2001))/STDEV(M$2:M$2001)</f>
        <v>-0.521902663498762</v>
      </c>
      <c r="AF1309" s="13" t="n">
        <f aca="false">(N1309-AVERAGE(N$2:N$2001))/STDEV(N$2:N$2001)</f>
        <v>0.179627465333347</v>
      </c>
      <c r="AG1309" s="13" t="n">
        <f aca="false">(O1309-AVERAGE(O$2:O$2001))/STDEV(O$2:O$2001)</f>
        <v>0.273582625159419</v>
      </c>
      <c r="AH1309" s="0" t="str">
        <f aca="false">IF(B1309="Company","C3 - Corporate Buyers",IF(AND(H1309="Investment",M1309&gt;'Segmentation Summary'!$C$1),"C1 - Global Investors",IF(AND(I1309&gt;=4,M1309&gt;'Segmentation Summary'!$C$1),"C4 - Luxury Investors",IF(AND(D1309&lt;'Segmentation Summary'!$C$2,J1309=1),"C2 - First-Time Buyers","C5 - Other Individual Buyers"))))</f>
        <v>C5 - Other Individual Buyers</v>
      </c>
    </row>
    <row r="1310" customFormat="false" ht="15" hidden="false" customHeight="true" outlineLevel="0" collapsed="false">
      <c r="A1310" s="13" t="s">
        <v>2633</v>
      </c>
      <c r="B1310" s="13" t="s">
        <v>34</v>
      </c>
      <c r="C1310" s="13" t="s">
        <v>2634</v>
      </c>
      <c r="D1310" s="13" t="n">
        <v>45</v>
      </c>
      <c r="E1310" s="13" t="s">
        <v>90</v>
      </c>
      <c r="F1310" s="13" t="s">
        <v>42</v>
      </c>
      <c r="G1310" s="13" t="s">
        <v>143</v>
      </c>
      <c r="H1310" s="13" t="s">
        <v>41</v>
      </c>
      <c r="I1310" s="13" t="n">
        <v>2</v>
      </c>
      <c r="J1310" s="13" t="n">
        <v>0</v>
      </c>
      <c r="K1310" s="13" t="s">
        <v>85</v>
      </c>
      <c r="L1310" s="13" t="n">
        <v>4</v>
      </c>
      <c r="M1310" s="13" t="n">
        <v>1075202.77</v>
      </c>
      <c r="N1310" s="13" t="n">
        <v>268800.6925</v>
      </c>
      <c r="O1310" s="13" t="n">
        <v>990.9875</v>
      </c>
      <c r="P1310" s="13" t="n">
        <v>1</v>
      </c>
      <c r="Q1310" s="13" t="n">
        <v>3</v>
      </c>
      <c r="R1310" s="13" t="s">
        <v>92</v>
      </c>
      <c r="S1310" s="13" t="s">
        <v>215</v>
      </c>
      <c r="T1310" s="13" t="n">
        <v>1</v>
      </c>
      <c r="U1310" s="13" t="n">
        <f aca="false">IF(B1310="Individual",1,0)</f>
        <v>1</v>
      </c>
      <c r="V1310" s="13" t="n">
        <f aca="false">IF(B1310="Company",1,0)</f>
        <v>0</v>
      </c>
      <c r="W1310" s="13" t="n">
        <f aca="false">IF(H1310="Home",1,0)</f>
        <v>1</v>
      </c>
      <c r="X1310" s="13" t="n">
        <f aca="false">IF(H1310="Investment",1,0)</f>
        <v>0</v>
      </c>
      <c r="Y1310" s="13" t="n">
        <f aca="false">IF(K1310="Website",1,0)</f>
        <v>1</v>
      </c>
      <c r="Z1310" s="13" t="n">
        <f aca="false">IF(K1310="Agency",1,0)</f>
        <v>0</v>
      </c>
      <c r="AA1310" s="13" t="n">
        <f aca="false">IF(K1310="Client",1,0)</f>
        <v>0</v>
      </c>
      <c r="AB1310" s="13" t="n">
        <f aca="false">(D1310-AVERAGE(D$2:D$2001))/STDEV(D$2:D$2001)</f>
        <v>-0.526861855795238</v>
      </c>
      <c r="AC1310" s="13" t="n">
        <f aca="false">(I1310-AVERAGE(I$2:I$2001))/STDEV(I$2:I$2001)</f>
        <v>-0.727948160798201</v>
      </c>
      <c r="AD1310" s="13" t="n">
        <f aca="false">(L1310-AVERAGE(L$2:L$2001))/STDEV(L$2:L$2001)</f>
        <v>0.413838214490712</v>
      </c>
      <c r="AE1310" s="13" t="n">
        <f aca="false">(M1310-AVERAGE(M$2:M$2001))/STDEV(M$2:M$2001)</f>
        <v>-0.532364535806096</v>
      </c>
      <c r="AF1310" s="13" t="n">
        <f aca="false">(N1310-AVERAGE(N$2:N$2001))/STDEV(N$2:N$2001)</f>
        <v>-1.12288034552508</v>
      </c>
      <c r="AG1310" s="13" t="n">
        <f aca="false">(O1310-AVERAGE(O$2:O$2001))/STDEV(O$2:O$2001)</f>
        <v>-0.711578424742686</v>
      </c>
      <c r="AH1310" s="0" t="str">
        <f aca="false">IF(B1310="Company","C3 - Corporate Buyers",IF(AND(H1310="Investment",M1310&gt;'Segmentation Summary'!$C$1),"C1 - Global Investors",IF(AND(I1310&gt;=4,M1310&gt;'Segmentation Summary'!$C$1),"C4 - Luxury Investors",IF(AND(D1310&lt;'Segmentation Summary'!$C$2,J1310=1),"C2 - First-Time Buyers","C5 - Other Individual Buyers"))))</f>
        <v>C5 - Other Individual Buyers</v>
      </c>
    </row>
    <row r="1311" customFormat="false" ht="15" hidden="false" customHeight="true" outlineLevel="0" collapsed="false">
      <c r="A1311" s="13" t="s">
        <v>2635</v>
      </c>
      <c r="B1311" s="13" t="s">
        <v>34</v>
      </c>
      <c r="C1311" s="13" t="s">
        <v>2636</v>
      </c>
      <c r="D1311" s="13" t="n">
        <v>51</v>
      </c>
      <c r="E1311" s="13" t="s">
        <v>90</v>
      </c>
      <c r="F1311" s="13" t="s">
        <v>33</v>
      </c>
      <c r="G1311" s="13" t="s">
        <v>265</v>
      </c>
      <c r="H1311" s="13" t="s">
        <v>41</v>
      </c>
      <c r="I1311" s="13" t="n">
        <v>5</v>
      </c>
      <c r="J1311" s="13" t="n">
        <v>1</v>
      </c>
      <c r="K1311" s="13" t="s">
        <v>91</v>
      </c>
      <c r="L1311" s="13" t="n">
        <v>4</v>
      </c>
      <c r="M1311" s="13" t="n">
        <v>1084392.98</v>
      </c>
      <c r="N1311" s="13" t="n">
        <v>271098.245</v>
      </c>
      <c r="O1311" s="13" t="n">
        <v>1010.095</v>
      </c>
      <c r="P1311" s="13" t="n">
        <v>1</v>
      </c>
      <c r="Q1311" s="13" t="n">
        <v>3</v>
      </c>
      <c r="R1311" s="13" t="s">
        <v>101</v>
      </c>
      <c r="S1311" s="13" t="s">
        <v>154</v>
      </c>
      <c r="T1311" s="13" t="n">
        <v>1</v>
      </c>
      <c r="U1311" s="13" t="n">
        <f aca="false">IF(B1311="Individual",1,0)</f>
        <v>1</v>
      </c>
      <c r="V1311" s="13" t="n">
        <f aca="false">IF(B1311="Company",1,0)</f>
        <v>0</v>
      </c>
      <c r="W1311" s="13" t="n">
        <f aca="false">IF(H1311="Home",1,0)</f>
        <v>1</v>
      </c>
      <c r="X1311" s="13" t="n">
        <f aca="false">IF(H1311="Investment",1,0)</f>
        <v>0</v>
      </c>
      <c r="Y1311" s="13" t="n">
        <f aca="false">IF(K1311="Website",1,0)</f>
        <v>0</v>
      </c>
      <c r="Z1311" s="13" t="n">
        <f aca="false">IF(K1311="Agency",1,0)</f>
        <v>1</v>
      </c>
      <c r="AA1311" s="13" t="n">
        <f aca="false">IF(K1311="Client",1,0)</f>
        <v>0</v>
      </c>
      <c r="AB1311" s="13" t="n">
        <f aca="false">(D1311-AVERAGE(D$2:D$2001))/STDEV(D$2:D$2001)</f>
        <v>-0.18088712286633</v>
      </c>
      <c r="AC1311" s="13" t="n">
        <f aca="false">(I1311-AVERAGE(I$2:I$2001))/STDEV(I$2:I$2001)</f>
        <v>1.39434968409451</v>
      </c>
      <c r="AD1311" s="13" t="n">
        <f aca="false">(L1311-AVERAGE(L$2:L$2001))/STDEV(L$2:L$2001)</f>
        <v>0.413838214490712</v>
      </c>
      <c r="AE1311" s="13" t="n">
        <f aca="false">(M1311-AVERAGE(M$2:M$2001))/STDEV(M$2:M$2001)</f>
        <v>-0.50594302979955</v>
      </c>
      <c r="AF1311" s="13" t="n">
        <f aca="false">(N1311-AVERAGE(N$2:N$2001))/STDEV(N$2:N$2001)</f>
        <v>-1.08992721205519</v>
      </c>
      <c r="AG1311" s="13" t="n">
        <f aca="false">(O1311-AVERAGE(O$2:O$2001))/STDEV(O$2:O$2001)</f>
        <v>-0.624695579901114</v>
      </c>
      <c r="AH1311" s="0" t="str">
        <f aca="false">IF(B1311="Company","C3 - Corporate Buyers",IF(AND(H1311="Investment",M1311&gt;'Segmentation Summary'!$C$1),"C1 - Global Investors",IF(AND(I1311&gt;=4,M1311&gt;'Segmentation Summary'!$C$1),"C4 - Luxury Investors",IF(AND(D1311&lt;'Segmentation Summary'!$C$2,J1311=1),"C2 - First-Time Buyers","C5 - Other Individual Buyers"))))</f>
        <v>C2 - First-Time Buyers</v>
      </c>
    </row>
    <row r="1312" customFormat="false" ht="15" hidden="false" customHeight="true" outlineLevel="0" collapsed="false">
      <c r="A1312" s="13" t="s">
        <v>2637</v>
      </c>
      <c r="B1312" s="13" t="s">
        <v>34</v>
      </c>
      <c r="C1312" s="13" t="s">
        <v>2638</v>
      </c>
      <c r="D1312" s="13" t="n">
        <v>25</v>
      </c>
      <c r="E1312" s="13" t="s">
        <v>90</v>
      </c>
      <c r="F1312" s="13" t="s">
        <v>33</v>
      </c>
      <c r="G1312" s="13" t="s">
        <v>120</v>
      </c>
      <c r="H1312" s="13" t="s">
        <v>41</v>
      </c>
      <c r="I1312" s="13" t="n">
        <v>5</v>
      </c>
      <c r="J1312" s="13" t="n">
        <v>1</v>
      </c>
      <c r="K1312" s="13" t="s">
        <v>116</v>
      </c>
      <c r="L1312" s="13" t="n">
        <v>3</v>
      </c>
      <c r="M1312" s="13" t="n">
        <v>707276.53</v>
      </c>
      <c r="N1312" s="13" t="n">
        <v>235758.843333333</v>
      </c>
      <c r="O1312" s="13" t="n">
        <v>899.756666666667</v>
      </c>
      <c r="P1312" s="13" t="n">
        <v>0</v>
      </c>
      <c r="Q1312" s="13" t="n">
        <v>3</v>
      </c>
      <c r="R1312" s="13" t="s">
        <v>124</v>
      </c>
      <c r="S1312" s="13" t="s">
        <v>107</v>
      </c>
      <c r="T1312" s="13" t="n">
        <v>1</v>
      </c>
      <c r="U1312" s="13" t="n">
        <f aca="false">IF(B1312="Individual",1,0)</f>
        <v>1</v>
      </c>
      <c r="V1312" s="13" t="n">
        <f aca="false">IF(B1312="Company",1,0)</f>
        <v>0</v>
      </c>
      <c r="W1312" s="13" t="n">
        <f aca="false">IF(H1312="Home",1,0)</f>
        <v>1</v>
      </c>
      <c r="X1312" s="13" t="n">
        <f aca="false">IF(H1312="Investment",1,0)</f>
        <v>0</v>
      </c>
      <c r="Y1312" s="13" t="n">
        <f aca="false">IF(K1312="Website",1,0)</f>
        <v>0</v>
      </c>
      <c r="Z1312" s="13" t="n">
        <f aca="false">IF(K1312="Agency",1,0)</f>
        <v>0</v>
      </c>
      <c r="AA1312" s="13" t="n">
        <f aca="false">IF(K1312="Client",1,0)</f>
        <v>1</v>
      </c>
      <c r="AB1312" s="13" t="n">
        <f aca="false">(D1312-AVERAGE(D$2:D$2001))/STDEV(D$2:D$2001)</f>
        <v>-1.68011096555826</v>
      </c>
      <c r="AC1312" s="13" t="n">
        <f aca="false">(I1312-AVERAGE(I$2:I$2001))/STDEV(I$2:I$2001)</f>
        <v>1.39434968409451</v>
      </c>
      <c r="AD1312" s="13" t="n">
        <f aca="false">(L1312-AVERAGE(L$2:L$2001))/STDEV(L$2:L$2001)</f>
        <v>-0.777063122173208</v>
      </c>
      <c r="AE1312" s="13" t="n">
        <f aca="false">(M1312-AVERAGE(M$2:M$2001))/STDEV(M$2:M$2001)</f>
        <v>-1.59013855404138</v>
      </c>
      <c r="AF1312" s="13" t="n">
        <f aca="false">(N1312-AVERAGE(N$2:N$2001))/STDEV(N$2:N$2001)</f>
        <v>-1.59679006714451</v>
      </c>
      <c r="AG1312" s="13" t="n">
        <f aca="false">(O1312-AVERAGE(O$2:O$2001))/STDEV(O$2:O$2001)</f>
        <v>-1.12641000068236</v>
      </c>
      <c r="AH1312" s="0" t="str">
        <f aca="false">IF(B1312="Company","C3 - Corporate Buyers",IF(AND(H1312="Investment",M1312&gt;'Segmentation Summary'!$C$1),"C1 - Global Investors",IF(AND(I1312&gt;=4,M1312&gt;'Segmentation Summary'!$C$1),"C4 - Luxury Investors",IF(AND(D1312&lt;'Segmentation Summary'!$C$2,J1312=1),"C2 - First-Time Buyers","C5 - Other Individual Buyers"))))</f>
        <v>C2 - First-Time Buyers</v>
      </c>
    </row>
    <row r="1313" customFormat="false" ht="15" hidden="false" customHeight="true" outlineLevel="0" collapsed="false">
      <c r="A1313" s="13" t="s">
        <v>2639</v>
      </c>
      <c r="B1313" s="13" t="s">
        <v>34</v>
      </c>
      <c r="C1313" s="13" t="s">
        <v>2640</v>
      </c>
      <c r="D1313" s="13" t="n">
        <v>45</v>
      </c>
      <c r="E1313" s="13" t="s">
        <v>90</v>
      </c>
      <c r="F1313" s="13" t="s">
        <v>33</v>
      </c>
      <c r="G1313" s="13" t="s">
        <v>84</v>
      </c>
      <c r="H1313" s="13" t="s">
        <v>41</v>
      </c>
      <c r="I1313" s="13" t="n">
        <v>3</v>
      </c>
      <c r="J1313" s="13" t="n">
        <v>0</v>
      </c>
      <c r="K1313" s="13" t="s">
        <v>85</v>
      </c>
      <c r="L1313" s="13" t="n">
        <v>3</v>
      </c>
      <c r="M1313" s="13" t="n">
        <v>906492.19</v>
      </c>
      <c r="N1313" s="13" t="n">
        <v>302164.063333333</v>
      </c>
      <c r="O1313" s="13" t="n">
        <v>971.19</v>
      </c>
      <c r="P1313" s="13" t="n">
        <v>1</v>
      </c>
      <c r="Q1313" s="13" t="n">
        <v>2</v>
      </c>
      <c r="R1313" s="13" t="s">
        <v>150</v>
      </c>
      <c r="S1313" s="13" t="s">
        <v>154</v>
      </c>
      <c r="T1313" s="13" t="n">
        <v>1</v>
      </c>
      <c r="U1313" s="13" t="n">
        <f aca="false">IF(B1313="Individual",1,0)</f>
        <v>1</v>
      </c>
      <c r="V1313" s="13" t="n">
        <f aca="false">IF(B1313="Company",1,0)</f>
        <v>0</v>
      </c>
      <c r="W1313" s="13" t="n">
        <f aca="false">IF(H1313="Home",1,0)</f>
        <v>1</v>
      </c>
      <c r="X1313" s="13" t="n">
        <f aca="false">IF(H1313="Investment",1,0)</f>
        <v>0</v>
      </c>
      <c r="Y1313" s="13" t="n">
        <f aca="false">IF(K1313="Website",1,0)</f>
        <v>1</v>
      </c>
      <c r="Z1313" s="13" t="n">
        <f aca="false">IF(K1313="Agency",1,0)</f>
        <v>0</v>
      </c>
      <c r="AA1313" s="13" t="n">
        <f aca="false">IF(K1313="Client",1,0)</f>
        <v>0</v>
      </c>
      <c r="AB1313" s="13" t="n">
        <f aca="false">(D1313-AVERAGE(D$2:D$2001))/STDEV(D$2:D$2001)</f>
        <v>-0.526861855795238</v>
      </c>
      <c r="AC1313" s="13" t="n">
        <f aca="false">(I1313-AVERAGE(I$2:I$2001))/STDEV(I$2:I$2001)</f>
        <v>-0.0205155458339628</v>
      </c>
      <c r="AD1313" s="13" t="n">
        <f aca="false">(L1313-AVERAGE(L$2:L$2001))/STDEV(L$2:L$2001)</f>
        <v>-0.777063122173208</v>
      </c>
      <c r="AE1313" s="13" t="n">
        <f aca="false">(M1313-AVERAGE(M$2:M$2001))/STDEV(M$2:M$2001)</f>
        <v>-1.01740106955646</v>
      </c>
      <c r="AF1313" s="13" t="n">
        <f aca="false">(N1313-AVERAGE(N$2:N$2001))/STDEV(N$2:N$2001)</f>
        <v>-0.644359131286827</v>
      </c>
      <c r="AG1313" s="13" t="n">
        <f aca="false">(O1313-AVERAGE(O$2:O$2001))/STDEV(O$2:O$2001)</f>
        <v>-0.801598737224748</v>
      </c>
      <c r="AH1313" s="0" t="str">
        <f aca="false">IF(B1313="Company","C3 - Corporate Buyers",IF(AND(H1313="Investment",M1313&gt;'Segmentation Summary'!$C$1),"C1 - Global Investors",IF(AND(I1313&gt;=4,M1313&gt;'Segmentation Summary'!$C$1),"C4 - Luxury Investors",IF(AND(D1313&lt;'Segmentation Summary'!$C$2,J1313=1),"C2 - First-Time Buyers","C5 - Other Individual Buyers"))))</f>
        <v>C5 - Other Individual Buyers</v>
      </c>
    </row>
    <row r="1314" customFormat="false" ht="15" hidden="false" customHeight="true" outlineLevel="0" collapsed="false">
      <c r="A1314" s="13" t="s">
        <v>2641</v>
      </c>
      <c r="B1314" s="13" t="s">
        <v>34</v>
      </c>
      <c r="C1314" s="13" t="s">
        <v>2642</v>
      </c>
      <c r="D1314" s="13" t="n">
        <v>56</v>
      </c>
      <c r="E1314" s="13" t="s">
        <v>90</v>
      </c>
      <c r="F1314" s="13" t="s">
        <v>33</v>
      </c>
      <c r="G1314" s="13" t="s">
        <v>95</v>
      </c>
      <c r="H1314" s="13" t="s">
        <v>41</v>
      </c>
      <c r="I1314" s="13" t="n">
        <v>1</v>
      </c>
      <c r="J1314" s="13" t="n">
        <v>0</v>
      </c>
      <c r="K1314" s="13" t="s">
        <v>91</v>
      </c>
      <c r="L1314" s="13" t="n">
        <v>4</v>
      </c>
      <c r="M1314" s="13" t="n">
        <v>1298787.54</v>
      </c>
      <c r="N1314" s="13" t="n">
        <v>324696.885</v>
      </c>
      <c r="O1314" s="13" t="n">
        <v>1147.435</v>
      </c>
      <c r="P1314" s="13" t="n">
        <v>1</v>
      </c>
      <c r="Q1314" s="13" t="n">
        <v>3</v>
      </c>
      <c r="R1314" s="13" t="s">
        <v>92</v>
      </c>
      <c r="S1314" s="13" t="s">
        <v>107</v>
      </c>
      <c r="T1314" s="13" t="n">
        <v>1</v>
      </c>
      <c r="U1314" s="13" t="n">
        <f aca="false">IF(B1314="Individual",1,0)</f>
        <v>1</v>
      </c>
      <c r="V1314" s="13" t="n">
        <f aca="false">IF(B1314="Company",1,0)</f>
        <v>0</v>
      </c>
      <c r="W1314" s="13" t="n">
        <f aca="false">IF(H1314="Home",1,0)</f>
        <v>1</v>
      </c>
      <c r="X1314" s="13" t="n">
        <f aca="false">IF(H1314="Investment",1,0)</f>
        <v>0</v>
      </c>
      <c r="Y1314" s="13" t="n">
        <f aca="false">IF(K1314="Website",1,0)</f>
        <v>0</v>
      </c>
      <c r="Z1314" s="13" t="n">
        <f aca="false">IF(K1314="Agency",1,0)</f>
        <v>1</v>
      </c>
      <c r="AA1314" s="13" t="n">
        <f aca="false">IF(K1314="Client",1,0)</f>
        <v>0</v>
      </c>
      <c r="AB1314" s="13" t="n">
        <f aca="false">(D1314-AVERAGE(D$2:D$2001))/STDEV(D$2:D$2001)</f>
        <v>0.107425154574426</v>
      </c>
      <c r="AC1314" s="13" t="n">
        <f aca="false">(I1314-AVERAGE(I$2:I$2001))/STDEV(I$2:I$2001)</f>
        <v>-1.43538077576244</v>
      </c>
      <c r="AD1314" s="13" t="n">
        <f aca="false">(L1314-AVERAGE(L$2:L$2001))/STDEV(L$2:L$2001)</f>
        <v>0.413838214490712</v>
      </c>
      <c r="AE1314" s="13" t="n">
        <f aca="false">(M1314-AVERAGE(M$2:M$2001))/STDEV(M$2:M$2001)</f>
        <v>0.110433217839069</v>
      </c>
      <c r="AF1314" s="13" t="n">
        <f aca="false">(N1314-AVERAGE(N$2:N$2001))/STDEV(N$2:N$2001)</f>
        <v>-0.321177362933407</v>
      </c>
      <c r="AG1314" s="13" t="n">
        <f aca="false">(O1314-AVERAGE(O$2:O$2001))/STDEV(O$2:O$2001)</f>
        <v>-0.000203107806835879</v>
      </c>
      <c r="AH1314" s="0" t="str">
        <f aca="false">IF(B1314="Company","C3 - Corporate Buyers",IF(AND(H1314="Investment",M1314&gt;'Segmentation Summary'!$C$1),"C1 - Global Investors",IF(AND(I1314&gt;=4,M1314&gt;'Segmentation Summary'!$C$1),"C4 - Luxury Investors",IF(AND(D1314&lt;'Segmentation Summary'!$C$2,J1314=1),"C2 - First-Time Buyers","C5 - Other Individual Buyers"))))</f>
        <v>C5 - Other Individual Buyers</v>
      </c>
    </row>
    <row r="1315" customFormat="false" ht="15" hidden="false" customHeight="true" outlineLevel="0" collapsed="false">
      <c r="A1315" s="13" t="s">
        <v>2643</v>
      </c>
      <c r="B1315" s="13" t="s">
        <v>34</v>
      </c>
      <c r="C1315" s="13" t="s">
        <v>2644</v>
      </c>
      <c r="D1315" s="13" t="n">
        <v>55</v>
      </c>
      <c r="E1315" s="13" t="s">
        <v>90</v>
      </c>
      <c r="F1315" s="13" t="s">
        <v>42</v>
      </c>
      <c r="G1315" s="13" t="s">
        <v>551</v>
      </c>
      <c r="H1315" s="13" t="s">
        <v>41</v>
      </c>
      <c r="I1315" s="13" t="n">
        <v>2</v>
      </c>
      <c r="J1315" s="13" t="n">
        <v>0</v>
      </c>
      <c r="K1315" s="13" t="s">
        <v>91</v>
      </c>
      <c r="L1315" s="13" t="n">
        <v>5</v>
      </c>
      <c r="M1315" s="13" t="n">
        <v>1632608.66</v>
      </c>
      <c r="N1315" s="13" t="n">
        <v>326521.732</v>
      </c>
      <c r="O1315" s="13" t="n">
        <v>1160.556</v>
      </c>
      <c r="P1315" s="13" t="n">
        <v>0</v>
      </c>
      <c r="Q1315" s="13" t="n">
        <v>5</v>
      </c>
      <c r="R1315" s="13" t="s">
        <v>121</v>
      </c>
      <c r="S1315" s="13" t="s">
        <v>164</v>
      </c>
      <c r="T1315" s="13" t="n">
        <v>1</v>
      </c>
      <c r="U1315" s="13" t="n">
        <f aca="false">IF(B1315="Individual",1,0)</f>
        <v>1</v>
      </c>
      <c r="V1315" s="13" t="n">
        <f aca="false">IF(B1315="Company",1,0)</f>
        <v>0</v>
      </c>
      <c r="W1315" s="13" t="n">
        <f aca="false">IF(H1315="Home",1,0)</f>
        <v>1</v>
      </c>
      <c r="X1315" s="13" t="n">
        <f aca="false">IF(H1315="Investment",1,0)</f>
        <v>0</v>
      </c>
      <c r="Y1315" s="13" t="n">
        <f aca="false">IF(K1315="Website",1,0)</f>
        <v>0</v>
      </c>
      <c r="Z1315" s="13" t="n">
        <f aca="false">IF(K1315="Agency",1,0)</f>
        <v>1</v>
      </c>
      <c r="AA1315" s="13" t="n">
        <f aca="false">IF(K1315="Client",1,0)</f>
        <v>0</v>
      </c>
      <c r="AB1315" s="13" t="n">
        <f aca="false">(D1315-AVERAGE(D$2:D$2001))/STDEV(D$2:D$2001)</f>
        <v>0.0497626990862745</v>
      </c>
      <c r="AC1315" s="13" t="n">
        <f aca="false">(I1315-AVERAGE(I$2:I$2001))/STDEV(I$2:I$2001)</f>
        <v>-0.727948160798201</v>
      </c>
      <c r="AD1315" s="13" t="n">
        <f aca="false">(L1315-AVERAGE(L$2:L$2001))/STDEV(L$2:L$2001)</f>
        <v>1.60473955115463</v>
      </c>
      <c r="AE1315" s="13" t="n">
        <f aca="false">(M1315-AVERAGE(M$2:M$2001))/STDEV(M$2:M$2001)</f>
        <v>1.0701563065598</v>
      </c>
      <c r="AF1315" s="13" t="n">
        <f aca="false">(N1315-AVERAGE(N$2:N$2001))/STDEV(N$2:N$2001)</f>
        <v>-0.295004108240371</v>
      </c>
      <c r="AG1315" s="13" t="n">
        <f aca="false">(O1315-AVERAGE(O$2:O$2001))/STDEV(O$2:O$2001)</f>
        <v>0.0594587949625619</v>
      </c>
      <c r="AH1315" s="0" t="str">
        <f aca="false">IF(B1315="Company","C3 - Corporate Buyers",IF(AND(H1315="Investment",M1315&gt;'Segmentation Summary'!$C$1),"C1 - Global Investors",IF(AND(I1315&gt;=4,M1315&gt;'Segmentation Summary'!$C$1),"C4 - Luxury Investors",IF(AND(D1315&lt;'Segmentation Summary'!$C$2,J1315=1),"C2 - First-Time Buyers","C5 - Other Individual Buyers"))))</f>
        <v>C5 - Other Individual Buyers</v>
      </c>
    </row>
    <row r="1316" customFormat="false" ht="15" hidden="false" customHeight="true" outlineLevel="0" collapsed="false">
      <c r="A1316" s="13" t="s">
        <v>2645</v>
      </c>
      <c r="B1316" s="13" t="s">
        <v>34</v>
      </c>
      <c r="C1316" s="13" t="s">
        <v>2646</v>
      </c>
      <c r="D1316" s="13" t="n">
        <v>73</v>
      </c>
      <c r="E1316" s="13" t="s">
        <v>83</v>
      </c>
      <c r="F1316" s="13" t="s">
        <v>33</v>
      </c>
      <c r="G1316" s="13" t="s">
        <v>95</v>
      </c>
      <c r="H1316" s="13" t="s">
        <v>43</v>
      </c>
      <c r="I1316" s="13" t="n">
        <v>3</v>
      </c>
      <c r="J1316" s="13" t="n">
        <v>0</v>
      </c>
      <c r="K1316" s="13" t="s">
        <v>91</v>
      </c>
      <c r="L1316" s="13" t="n">
        <v>4</v>
      </c>
      <c r="M1316" s="13" t="n">
        <v>1975384.2</v>
      </c>
      <c r="N1316" s="13" t="n">
        <v>493846.05</v>
      </c>
      <c r="O1316" s="13" t="n">
        <v>1602.67</v>
      </c>
      <c r="P1316" s="13" t="n">
        <v>0</v>
      </c>
      <c r="Q1316" s="13" t="n">
        <v>4</v>
      </c>
      <c r="R1316" s="13" t="s">
        <v>92</v>
      </c>
      <c r="S1316" s="13" t="s">
        <v>114</v>
      </c>
      <c r="T1316" s="13" t="n">
        <v>1</v>
      </c>
      <c r="U1316" s="13" t="n">
        <f aca="false">IF(B1316="Individual",1,0)</f>
        <v>1</v>
      </c>
      <c r="V1316" s="13" t="n">
        <f aca="false">IF(B1316="Company",1,0)</f>
        <v>0</v>
      </c>
      <c r="W1316" s="13" t="n">
        <f aca="false">IF(H1316="Home",1,0)</f>
        <v>0</v>
      </c>
      <c r="X1316" s="13" t="n">
        <f aca="false">IF(H1316="Investment",1,0)</f>
        <v>1</v>
      </c>
      <c r="Y1316" s="13" t="n">
        <f aca="false">IF(K1316="Website",1,0)</f>
        <v>0</v>
      </c>
      <c r="Z1316" s="13" t="n">
        <f aca="false">IF(K1316="Agency",1,0)</f>
        <v>1</v>
      </c>
      <c r="AA1316" s="13" t="n">
        <f aca="false">IF(K1316="Client",1,0)</f>
        <v>0</v>
      </c>
      <c r="AB1316" s="13" t="n">
        <f aca="false">(D1316-AVERAGE(D$2:D$2001))/STDEV(D$2:D$2001)</f>
        <v>1.087686897873</v>
      </c>
      <c r="AC1316" s="13" t="n">
        <f aca="false">(I1316-AVERAGE(I$2:I$2001))/STDEV(I$2:I$2001)</f>
        <v>-0.0205155458339628</v>
      </c>
      <c r="AD1316" s="13" t="n">
        <f aca="false">(L1316-AVERAGE(L$2:L$2001))/STDEV(L$2:L$2001)</f>
        <v>0.413838214490712</v>
      </c>
      <c r="AE1316" s="13" t="n">
        <f aca="false">(M1316-AVERAGE(M$2:M$2001))/STDEV(M$2:M$2001)</f>
        <v>2.055623013959</v>
      </c>
      <c r="AF1316" s="13" t="n">
        <f aca="false">(N1316-AVERAGE(N$2:N$2001))/STDEV(N$2:N$2001)</f>
        <v>2.10488037048718</v>
      </c>
      <c r="AG1316" s="13" t="n">
        <f aca="false">(O1316-AVERAGE(O$2:O$2001))/STDEV(O$2:O$2001)</f>
        <v>2.06977527091633</v>
      </c>
      <c r="AH1316" s="0" t="str">
        <f aca="false">IF(B1316="Company","C3 - Corporate Buyers",IF(AND(H1316="Investment",M1316&gt;'Segmentation Summary'!$C$1),"C1 - Global Investors",IF(AND(I1316&gt;=4,M1316&gt;'Segmentation Summary'!$C$1),"C4 - Luxury Investors",IF(AND(D1316&lt;'Segmentation Summary'!$C$2,J1316=1),"C2 - First-Time Buyers","C5 - Other Individual Buyers"))))</f>
        <v>C1 - Global Investors</v>
      </c>
    </row>
    <row r="1317" customFormat="false" ht="15" hidden="false" customHeight="true" outlineLevel="0" collapsed="false">
      <c r="A1317" s="13" t="s">
        <v>2647</v>
      </c>
      <c r="B1317" s="13" t="s">
        <v>34</v>
      </c>
      <c r="C1317" s="13" t="s">
        <v>2648</v>
      </c>
      <c r="D1317" s="13" t="n">
        <v>37</v>
      </c>
      <c r="E1317" s="13" t="s">
        <v>83</v>
      </c>
      <c r="F1317" s="13" t="s">
        <v>42</v>
      </c>
      <c r="G1317" s="13" t="s">
        <v>551</v>
      </c>
      <c r="H1317" s="13" t="s">
        <v>41</v>
      </c>
      <c r="I1317" s="13" t="n">
        <v>3</v>
      </c>
      <c r="J1317" s="13" t="n">
        <v>0</v>
      </c>
      <c r="K1317" s="13" t="s">
        <v>91</v>
      </c>
      <c r="L1317" s="13" t="n">
        <v>4</v>
      </c>
      <c r="M1317" s="13" t="n">
        <v>1331713.08</v>
      </c>
      <c r="N1317" s="13" t="n">
        <v>332928.27</v>
      </c>
      <c r="O1317" s="13" t="n">
        <v>1148.025</v>
      </c>
      <c r="P1317" s="13" t="n">
        <v>0</v>
      </c>
      <c r="Q1317" s="13" t="n">
        <v>4</v>
      </c>
      <c r="R1317" s="13" t="s">
        <v>92</v>
      </c>
      <c r="S1317" s="13" t="s">
        <v>114</v>
      </c>
      <c r="T1317" s="13" t="n">
        <v>1</v>
      </c>
      <c r="U1317" s="13" t="n">
        <f aca="false">IF(B1317="Individual",1,0)</f>
        <v>1</v>
      </c>
      <c r="V1317" s="13" t="n">
        <f aca="false">IF(B1317="Company",1,0)</f>
        <v>0</v>
      </c>
      <c r="W1317" s="13" t="n">
        <f aca="false">IF(H1317="Home",1,0)</f>
        <v>1</v>
      </c>
      <c r="X1317" s="13" t="n">
        <f aca="false">IF(H1317="Investment",1,0)</f>
        <v>0</v>
      </c>
      <c r="Y1317" s="13" t="n">
        <f aca="false">IF(K1317="Website",1,0)</f>
        <v>0</v>
      </c>
      <c r="Z1317" s="13" t="n">
        <f aca="false">IF(K1317="Agency",1,0)</f>
        <v>1</v>
      </c>
      <c r="AA1317" s="13" t="n">
        <f aca="false">IF(K1317="Client",1,0)</f>
        <v>0</v>
      </c>
      <c r="AB1317" s="13" t="n">
        <f aca="false">(D1317-AVERAGE(D$2:D$2001))/STDEV(D$2:D$2001)</f>
        <v>-0.988161499700447</v>
      </c>
      <c r="AC1317" s="13" t="n">
        <f aca="false">(I1317-AVERAGE(I$2:I$2001))/STDEV(I$2:I$2001)</f>
        <v>-0.0205155458339628</v>
      </c>
      <c r="AD1317" s="13" t="n">
        <f aca="false">(L1317-AVERAGE(L$2:L$2001))/STDEV(L$2:L$2001)</f>
        <v>0.413838214490712</v>
      </c>
      <c r="AE1317" s="13" t="n">
        <f aca="false">(M1317-AVERAGE(M$2:M$2001))/STDEV(M$2:M$2001)</f>
        <v>0.205092899487126</v>
      </c>
      <c r="AF1317" s="13" t="n">
        <f aca="false">(N1317-AVERAGE(N$2:N$2001))/STDEV(N$2:N$2001)</f>
        <v>-0.203116979744331</v>
      </c>
      <c r="AG1317" s="13" t="n">
        <f aca="false">(O1317-AVERAGE(O$2:O$2001))/STDEV(O$2:O$2001)</f>
        <v>0.00247965437851227</v>
      </c>
      <c r="AH1317" s="0" t="str">
        <f aca="false">IF(B1317="Company","C3 - Corporate Buyers",IF(AND(H1317="Investment",M1317&gt;'Segmentation Summary'!$C$1),"C1 - Global Investors",IF(AND(I1317&gt;=4,M1317&gt;'Segmentation Summary'!$C$1),"C4 - Luxury Investors",IF(AND(D1317&lt;'Segmentation Summary'!$C$2,J1317=1),"C2 - First-Time Buyers","C5 - Other Individual Buyers"))))</f>
        <v>C5 - Other Individual Buyers</v>
      </c>
    </row>
    <row r="1318" customFormat="false" ht="15" hidden="false" customHeight="true" outlineLevel="0" collapsed="false">
      <c r="A1318" s="13" t="s">
        <v>2649</v>
      </c>
      <c r="B1318" s="13" t="s">
        <v>34</v>
      </c>
      <c r="C1318" s="13" t="s">
        <v>2648</v>
      </c>
      <c r="D1318" s="13" t="n">
        <v>33</v>
      </c>
      <c r="E1318" s="13" t="s">
        <v>83</v>
      </c>
      <c r="F1318" s="13" t="s">
        <v>33</v>
      </c>
      <c r="G1318" s="13" t="s">
        <v>95</v>
      </c>
      <c r="H1318" s="13" t="s">
        <v>43</v>
      </c>
      <c r="I1318" s="13" t="n">
        <v>1</v>
      </c>
      <c r="J1318" s="13" t="n">
        <v>1</v>
      </c>
      <c r="K1318" s="13" t="s">
        <v>91</v>
      </c>
      <c r="L1318" s="13" t="n">
        <v>4</v>
      </c>
      <c r="M1318" s="13" t="n">
        <v>1645321.2</v>
      </c>
      <c r="N1318" s="13" t="n">
        <v>411330.3</v>
      </c>
      <c r="O1318" s="13" t="n">
        <v>1338.9</v>
      </c>
      <c r="P1318" s="13" t="n">
        <v>1</v>
      </c>
      <c r="Q1318" s="13" t="n">
        <v>3</v>
      </c>
      <c r="R1318" s="13" t="s">
        <v>124</v>
      </c>
      <c r="S1318" s="13" t="s">
        <v>87</v>
      </c>
      <c r="T1318" s="13" t="n">
        <v>1</v>
      </c>
      <c r="U1318" s="13" t="n">
        <f aca="false">IF(B1318="Individual",1,0)</f>
        <v>1</v>
      </c>
      <c r="V1318" s="13" t="n">
        <f aca="false">IF(B1318="Company",1,0)</f>
        <v>0</v>
      </c>
      <c r="W1318" s="13" t="n">
        <f aca="false">IF(H1318="Home",1,0)</f>
        <v>0</v>
      </c>
      <c r="X1318" s="13" t="n">
        <f aca="false">IF(H1318="Investment",1,0)</f>
        <v>1</v>
      </c>
      <c r="Y1318" s="13" t="n">
        <f aca="false">IF(K1318="Website",1,0)</f>
        <v>0</v>
      </c>
      <c r="Z1318" s="13" t="n">
        <f aca="false">IF(K1318="Agency",1,0)</f>
        <v>1</v>
      </c>
      <c r="AA1318" s="13" t="n">
        <f aca="false">IF(K1318="Client",1,0)</f>
        <v>0</v>
      </c>
      <c r="AB1318" s="13" t="n">
        <f aca="false">(D1318-AVERAGE(D$2:D$2001))/STDEV(D$2:D$2001)</f>
        <v>-1.21881132165305</v>
      </c>
      <c r="AC1318" s="13" t="n">
        <f aca="false">(I1318-AVERAGE(I$2:I$2001))/STDEV(I$2:I$2001)</f>
        <v>-1.43538077576244</v>
      </c>
      <c r="AD1318" s="13" t="n">
        <f aca="false">(L1318-AVERAGE(L$2:L$2001))/STDEV(L$2:L$2001)</f>
        <v>0.413838214490712</v>
      </c>
      <c r="AE1318" s="13" t="n">
        <f aca="false">(M1318-AVERAGE(M$2:M$2001))/STDEV(M$2:M$2001)</f>
        <v>1.10670437803678</v>
      </c>
      <c r="AF1318" s="13" t="n">
        <f aca="false">(N1318-AVERAGE(N$2:N$2001))/STDEV(N$2:N$2001)</f>
        <v>0.921380745073718</v>
      </c>
      <c r="AG1318" s="13" t="n">
        <f aca="false">(O1318-AVERAGE(O$2:O$2001))/STDEV(O$2:O$2001)</f>
        <v>0.87039869188394</v>
      </c>
      <c r="AH1318" s="0" t="str">
        <f aca="false">IF(B1318="Company","C3 - Corporate Buyers",IF(AND(H1318="Investment",M1318&gt;'Segmentation Summary'!$C$1),"C1 - Global Investors",IF(AND(I1318&gt;=4,M1318&gt;'Segmentation Summary'!$C$1),"C4 - Luxury Investors",IF(AND(D1318&lt;'Segmentation Summary'!$C$2,J1318=1),"C2 - First-Time Buyers","C5 - Other Individual Buyers"))))</f>
        <v>C1 - Global Investors</v>
      </c>
    </row>
    <row r="1319" customFormat="false" ht="15" hidden="false" customHeight="true" outlineLevel="0" collapsed="false">
      <c r="A1319" s="13" t="s">
        <v>2650</v>
      </c>
      <c r="B1319" s="13" t="s">
        <v>34</v>
      </c>
      <c r="C1319" s="13" t="s">
        <v>2651</v>
      </c>
      <c r="D1319" s="13" t="n">
        <v>32</v>
      </c>
      <c r="E1319" s="13" t="s">
        <v>83</v>
      </c>
      <c r="F1319" s="13" t="s">
        <v>33</v>
      </c>
      <c r="G1319" s="13" t="s">
        <v>100</v>
      </c>
      <c r="H1319" s="13" t="s">
        <v>41</v>
      </c>
      <c r="I1319" s="13" t="n">
        <v>3</v>
      </c>
      <c r="J1319" s="13" t="n">
        <v>1</v>
      </c>
      <c r="K1319" s="13" t="s">
        <v>91</v>
      </c>
      <c r="L1319" s="13" t="n">
        <v>3</v>
      </c>
      <c r="M1319" s="13" t="n">
        <v>1323760.84</v>
      </c>
      <c r="N1319" s="13" t="n">
        <v>441253.613333333</v>
      </c>
      <c r="O1319" s="13" t="n">
        <v>1413.06</v>
      </c>
      <c r="P1319" s="13" t="n">
        <v>0</v>
      </c>
      <c r="Q1319" s="13" t="n">
        <v>3</v>
      </c>
      <c r="R1319" s="13" t="s">
        <v>86</v>
      </c>
      <c r="S1319" s="13" t="s">
        <v>152</v>
      </c>
      <c r="T1319" s="13" t="n">
        <v>1</v>
      </c>
      <c r="U1319" s="13" t="n">
        <f aca="false">IF(B1319="Individual",1,0)</f>
        <v>1</v>
      </c>
      <c r="V1319" s="13" t="n">
        <f aca="false">IF(B1319="Company",1,0)</f>
        <v>0</v>
      </c>
      <c r="W1319" s="13" t="n">
        <f aca="false">IF(H1319="Home",1,0)</f>
        <v>1</v>
      </c>
      <c r="X1319" s="13" t="n">
        <f aca="false">IF(H1319="Investment",1,0)</f>
        <v>0</v>
      </c>
      <c r="Y1319" s="13" t="n">
        <f aca="false">IF(K1319="Website",1,0)</f>
        <v>0</v>
      </c>
      <c r="Z1319" s="13" t="n">
        <f aca="false">IF(K1319="Agency",1,0)</f>
        <v>1</v>
      </c>
      <c r="AA1319" s="13" t="n">
        <f aca="false">IF(K1319="Client",1,0)</f>
        <v>0</v>
      </c>
      <c r="AB1319" s="13" t="n">
        <f aca="false">(D1319-AVERAGE(D$2:D$2001))/STDEV(D$2:D$2001)</f>
        <v>-1.2764737771412</v>
      </c>
      <c r="AC1319" s="13" t="n">
        <f aca="false">(I1319-AVERAGE(I$2:I$2001))/STDEV(I$2:I$2001)</f>
        <v>-0.0205155458339628</v>
      </c>
      <c r="AD1319" s="13" t="n">
        <f aca="false">(L1319-AVERAGE(L$2:L$2001))/STDEV(L$2:L$2001)</f>
        <v>-0.777063122173208</v>
      </c>
      <c r="AE1319" s="13" t="n">
        <f aca="false">(M1319-AVERAGE(M$2:M$2001))/STDEV(M$2:M$2001)</f>
        <v>0.182230510387693</v>
      </c>
      <c r="AF1319" s="13" t="n">
        <f aca="false">(N1319-AVERAGE(N$2:N$2001))/STDEV(N$2:N$2001)</f>
        <v>1.35056220583884</v>
      </c>
      <c r="AG1319" s="13" t="n">
        <f aca="false">(O1319-AVERAGE(O$2:O$2001))/STDEV(O$2:O$2001)</f>
        <v>1.20760825741846</v>
      </c>
      <c r="AH1319" s="0" t="str">
        <f aca="false">IF(B1319="Company","C3 - Corporate Buyers",IF(AND(H1319="Investment",M1319&gt;'Segmentation Summary'!$C$1),"C1 - Global Investors",IF(AND(I1319&gt;=4,M1319&gt;'Segmentation Summary'!$C$1),"C4 - Luxury Investors",IF(AND(D1319&lt;'Segmentation Summary'!$C$2,J1319=1),"C2 - First-Time Buyers","C5 - Other Individual Buyers"))))</f>
        <v>C2 - First-Time Buyers</v>
      </c>
    </row>
    <row r="1320" customFormat="false" ht="15" hidden="false" customHeight="true" outlineLevel="0" collapsed="false">
      <c r="A1320" s="13" t="s">
        <v>2652</v>
      </c>
      <c r="B1320" s="13" t="s">
        <v>34</v>
      </c>
      <c r="C1320" s="13" t="s">
        <v>2653</v>
      </c>
      <c r="D1320" s="13" t="n">
        <v>67</v>
      </c>
      <c r="E1320" s="13" t="s">
        <v>83</v>
      </c>
      <c r="F1320" s="13" t="s">
        <v>33</v>
      </c>
      <c r="G1320" s="13" t="s">
        <v>95</v>
      </c>
      <c r="H1320" s="13" t="s">
        <v>41</v>
      </c>
      <c r="I1320" s="13" t="n">
        <v>1</v>
      </c>
      <c r="J1320" s="13" t="n">
        <v>0</v>
      </c>
      <c r="K1320" s="13" t="s">
        <v>91</v>
      </c>
      <c r="L1320" s="13" t="n">
        <v>4</v>
      </c>
      <c r="M1320" s="13" t="n">
        <v>1052290.76</v>
      </c>
      <c r="N1320" s="13" t="n">
        <v>263072.69</v>
      </c>
      <c r="O1320" s="13" t="n">
        <v>904.01</v>
      </c>
      <c r="P1320" s="13" t="n">
        <v>0</v>
      </c>
      <c r="Q1320" s="13" t="n">
        <v>4</v>
      </c>
      <c r="R1320" s="13" t="s">
        <v>121</v>
      </c>
      <c r="S1320" s="13" t="s">
        <v>215</v>
      </c>
      <c r="T1320" s="13" t="n">
        <v>1</v>
      </c>
      <c r="U1320" s="13" t="n">
        <f aca="false">IF(B1320="Individual",1,0)</f>
        <v>1</v>
      </c>
      <c r="V1320" s="13" t="n">
        <f aca="false">IF(B1320="Company",1,0)</f>
        <v>0</v>
      </c>
      <c r="W1320" s="13" t="n">
        <f aca="false">IF(H1320="Home",1,0)</f>
        <v>1</v>
      </c>
      <c r="X1320" s="13" t="n">
        <f aca="false">IF(H1320="Investment",1,0)</f>
        <v>0</v>
      </c>
      <c r="Y1320" s="13" t="n">
        <f aca="false">IF(K1320="Website",1,0)</f>
        <v>0</v>
      </c>
      <c r="Z1320" s="13" t="n">
        <f aca="false">IF(K1320="Agency",1,0)</f>
        <v>1</v>
      </c>
      <c r="AA1320" s="13" t="n">
        <f aca="false">IF(K1320="Client",1,0)</f>
        <v>0</v>
      </c>
      <c r="AB1320" s="13" t="n">
        <f aca="false">(D1320-AVERAGE(D$2:D$2001))/STDEV(D$2:D$2001)</f>
        <v>0.741712164944089</v>
      </c>
      <c r="AC1320" s="13" t="n">
        <f aca="false">(I1320-AVERAGE(I$2:I$2001))/STDEV(I$2:I$2001)</f>
        <v>-1.43538077576244</v>
      </c>
      <c r="AD1320" s="13" t="n">
        <f aca="false">(L1320-AVERAGE(L$2:L$2001))/STDEV(L$2:L$2001)</f>
        <v>0.413838214490712</v>
      </c>
      <c r="AE1320" s="13" t="n">
        <f aca="false">(M1320-AVERAGE(M$2:M$2001))/STDEV(M$2:M$2001)</f>
        <v>-0.598235697600773</v>
      </c>
      <c r="AF1320" s="13" t="n">
        <f aca="false">(N1320-AVERAGE(N$2:N$2001))/STDEV(N$2:N$2001)</f>
        <v>-1.20503543486399</v>
      </c>
      <c r="AG1320" s="13" t="n">
        <f aca="false">(O1320-AVERAGE(O$2:O$2001))/STDEV(O$2:O$2001)</f>
        <v>-1.10706986199025</v>
      </c>
      <c r="AH1320" s="0" t="str">
        <f aca="false">IF(B1320="Company","C3 - Corporate Buyers",IF(AND(H1320="Investment",M1320&gt;'Segmentation Summary'!$C$1),"C1 - Global Investors",IF(AND(I1320&gt;=4,M1320&gt;'Segmentation Summary'!$C$1),"C4 - Luxury Investors",IF(AND(D1320&lt;'Segmentation Summary'!$C$2,J1320=1),"C2 - First-Time Buyers","C5 - Other Individual Buyers"))))</f>
        <v>C5 - Other Individual Buyers</v>
      </c>
    </row>
    <row r="1321" customFormat="false" ht="15" hidden="false" customHeight="true" outlineLevel="0" collapsed="false">
      <c r="A1321" s="13" t="s">
        <v>2654</v>
      </c>
      <c r="B1321" s="13" t="s">
        <v>34</v>
      </c>
      <c r="C1321" s="13" t="s">
        <v>2655</v>
      </c>
      <c r="D1321" s="13" t="n">
        <v>80</v>
      </c>
      <c r="E1321" s="13" t="s">
        <v>83</v>
      </c>
      <c r="F1321" s="13" t="s">
        <v>33</v>
      </c>
      <c r="G1321" s="13" t="s">
        <v>123</v>
      </c>
      <c r="H1321" s="13" t="s">
        <v>41</v>
      </c>
      <c r="I1321" s="13" t="n">
        <v>4</v>
      </c>
      <c r="J1321" s="13" t="n">
        <v>1</v>
      </c>
      <c r="K1321" s="13" t="s">
        <v>116</v>
      </c>
      <c r="L1321" s="13" t="n">
        <v>3</v>
      </c>
      <c r="M1321" s="13" t="n">
        <v>838587.38</v>
      </c>
      <c r="N1321" s="13" t="n">
        <v>279529.126666667</v>
      </c>
      <c r="O1321" s="13" t="n">
        <v>919.046666666667</v>
      </c>
      <c r="P1321" s="13" t="n">
        <v>0</v>
      </c>
      <c r="Q1321" s="13" t="n">
        <v>3</v>
      </c>
      <c r="R1321" s="13" t="s">
        <v>86</v>
      </c>
      <c r="S1321" s="13" t="s">
        <v>164</v>
      </c>
      <c r="T1321" s="13" t="n">
        <v>1</v>
      </c>
      <c r="U1321" s="13" t="n">
        <f aca="false">IF(B1321="Individual",1,0)</f>
        <v>1</v>
      </c>
      <c r="V1321" s="13" t="n">
        <f aca="false">IF(B1321="Company",1,0)</f>
        <v>0</v>
      </c>
      <c r="W1321" s="13" t="n">
        <f aca="false">IF(H1321="Home",1,0)</f>
        <v>1</v>
      </c>
      <c r="X1321" s="13" t="n">
        <f aca="false">IF(H1321="Investment",1,0)</f>
        <v>0</v>
      </c>
      <c r="Y1321" s="13" t="n">
        <f aca="false">IF(K1321="Website",1,0)</f>
        <v>0</v>
      </c>
      <c r="Z1321" s="13" t="n">
        <f aca="false">IF(K1321="Agency",1,0)</f>
        <v>0</v>
      </c>
      <c r="AA1321" s="13" t="n">
        <f aca="false">IF(K1321="Client",1,0)</f>
        <v>1</v>
      </c>
      <c r="AB1321" s="13" t="n">
        <f aca="false">(D1321-AVERAGE(D$2:D$2001))/STDEV(D$2:D$2001)</f>
        <v>1.49132408629005</v>
      </c>
      <c r="AC1321" s="13" t="n">
        <f aca="false">(I1321-AVERAGE(I$2:I$2001))/STDEV(I$2:I$2001)</f>
        <v>0.686917069130275</v>
      </c>
      <c r="AD1321" s="13" t="n">
        <f aca="false">(L1321-AVERAGE(L$2:L$2001))/STDEV(L$2:L$2001)</f>
        <v>-0.777063122173208</v>
      </c>
      <c r="AE1321" s="13" t="n">
        <f aca="false">(M1321-AVERAGE(M$2:M$2001))/STDEV(M$2:M$2001)</f>
        <v>-1.21262482889258</v>
      </c>
      <c r="AF1321" s="13" t="n">
        <f aca="false">(N1321-AVERAGE(N$2:N$2001))/STDEV(N$2:N$2001)</f>
        <v>-0.969005505660891</v>
      </c>
      <c r="AG1321" s="13" t="n">
        <f aca="false">(O1321-AVERAGE(O$2:O$2001))/STDEV(O$2:O$2001)</f>
        <v>-1.03869731838515</v>
      </c>
      <c r="AH1321" s="0" t="str">
        <f aca="false">IF(B1321="Company","C3 - Corporate Buyers",IF(AND(H1321="Investment",M1321&gt;'Segmentation Summary'!$C$1),"C1 - Global Investors",IF(AND(I1321&gt;=4,M1321&gt;'Segmentation Summary'!$C$1),"C4 - Luxury Investors",IF(AND(D1321&lt;'Segmentation Summary'!$C$2,J1321=1),"C2 - First-Time Buyers","C5 - Other Individual Buyers"))))</f>
        <v>C5 - Other Individual Buyers</v>
      </c>
    </row>
    <row r="1322" customFormat="false" ht="15" hidden="false" customHeight="true" outlineLevel="0" collapsed="false">
      <c r="A1322" s="13" t="s">
        <v>2656</v>
      </c>
      <c r="B1322" s="13" t="s">
        <v>34</v>
      </c>
      <c r="C1322" s="13" t="s">
        <v>2657</v>
      </c>
      <c r="D1322" s="13" t="n">
        <v>44</v>
      </c>
      <c r="E1322" s="13" t="s">
        <v>83</v>
      </c>
      <c r="F1322" s="13" t="s">
        <v>33</v>
      </c>
      <c r="G1322" s="13" t="s">
        <v>106</v>
      </c>
      <c r="H1322" s="13" t="s">
        <v>43</v>
      </c>
      <c r="I1322" s="13" t="n">
        <v>1</v>
      </c>
      <c r="J1322" s="13" t="n">
        <v>0</v>
      </c>
      <c r="K1322" s="13" t="s">
        <v>91</v>
      </c>
      <c r="L1322" s="13" t="n">
        <v>3</v>
      </c>
      <c r="M1322" s="13" t="n">
        <v>680865.94</v>
      </c>
      <c r="N1322" s="13" t="n">
        <v>226955.313333333</v>
      </c>
      <c r="O1322" s="13" t="n">
        <v>842.68</v>
      </c>
      <c r="P1322" s="13" t="n">
        <v>1</v>
      </c>
      <c r="Q1322" s="13" t="n">
        <v>2</v>
      </c>
      <c r="R1322" s="13" t="s">
        <v>98</v>
      </c>
      <c r="S1322" s="13" t="s">
        <v>152</v>
      </c>
      <c r="T1322" s="13" t="n">
        <v>1</v>
      </c>
      <c r="U1322" s="13" t="n">
        <f aca="false">IF(B1322="Individual",1,0)</f>
        <v>1</v>
      </c>
      <c r="V1322" s="13" t="n">
        <f aca="false">IF(B1322="Company",1,0)</f>
        <v>0</v>
      </c>
      <c r="W1322" s="13" t="n">
        <f aca="false">IF(H1322="Home",1,0)</f>
        <v>0</v>
      </c>
      <c r="X1322" s="13" t="n">
        <f aca="false">IF(H1322="Investment",1,0)</f>
        <v>1</v>
      </c>
      <c r="Y1322" s="13" t="n">
        <f aca="false">IF(K1322="Website",1,0)</f>
        <v>0</v>
      </c>
      <c r="Z1322" s="13" t="n">
        <f aca="false">IF(K1322="Agency",1,0)</f>
        <v>1</v>
      </c>
      <c r="AA1322" s="13" t="n">
        <f aca="false">IF(K1322="Client",1,0)</f>
        <v>0</v>
      </c>
      <c r="AB1322" s="13" t="n">
        <f aca="false">(D1322-AVERAGE(D$2:D$2001))/STDEV(D$2:D$2001)</f>
        <v>-0.584524311283389</v>
      </c>
      <c r="AC1322" s="13" t="n">
        <f aca="false">(I1322-AVERAGE(I$2:I$2001))/STDEV(I$2:I$2001)</f>
        <v>-1.43538077576244</v>
      </c>
      <c r="AD1322" s="13" t="n">
        <f aca="false">(L1322-AVERAGE(L$2:L$2001))/STDEV(L$2:L$2001)</f>
        <v>-0.777063122173208</v>
      </c>
      <c r="AE1322" s="13" t="n">
        <f aca="false">(M1322-AVERAGE(M$2:M$2001))/STDEV(M$2:M$2001)</f>
        <v>-1.66606800095516</v>
      </c>
      <c r="AF1322" s="13" t="n">
        <f aca="false">(N1322-AVERAGE(N$2:N$2001))/STDEV(N$2:N$2001)</f>
        <v>-1.72305656120554</v>
      </c>
      <c r="AG1322" s="13" t="n">
        <f aca="false">(O1322-AVERAGE(O$2:O$2001))/STDEV(O$2:O$2001)</f>
        <v>-1.38594071762984</v>
      </c>
      <c r="AH1322" s="0" t="str">
        <f aca="false">IF(B1322="Company","C3 - Corporate Buyers",IF(AND(H1322="Investment",M1322&gt;'Segmentation Summary'!$C$1),"C1 - Global Investors",IF(AND(I1322&gt;=4,M1322&gt;'Segmentation Summary'!$C$1),"C4 - Luxury Investors",IF(AND(D1322&lt;'Segmentation Summary'!$C$2,J1322=1),"C2 - First-Time Buyers","C5 - Other Individual Buyers"))))</f>
        <v>C5 - Other Individual Buyers</v>
      </c>
    </row>
    <row r="1323" customFormat="false" ht="15" hidden="false" customHeight="true" outlineLevel="0" collapsed="false">
      <c r="A1323" s="13" t="s">
        <v>2658</v>
      </c>
      <c r="B1323" s="13" t="s">
        <v>34</v>
      </c>
      <c r="C1323" s="13" t="s">
        <v>2657</v>
      </c>
      <c r="D1323" s="13" t="n">
        <v>76</v>
      </c>
      <c r="E1323" s="13" t="s">
        <v>83</v>
      </c>
      <c r="F1323" s="13" t="s">
        <v>40</v>
      </c>
      <c r="G1323" s="13" t="s">
        <v>219</v>
      </c>
      <c r="H1323" s="13" t="s">
        <v>41</v>
      </c>
      <c r="I1323" s="13" t="n">
        <v>1</v>
      </c>
      <c r="J1323" s="13" t="n">
        <v>0</v>
      </c>
      <c r="K1323" s="13" t="s">
        <v>85</v>
      </c>
      <c r="L1323" s="13" t="n">
        <v>4</v>
      </c>
      <c r="M1323" s="13" t="n">
        <v>1104480.44</v>
      </c>
      <c r="N1323" s="13" t="n">
        <v>276120.11</v>
      </c>
      <c r="O1323" s="13" t="n">
        <v>919.7425</v>
      </c>
      <c r="P1323" s="13" t="n">
        <v>0</v>
      </c>
      <c r="Q1323" s="13" t="n">
        <v>4</v>
      </c>
      <c r="R1323" s="13" t="s">
        <v>101</v>
      </c>
      <c r="S1323" s="13" t="s">
        <v>133</v>
      </c>
      <c r="T1323" s="13" t="n">
        <v>1</v>
      </c>
      <c r="U1323" s="13" t="n">
        <f aca="false">IF(B1323="Individual",1,0)</f>
        <v>1</v>
      </c>
      <c r="V1323" s="13" t="n">
        <f aca="false">IF(B1323="Company",1,0)</f>
        <v>0</v>
      </c>
      <c r="W1323" s="13" t="n">
        <f aca="false">IF(H1323="Home",1,0)</f>
        <v>1</v>
      </c>
      <c r="X1323" s="13" t="n">
        <f aca="false">IF(H1323="Investment",1,0)</f>
        <v>0</v>
      </c>
      <c r="Y1323" s="13" t="n">
        <f aca="false">IF(K1323="Website",1,0)</f>
        <v>1</v>
      </c>
      <c r="Z1323" s="13" t="n">
        <f aca="false">IF(K1323="Agency",1,0)</f>
        <v>0</v>
      </c>
      <c r="AA1323" s="13" t="n">
        <f aca="false">IF(K1323="Client",1,0)</f>
        <v>0</v>
      </c>
      <c r="AB1323" s="13" t="n">
        <f aca="false">(D1323-AVERAGE(D$2:D$2001))/STDEV(D$2:D$2001)</f>
        <v>1.26067426433745</v>
      </c>
      <c r="AC1323" s="13" t="n">
        <f aca="false">(I1323-AVERAGE(I$2:I$2001))/STDEV(I$2:I$2001)</f>
        <v>-1.43538077576244</v>
      </c>
      <c r="AD1323" s="13" t="n">
        <f aca="false">(L1323-AVERAGE(L$2:L$2001))/STDEV(L$2:L$2001)</f>
        <v>0.413838214490712</v>
      </c>
      <c r="AE1323" s="13" t="n">
        <f aca="false">(M1323-AVERAGE(M$2:M$2001))/STDEV(M$2:M$2001)</f>
        <v>-0.448192342378233</v>
      </c>
      <c r="AF1323" s="13" t="n">
        <f aca="false">(N1323-AVERAGE(N$2:N$2001))/STDEV(N$2:N$2001)</f>
        <v>-1.01790004940592</v>
      </c>
      <c r="AG1323" s="13" t="n">
        <f aca="false">(O1323-AVERAGE(O$2:O$2001))/STDEV(O$2:O$2001)</f>
        <v>-1.03553332625977</v>
      </c>
      <c r="AH1323" s="0" t="str">
        <f aca="false">IF(B1323="Company","C3 - Corporate Buyers",IF(AND(H1323="Investment",M1323&gt;'Segmentation Summary'!$C$1),"C1 - Global Investors",IF(AND(I1323&gt;=4,M1323&gt;'Segmentation Summary'!$C$1),"C4 - Luxury Investors",IF(AND(D1323&lt;'Segmentation Summary'!$C$2,J1323=1),"C2 - First-Time Buyers","C5 - Other Individual Buyers"))))</f>
        <v>C5 - Other Individual Buyers</v>
      </c>
    </row>
    <row r="1324" customFormat="false" ht="15" hidden="false" customHeight="true" outlineLevel="0" collapsed="false">
      <c r="A1324" s="13" t="s">
        <v>2659</v>
      </c>
      <c r="B1324" s="13" t="s">
        <v>34</v>
      </c>
      <c r="C1324" s="13" t="s">
        <v>2660</v>
      </c>
      <c r="D1324" s="13" t="n">
        <v>78</v>
      </c>
      <c r="E1324" s="13" t="s">
        <v>83</v>
      </c>
      <c r="F1324" s="13" t="s">
        <v>33</v>
      </c>
      <c r="G1324" s="13" t="s">
        <v>110</v>
      </c>
      <c r="H1324" s="13" t="s">
        <v>41</v>
      </c>
      <c r="I1324" s="13" t="n">
        <v>3</v>
      </c>
      <c r="J1324" s="13" t="n">
        <v>0</v>
      </c>
      <c r="K1324" s="13" t="s">
        <v>85</v>
      </c>
      <c r="L1324" s="13" t="n">
        <v>4</v>
      </c>
      <c r="M1324" s="13" t="n">
        <v>1437837.49</v>
      </c>
      <c r="N1324" s="13" t="n">
        <v>359459.3725</v>
      </c>
      <c r="O1324" s="13" t="n">
        <v>1196.89</v>
      </c>
      <c r="P1324" s="13" t="n">
        <v>1</v>
      </c>
      <c r="Q1324" s="13" t="n">
        <v>3</v>
      </c>
      <c r="R1324" s="13" t="s">
        <v>117</v>
      </c>
      <c r="S1324" s="13" t="s">
        <v>93</v>
      </c>
      <c r="T1324" s="13" t="n">
        <v>1</v>
      </c>
      <c r="U1324" s="13" t="n">
        <f aca="false">IF(B1324="Individual",1,0)</f>
        <v>1</v>
      </c>
      <c r="V1324" s="13" t="n">
        <f aca="false">IF(B1324="Company",1,0)</f>
        <v>0</v>
      </c>
      <c r="W1324" s="13" t="n">
        <f aca="false">IF(H1324="Home",1,0)</f>
        <v>1</v>
      </c>
      <c r="X1324" s="13" t="n">
        <f aca="false">IF(H1324="Investment",1,0)</f>
        <v>0</v>
      </c>
      <c r="Y1324" s="13" t="n">
        <f aca="false">IF(K1324="Website",1,0)</f>
        <v>1</v>
      </c>
      <c r="Z1324" s="13" t="n">
        <f aca="false">IF(K1324="Agency",1,0)</f>
        <v>0</v>
      </c>
      <c r="AA1324" s="13" t="n">
        <f aca="false">IF(K1324="Client",1,0)</f>
        <v>0</v>
      </c>
      <c r="AB1324" s="13" t="n">
        <f aca="false">(D1324-AVERAGE(D$2:D$2001))/STDEV(D$2:D$2001)</f>
        <v>1.37599917531375</v>
      </c>
      <c r="AC1324" s="13" t="n">
        <f aca="false">(I1324-AVERAGE(I$2:I$2001))/STDEV(I$2:I$2001)</f>
        <v>-0.0205155458339628</v>
      </c>
      <c r="AD1324" s="13" t="n">
        <f aca="false">(L1324-AVERAGE(L$2:L$2001))/STDEV(L$2:L$2001)</f>
        <v>0.413838214490712</v>
      </c>
      <c r="AE1324" s="13" t="n">
        <f aca="false">(M1324-AVERAGE(M$2:M$2001))/STDEV(M$2:M$2001)</f>
        <v>0.510196562652191</v>
      </c>
      <c r="AF1324" s="13" t="n">
        <f aca="false">(N1324-AVERAGE(N$2:N$2001))/STDEV(N$2:N$2001)</f>
        <v>0.177410978500684</v>
      </c>
      <c r="AG1324" s="13" t="n">
        <f aca="false">(O1324-AVERAGE(O$2:O$2001))/STDEV(O$2:O$2001)</f>
        <v>0.224671475034453</v>
      </c>
      <c r="AH1324" s="0" t="str">
        <f aca="false">IF(B1324="Company","C3 - Corporate Buyers",IF(AND(H1324="Investment",M1324&gt;'Segmentation Summary'!$C$1),"C1 - Global Investors",IF(AND(I1324&gt;=4,M1324&gt;'Segmentation Summary'!$C$1),"C4 - Luxury Investors",IF(AND(D1324&lt;'Segmentation Summary'!$C$2,J1324=1),"C2 - First-Time Buyers","C5 - Other Individual Buyers"))))</f>
        <v>C5 - Other Individual Buyers</v>
      </c>
    </row>
    <row r="1325" customFormat="false" ht="15" hidden="false" customHeight="true" outlineLevel="0" collapsed="false">
      <c r="A1325" s="13" t="s">
        <v>2661</v>
      </c>
      <c r="B1325" s="13" t="s">
        <v>34</v>
      </c>
      <c r="C1325" s="13" t="s">
        <v>2662</v>
      </c>
      <c r="D1325" s="13" t="n">
        <v>39</v>
      </c>
      <c r="E1325" s="13" t="s">
        <v>83</v>
      </c>
      <c r="F1325" s="13" t="s">
        <v>33</v>
      </c>
      <c r="G1325" s="13" t="s">
        <v>95</v>
      </c>
      <c r="H1325" s="13" t="s">
        <v>41</v>
      </c>
      <c r="I1325" s="13" t="n">
        <v>5</v>
      </c>
      <c r="J1325" s="13" t="n">
        <v>0</v>
      </c>
      <c r="K1325" s="13" t="s">
        <v>116</v>
      </c>
      <c r="L1325" s="13" t="n">
        <v>3</v>
      </c>
      <c r="M1325" s="13" t="n">
        <v>759973.15</v>
      </c>
      <c r="N1325" s="13" t="n">
        <v>253324.383333333</v>
      </c>
      <c r="O1325" s="13" t="n">
        <v>801.46</v>
      </c>
      <c r="P1325" s="13" t="n">
        <v>2</v>
      </c>
      <c r="Q1325" s="13" t="n">
        <v>1</v>
      </c>
      <c r="R1325" s="13" t="s">
        <v>98</v>
      </c>
      <c r="S1325" s="13" t="s">
        <v>114</v>
      </c>
      <c r="T1325" s="13" t="n">
        <v>1</v>
      </c>
      <c r="U1325" s="13" t="n">
        <f aca="false">IF(B1325="Individual",1,0)</f>
        <v>1</v>
      </c>
      <c r="V1325" s="13" t="n">
        <f aca="false">IF(B1325="Company",1,0)</f>
        <v>0</v>
      </c>
      <c r="W1325" s="13" t="n">
        <f aca="false">IF(H1325="Home",1,0)</f>
        <v>1</v>
      </c>
      <c r="X1325" s="13" t="n">
        <f aca="false">IF(H1325="Investment",1,0)</f>
        <v>0</v>
      </c>
      <c r="Y1325" s="13" t="n">
        <f aca="false">IF(K1325="Website",1,0)</f>
        <v>0</v>
      </c>
      <c r="Z1325" s="13" t="n">
        <f aca="false">IF(K1325="Agency",1,0)</f>
        <v>0</v>
      </c>
      <c r="AA1325" s="13" t="n">
        <f aca="false">IF(K1325="Client",1,0)</f>
        <v>1</v>
      </c>
      <c r="AB1325" s="13" t="n">
        <f aca="false">(D1325-AVERAGE(D$2:D$2001))/STDEV(D$2:D$2001)</f>
        <v>-0.872836588724145</v>
      </c>
      <c r="AC1325" s="13" t="n">
        <f aca="false">(I1325-AVERAGE(I$2:I$2001))/STDEV(I$2:I$2001)</f>
        <v>1.39434968409451</v>
      </c>
      <c r="AD1325" s="13" t="n">
        <f aca="false">(L1325-AVERAGE(L$2:L$2001))/STDEV(L$2:L$2001)</f>
        <v>-0.777063122173208</v>
      </c>
      <c r="AE1325" s="13" t="n">
        <f aca="false">(M1325-AVERAGE(M$2:M$2001))/STDEV(M$2:M$2001)</f>
        <v>-1.43863776550067</v>
      </c>
      <c r="AF1325" s="13" t="n">
        <f aca="false">(N1325-AVERAGE(N$2:N$2001))/STDEV(N$2:N$2001)</f>
        <v>-1.34485258841851</v>
      </c>
      <c r="AG1325" s="13" t="n">
        <f aca="false">(O1325-AVERAGE(O$2:O$2001))/STDEV(O$2:O$2001)</f>
        <v>-1.57337030624005</v>
      </c>
      <c r="AH1325" s="0" t="str">
        <f aca="false">IF(B1325="Company","C3 - Corporate Buyers",IF(AND(H1325="Investment",M1325&gt;'Segmentation Summary'!$C$1),"C1 - Global Investors",IF(AND(I1325&gt;=4,M1325&gt;'Segmentation Summary'!$C$1),"C4 - Luxury Investors",IF(AND(D1325&lt;'Segmentation Summary'!$C$2,J1325=1),"C2 - First-Time Buyers","C5 - Other Individual Buyers"))))</f>
        <v>C5 - Other Individual Buyers</v>
      </c>
    </row>
    <row r="1326" customFormat="false" ht="15" hidden="false" customHeight="true" outlineLevel="0" collapsed="false">
      <c r="A1326" s="13" t="s">
        <v>2663</v>
      </c>
      <c r="B1326" s="13" t="s">
        <v>34</v>
      </c>
      <c r="C1326" s="13" t="s">
        <v>2662</v>
      </c>
      <c r="D1326" s="13" t="n">
        <v>64</v>
      </c>
      <c r="E1326" s="13" t="s">
        <v>83</v>
      </c>
      <c r="F1326" s="13" t="s">
        <v>33</v>
      </c>
      <c r="G1326" s="13" t="s">
        <v>95</v>
      </c>
      <c r="H1326" s="13" t="s">
        <v>43</v>
      </c>
      <c r="I1326" s="13" t="n">
        <v>1</v>
      </c>
      <c r="J1326" s="13" t="n">
        <v>0</v>
      </c>
      <c r="K1326" s="13" t="s">
        <v>91</v>
      </c>
      <c r="L1326" s="13" t="n">
        <v>3</v>
      </c>
      <c r="M1326" s="13" t="n">
        <v>703498.83</v>
      </c>
      <c r="N1326" s="13" t="n">
        <v>234499.61</v>
      </c>
      <c r="O1326" s="13" t="n">
        <v>845.863333333333</v>
      </c>
      <c r="P1326" s="13" t="n">
        <v>0</v>
      </c>
      <c r="Q1326" s="13" t="n">
        <v>3</v>
      </c>
      <c r="R1326" s="13" t="s">
        <v>101</v>
      </c>
      <c r="S1326" s="13" t="s">
        <v>215</v>
      </c>
      <c r="T1326" s="13" t="n">
        <v>1</v>
      </c>
      <c r="U1326" s="13" t="n">
        <f aca="false">IF(B1326="Individual",1,0)</f>
        <v>1</v>
      </c>
      <c r="V1326" s="13" t="n">
        <f aca="false">IF(B1326="Company",1,0)</f>
        <v>0</v>
      </c>
      <c r="W1326" s="13" t="n">
        <f aca="false">IF(H1326="Home",1,0)</f>
        <v>0</v>
      </c>
      <c r="X1326" s="13" t="n">
        <f aca="false">IF(H1326="Investment",1,0)</f>
        <v>1</v>
      </c>
      <c r="Y1326" s="13" t="n">
        <f aca="false">IF(K1326="Website",1,0)</f>
        <v>0</v>
      </c>
      <c r="Z1326" s="13" t="n">
        <f aca="false">IF(K1326="Agency",1,0)</f>
        <v>1</v>
      </c>
      <c r="AA1326" s="13" t="n">
        <f aca="false">IF(K1326="Client",1,0)</f>
        <v>0</v>
      </c>
      <c r="AB1326" s="13" t="n">
        <f aca="false">(D1326-AVERAGE(D$2:D$2001))/STDEV(D$2:D$2001)</f>
        <v>0.568724798479635</v>
      </c>
      <c r="AC1326" s="13" t="n">
        <f aca="false">(I1326-AVERAGE(I$2:I$2001))/STDEV(I$2:I$2001)</f>
        <v>-1.43538077576244</v>
      </c>
      <c r="AD1326" s="13" t="n">
        <f aca="false">(L1326-AVERAGE(L$2:L$2001))/STDEV(L$2:L$2001)</f>
        <v>-0.777063122173208</v>
      </c>
      <c r="AE1326" s="13" t="n">
        <f aca="false">(M1326-AVERAGE(M$2:M$2001))/STDEV(M$2:M$2001)</f>
        <v>-1.60099929859901</v>
      </c>
      <c r="AF1326" s="13" t="n">
        <f aca="false">(N1326-AVERAGE(N$2:N$2001))/STDEV(N$2:N$2001)</f>
        <v>-1.61485088799759</v>
      </c>
      <c r="AG1326" s="13" t="n">
        <f aca="false">(O1326-AVERAGE(O$2:O$2001))/STDEV(O$2:O$2001)</f>
        <v>-1.37146592730777</v>
      </c>
      <c r="AH1326" s="0" t="str">
        <f aca="false">IF(B1326="Company","C3 - Corporate Buyers",IF(AND(H1326="Investment",M1326&gt;'Segmentation Summary'!$C$1),"C1 - Global Investors",IF(AND(I1326&gt;=4,M1326&gt;'Segmentation Summary'!$C$1),"C4 - Luxury Investors",IF(AND(D1326&lt;'Segmentation Summary'!$C$2,J1326=1),"C2 - First-Time Buyers","C5 - Other Individual Buyers"))))</f>
        <v>C5 - Other Individual Buyers</v>
      </c>
    </row>
    <row r="1327" customFormat="false" ht="15" hidden="false" customHeight="true" outlineLevel="0" collapsed="false">
      <c r="A1327" s="13" t="s">
        <v>2664</v>
      </c>
      <c r="B1327" s="13" t="s">
        <v>34</v>
      </c>
      <c r="C1327" s="13" t="s">
        <v>2665</v>
      </c>
      <c r="D1327" s="13" t="n">
        <v>54</v>
      </c>
      <c r="E1327" s="13" t="s">
        <v>83</v>
      </c>
      <c r="F1327" s="13" t="s">
        <v>33</v>
      </c>
      <c r="G1327" s="13" t="s">
        <v>265</v>
      </c>
      <c r="H1327" s="13" t="s">
        <v>41</v>
      </c>
      <c r="I1327" s="13" t="n">
        <v>2</v>
      </c>
      <c r="J1327" s="13" t="n">
        <v>1</v>
      </c>
      <c r="K1327" s="13" t="s">
        <v>85</v>
      </c>
      <c r="L1327" s="13" t="n">
        <v>7</v>
      </c>
      <c r="M1327" s="13" t="n">
        <v>2047189.62</v>
      </c>
      <c r="N1327" s="13" t="n">
        <v>292455.66</v>
      </c>
      <c r="O1327" s="13" t="n">
        <v>974.177142857143</v>
      </c>
      <c r="P1327" s="13" t="n">
        <v>1</v>
      </c>
      <c r="Q1327" s="13" t="n">
        <v>6</v>
      </c>
      <c r="R1327" s="13" t="s">
        <v>92</v>
      </c>
      <c r="S1327" s="13" t="s">
        <v>152</v>
      </c>
      <c r="T1327" s="13" t="n">
        <v>1</v>
      </c>
      <c r="U1327" s="13" t="n">
        <f aca="false">IF(B1327="Individual",1,0)</f>
        <v>1</v>
      </c>
      <c r="V1327" s="13" t="n">
        <f aca="false">IF(B1327="Company",1,0)</f>
        <v>0</v>
      </c>
      <c r="W1327" s="13" t="n">
        <f aca="false">IF(H1327="Home",1,0)</f>
        <v>1</v>
      </c>
      <c r="X1327" s="13" t="n">
        <f aca="false">IF(H1327="Investment",1,0)</f>
        <v>0</v>
      </c>
      <c r="Y1327" s="13" t="n">
        <f aca="false">IF(K1327="Website",1,0)</f>
        <v>1</v>
      </c>
      <c r="Z1327" s="13" t="n">
        <f aca="false">IF(K1327="Agency",1,0)</f>
        <v>0</v>
      </c>
      <c r="AA1327" s="13" t="n">
        <f aca="false">IF(K1327="Client",1,0)</f>
        <v>0</v>
      </c>
      <c r="AB1327" s="13" t="n">
        <f aca="false">(D1327-AVERAGE(D$2:D$2001))/STDEV(D$2:D$2001)</f>
        <v>-0.00789975640187674</v>
      </c>
      <c r="AC1327" s="13" t="n">
        <f aca="false">(I1327-AVERAGE(I$2:I$2001))/STDEV(I$2:I$2001)</f>
        <v>-0.727948160798201</v>
      </c>
      <c r="AD1327" s="13" t="n">
        <f aca="false">(L1327-AVERAGE(L$2:L$2001))/STDEV(L$2:L$2001)</f>
        <v>3.98654222448247</v>
      </c>
      <c r="AE1327" s="13" t="n">
        <f aca="false">(M1327-AVERAGE(M$2:M$2001))/STDEV(M$2:M$2001)</f>
        <v>2.26206087945202</v>
      </c>
      <c r="AF1327" s="13" t="n">
        <f aca="false">(N1327-AVERAGE(N$2:N$2001))/STDEV(N$2:N$2001)</f>
        <v>-0.783603962829441</v>
      </c>
      <c r="AG1327" s="13" t="n">
        <f aca="false">(O1327-AVERAGE(O$2:O$2001))/STDEV(O$2:O$2001)</f>
        <v>-0.788016035700385</v>
      </c>
      <c r="AH1327" s="0" t="str">
        <f aca="false">IF(B1327="Company","C3 - Corporate Buyers",IF(AND(H1327="Investment",M1327&gt;'Segmentation Summary'!$C$1),"C1 - Global Investors",IF(AND(I1327&gt;=4,M1327&gt;'Segmentation Summary'!$C$1),"C4 - Luxury Investors",IF(AND(D1327&lt;'Segmentation Summary'!$C$2,J1327=1),"C2 - First-Time Buyers","C5 - Other Individual Buyers"))))</f>
        <v>C2 - First-Time Buyers</v>
      </c>
    </row>
    <row r="1328" customFormat="false" ht="15" hidden="false" customHeight="true" outlineLevel="0" collapsed="false">
      <c r="A1328" s="13" t="s">
        <v>2666</v>
      </c>
      <c r="B1328" s="13" t="s">
        <v>34</v>
      </c>
      <c r="C1328" s="13" t="s">
        <v>2667</v>
      </c>
      <c r="D1328" s="13" t="n">
        <v>50</v>
      </c>
      <c r="E1328" s="13" t="s">
        <v>83</v>
      </c>
      <c r="F1328" s="13" t="s">
        <v>33</v>
      </c>
      <c r="G1328" s="13" t="s">
        <v>100</v>
      </c>
      <c r="H1328" s="13" t="s">
        <v>43</v>
      </c>
      <c r="I1328" s="13" t="n">
        <v>5</v>
      </c>
      <c r="J1328" s="13" t="n">
        <v>1</v>
      </c>
      <c r="K1328" s="13" t="s">
        <v>85</v>
      </c>
      <c r="L1328" s="13" t="n">
        <v>3</v>
      </c>
      <c r="M1328" s="13" t="n">
        <v>983573.18</v>
      </c>
      <c r="N1328" s="13" t="n">
        <v>327857.726666667</v>
      </c>
      <c r="O1328" s="13" t="n">
        <v>1151.54666666667</v>
      </c>
      <c r="P1328" s="13" t="n">
        <v>0</v>
      </c>
      <c r="Q1328" s="13" t="n">
        <v>3</v>
      </c>
      <c r="R1328" s="13" t="s">
        <v>121</v>
      </c>
      <c r="S1328" s="13" t="s">
        <v>124</v>
      </c>
      <c r="T1328" s="13" t="n">
        <v>1</v>
      </c>
      <c r="U1328" s="13" t="n">
        <f aca="false">IF(B1328="Individual",1,0)</f>
        <v>1</v>
      </c>
      <c r="V1328" s="13" t="n">
        <f aca="false">IF(B1328="Company",1,0)</f>
        <v>0</v>
      </c>
      <c r="W1328" s="13" t="n">
        <f aca="false">IF(H1328="Home",1,0)</f>
        <v>0</v>
      </c>
      <c r="X1328" s="13" t="n">
        <f aca="false">IF(H1328="Investment",1,0)</f>
        <v>1</v>
      </c>
      <c r="Y1328" s="13" t="n">
        <f aca="false">IF(K1328="Website",1,0)</f>
        <v>1</v>
      </c>
      <c r="Z1328" s="13" t="n">
        <f aca="false">IF(K1328="Agency",1,0)</f>
        <v>0</v>
      </c>
      <c r="AA1328" s="13" t="n">
        <f aca="false">IF(K1328="Client",1,0)</f>
        <v>0</v>
      </c>
      <c r="AB1328" s="13" t="n">
        <f aca="false">(D1328-AVERAGE(D$2:D$2001))/STDEV(D$2:D$2001)</f>
        <v>-0.238549578354482</v>
      </c>
      <c r="AC1328" s="13" t="n">
        <f aca="false">(I1328-AVERAGE(I$2:I$2001))/STDEV(I$2:I$2001)</f>
        <v>1.39434968409451</v>
      </c>
      <c r="AD1328" s="13" t="n">
        <f aca="false">(L1328-AVERAGE(L$2:L$2001))/STDEV(L$2:L$2001)</f>
        <v>-0.777063122173208</v>
      </c>
      <c r="AE1328" s="13" t="n">
        <f aca="false">(M1328-AVERAGE(M$2:M$2001))/STDEV(M$2:M$2001)</f>
        <v>-0.795796139932922</v>
      </c>
      <c r="AF1328" s="13" t="n">
        <f aca="false">(N1328-AVERAGE(N$2:N$2001))/STDEV(N$2:N$2001)</f>
        <v>-0.275842321701986</v>
      </c>
      <c r="AG1328" s="13" t="n">
        <f aca="false">(O1328-AVERAGE(O$2:O$2001))/STDEV(O$2:O$2001)</f>
        <v>0.0184928648238358</v>
      </c>
      <c r="AH1328" s="0" t="str">
        <f aca="false">IF(B1328="Company","C3 - Corporate Buyers",IF(AND(H1328="Investment",M1328&gt;'Segmentation Summary'!$C$1),"C1 - Global Investors",IF(AND(I1328&gt;=4,M1328&gt;'Segmentation Summary'!$C$1),"C4 - Luxury Investors",IF(AND(D1328&lt;'Segmentation Summary'!$C$2,J1328=1),"C2 - First-Time Buyers","C5 - Other Individual Buyers"))))</f>
        <v>C2 - First-Time Buyers</v>
      </c>
    </row>
    <row r="1329" customFormat="false" ht="15" hidden="false" customHeight="true" outlineLevel="0" collapsed="false">
      <c r="A1329" s="13" t="s">
        <v>2668</v>
      </c>
      <c r="B1329" s="13" t="s">
        <v>34</v>
      </c>
      <c r="C1329" s="13" t="s">
        <v>2669</v>
      </c>
      <c r="D1329" s="13" t="n">
        <v>81</v>
      </c>
      <c r="E1329" s="13" t="s">
        <v>83</v>
      </c>
      <c r="F1329" s="13" t="s">
        <v>33</v>
      </c>
      <c r="G1329" s="13" t="s">
        <v>95</v>
      </c>
      <c r="H1329" s="13" t="s">
        <v>41</v>
      </c>
      <c r="I1329" s="13" t="n">
        <v>2</v>
      </c>
      <c r="J1329" s="13" t="n">
        <v>1</v>
      </c>
      <c r="K1329" s="13" t="s">
        <v>85</v>
      </c>
      <c r="L1329" s="13" t="n">
        <v>4</v>
      </c>
      <c r="M1329" s="13" t="n">
        <v>1639044</v>
      </c>
      <c r="N1329" s="13" t="n">
        <v>409761</v>
      </c>
      <c r="O1329" s="13" t="n">
        <v>1386.5875</v>
      </c>
      <c r="P1329" s="13" t="n">
        <v>0</v>
      </c>
      <c r="Q1329" s="13" t="n">
        <v>4</v>
      </c>
      <c r="R1329" s="13" t="s">
        <v>101</v>
      </c>
      <c r="S1329" s="13" t="s">
        <v>152</v>
      </c>
      <c r="T1329" s="13" t="n">
        <v>1</v>
      </c>
      <c r="U1329" s="13" t="n">
        <f aca="false">IF(B1329="Individual",1,0)</f>
        <v>1</v>
      </c>
      <c r="V1329" s="13" t="n">
        <f aca="false">IF(B1329="Company",1,0)</f>
        <v>0</v>
      </c>
      <c r="W1329" s="13" t="n">
        <f aca="false">IF(H1329="Home",1,0)</f>
        <v>1</v>
      </c>
      <c r="X1329" s="13" t="n">
        <f aca="false">IF(H1329="Investment",1,0)</f>
        <v>0</v>
      </c>
      <c r="Y1329" s="13" t="n">
        <f aca="false">IF(K1329="Website",1,0)</f>
        <v>1</v>
      </c>
      <c r="Z1329" s="13" t="n">
        <f aca="false">IF(K1329="Agency",1,0)</f>
        <v>0</v>
      </c>
      <c r="AA1329" s="13" t="n">
        <f aca="false">IF(K1329="Client",1,0)</f>
        <v>0</v>
      </c>
      <c r="AB1329" s="13" t="n">
        <f aca="false">(D1329-AVERAGE(D$2:D$2001))/STDEV(D$2:D$2001)</f>
        <v>1.54898654177821</v>
      </c>
      <c r="AC1329" s="13" t="n">
        <f aca="false">(I1329-AVERAGE(I$2:I$2001))/STDEV(I$2:I$2001)</f>
        <v>-0.727948160798201</v>
      </c>
      <c r="AD1329" s="13" t="n">
        <f aca="false">(L1329-AVERAGE(L$2:L$2001))/STDEV(L$2:L$2001)</f>
        <v>0.413838214490712</v>
      </c>
      <c r="AE1329" s="13" t="n">
        <f aca="false">(M1329-AVERAGE(M$2:M$2001))/STDEV(M$2:M$2001)</f>
        <v>1.0886576655564</v>
      </c>
      <c r="AF1329" s="13" t="n">
        <f aca="false">(N1329-AVERAGE(N$2:N$2001))/STDEV(N$2:N$2001)</f>
        <v>0.898872727366053</v>
      </c>
      <c r="AG1329" s="13" t="n">
        <f aca="false">(O1329-AVERAGE(O$2:O$2001))/STDEV(O$2:O$2001)</f>
        <v>1.08723635580556</v>
      </c>
      <c r="AH1329" s="0" t="str">
        <f aca="false">IF(B1329="Company","C3 - Corporate Buyers",IF(AND(H1329="Investment",M1329&gt;'Segmentation Summary'!$C$1),"C1 - Global Investors",IF(AND(I1329&gt;=4,M1329&gt;'Segmentation Summary'!$C$1),"C4 - Luxury Investors",IF(AND(D1329&lt;'Segmentation Summary'!$C$2,J1329=1),"C2 - First-Time Buyers","C5 - Other Individual Buyers"))))</f>
        <v>C5 - Other Individual Buyers</v>
      </c>
    </row>
    <row r="1330" customFormat="false" ht="15" hidden="false" customHeight="true" outlineLevel="0" collapsed="false">
      <c r="A1330" s="13" t="s">
        <v>2670</v>
      </c>
      <c r="B1330" s="13" t="s">
        <v>34</v>
      </c>
      <c r="C1330" s="13" t="s">
        <v>2671</v>
      </c>
      <c r="D1330" s="13" t="n">
        <v>66</v>
      </c>
      <c r="E1330" s="13" t="s">
        <v>83</v>
      </c>
      <c r="F1330" s="13" t="s">
        <v>37</v>
      </c>
      <c r="G1330" s="13" t="s">
        <v>169</v>
      </c>
      <c r="H1330" s="13" t="s">
        <v>43</v>
      </c>
      <c r="I1330" s="13" t="n">
        <v>5</v>
      </c>
      <c r="J1330" s="13" t="n">
        <v>1</v>
      </c>
      <c r="K1330" s="13" t="s">
        <v>85</v>
      </c>
      <c r="L1330" s="13" t="n">
        <v>4</v>
      </c>
      <c r="M1330" s="13" t="n">
        <v>1063024.57</v>
      </c>
      <c r="N1330" s="13" t="n">
        <v>265756.1425</v>
      </c>
      <c r="O1330" s="13" t="n">
        <v>897.47</v>
      </c>
      <c r="P1330" s="13" t="n">
        <v>1</v>
      </c>
      <c r="Q1330" s="13" t="n">
        <v>3</v>
      </c>
      <c r="R1330" s="13" t="s">
        <v>117</v>
      </c>
      <c r="S1330" s="13" t="s">
        <v>141</v>
      </c>
      <c r="T1330" s="13" t="n">
        <v>1</v>
      </c>
      <c r="U1330" s="13" t="n">
        <f aca="false">IF(B1330="Individual",1,0)</f>
        <v>1</v>
      </c>
      <c r="V1330" s="13" t="n">
        <f aca="false">IF(B1330="Company",1,0)</f>
        <v>0</v>
      </c>
      <c r="W1330" s="13" t="n">
        <f aca="false">IF(H1330="Home",1,0)</f>
        <v>0</v>
      </c>
      <c r="X1330" s="13" t="n">
        <f aca="false">IF(H1330="Investment",1,0)</f>
        <v>1</v>
      </c>
      <c r="Y1330" s="13" t="n">
        <f aca="false">IF(K1330="Website",1,0)</f>
        <v>1</v>
      </c>
      <c r="Z1330" s="13" t="n">
        <f aca="false">IF(K1330="Agency",1,0)</f>
        <v>0</v>
      </c>
      <c r="AA1330" s="13" t="n">
        <f aca="false">IF(K1330="Client",1,0)</f>
        <v>0</v>
      </c>
      <c r="AB1330" s="13" t="n">
        <f aca="false">(D1330-AVERAGE(D$2:D$2001))/STDEV(D$2:D$2001)</f>
        <v>0.684049709455938</v>
      </c>
      <c r="AC1330" s="13" t="n">
        <f aca="false">(I1330-AVERAGE(I$2:I$2001))/STDEV(I$2:I$2001)</f>
        <v>1.39434968409451</v>
      </c>
      <c r="AD1330" s="13" t="n">
        <f aca="false">(L1330-AVERAGE(L$2:L$2001))/STDEV(L$2:L$2001)</f>
        <v>0.413838214490712</v>
      </c>
      <c r="AE1330" s="13" t="n">
        <f aca="false">(M1330-AVERAGE(M$2:M$2001))/STDEV(M$2:M$2001)</f>
        <v>-0.567376400001683</v>
      </c>
      <c r="AF1330" s="13" t="n">
        <f aca="false">(N1330-AVERAGE(N$2:N$2001))/STDEV(N$2:N$2001)</f>
        <v>-1.16654744889083</v>
      </c>
      <c r="AG1330" s="13" t="n">
        <f aca="false">(O1330-AVERAGE(O$2:O$2001))/STDEV(O$2:O$2001)</f>
        <v>-1.13680759875664</v>
      </c>
      <c r="AH1330" s="0" t="str">
        <f aca="false">IF(B1330="Company","C3 - Corporate Buyers",IF(AND(H1330="Investment",M1330&gt;'Segmentation Summary'!$C$1),"C1 - Global Investors",IF(AND(I1330&gt;=4,M1330&gt;'Segmentation Summary'!$C$1),"C4 - Luxury Investors",IF(AND(D1330&lt;'Segmentation Summary'!$C$2,J1330=1),"C2 - First-Time Buyers","C5 - Other Individual Buyers"))))</f>
        <v>C5 - Other Individual Buyers</v>
      </c>
    </row>
    <row r="1331" customFormat="false" ht="15" hidden="false" customHeight="true" outlineLevel="0" collapsed="false">
      <c r="A1331" s="13" t="s">
        <v>2672</v>
      </c>
      <c r="B1331" s="13" t="s">
        <v>34</v>
      </c>
      <c r="C1331" s="13" t="s">
        <v>2673</v>
      </c>
      <c r="D1331" s="13" t="n">
        <v>78</v>
      </c>
      <c r="E1331" s="13" t="s">
        <v>90</v>
      </c>
      <c r="F1331" s="13" t="s">
        <v>42</v>
      </c>
      <c r="G1331" s="13" t="s">
        <v>143</v>
      </c>
      <c r="H1331" s="13" t="s">
        <v>41</v>
      </c>
      <c r="I1331" s="13" t="n">
        <v>1</v>
      </c>
      <c r="J1331" s="13" t="n">
        <v>0</v>
      </c>
      <c r="K1331" s="13" t="s">
        <v>116</v>
      </c>
      <c r="L1331" s="13" t="n">
        <v>3</v>
      </c>
      <c r="M1331" s="13" t="n">
        <v>839069.28</v>
      </c>
      <c r="N1331" s="13" t="n">
        <v>279689.76</v>
      </c>
      <c r="O1331" s="13" t="n">
        <v>881.783333333333</v>
      </c>
      <c r="P1331" s="13" t="n">
        <v>0</v>
      </c>
      <c r="Q1331" s="13" t="n">
        <v>3</v>
      </c>
      <c r="R1331" s="13" t="s">
        <v>111</v>
      </c>
      <c r="S1331" s="13" t="s">
        <v>107</v>
      </c>
      <c r="T1331" s="13" t="n">
        <v>1</v>
      </c>
      <c r="U1331" s="13" t="n">
        <f aca="false">IF(B1331="Individual",1,0)</f>
        <v>1</v>
      </c>
      <c r="V1331" s="13" t="n">
        <f aca="false">IF(B1331="Company",1,0)</f>
        <v>0</v>
      </c>
      <c r="W1331" s="13" t="n">
        <f aca="false">IF(H1331="Home",1,0)</f>
        <v>1</v>
      </c>
      <c r="X1331" s="13" t="n">
        <f aca="false">IF(H1331="Investment",1,0)</f>
        <v>0</v>
      </c>
      <c r="Y1331" s="13" t="n">
        <f aca="false">IF(K1331="Website",1,0)</f>
        <v>0</v>
      </c>
      <c r="Z1331" s="13" t="n">
        <f aca="false">IF(K1331="Agency",1,0)</f>
        <v>0</v>
      </c>
      <c r="AA1331" s="13" t="n">
        <f aca="false">IF(K1331="Client",1,0)</f>
        <v>1</v>
      </c>
      <c r="AB1331" s="13" t="n">
        <f aca="false">(D1331-AVERAGE(D$2:D$2001))/STDEV(D$2:D$2001)</f>
        <v>1.37599917531375</v>
      </c>
      <c r="AC1331" s="13" t="n">
        <f aca="false">(I1331-AVERAGE(I$2:I$2001))/STDEV(I$2:I$2001)</f>
        <v>-1.43538077576244</v>
      </c>
      <c r="AD1331" s="13" t="n">
        <f aca="false">(L1331-AVERAGE(L$2:L$2001))/STDEV(L$2:L$2001)</f>
        <v>-0.777063122173208</v>
      </c>
      <c r="AE1331" s="13" t="n">
        <f aca="false">(M1331-AVERAGE(M$2:M$2001))/STDEV(M$2:M$2001)</f>
        <v>-1.21123938462694</v>
      </c>
      <c r="AF1331" s="13" t="n">
        <f aca="false">(N1331-AVERAGE(N$2:N$2001))/STDEV(N$2:N$2001)</f>
        <v>-0.966701588047241</v>
      </c>
      <c r="AG1331" s="13" t="n">
        <f aca="false">(O1331-AVERAGE(O$2:O$2001))/STDEV(O$2:O$2001)</f>
        <v>-1.20813572782018</v>
      </c>
      <c r="AH1331" s="0" t="str">
        <f aca="false">IF(B1331="Company","C3 - Corporate Buyers",IF(AND(H1331="Investment",M1331&gt;'Segmentation Summary'!$C$1),"C1 - Global Investors",IF(AND(I1331&gt;=4,M1331&gt;'Segmentation Summary'!$C$1),"C4 - Luxury Investors",IF(AND(D1331&lt;'Segmentation Summary'!$C$2,J1331=1),"C2 - First-Time Buyers","C5 - Other Individual Buyers"))))</f>
        <v>C5 - Other Individual Buyers</v>
      </c>
    </row>
    <row r="1332" customFormat="false" ht="15" hidden="false" customHeight="true" outlineLevel="0" collapsed="false">
      <c r="A1332" s="13" t="s">
        <v>2674</v>
      </c>
      <c r="B1332" s="13" t="s">
        <v>34</v>
      </c>
      <c r="C1332" s="13" t="s">
        <v>2675</v>
      </c>
      <c r="D1332" s="13" t="n">
        <v>65</v>
      </c>
      <c r="E1332" s="13" t="s">
        <v>90</v>
      </c>
      <c r="F1332" s="13" t="s">
        <v>33</v>
      </c>
      <c r="G1332" s="13" t="s">
        <v>120</v>
      </c>
      <c r="H1332" s="13" t="s">
        <v>43</v>
      </c>
      <c r="I1332" s="13" t="n">
        <v>1</v>
      </c>
      <c r="J1332" s="13" t="n">
        <v>1</v>
      </c>
      <c r="K1332" s="13" t="s">
        <v>116</v>
      </c>
      <c r="L1332" s="13" t="n">
        <v>4</v>
      </c>
      <c r="M1332" s="13" t="n">
        <v>1380084.58</v>
      </c>
      <c r="N1332" s="13" t="n">
        <v>345021.145</v>
      </c>
      <c r="O1332" s="13" t="n">
        <v>1148.2475</v>
      </c>
      <c r="P1332" s="13" t="n">
        <v>1</v>
      </c>
      <c r="Q1332" s="13" t="n">
        <v>3</v>
      </c>
      <c r="R1332" s="13" t="s">
        <v>98</v>
      </c>
      <c r="S1332" s="13" t="s">
        <v>141</v>
      </c>
      <c r="T1332" s="13" t="n">
        <v>1</v>
      </c>
      <c r="U1332" s="13" t="n">
        <f aca="false">IF(B1332="Individual",1,0)</f>
        <v>1</v>
      </c>
      <c r="V1332" s="13" t="n">
        <f aca="false">IF(B1332="Company",1,0)</f>
        <v>0</v>
      </c>
      <c r="W1332" s="13" t="n">
        <f aca="false">IF(H1332="Home",1,0)</f>
        <v>0</v>
      </c>
      <c r="X1332" s="13" t="n">
        <f aca="false">IF(H1332="Investment",1,0)</f>
        <v>1</v>
      </c>
      <c r="Y1332" s="13" t="n">
        <f aca="false">IF(K1332="Website",1,0)</f>
        <v>0</v>
      </c>
      <c r="Z1332" s="13" t="n">
        <f aca="false">IF(K1332="Agency",1,0)</f>
        <v>0</v>
      </c>
      <c r="AA1332" s="13" t="n">
        <f aca="false">IF(K1332="Client",1,0)</f>
        <v>1</v>
      </c>
      <c r="AB1332" s="13" t="n">
        <f aca="false">(D1332-AVERAGE(D$2:D$2001))/STDEV(D$2:D$2001)</f>
        <v>0.626387253967787</v>
      </c>
      <c r="AC1332" s="13" t="n">
        <f aca="false">(I1332-AVERAGE(I$2:I$2001))/STDEV(I$2:I$2001)</f>
        <v>-1.43538077576244</v>
      </c>
      <c r="AD1332" s="13" t="n">
        <f aca="false">(L1332-AVERAGE(L$2:L$2001))/STDEV(L$2:L$2001)</f>
        <v>0.413838214490712</v>
      </c>
      <c r="AE1332" s="13" t="n">
        <f aca="false">(M1332-AVERAGE(M$2:M$2001))/STDEV(M$2:M$2001)</f>
        <v>0.344159131683743</v>
      </c>
      <c r="AF1332" s="13" t="n">
        <f aca="false">(N1332-AVERAGE(N$2:N$2001))/STDEV(N$2:N$2001)</f>
        <v>-0.0296723581700035</v>
      </c>
      <c r="AG1332" s="13" t="n">
        <f aca="false">(O1332-AVERAGE(O$2:O$2001))/STDEV(O$2:O$2001)</f>
        <v>0.00349137401620622</v>
      </c>
      <c r="AH1332" s="0" t="str">
        <f aca="false">IF(B1332="Company","C3 - Corporate Buyers",IF(AND(H1332="Investment",M1332&gt;'Segmentation Summary'!$C$1),"C1 - Global Investors",IF(AND(I1332&gt;=4,M1332&gt;'Segmentation Summary'!$C$1),"C4 - Luxury Investors",IF(AND(D1332&lt;'Segmentation Summary'!$C$2,J1332=1),"C2 - First-Time Buyers","C5 - Other Individual Buyers"))))</f>
        <v>C1 - Global Investors</v>
      </c>
    </row>
    <row r="1333" customFormat="false" ht="15" hidden="false" customHeight="true" outlineLevel="0" collapsed="false">
      <c r="A1333" s="13" t="s">
        <v>2676</v>
      </c>
      <c r="B1333" s="13" t="s">
        <v>34</v>
      </c>
      <c r="C1333" s="13" t="s">
        <v>2677</v>
      </c>
      <c r="D1333" s="13" t="n">
        <v>38</v>
      </c>
      <c r="E1333" s="13" t="s">
        <v>90</v>
      </c>
      <c r="F1333" s="13" t="s">
        <v>33</v>
      </c>
      <c r="G1333" s="13" t="s">
        <v>207</v>
      </c>
      <c r="H1333" s="13" t="s">
        <v>41</v>
      </c>
      <c r="I1333" s="13" t="n">
        <v>4</v>
      </c>
      <c r="J1333" s="13" t="n">
        <v>0</v>
      </c>
      <c r="K1333" s="13" t="s">
        <v>85</v>
      </c>
      <c r="L1333" s="13" t="n">
        <v>3</v>
      </c>
      <c r="M1333" s="13" t="n">
        <v>1211908.53</v>
      </c>
      <c r="N1333" s="13" t="n">
        <v>403969.51</v>
      </c>
      <c r="O1333" s="13" t="n">
        <v>1386.32</v>
      </c>
      <c r="P1333" s="13" t="n">
        <v>1</v>
      </c>
      <c r="Q1333" s="13" t="n">
        <v>2</v>
      </c>
      <c r="R1333" s="13" t="s">
        <v>128</v>
      </c>
      <c r="S1333" s="13" t="s">
        <v>141</v>
      </c>
      <c r="T1333" s="13" t="n">
        <v>1</v>
      </c>
      <c r="U1333" s="13" t="n">
        <f aca="false">IF(B1333="Individual",1,0)</f>
        <v>1</v>
      </c>
      <c r="V1333" s="13" t="n">
        <f aca="false">IF(B1333="Company",1,0)</f>
        <v>0</v>
      </c>
      <c r="W1333" s="13" t="n">
        <f aca="false">IF(H1333="Home",1,0)</f>
        <v>1</v>
      </c>
      <c r="X1333" s="13" t="n">
        <f aca="false">IF(H1333="Investment",1,0)</f>
        <v>0</v>
      </c>
      <c r="Y1333" s="13" t="n">
        <f aca="false">IF(K1333="Website",1,0)</f>
        <v>1</v>
      </c>
      <c r="Z1333" s="13" t="n">
        <f aca="false">IF(K1333="Agency",1,0)</f>
        <v>0</v>
      </c>
      <c r="AA1333" s="13" t="n">
        <f aca="false">IF(K1333="Client",1,0)</f>
        <v>0</v>
      </c>
      <c r="AB1333" s="13" t="n">
        <f aca="false">(D1333-AVERAGE(D$2:D$2001))/STDEV(D$2:D$2001)</f>
        <v>-0.930499044212296</v>
      </c>
      <c r="AC1333" s="13" t="n">
        <f aca="false">(I1333-AVERAGE(I$2:I$2001))/STDEV(I$2:I$2001)</f>
        <v>0.686917069130275</v>
      </c>
      <c r="AD1333" s="13" t="n">
        <f aca="false">(L1333-AVERAGE(L$2:L$2001))/STDEV(L$2:L$2001)</f>
        <v>-0.777063122173208</v>
      </c>
      <c r="AE1333" s="13" t="n">
        <f aca="false">(M1333-AVERAGE(M$2:M$2001))/STDEV(M$2:M$2001)</f>
        <v>-0.139340648542419</v>
      </c>
      <c r="AF1333" s="13" t="n">
        <f aca="false">(N1333-AVERAGE(N$2:N$2001))/STDEV(N$2:N$2001)</f>
        <v>0.815807055108504</v>
      </c>
      <c r="AG1333" s="13" t="n">
        <f aca="false">(O1333-AVERAGE(O$2:O$2001))/STDEV(O$2:O$2001)</f>
        <v>1.08602001871305</v>
      </c>
      <c r="AH1333" s="0" t="str">
        <f aca="false">IF(B1333="Company","C3 - Corporate Buyers",IF(AND(H1333="Investment",M1333&gt;'Segmentation Summary'!$C$1),"C1 - Global Investors",IF(AND(I1333&gt;=4,M1333&gt;'Segmentation Summary'!$C$1),"C4 - Luxury Investors",IF(AND(D1333&lt;'Segmentation Summary'!$C$2,J1333=1),"C2 - First-Time Buyers","C5 - Other Individual Buyers"))))</f>
        <v>C5 - Other Individual Buyers</v>
      </c>
    </row>
    <row r="1334" customFormat="false" ht="15" hidden="false" customHeight="true" outlineLevel="0" collapsed="false">
      <c r="A1334" s="13" t="s">
        <v>2678</v>
      </c>
      <c r="B1334" s="13" t="s">
        <v>34</v>
      </c>
      <c r="C1334" s="13" t="s">
        <v>2679</v>
      </c>
      <c r="D1334" s="13" t="n">
        <v>41</v>
      </c>
      <c r="E1334" s="13" t="s">
        <v>90</v>
      </c>
      <c r="F1334" s="13" t="s">
        <v>33</v>
      </c>
      <c r="G1334" s="13" t="s">
        <v>84</v>
      </c>
      <c r="H1334" s="13" t="s">
        <v>41</v>
      </c>
      <c r="I1334" s="13" t="n">
        <v>4</v>
      </c>
      <c r="J1334" s="13" t="n">
        <v>0</v>
      </c>
      <c r="K1334" s="13" t="s">
        <v>85</v>
      </c>
      <c r="L1334" s="13" t="n">
        <v>4</v>
      </c>
      <c r="M1334" s="13" t="n">
        <v>1551369.83</v>
      </c>
      <c r="N1334" s="13" t="n">
        <v>387842.4575</v>
      </c>
      <c r="O1334" s="13" t="n">
        <v>1175.235</v>
      </c>
      <c r="P1334" s="13" t="n">
        <v>0</v>
      </c>
      <c r="Q1334" s="13" t="n">
        <v>4</v>
      </c>
      <c r="R1334" s="13" t="s">
        <v>215</v>
      </c>
      <c r="S1334" s="13" t="s">
        <v>135</v>
      </c>
      <c r="T1334" s="13" t="n">
        <v>1</v>
      </c>
      <c r="U1334" s="13" t="n">
        <f aca="false">IF(B1334="Individual",1,0)</f>
        <v>1</v>
      </c>
      <c r="V1334" s="13" t="n">
        <f aca="false">IF(B1334="Company",1,0)</f>
        <v>0</v>
      </c>
      <c r="W1334" s="13" t="n">
        <f aca="false">IF(H1334="Home",1,0)</f>
        <v>1</v>
      </c>
      <c r="X1334" s="13" t="n">
        <f aca="false">IF(H1334="Investment",1,0)</f>
        <v>0</v>
      </c>
      <c r="Y1334" s="13" t="n">
        <f aca="false">IF(K1334="Website",1,0)</f>
        <v>1</v>
      </c>
      <c r="Z1334" s="13" t="n">
        <f aca="false">IF(K1334="Agency",1,0)</f>
        <v>0</v>
      </c>
      <c r="AA1334" s="13" t="n">
        <f aca="false">IF(K1334="Client",1,0)</f>
        <v>0</v>
      </c>
      <c r="AB1334" s="13" t="n">
        <f aca="false">(D1334-AVERAGE(D$2:D$2001))/STDEV(D$2:D$2001)</f>
        <v>-0.757511677747842</v>
      </c>
      <c r="AC1334" s="13" t="n">
        <f aca="false">(I1334-AVERAGE(I$2:I$2001))/STDEV(I$2:I$2001)</f>
        <v>0.686917069130275</v>
      </c>
      <c r="AD1334" s="13" t="n">
        <f aca="false">(L1334-AVERAGE(L$2:L$2001))/STDEV(L$2:L$2001)</f>
        <v>0.413838214490712</v>
      </c>
      <c r="AE1334" s="13" t="n">
        <f aca="false">(M1334-AVERAGE(M$2:M$2001))/STDEV(M$2:M$2001)</f>
        <v>0.836597744262545</v>
      </c>
      <c r="AF1334" s="13" t="n">
        <f aca="false">(N1334-AVERAGE(N$2:N$2001))/STDEV(N$2:N$2001)</f>
        <v>0.584501388096167</v>
      </c>
      <c r="AG1334" s="13" t="n">
        <f aca="false">(O1334-AVERAGE(O$2:O$2001))/STDEV(O$2:O$2001)</f>
        <v>0.126205008723096</v>
      </c>
      <c r="AH1334" s="0" t="str">
        <f aca="false">IF(B1334="Company","C3 - Corporate Buyers",IF(AND(H1334="Investment",M1334&gt;'Segmentation Summary'!$C$1),"C1 - Global Investors",IF(AND(I1334&gt;=4,M1334&gt;'Segmentation Summary'!$C$1),"C4 - Luxury Investors",IF(AND(D1334&lt;'Segmentation Summary'!$C$2,J1334=1),"C2 - First-Time Buyers","C5 - Other Individual Buyers"))))</f>
        <v>C4 - Luxury Investors</v>
      </c>
    </row>
    <row r="1335" customFormat="false" ht="15" hidden="false" customHeight="true" outlineLevel="0" collapsed="false">
      <c r="A1335" s="13" t="s">
        <v>2680</v>
      </c>
      <c r="B1335" s="13" t="s">
        <v>34</v>
      </c>
      <c r="C1335" s="13" t="s">
        <v>2681</v>
      </c>
      <c r="D1335" s="13" t="n">
        <v>26</v>
      </c>
      <c r="E1335" s="13" t="s">
        <v>90</v>
      </c>
      <c r="F1335" s="13" t="s">
        <v>33</v>
      </c>
      <c r="G1335" s="13" t="s">
        <v>265</v>
      </c>
      <c r="H1335" s="13" t="s">
        <v>41</v>
      </c>
      <c r="I1335" s="13" t="n">
        <v>3</v>
      </c>
      <c r="J1335" s="13" t="n">
        <v>1</v>
      </c>
      <c r="K1335" s="13" t="s">
        <v>85</v>
      </c>
      <c r="L1335" s="13" t="n">
        <v>4</v>
      </c>
      <c r="M1335" s="13" t="n">
        <v>1446462.79</v>
      </c>
      <c r="N1335" s="13" t="n">
        <v>361615.6975</v>
      </c>
      <c r="O1335" s="13" t="n">
        <v>1164.015</v>
      </c>
      <c r="P1335" s="13" t="n">
        <v>0</v>
      </c>
      <c r="Q1335" s="13" t="n">
        <v>4</v>
      </c>
      <c r="R1335" s="13" t="s">
        <v>86</v>
      </c>
      <c r="S1335" s="13" t="s">
        <v>152</v>
      </c>
      <c r="T1335" s="13" t="n">
        <v>1</v>
      </c>
      <c r="U1335" s="13" t="n">
        <f aca="false">IF(B1335="Individual",1,0)</f>
        <v>1</v>
      </c>
      <c r="V1335" s="13" t="n">
        <f aca="false">IF(B1335="Company",1,0)</f>
        <v>0</v>
      </c>
      <c r="W1335" s="13" t="n">
        <f aca="false">IF(H1335="Home",1,0)</f>
        <v>1</v>
      </c>
      <c r="X1335" s="13" t="n">
        <f aca="false">IF(H1335="Investment",1,0)</f>
        <v>0</v>
      </c>
      <c r="Y1335" s="13" t="n">
        <f aca="false">IF(K1335="Website",1,0)</f>
        <v>1</v>
      </c>
      <c r="Z1335" s="13" t="n">
        <f aca="false">IF(K1335="Agency",1,0)</f>
        <v>0</v>
      </c>
      <c r="AA1335" s="13" t="n">
        <f aca="false">IF(K1335="Client",1,0)</f>
        <v>0</v>
      </c>
      <c r="AB1335" s="13" t="n">
        <f aca="false">(D1335-AVERAGE(D$2:D$2001))/STDEV(D$2:D$2001)</f>
        <v>-1.62244851007011</v>
      </c>
      <c r="AC1335" s="13" t="n">
        <f aca="false">(I1335-AVERAGE(I$2:I$2001))/STDEV(I$2:I$2001)</f>
        <v>-0.0205155458339628</v>
      </c>
      <c r="AD1335" s="13" t="n">
        <f aca="false">(L1335-AVERAGE(L$2:L$2001))/STDEV(L$2:L$2001)</f>
        <v>0.413838214490712</v>
      </c>
      <c r="AE1335" s="13" t="n">
        <f aca="false">(M1335-AVERAGE(M$2:M$2001))/STDEV(M$2:M$2001)</f>
        <v>0.534993973784066</v>
      </c>
      <c r="AF1335" s="13" t="n">
        <f aca="false">(N1335-AVERAGE(N$2:N$2001))/STDEV(N$2:N$2001)</f>
        <v>0.208338526632643</v>
      </c>
      <c r="AG1335" s="13" t="n">
        <f aca="false">(O1335-AVERAGE(O$2:O$2001))/STDEV(O$2:O$2001)</f>
        <v>0.0751870566559807</v>
      </c>
      <c r="AH1335" s="0" t="str">
        <f aca="false">IF(B1335="Company","C3 - Corporate Buyers",IF(AND(H1335="Investment",M1335&gt;'Segmentation Summary'!$C$1),"C1 - Global Investors",IF(AND(I1335&gt;=4,M1335&gt;'Segmentation Summary'!$C$1),"C4 - Luxury Investors",IF(AND(D1335&lt;'Segmentation Summary'!$C$2,J1335=1),"C2 - First-Time Buyers","C5 - Other Individual Buyers"))))</f>
        <v>C2 - First-Time Buyers</v>
      </c>
    </row>
    <row r="1336" customFormat="false" ht="15" hidden="false" customHeight="true" outlineLevel="0" collapsed="false">
      <c r="A1336" s="13" t="s">
        <v>2682</v>
      </c>
      <c r="B1336" s="13" t="s">
        <v>34</v>
      </c>
      <c r="C1336" s="13" t="s">
        <v>2683</v>
      </c>
      <c r="D1336" s="13" t="n">
        <v>80</v>
      </c>
      <c r="E1336" s="13" t="s">
        <v>90</v>
      </c>
      <c r="F1336" s="13" t="s">
        <v>33</v>
      </c>
      <c r="G1336" s="13" t="s">
        <v>95</v>
      </c>
      <c r="H1336" s="13" t="s">
        <v>41</v>
      </c>
      <c r="I1336" s="13" t="n">
        <v>1</v>
      </c>
      <c r="J1336" s="13" t="n">
        <v>0</v>
      </c>
      <c r="K1336" s="13" t="s">
        <v>91</v>
      </c>
      <c r="L1336" s="13" t="n">
        <v>4</v>
      </c>
      <c r="M1336" s="13" t="n">
        <v>1071359.39</v>
      </c>
      <c r="N1336" s="13" t="n">
        <v>267839.8475</v>
      </c>
      <c r="O1336" s="13" t="n">
        <v>920.7075</v>
      </c>
      <c r="P1336" s="13" t="n">
        <v>0</v>
      </c>
      <c r="Q1336" s="13" t="n">
        <v>4</v>
      </c>
      <c r="R1336" s="13" t="s">
        <v>92</v>
      </c>
      <c r="S1336" s="13" t="s">
        <v>93</v>
      </c>
      <c r="T1336" s="13" t="n">
        <v>1</v>
      </c>
      <c r="U1336" s="13" t="n">
        <f aca="false">IF(B1336="Individual",1,0)</f>
        <v>1</v>
      </c>
      <c r="V1336" s="13" t="n">
        <f aca="false">IF(B1336="Company",1,0)</f>
        <v>0</v>
      </c>
      <c r="W1336" s="13" t="n">
        <f aca="false">IF(H1336="Home",1,0)</f>
        <v>1</v>
      </c>
      <c r="X1336" s="13" t="n">
        <f aca="false">IF(H1336="Investment",1,0)</f>
        <v>0</v>
      </c>
      <c r="Y1336" s="13" t="n">
        <f aca="false">IF(K1336="Website",1,0)</f>
        <v>0</v>
      </c>
      <c r="Z1336" s="13" t="n">
        <f aca="false">IF(K1336="Agency",1,0)</f>
        <v>1</v>
      </c>
      <c r="AA1336" s="13" t="n">
        <f aca="false">IF(K1336="Client",1,0)</f>
        <v>0</v>
      </c>
      <c r="AB1336" s="13" t="n">
        <f aca="false">(D1336-AVERAGE(D$2:D$2001))/STDEV(D$2:D$2001)</f>
        <v>1.49132408629005</v>
      </c>
      <c r="AC1336" s="13" t="n">
        <f aca="false">(I1336-AVERAGE(I$2:I$2001))/STDEV(I$2:I$2001)</f>
        <v>-1.43538077576244</v>
      </c>
      <c r="AD1336" s="13" t="n">
        <f aca="false">(L1336-AVERAGE(L$2:L$2001))/STDEV(L$2:L$2001)</f>
        <v>0.413838214490712</v>
      </c>
      <c r="AE1336" s="13" t="n">
        <f aca="false">(M1336-AVERAGE(M$2:M$2001))/STDEV(M$2:M$2001)</f>
        <v>-0.543414107878491</v>
      </c>
      <c r="AF1336" s="13" t="n">
        <f aca="false">(N1336-AVERAGE(N$2:N$2001))/STDEV(N$2:N$2001)</f>
        <v>-1.13666146849349</v>
      </c>
      <c r="AG1336" s="13" t="n">
        <f aca="false">(O1336-AVERAGE(O$2:O$2001))/STDEV(O$2:O$2001)</f>
        <v>-1.03114541861764</v>
      </c>
      <c r="AH1336" s="0" t="str">
        <f aca="false">IF(B1336="Company","C3 - Corporate Buyers",IF(AND(H1336="Investment",M1336&gt;'Segmentation Summary'!$C$1),"C1 - Global Investors",IF(AND(I1336&gt;=4,M1336&gt;'Segmentation Summary'!$C$1),"C4 - Luxury Investors",IF(AND(D1336&lt;'Segmentation Summary'!$C$2,J1336=1),"C2 - First-Time Buyers","C5 - Other Individual Buyers"))))</f>
        <v>C5 - Other Individual Buyers</v>
      </c>
    </row>
    <row r="1337" customFormat="false" ht="15" hidden="false" customHeight="true" outlineLevel="0" collapsed="false">
      <c r="A1337" s="13" t="s">
        <v>2684</v>
      </c>
      <c r="B1337" s="13" t="s">
        <v>34</v>
      </c>
      <c r="C1337" s="13" t="s">
        <v>2685</v>
      </c>
      <c r="D1337" s="13" t="n">
        <v>45</v>
      </c>
      <c r="E1337" s="13" t="s">
        <v>90</v>
      </c>
      <c r="F1337" s="13" t="s">
        <v>33</v>
      </c>
      <c r="G1337" s="13" t="s">
        <v>95</v>
      </c>
      <c r="H1337" s="13" t="s">
        <v>43</v>
      </c>
      <c r="I1337" s="13" t="n">
        <v>1</v>
      </c>
      <c r="J1337" s="13" t="n">
        <v>1</v>
      </c>
      <c r="K1337" s="13" t="s">
        <v>85</v>
      </c>
      <c r="L1337" s="13" t="n">
        <v>3</v>
      </c>
      <c r="M1337" s="13" t="n">
        <v>1038831.85</v>
      </c>
      <c r="N1337" s="13" t="n">
        <v>346277.283333333</v>
      </c>
      <c r="O1337" s="13" t="n">
        <v>1193.77333333333</v>
      </c>
      <c r="P1337" s="13" t="n">
        <v>0</v>
      </c>
      <c r="Q1337" s="13" t="n">
        <v>3</v>
      </c>
      <c r="R1337" s="13" t="s">
        <v>92</v>
      </c>
      <c r="S1337" s="13" t="s">
        <v>125</v>
      </c>
      <c r="T1337" s="13" t="n">
        <v>1</v>
      </c>
      <c r="U1337" s="13" t="n">
        <f aca="false">IF(B1337="Individual",1,0)</f>
        <v>1</v>
      </c>
      <c r="V1337" s="13" t="n">
        <f aca="false">IF(B1337="Company",1,0)</f>
        <v>0</v>
      </c>
      <c r="W1337" s="13" t="n">
        <f aca="false">IF(H1337="Home",1,0)</f>
        <v>0</v>
      </c>
      <c r="X1337" s="13" t="n">
        <f aca="false">IF(H1337="Investment",1,0)</f>
        <v>1</v>
      </c>
      <c r="Y1337" s="13" t="n">
        <f aca="false">IF(K1337="Website",1,0)</f>
        <v>1</v>
      </c>
      <c r="Z1337" s="13" t="n">
        <f aca="false">IF(K1337="Agency",1,0)</f>
        <v>0</v>
      </c>
      <c r="AA1337" s="13" t="n">
        <f aca="false">IF(K1337="Client",1,0)</f>
        <v>0</v>
      </c>
      <c r="AB1337" s="13" t="n">
        <f aca="false">(D1337-AVERAGE(D$2:D$2001))/STDEV(D$2:D$2001)</f>
        <v>-0.526861855795238</v>
      </c>
      <c r="AC1337" s="13" t="n">
        <f aca="false">(I1337-AVERAGE(I$2:I$2001))/STDEV(I$2:I$2001)</f>
        <v>-1.43538077576244</v>
      </c>
      <c r="AD1337" s="13" t="n">
        <f aca="false">(L1337-AVERAGE(L$2:L$2001))/STDEV(L$2:L$2001)</f>
        <v>-0.777063122173208</v>
      </c>
      <c r="AE1337" s="13" t="n">
        <f aca="false">(M1337-AVERAGE(M$2:M$2001))/STDEV(M$2:M$2001)</f>
        <v>-0.636929554586257</v>
      </c>
      <c r="AF1337" s="13" t="n">
        <f aca="false">(N1337-AVERAGE(N$2:N$2001))/STDEV(N$2:N$2001)</f>
        <v>-0.0116559280101001</v>
      </c>
      <c r="AG1337" s="13" t="n">
        <f aca="false">(O1337-AVERAGE(O$2:O$2001))/STDEV(O$2:O$2001)</f>
        <v>0.21049982168246</v>
      </c>
      <c r="AH1337" s="0" t="str">
        <f aca="false">IF(B1337="Company","C3 - Corporate Buyers",IF(AND(H1337="Investment",M1337&gt;'Segmentation Summary'!$C$1),"C1 - Global Investors",IF(AND(I1337&gt;=4,M1337&gt;'Segmentation Summary'!$C$1),"C4 - Luxury Investors",IF(AND(D1337&lt;'Segmentation Summary'!$C$2,J1337=1),"C2 - First-Time Buyers","C5 - Other Individual Buyers"))))</f>
        <v>C2 - First-Time Buyers</v>
      </c>
    </row>
    <row r="1338" customFormat="false" ht="15" hidden="false" customHeight="true" outlineLevel="0" collapsed="false">
      <c r="A1338" s="13" t="s">
        <v>2686</v>
      </c>
      <c r="B1338" s="13" t="s">
        <v>34</v>
      </c>
      <c r="C1338" s="13" t="s">
        <v>2687</v>
      </c>
      <c r="D1338" s="13" t="n">
        <v>62</v>
      </c>
      <c r="E1338" s="13" t="s">
        <v>90</v>
      </c>
      <c r="F1338" s="13" t="s">
        <v>33</v>
      </c>
      <c r="G1338" s="13" t="s">
        <v>106</v>
      </c>
      <c r="H1338" s="13" t="s">
        <v>41</v>
      </c>
      <c r="I1338" s="13" t="n">
        <v>2</v>
      </c>
      <c r="J1338" s="13" t="n">
        <v>1</v>
      </c>
      <c r="K1338" s="13" t="s">
        <v>85</v>
      </c>
      <c r="L1338" s="13" t="n">
        <v>4</v>
      </c>
      <c r="M1338" s="13" t="n">
        <v>1356655.68</v>
      </c>
      <c r="N1338" s="13" t="n">
        <v>339163.92</v>
      </c>
      <c r="O1338" s="13" t="n">
        <v>1103.3025</v>
      </c>
      <c r="P1338" s="13" t="n">
        <v>1</v>
      </c>
      <c r="Q1338" s="13" t="n">
        <v>3</v>
      </c>
      <c r="R1338" s="13" t="s">
        <v>101</v>
      </c>
      <c r="S1338" s="13" t="s">
        <v>114</v>
      </c>
      <c r="T1338" s="13" t="n">
        <v>1</v>
      </c>
      <c r="U1338" s="13" t="n">
        <f aca="false">IF(B1338="Individual",1,0)</f>
        <v>1</v>
      </c>
      <c r="V1338" s="13" t="n">
        <f aca="false">IF(B1338="Company",1,0)</f>
        <v>0</v>
      </c>
      <c r="W1338" s="13" t="n">
        <f aca="false">IF(H1338="Home",1,0)</f>
        <v>1</v>
      </c>
      <c r="X1338" s="13" t="n">
        <f aca="false">IF(H1338="Investment",1,0)</f>
        <v>0</v>
      </c>
      <c r="Y1338" s="13" t="n">
        <f aca="false">IF(K1338="Website",1,0)</f>
        <v>1</v>
      </c>
      <c r="Z1338" s="13" t="n">
        <f aca="false">IF(K1338="Agency",1,0)</f>
        <v>0</v>
      </c>
      <c r="AA1338" s="13" t="n">
        <f aca="false">IF(K1338="Client",1,0)</f>
        <v>0</v>
      </c>
      <c r="AB1338" s="13" t="n">
        <f aca="false">(D1338-AVERAGE(D$2:D$2001))/STDEV(D$2:D$2001)</f>
        <v>0.453399887503333</v>
      </c>
      <c r="AC1338" s="13" t="n">
        <f aca="false">(I1338-AVERAGE(I$2:I$2001))/STDEV(I$2:I$2001)</f>
        <v>-0.727948160798201</v>
      </c>
      <c r="AD1338" s="13" t="n">
        <f aca="false">(L1338-AVERAGE(L$2:L$2001))/STDEV(L$2:L$2001)</f>
        <v>0.413838214490712</v>
      </c>
      <c r="AE1338" s="13" t="n">
        <f aca="false">(M1338-AVERAGE(M$2:M$2001))/STDEV(M$2:M$2001)</f>
        <v>0.276801930697391</v>
      </c>
      <c r="AF1338" s="13" t="n">
        <f aca="false">(N1338-AVERAGE(N$2:N$2001))/STDEV(N$2:N$2001)</f>
        <v>-0.113680848591073</v>
      </c>
      <c r="AG1338" s="13" t="n">
        <f aca="false">(O1338-AVERAGE(O$2:O$2001))/STDEV(O$2:O$2001)</f>
        <v>-0.200875992798104</v>
      </c>
      <c r="AH1338" s="0" t="str">
        <f aca="false">IF(B1338="Company","C3 - Corporate Buyers",IF(AND(H1338="Investment",M1338&gt;'Segmentation Summary'!$C$1),"C1 - Global Investors",IF(AND(I1338&gt;=4,M1338&gt;'Segmentation Summary'!$C$1),"C4 - Luxury Investors",IF(AND(D1338&lt;'Segmentation Summary'!$C$2,J1338=1),"C2 - First-Time Buyers","C5 - Other Individual Buyers"))))</f>
        <v>C5 - Other Individual Buyers</v>
      </c>
    </row>
    <row r="1339" customFormat="false" ht="15" hidden="false" customHeight="true" outlineLevel="0" collapsed="false">
      <c r="A1339" s="13" t="s">
        <v>2688</v>
      </c>
      <c r="B1339" s="13" t="s">
        <v>34</v>
      </c>
      <c r="C1339" s="13" t="s">
        <v>2689</v>
      </c>
      <c r="D1339" s="13" t="n">
        <v>65</v>
      </c>
      <c r="E1339" s="13" t="s">
        <v>90</v>
      </c>
      <c r="F1339" s="13" t="s">
        <v>33</v>
      </c>
      <c r="G1339" s="13" t="s">
        <v>100</v>
      </c>
      <c r="H1339" s="13" t="s">
        <v>41</v>
      </c>
      <c r="I1339" s="13" t="n">
        <v>4</v>
      </c>
      <c r="J1339" s="13" t="n">
        <v>0</v>
      </c>
      <c r="K1339" s="13" t="s">
        <v>91</v>
      </c>
      <c r="L1339" s="13" t="n">
        <v>3</v>
      </c>
      <c r="M1339" s="13" t="n">
        <v>1045776.52</v>
      </c>
      <c r="N1339" s="13" t="n">
        <v>348592.173333333</v>
      </c>
      <c r="O1339" s="13" t="n">
        <v>1286.42666666667</v>
      </c>
      <c r="P1339" s="13" t="n">
        <v>0</v>
      </c>
      <c r="Q1339" s="13" t="n">
        <v>3</v>
      </c>
      <c r="R1339" s="13" t="s">
        <v>121</v>
      </c>
      <c r="S1339" s="13" t="s">
        <v>93</v>
      </c>
      <c r="T1339" s="13" t="n">
        <v>1</v>
      </c>
      <c r="U1339" s="13" t="n">
        <f aca="false">IF(B1339="Individual",1,0)</f>
        <v>1</v>
      </c>
      <c r="V1339" s="13" t="n">
        <f aca="false">IF(B1339="Company",1,0)</f>
        <v>0</v>
      </c>
      <c r="W1339" s="13" t="n">
        <f aca="false">IF(H1339="Home",1,0)</f>
        <v>1</v>
      </c>
      <c r="X1339" s="13" t="n">
        <f aca="false">IF(H1339="Investment",1,0)</f>
        <v>0</v>
      </c>
      <c r="Y1339" s="13" t="n">
        <f aca="false">IF(K1339="Website",1,0)</f>
        <v>0</v>
      </c>
      <c r="Z1339" s="13" t="n">
        <f aca="false">IF(K1339="Agency",1,0)</f>
        <v>1</v>
      </c>
      <c r="AA1339" s="13" t="n">
        <f aca="false">IF(K1339="Client",1,0)</f>
        <v>0</v>
      </c>
      <c r="AB1339" s="13" t="n">
        <f aca="false">(D1339-AVERAGE(D$2:D$2001))/STDEV(D$2:D$2001)</f>
        <v>0.626387253967787</v>
      </c>
      <c r="AC1339" s="13" t="n">
        <f aca="false">(I1339-AVERAGE(I$2:I$2001))/STDEV(I$2:I$2001)</f>
        <v>0.686917069130275</v>
      </c>
      <c r="AD1339" s="13" t="n">
        <f aca="false">(L1339-AVERAGE(L$2:L$2001))/STDEV(L$2:L$2001)</f>
        <v>-0.777063122173208</v>
      </c>
      <c r="AE1339" s="13" t="n">
        <f aca="false">(M1339-AVERAGE(M$2:M$2001))/STDEV(M$2:M$2001)</f>
        <v>-0.616963891111921</v>
      </c>
      <c r="AF1339" s="13" t="n">
        <f aca="false">(N1339-AVERAGE(N$2:N$2001))/STDEV(N$2:N$2001)</f>
        <v>0.0215458722265018</v>
      </c>
      <c r="AG1339" s="13" t="n">
        <f aca="false">(O1339-AVERAGE(O$2:O$2001))/STDEV(O$2:O$2001)</f>
        <v>0.63179958272158</v>
      </c>
      <c r="AH1339" s="0" t="str">
        <f aca="false">IF(B1339="Company","C3 - Corporate Buyers",IF(AND(H1339="Investment",M1339&gt;'Segmentation Summary'!$C$1),"C1 - Global Investors",IF(AND(I1339&gt;=4,M1339&gt;'Segmentation Summary'!$C$1),"C4 - Luxury Investors",IF(AND(D1339&lt;'Segmentation Summary'!$C$2,J1339=1),"C2 - First-Time Buyers","C5 - Other Individual Buyers"))))</f>
        <v>C5 - Other Individual Buyers</v>
      </c>
    </row>
    <row r="1340" customFormat="false" ht="15" hidden="false" customHeight="true" outlineLevel="0" collapsed="false">
      <c r="A1340" s="13" t="s">
        <v>2690</v>
      </c>
      <c r="B1340" s="13" t="s">
        <v>34</v>
      </c>
      <c r="C1340" s="13" t="s">
        <v>2691</v>
      </c>
      <c r="D1340" s="13" t="n">
        <v>82</v>
      </c>
      <c r="E1340" s="13" t="s">
        <v>90</v>
      </c>
      <c r="F1340" s="13" t="s">
        <v>33</v>
      </c>
      <c r="G1340" s="13" t="s">
        <v>84</v>
      </c>
      <c r="H1340" s="13" t="s">
        <v>41</v>
      </c>
      <c r="I1340" s="13" t="n">
        <v>2</v>
      </c>
      <c r="J1340" s="13" t="n">
        <v>0</v>
      </c>
      <c r="K1340" s="13" t="s">
        <v>91</v>
      </c>
      <c r="L1340" s="13" t="n">
        <v>3</v>
      </c>
      <c r="M1340" s="13" t="n">
        <v>1022396.03</v>
      </c>
      <c r="N1340" s="13" t="n">
        <v>340798.676666667</v>
      </c>
      <c r="O1340" s="13" t="n">
        <v>989.056666666667</v>
      </c>
      <c r="P1340" s="13" t="n">
        <v>1</v>
      </c>
      <c r="Q1340" s="13" t="n">
        <v>2</v>
      </c>
      <c r="R1340" s="13" t="s">
        <v>98</v>
      </c>
      <c r="S1340" s="13" t="s">
        <v>98</v>
      </c>
      <c r="T1340" s="13" t="n">
        <v>1</v>
      </c>
      <c r="U1340" s="13" t="n">
        <f aca="false">IF(B1340="Individual",1,0)</f>
        <v>1</v>
      </c>
      <c r="V1340" s="13" t="n">
        <f aca="false">IF(B1340="Company",1,0)</f>
        <v>0</v>
      </c>
      <c r="W1340" s="13" t="n">
        <f aca="false">IF(H1340="Home",1,0)</f>
        <v>1</v>
      </c>
      <c r="X1340" s="13" t="n">
        <f aca="false">IF(H1340="Investment",1,0)</f>
        <v>0</v>
      </c>
      <c r="Y1340" s="13" t="n">
        <f aca="false">IF(K1340="Website",1,0)</f>
        <v>0</v>
      </c>
      <c r="Z1340" s="13" t="n">
        <f aca="false">IF(K1340="Agency",1,0)</f>
        <v>1</v>
      </c>
      <c r="AA1340" s="13" t="n">
        <f aca="false">IF(K1340="Client",1,0)</f>
        <v>0</v>
      </c>
      <c r="AB1340" s="13" t="n">
        <f aca="false">(D1340-AVERAGE(D$2:D$2001))/STDEV(D$2:D$2001)</f>
        <v>1.60664899726636</v>
      </c>
      <c r="AC1340" s="13" t="n">
        <f aca="false">(I1340-AVERAGE(I$2:I$2001))/STDEV(I$2:I$2001)</f>
        <v>-0.727948160798201</v>
      </c>
      <c r="AD1340" s="13" t="n">
        <f aca="false">(L1340-AVERAGE(L$2:L$2001))/STDEV(L$2:L$2001)</f>
        <v>-0.777063122173208</v>
      </c>
      <c r="AE1340" s="13" t="n">
        <f aca="false">(M1340-AVERAGE(M$2:M$2001))/STDEV(M$2:M$2001)</f>
        <v>-0.684181915180033</v>
      </c>
      <c r="AF1340" s="13" t="n">
        <f aca="false">(N1340-AVERAGE(N$2:N$2001))/STDEV(N$2:N$2001)</f>
        <v>-0.0902340047746801</v>
      </c>
      <c r="AG1340" s="13" t="n">
        <f aca="false">(O1340-AVERAGE(O$2:O$2001))/STDEV(O$2:O$2001)</f>
        <v>-0.720358029239083</v>
      </c>
      <c r="AH1340" s="0" t="str">
        <f aca="false">IF(B1340="Company","C3 - Corporate Buyers",IF(AND(H1340="Investment",M1340&gt;'Segmentation Summary'!$C$1),"C1 - Global Investors",IF(AND(I1340&gt;=4,M1340&gt;'Segmentation Summary'!$C$1),"C4 - Luxury Investors",IF(AND(D1340&lt;'Segmentation Summary'!$C$2,J1340=1),"C2 - First-Time Buyers","C5 - Other Individual Buyers"))))</f>
        <v>C5 - Other Individual Buyers</v>
      </c>
    </row>
    <row r="1341" customFormat="false" ht="15" hidden="false" customHeight="true" outlineLevel="0" collapsed="false">
      <c r="A1341" s="13" t="s">
        <v>2692</v>
      </c>
      <c r="B1341" s="13" t="s">
        <v>34</v>
      </c>
      <c r="C1341" s="13" t="s">
        <v>2693</v>
      </c>
      <c r="D1341" s="13" t="n">
        <v>25</v>
      </c>
      <c r="E1341" s="13" t="s">
        <v>90</v>
      </c>
      <c r="F1341" s="13" t="s">
        <v>33</v>
      </c>
      <c r="G1341" s="13" t="s">
        <v>120</v>
      </c>
      <c r="H1341" s="13" t="s">
        <v>41</v>
      </c>
      <c r="I1341" s="13" t="n">
        <v>5</v>
      </c>
      <c r="J1341" s="13" t="n">
        <v>0</v>
      </c>
      <c r="K1341" s="13" t="s">
        <v>85</v>
      </c>
      <c r="L1341" s="13" t="n">
        <v>3</v>
      </c>
      <c r="M1341" s="13" t="n">
        <v>1637300.41</v>
      </c>
      <c r="N1341" s="13" t="n">
        <v>545766.803333333</v>
      </c>
      <c r="O1341" s="13" t="n">
        <v>1579.31333333333</v>
      </c>
      <c r="P1341" s="13" t="n">
        <v>1</v>
      </c>
      <c r="Q1341" s="13" t="n">
        <v>2</v>
      </c>
      <c r="R1341" s="13" t="s">
        <v>93</v>
      </c>
      <c r="S1341" s="13" t="s">
        <v>152</v>
      </c>
      <c r="T1341" s="13" t="n">
        <v>1</v>
      </c>
      <c r="U1341" s="13" t="n">
        <f aca="false">IF(B1341="Individual",1,0)</f>
        <v>1</v>
      </c>
      <c r="V1341" s="13" t="n">
        <f aca="false">IF(B1341="Company",1,0)</f>
        <v>0</v>
      </c>
      <c r="W1341" s="13" t="n">
        <f aca="false">IF(H1341="Home",1,0)</f>
        <v>1</v>
      </c>
      <c r="X1341" s="13" t="n">
        <f aca="false">IF(H1341="Investment",1,0)</f>
        <v>0</v>
      </c>
      <c r="Y1341" s="13" t="n">
        <f aca="false">IF(K1341="Website",1,0)</f>
        <v>1</v>
      </c>
      <c r="Z1341" s="13" t="n">
        <f aca="false">IF(K1341="Agency",1,0)</f>
        <v>0</v>
      </c>
      <c r="AA1341" s="13" t="n">
        <f aca="false">IF(K1341="Client",1,0)</f>
        <v>0</v>
      </c>
      <c r="AB1341" s="13" t="n">
        <f aca="false">(D1341-AVERAGE(D$2:D$2001))/STDEV(D$2:D$2001)</f>
        <v>-1.68011096555826</v>
      </c>
      <c r="AC1341" s="13" t="n">
        <f aca="false">(I1341-AVERAGE(I$2:I$2001))/STDEV(I$2:I$2001)</f>
        <v>1.39434968409451</v>
      </c>
      <c r="AD1341" s="13" t="n">
        <f aca="false">(L1341-AVERAGE(L$2:L$2001))/STDEV(L$2:L$2001)</f>
        <v>-0.777063122173208</v>
      </c>
      <c r="AE1341" s="13" t="n">
        <f aca="false">(M1341-AVERAGE(M$2:M$2001))/STDEV(M$2:M$2001)</f>
        <v>1.08364491028117</v>
      </c>
      <c r="AF1341" s="13" t="n">
        <f aca="false">(N1341-AVERAGE(N$2:N$2001))/STDEV(N$2:N$2001)</f>
        <v>2.84956477463044</v>
      </c>
      <c r="AG1341" s="13" t="n">
        <f aca="false">(O1341-AVERAGE(O$2:O$2001))/STDEV(O$2:O$2001)</f>
        <v>1.96357123344326</v>
      </c>
      <c r="AH1341" s="0" t="str">
        <f aca="false">IF(B1341="Company","C3 - Corporate Buyers",IF(AND(H1341="Investment",M1341&gt;'Segmentation Summary'!$C$1),"C1 - Global Investors",IF(AND(I1341&gt;=4,M1341&gt;'Segmentation Summary'!$C$1),"C4 - Luxury Investors",IF(AND(D1341&lt;'Segmentation Summary'!$C$2,J1341=1),"C2 - First-Time Buyers","C5 - Other Individual Buyers"))))</f>
        <v>C4 - Luxury Investors</v>
      </c>
    </row>
    <row r="1342" customFormat="false" ht="15" hidden="false" customHeight="true" outlineLevel="0" collapsed="false">
      <c r="A1342" s="13" t="s">
        <v>2694</v>
      </c>
      <c r="B1342" s="13" t="s">
        <v>34</v>
      </c>
      <c r="C1342" s="13" t="s">
        <v>2695</v>
      </c>
      <c r="D1342" s="13" t="n">
        <v>42</v>
      </c>
      <c r="E1342" s="13" t="s">
        <v>90</v>
      </c>
      <c r="F1342" s="13" t="s">
        <v>33</v>
      </c>
      <c r="G1342" s="13" t="s">
        <v>95</v>
      </c>
      <c r="H1342" s="13" t="s">
        <v>41</v>
      </c>
      <c r="I1342" s="13" t="n">
        <v>2</v>
      </c>
      <c r="J1342" s="13" t="n">
        <v>0</v>
      </c>
      <c r="K1342" s="13" t="s">
        <v>116</v>
      </c>
      <c r="L1342" s="13" t="n">
        <v>4</v>
      </c>
      <c r="M1342" s="13" t="n">
        <v>1254494.91</v>
      </c>
      <c r="N1342" s="13" t="n">
        <v>313623.7275</v>
      </c>
      <c r="O1342" s="13" t="n">
        <v>1045.8025</v>
      </c>
      <c r="P1342" s="13" t="n">
        <v>0</v>
      </c>
      <c r="Q1342" s="13" t="n">
        <v>4</v>
      </c>
      <c r="R1342" s="13" t="s">
        <v>117</v>
      </c>
      <c r="S1342" s="13" t="s">
        <v>215</v>
      </c>
      <c r="T1342" s="13" t="n">
        <v>1</v>
      </c>
      <c r="U1342" s="13" t="n">
        <f aca="false">IF(B1342="Individual",1,0)</f>
        <v>1</v>
      </c>
      <c r="V1342" s="13" t="n">
        <f aca="false">IF(B1342="Company",1,0)</f>
        <v>0</v>
      </c>
      <c r="W1342" s="13" t="n">
        <f aca="false">IF(H1342="Home",1,0)</f>
        <v>1</v>
      </c>
      <c r="X1342" s="13" t="n">
        <f aca="false">IF(H1342="Investment",1,0)</f>
        <v>0</v>
      </c>
      <c r="Y1342" s="13" t="n">
        <f aca="false">IF(K1342="Website",1,0)</f>
        <v>0</v>
      </c>
      <c r="Z1342" s="13" t="n">
        <f aca="false">IF(K1342="Agency",1,0)</f>
        <v>0</v>
      </c>
      <c r="AA1342" s="13" t="n">
        <f aca="false">IF(K1342="Client",1,0)</f>
        <v>1</v>
      </c>
      <c r="AB1342" s="13" t="n">
        <f aca="false">(D1342-AVERAGE(D$2:D$2001))/STDEV(D$2:D$2001)</f>
        <v>-0.699849222259691</v>
      </c>
      <c r="AC1342" s="13" t="n">
        <f aca="false">(I1342-AVERAGE(I$2:I$2001))/STDEV(I$2:I$2001)</f>
        <v>-0.727948160798201</v>
      </c>
      <c r="AD1342" s="13" t="n">
        <f aca="false">(L1342-AVERAGE(L$2:L$2001))/STDEV(L$2:L$2001)</f>
        <v>0.413838214490712</v>
      </c>
      <c r="AE1342" s="13" t="n">
        <f aca="false">(M1342-AVERAGE(M$2:M$2001))/STDEV(M$2:M$2001)</f>
        <v>-0.0169064174457337</v>
      </c>
      <c r="AF1342" s="13" t="n">
        <f aca="false">(N1342-AVERAGE(N$2:N$2001))/STDEV(N$2:N$2001)</f>
        <v>-0.479996470235883</v>
      </c>
      <c r="AG1342" s="13" t="n">
        <f aca="false">(O1342-AVERAGE(O$2:O$2001))/STDEV(O$2:O$2001)</f>
        <v>-0.462331629505698</v>
      </c>
      <c r="AH1342" s="0" t="str">
        <f aca="false">IF(B1342="Company","C3 - Corporate Buyers",IF(AND(H1342="Investment",M1342&gt;'Segmentation Summary'!$C$1),"C1 - Global Investors",IF(AND(I1342&gt;=4,M1342&gt;'Segmentation Summary'!$C$1),"C4 - Luxury Investors",IF(AND(D1342&lt;'Segmentation Summary'!$C$2,J1342=1),"C2 - First-Time Buyers","C5 - Other Individual Buyers"))))</f>
        <v>C5 - Other Individual Buyers</v>
      </c>
    </row>
    <row r="1343" customFormat="false" ht="15" hidden="false" customHeight="true" outlineLevel="0" collapsed="false">
      <c r="A1343" s="13" t="s">
        <v>2696</v>
      </c>
      <c r="B1343" s="13" t="s">
        <v>34</v>
      </c>
      <c r="C1343" s="13" t="s">
        <v>2697</v>
      </c>
      <c r="D1343" s="13" t="n">
        <v>71</v>
      </c>
      <c r="E1343" s="13" t="s">
        <v>90</v>
      </c>
      <c r="F1343" s="13" t="s">
        <v>33</v>
      </c>
      <c r="G1343" s="13" t="s">
        <v>95</v>
      </c>
      <c r="H1343" s="13" t="s">
        <v>41</v>
      </c>
      <c r="I1343" s="13" t="n">
        <v>5</v>
      </c>
      <c r="J1343" s="13" t="n">
        <v>1</v>
      </c>
      <c r="K1343" s="13" t="s">
        <v>91</v>
      </c>
      <c r="L1343" s="13" t="n">
        <v>3</v>
      </c>
      <c r="M1343" s="13" t="n">
        <v>1221957.12</v>
      </c>
      <c r="N1343" s="13" t="n">
        <v>407319.04</v>
      </c>
      <c r="O1343" s="13" t="n">
        <v>1325.08</v>
      </c>
      <c r="P1343" s="13" t="n">
        <v>0</v>
      </c>
      <c r="Q1343" s="13" t="n">
        <v>3</v>
      </c>
      <c r="R1343" s="13" t="s">
        <v>124</v>
      </c>
      <c r="S1343" s="13" t="s">
        <v>125</v>
      </c>
      <c r="T1343" s="13" t="n">
        <v>1</v>
      </c>
      <c r="U1343" s="13" t="n">
        <f aca="false">IF(B1343="Individual",1,0)</f>
        <v>1</v>
      </c>
      <c r="V1343" s="13" t="n">
        <f aca="false">IF(B1343="Company",1,0)</f>
        <v>0</v>
      </c>
      <c r="W1343" s="13" t="n">
        <f aca="false">IF(H1343="Home",1,0)</f>
        <v>1</v>
      </c>
      <c r="X1343" s="13" t="n">
        <f aca="false">IF(H1343="Investment",1,0)</f>
        <v>0</v>
      </c>
      <c r="Y1343" s="13" t="n">
        <f aca="false">IF(K1343="Website",1,0)</f>
        <v>0</v>
      </c>
      <c r="Z1343" s="13" t="n">
        <f aca="false">IF(K1343="Agency",1,0)</f>
        <v>1</v>
      </c>
      <c r="AA1343" s="13" t="n">
        <f aca="false">IF(K1343="Client",1,0)</f>
        <v>0</v>
      </c>
      <c r="AB1343" s="13" t="n">
        <f aca="false">(D1343-AVERAGE(D$2:D$2001))/STDEV(D$2:D$2001)</f>
        <v>0.972361986896694</v>
      </c>
      <c r="AC1343" s="13" t="n">
        <f aca="false">(I1343-AVERAGE(I$2:I$2001))/STDEV(I$2:I$2001)</f>
        <v>1.39434968409451</v>
      </c>
      <c r="AD1343" s="13" t="n">
        <f aca="false">(L1343-AVERAGE(L$2:L$2001))/STDEV(L$2:L$2001)</f>
        <v>-0.777063122173208</v>
      </c>
      <c r="AE1343" s="13" t="n">
        <f aca="false">(M1343-AVERAGE(M$2:M$2001))/STDEV(M$2:M$2001)</f>
        <v>-0.110451332515655</v>
      </c>
      <c r="AF1343" s="13" t="n">
        <f aca="false">(N1343-AVERAGE(N$2:N$2001))/STDEV(N$2:N$2001)</f>
        <v>0.863848398734553</v>
      </c>
      <c r="AG1343" s="13" t="n">
        <f aca="false">(O1343-AVERAGE(O$2:O$2001))/STDEV(O$2:O$2001)</f>
        <v>0.807558397983088</v>
      </c>
      <c r="AH1343" s="0" t="str">
        <f aca="false">IF(B1343="Company","C3 - Corporate Buyers",IF(AND(H1343="Investment",M1343&gt;'Segmentation Summary'!$C$1),"C1 - Global Investors",IF(AND(I1343&gt;=4,M1343&gt;'Segmentation Summary'!$C$1),"C4 - Luxury Investors",IF(AND(D1343&lt;'Segmentation Summary'!$C$2,J1343=1),"C2 - First-Time Buyers","C5 - Other Individual Buyers"))))</f>
        <v>C4 - Luxury Investors</v>
      </c>
    </row>
    <row r="1344" customFormat="false" ht="15" hidden="false" customHeight="true" outlineLevel="0" collapsed="false">
      <c r="A1344" s="13" t="s">
        <v>2698</v>
      </c>
      <c r="B1344" s="13" t="s">
        <v>34</v>
      </c>
      <c r="C1344" s="13" t="s">
        <v>2699</v>
      </c>
      <c r="D1344" s="13" t="n">
        <v>52</v>
      </c>
      <c r="E1344" s="13" t="s">
        <v>90</v>
      </c>
      <c r="F1344" s="13" t="s">
        <v>33</v>
      </c>
      <c r="G1344" s="13" t="s">
        <v>95</v>
      </c>
      <c r="H1344" s="13" t="s">
        <v>41</v>
      </c>
      <c r="I1344" s="13" t="n">
        <v>4</v>
      </c>
      <c r="J1344" s="13" t="n">
        <v>0</v>
      </c>
      <c r="K1344" s="13" t="s">
        <v>85</v>
      </c>
      <c r="L1344" s="13" t="n">
        <v>4</v>
      </c>
      <c r="M1344" s="13" t="n">
        <v>1700411.72</v>
      </c>
      <c r="N1344" s="13" t="n">
        <v>425102.93</v>
      </c>
      <c r="O1344" s="13" t="n">
        <v>1307.3</v>
      </c>
      <c r="P1344" s="13" t="n">
        <v>0</v>
      </c>
      <c r="Q1344" s="13" t="n">
        <v>4</v>
      </c>
      <c r="R1344" s="13" t="s">
        <v>98</v>
      </c>
      <c r="S1344" s="13" t="s">
        <v>164</v>
      </c>
      <c r="T1344" s="13" t="n">
        <v>1</v>
      </c>
      <c r="U1344" s="13" t="n">
        <f aca="false">IF(B1344="Individual",1,0)</f>
        <v>1</v>
      </c>
      <c r="V1344" s="13" t="n">
        <f aca="false">IF(B1344="Company",1,0)</f>
        <v>0</v>
      </c>
      <c r="W1344" s="13" t="n">
        <f aca="false">IF(H1344="Home",1,0)</f>
        <v>1</v>
      </c>
      <c r="X1344" s="13" t="n">
        <f aca="false">IF(H1344="Investment",1,0)</f>
        <v>0</v>
      </c>
      <c r="Y1344" s="13" t="n">
        <f aca="false">IF(K1344="Website",1,0)</f>
        <v>1</v>
      </c>
      <c r="Z1344" s="13" t="n">
        <f aca="false">IF(K1344="Agency",1,0)</f>
        <v>0</v>
      </c>
      <c r="AA1344" s="13" t="n">
        <f aca="false">IF(K1344="Client",1,0)</f>
        <v>0</v>
      </c>
      <c r="AB1344" s="13" t="n">
        <f aca="false">(D1344-AVERAGE(D$2:D$2001))/STDEV(D$2:D$2001)</f>
        <v>-0.123224667378179</v>
      </c>
      <c r="AC1344" s="13" t="n">
        <f aca="false">(I1344-AVERAGE(I$2:I$2001))/STDEV(I$2:I$2001)</f>
        <v>0.686917069130275</v>
      </c>
      <c r="AD1344" s="13" t="n">
        <f aca="false">(L1344-AVERAGE(L$2:L$2001))/STDEV(L$2:L$2001)</f>
        <v>0.413838214490712</v>
      </c>
      <c r="AE1344" s="13" t="n">
        <f aca="false">(M1344-AVERAGE(M$2:M$2001))/STDEV(M$2:M$2001)</f>
        <v>1.26508753849598</v>
      </c>
      <c r="AF1344" s="13" t="n">
        <f aca="false">(N1344-AVERAGE(N$2:N$2001))/STDEV(N$2:N$2001)</f>
        <v>1.11891760859321</v>
      </c>
      <c r="AG1344" s="13" t="n">
        <f aca="false">(O1344-AVERAGE(O$2:O$2001))/STDEV(O$2:O$2001)</f>
        <v>0.726711768058548</v>
      </c>
      <c r="AH1344" s="0" t="str">
        <f aca="false">IF(B1344="Company","C3 - Corporate Buyers",IF(AND(H1344="Investment",M1344&gt;'Segmentation Summary'!$C$1),"C1 - Global Investors",IF(AND(I1344&gt;=4,M1344&gt;'Segmentation Summary'!$C$1),"C4 - Luxury Investors",IF(AND(D1344&lt;'Segmentation Summary'!$C$2,J1344=1),"C2 - First-Time Buyers","C5 - Other Individual Buyers"))))</f>
        <v>C4 - Luxury Investors</v>
      </c>
    </row>
    <row r="1345" customFormat="false" ht="15" hidden="false" customHeight="true" outlineLevel="0" collapsed="false">
      <c r="A1345" s="13" t="s">
        <v>2700</v>
      </c>
      <c r="B1345" s="13" t="s">
        <v>34</v>
      </c>
      <c r="C1345" s="13" t="s">
        <v>2701</v>
      </c>
      <c r="D1345" s="13" t="n">
        <v>78</v>
      </c>
      <c r="E1345" s="13" t="s">
        <v>90</v>
      </c>
      <c r="F1345" s="13" t="s">
        <v>33</v>
      </c>
      <c r="G1345" s="13" t="s">
        <v>162</v>
      </c>
      <c r="H1345" s="13" t="s">
        <v>41</v>
      </c>
      <c r="I1345" s="13" t="n">
        <v>3</v>
      </c>
      <c r="J1345" s="13" t="n">
        <v>1</v>
      </c>
      <c r="K1345" s="13" t="s">
        <v>91</v>
      </c>
      <c r="L1345" s="13" t="n">
        <v>3</v>
      </c>
      <c r="M1345" s="13" t="n">
        <v>897769.81</v>
      </c>
      <c r="N1345" s="13" t="n">
        <v>299256.603333333</v>
      </c>
      <c r="O1345" s="13" t="n">
        <v>863.763333333333</v>
      </c>
      <c r="P1345" s="13" t="n">
        <v>1</v>
      </c>
      <c r="Q1345" s="13" t="n">
        <v>2</v>
      </c>
      <c r="R1345" s="13" t="s">
        <v>101</v>
      </c>
      <c r="S1345" s="13" t="s">
        <v>107</v>
      </c>
      <c r="T1345" s="13" t="n">
        <v>1</v>
      </c>
      <c r="U1345" s="13" t="n">
        <f aca="false">IF(B1345="Individual",1,0)</f>
        <v>1</v>
      </c>
      <c r="V1345" s="13" t="n">
        <f aca="false">IF(B1345="Company",1,0)</f>
        <v>0</v>
      </c>
      <c r="W1345" s="13" t="n">
        <f aca="false">IF(H1345="Home",1,0)</f>
        <v>1</v>
      </c>
      <c r="X1345" s="13" t="n">
        <f aca="false">IF(H1345="Investment",1,0)</f>
        <v>0</v>
      </c>
      <c r="Y1345" s="13" t="n">
        <f aca="false">IF(K1345="Website",1,0)</f>
        <v>0</v>
      </c>
      <c r="Z1345" s="13" t="n">
        <f aca="false">IF(K1345="Agency",1,0)</f>
        <v>1</v>
      </c>
      <c r="AA1345" s="13" t="n">
        <f aca="false">IF(K1345="Client",1,0)</f>
        <v>0</v>
      </c>
      <c r="AB1345" s="13" t="n">
        <f aca="false">(D1345-AVERAGE(D$2:D$2001))/STDEV(D$2:D$2001)</f>
        <v>1.37599917531375</v>
      </c>
      <c r="AC1345" s="13" t="n">
        <f aca="false">(I1345-AVERAGE(I$2:I$2001))/STDEV(I$2:I$2001)</f>
        <v>-0.0205155458339628</v>
      </c>
      <c r="AD1345" s="13" t="n">
        <f aca="false">(L1345-AVERAGE(L$2:L$2001))/STDEV(L$2:L$2001)</f>
        <v>-0.777063122173208</v>
      </c>
      <c r="AE1345" s="13" t="n">
        <f aca="false">(M1345-AVERAGE(M$2:M$2001))/STDEV(M$2:M$2001)</f>
        <v>-1.04247758201498</v>
      </c>
      <c r="AF1345" s="13" t="n">
        <f aca="false">(N1345-AVERAGE(N$2:N$2001))/STDEV(N$2:N$2001)</f>
        <v>-0.686059992284936</v>
      </c>
      <c r="AG1345" s="13" t="n">
        <f aca="false">(O1345-AVERAGE(O$2:O$2001))/STDEV(O$2:O$2001)</f>
        <v>-1.29007365083706</v>
      </c>
      <c r="AH1345" s="0" t="str">
        <f aca="false">IF(B1345="Company","C3 - Corporate Buyers",IF(AND(H1345="Investment",M1345&gt;'Segmentation Summary'!$C$1),"C1 - Global Investors",IF(AND(I1345&gt;=4,M1345&gt;'Segmentation Summary'!$C$1),"C4 - Luxury Investors",IF(AND(D1345&lt;'Segmentation Summary'!$C$2,J1345=1),"C2 - First-Time Buyers","C5 - Other Individual Buyers"))))</f>
        <v>C5 - Other Individual Buyers</v>
      </c>
    </row>
    <row r="1346" customFormat="false" ht="15" hidden="false" customHeight="true" outlineLevel="0" collapsed="false">
      <c r="A1346" s="13" t="s">
        <v>2702</v>
      </c>
      <c r="B1346" s="13" t="s">
        <v>34</v>
      </c>
      <c r="C1346" s="13" t="s">
        <v>2701</v>
      </c>
      <c r="D1346" s="13" t="n">
        <v>60</v>
      </c>
      <c r="E1346" s="13" t="s">
        <v>90</v>
      </c>
      <c r="F1346" s="13" t="s">
        <v>33</v>
      </c>
      <c r="G1346" s="13" t="s">
        <v>84</v>
      </c>
      <c r="H1346" s="13" t="s">
        <v>41</v>
      </c>
      <c r="I1346" s="13" t="n">
        <v>1</v>
      </c>
      <c r="J1346" s="13" t="n">
        <v>0</v>
      </c>
      <c r="K1346" s="13" t="s">
        <v>91</v>
      </c>
      <c r="L1346" s="13" t="n">
        <v>4</v>
      </c>
      <c r="M1346" s="13" t="n">
        <v>1945371.68</v>
      </c>
      <c r="N1346" s="13" t="n">
        <v>486342.92</v>
      </c>
      <c r="O1346" s="13" t="n">
        <v>1726.0575</v>
      </c>
      <c r="P1346" s="13" t="n">
        <v>1</v>
      </c>
      <c r="Q1346" s="13" t="n">
        <v>3</v>
      </c>
      <c r="R1346" s="13" t="s">
        <v>117</v>
      </c>
      <c r="S1346" s="13" t="s">
        <v>114</v>
      </c>
      <c r="T1346" s="13" t="n">
        <v>1</v>
      </c>
      <c r="U1346" s="13" t="n">
        <f aca="false">IF(B1346="Individual",1,0)</f>
        <v>1</v>
      </c>
      <c r="V1346" s="13" t="n">
        <f aca="false">IF(B1346="Company",1,0)</f>
        <v>0</v>
      </c>
      <c r="W1346" s="13" t="n">
        <f aca="false">IF(H1346="Home",1,0)</f>
        <v>1</v>
      </c>
      <c r="X1346" s="13" t="n">
        <f aca="false">IF(H1346="Investment",1,0)</f>
        <v>0</v>
      </c>
      <c r="Y1346" s="13" t="n">
        <f aca="false">IF(K1346="Website",1,0)</f>
        <v>0</v>
      </c>
      <c r="Z1346" s="13" t="n">
        <f aca="false">IF(K1346="Agency",1,0)</f>
        <v>1</v>
      </c>
      <c r="AA1346" s="13" t="n">
        <f aca="false">IF(K1346="Client",1,0)</f>
        <v>0</v>
      </c>
      <c r="AB1346" s="13" t="n">
        <f aca="false">(D1346-AVERAGE(D$2:D$2001))/STDEV(D$2:D$2001)</f>
        <v>0.338074976527031</v>
      </c>
      <c r="AC1346" s="13" t="n">
        <f aca="false">(I1346-AVERAGE(I$2:I$2001))/STDEV(I$2:I$2001)</f>
        <v>-1.43538077576244</v>
      </c>
      <c r="AD1346" s="13" t="n">
        <f aca="false">(L1346-AVERAGE(L$2:L$2001))/STDEV(L$2:L$2001)</f>
        <v>0.413838214490712</v>
      </c>
      <c r="AE1346" s="13" t="n">
        <f aca="false">(M1346-AVERAGE(M$2:M$2001))/STDEV(M$2:M$2001)</f>
        <v>1.96933815458673</v>
      </c>
      <c r="AF1346" s="13" t="n">
        <f aca="false">(N1346-AVERAGE(N$2:N$2001))/STDEV(N$2:N$2001)</f>
        <v>1.9972651389171</v>
      </c>
      <c r="AG1346" s="13" t="n">
        <f aca="false">(O1346-AVERAGE(O$2:O$2001))/STDEV(O$2:O$2001)</f>
        <v>2.63082496438169</v>
      </c>
      <c r="AH1346" s="0" t="str">
        <f aca="false">IF(B1346="Company","C3 - Corporate Buyers",IF(AND(H1346="Investment",M1346&gt;'Segmentation Summary'!$C$1),"C1 - Global Investors",IF(AND(I1346&gt;=4,M1346&gt;'Segmentation Summary'!$C$1),"C4 - Luxury Investors",IF(AND(D1346&lt;'Segmentation Summary'!$C$2,J1346=1),"C2 - First-Time Buyers","C5 - Other Individual Buyers"))))</f>
        <v>C5 - Other Individual Buyers</v>
      </c>
    </row>
    <row r="1347" customFormat="false" ht="15" hidden="false" customHeight="true" outlineLevel="0" collapsed="false">
      <c r="A1347" s="13" t="s">
        <v>2703</v>
      </c>
      <c r="B1347" s="13" t="s">
        <v>34</v>
      </c>
      <c r="C1347" s="13" t="s">
        <v>2704</v>
      </c>
      <c r="D1347" s="13" t="n">
        <v>43</v>
      </c>
      <c r="E1347" s="13" t="s">
        <v>90</v>
      </c>
      <c r="F1347" s="13" t="s">
        <v>33</v>
      </c>
      <c r="G1347" s="13" t="s">
        <v>106</v>
      </c>
      <c r="H1347" s="13" t="s">
        <v>43</v>
      </c>
      <c r="I1347" s="13" t="n">
        <v>2</v>
      </c>
      <c r="J1347" s="13" t="n">
        <v>0</v>
      </c>
      <c r="K1347" s="13" t="s">
        <v>85</v>
      </c>
      <c r="L1347" s="13" t="n">
        <v>3</v>
      </c>
      <c r="M1347" s="13" t="n">
        <v>874872.8</v>
      </c>
      <c r="N1347" s="13" t="n">
        <v>291624.266666667</v>
      </c>
      <c r="O1347" s="13" t="n">
        <v>1049.30666666667</v>
      </c>
      <c r="P1347" s="13" t="n">
        <v>0</v>
      </c>
      <c r="Q1347" s="13" t="n">
        <v>3</v>
      </c>
      <c r="R1347" s="13" t="s">
        <v>124</v>
      </c>
      <c r="S1347" s="13" t="s">
        <v>215</v>
      </c>
      <c r="T1347" s="13" t="n">
        <v>1</v>
      </c>
      <c r="U1347" s="13" t="n">
        <f aca="false">IF(B1347="Individual",1,0)</f>
        <v>1</v>
      </c>
      <c r="V1347" s="13" t="n">
        <f aca="false">IF(B1347="Company",1,0)</f>
        <v>0</v>
      </c>
      <c r="W1347" s="13" t="n">
        <f aca="false">IF(H1347="Home",1,0)</f>
        <v>0</v>
      </c>
      <c r="X1347" s="13" t="n">
        <f aca="false">IF(H1347="Investment",1,0)</f>
        <v>1</v>
      </c>
      <c r="Y1347" s="13" t="n">
        <f aca="false">IF(K1347="Website",1,0)</f>
        <v>1</v>
      </c>
      <c r="Z1347" s="13" t="n">
        <f aca="false">IF(K1347="Agency",1,0)</f>
        <v>0</v>
      </c>
      <c r="AA1347" s="13" t="n">
        <f aca="false">IF(K1347="Client",1,0)</f>
        <v>0</v>
      </c>
      <c r="AB1347" s="13" t="n">
        <f aca="false">(D1347-AVERAGE(D$2:D$2001))/STDEV(D$2:D$2001)</f>
        <v>-0.64218676677154</v>
      </c>
      <c r="AC1347" s="13" t="n">
        <f aca="false">(I1347-AVERAGE(I$2:I$2001))/STDEV(I$2:I$2001)</f>
        <v>-0.727948160798201</v>
      </c>
      <c r="AD1347" s="13" t="n">
        <f aca="false">(L1347-AVERAGE(L$2:L$2001))/STDEV(L$2:L$2001)</f>
        <v>-0.777063122173208</v>
      </c>
      <c r="AE1347" s="13" t="n">
        <f aca="false">(M1347-AVERAGE(M$2:M$2001))/STDEV(M$2:M$2001)</f>
        <v>-1.10830561937723</v>
      </c>
      <c r="AF1347" s="13" t="n">
        <f aca="false">(N1347-AVERAGE(N$2:N$2001))/STDEV(N$2:N$2001)</f>
        <v>-0.795528397844221</v>
      </c>
      <c r="AG1347" s="13" t="n">
        <f aca="false">(O1347-AVERAGE(O$2:O$2001))/STDEV(O$2:O$2001)</f>
        <v>-0.446397992515024</v>
      </c>
      <c r="AH1347" s="0" t="str">
        <f aca="false">IF(B1347="Company","C3 - Corporate Buyers",IF(AND(H1347="Investment",M1347&gt;'Segmentation Summary'!$C$1),"C1 - Global Investors",IF(AND(I1347&gt;=4,M1347&gt;'Segmentation Summary'!$C$1),"C4 - Luxury Investors",IF(AND(D1347&lt;'Segmentation Summary'!$C$2,J1347=1),"C2 - First-Time Buyers","C5 - Other Individual Buyers"))))</f>
        <v>C5 - Other Individual Buyers</v>
      </c>
    </row>
    <row r="1348" customFormat="false" ht="15" hidden="false" customHeight="true" outlineLevel="0" collapsed="false">
      <c r="A1348" s="13" t="s">
        <v>2705</v>
      </c>
      <c r="B1348" s="13" t="s">
        <v>34</v>
      </c>
      <c r="C1348" s="13" t="s">
        <v>2706</v>
      </c>
      <c r="D1348" s="13" t="n">
        <v>64</v>
      </c>
      <c r="E1348" s="13" t="s">
        <v>90</v>
      </c>
      <c r="F1348" s="13" t="s">
        <v>33</v>
      </c>
      <c r="G1348" s="13" t="s">
        <v>207</v>
      </c>
      <c r="H1348" s="13" t="s">
        <v>41</v>
      </c>
      <c r="I1348" s="13" t="n">
        <v>1</v>
      </c>
      <c r="J1348" s="13" t="n">
        <v>0</v>
      </c>
      <c r="K1348" s="13" t="s">
        <v>91</v>
      </c>
      <c r="L1348" s="13" t="n">
        <v>3</v>
      </c>
      <c r="M1348" s="13" t="n">
        <v>1415391.59</v>
      </c>
      <c r="N1348" s="13" t="n">
        <v>471797.196666667</v>
      </c>
      <c r="O1348" s="13" t="n">
        <v>1493.24333333333</v>
      </c>
      <c r="P1348" s="13" t="n">
        <v>1</v>
      </c>
      <c r="Q1348" s="13" t="n">
        <v>2</v>
      </c>
      <c r="R1348" s="13" t="s">
        <v>117</v>
      </c>
      <c r="S1348" s="13" t="s">
        <v>141</v>
      </c>
      <c r="T1348" s="13" t="n">
        <v>1</v>
      </c>
      <c r="U1348" s="13" t="n">
        <f aca="false">IF(B1348="Individual",1,0)</f>
        <v>1</v>
      </c>
      <c r="V1348" s="13" t="n">
        <f aca="false">IF(B1348="Company",1,0)</f>
        <v>0</v>
      </c>
      <c r="W1348" s="13" t="n">
        <f aca="false">IF(H1348="Home",1,0)</f>
        <v>1</v>
      </c>
      <c r="X1348" s="13" t="n">
        <f aca="false">IF(H1348="Investment",1,0)</f>
        <v>0</v>
      </c>
      <c r="Y1348" s="13" t="n">
        <f aca="false">IF(K1348="Website",1,0)</f>
        <v>0</v>
      </c>
      <c r="Z1348" s="13" t="n">
        <f aca="false">IF(K1348="Agency",1,0)</f>
        <v>1</v>
      </c>
      <c r="AA1348" s="13" t="n">
        <f aca="false">IF(K1348="Client",1,0)</f>
        <v>0</v>
      </c>
      <c r="AB1348" s="13" t="n">
        <f aca="false">(D1348-AVERAGE(D$2:D$2001))/STDEV(D$2:D$2001)</f>
        <v>0.568724798479635</v>
      </c>
      <c r="AC1348" s="13" t="n">
        <f aca="false">(I1348-AVERAGE(I$2:I$2001))/STDEV(I$2:I$2001)</f>
        <v>-1.43538077576244</v>
      </c>
      <c r="AD1348" s="13" t="n">
        <f aca="false">(L1348-AVERAGE(L$2:L$2001))/STDEV(L$2:L$2001)</f>
        <v>-0.777063122173208</v>
      </c>
      <c r="AE1348" s="13" t="n">
        <f aca="false">(M1348-AVERAGE(M$2:M$2001))/STDEV(M$2:M$2001)</f>
        <v>0.445665449470627</v>
      </c>
      <c r="AF1348" s="13" t="n">
        <f aca="false">(N1348-AVERAGE(N$2:N$2001))/STDEV(N$2:N$2001)</f>
        <v>1.78864002048375</v>
      </c>
      <c r="AG1348" s="13" t="n">
        <f aca="false">(O1348-AVERAGE(O$2:O$2001))/STDEV(O$2:O$2001)</f>
        <v>1.57220624820113</v>
      </c>
      <c r="AH1348" s="0" t="str">
        <f aca="false">IF(B1348="Company","C3 - Corporate Buyers",IF(AND(H1348="Investment",M1348&gt;'Segmentation Summary'!$C$1),"C1 - Global Investors",IF(AND(I1348&gt;=4,M1348&gt;'Segmentation Summary'!$C$1),"C4 - Luxury Investors",IF(AND(D1348&lt;'Segmentation Summary'!$C$2,J1348=1),"C2 - First-Time Buyers","C5 - Other Individual Buyers"))))</f>
        <v>C5 - Other Individual Buyers</v>
      </c>
    </row>
    <row r="1349" customFormat="false" ht="15" hidden="false" customHeight="true" outlineLevel="0" collapsed="false">
      <c r="A1349" s="13" t="s">
        <v>2707</v>
      </c>
      <c r="B1349" s="13" t="s">
        <v>34</v>
      </c>
      <c r="C1349" s="13" t="s">
        <v>2706</v>
      </c>
      <c r="D1349" s="13" t="n">
        <v>70</v>
      </c>
      <c r="E1349" s="13" t="s">
        <v>90</v>
      </c>
      <c r="F1349" s="13" t="s">
        <v>42</v>
      </c>
      <c r="G1349" s="13" t="s">
        <v>551</v>
      </c>
      <c r="H1349" s="13" t="s">
        <v>43</v>
      </c>
      <c r="I1349" s="13" t="n">
        <v>3</v>
      </c>
      <c r="J1349" s="13" t="n">
        <v>0</v>
      </c>
      <c r="K1349" s="13" t="s">
        <v>91</v>
      </c>
      <c r="L1349" s="13" t="n">
        <v>4</v>
      </c>
      <c r="M1349" s="13" t="n">
        <v>836214.24</v>
      </c>
      <c r="N1349" s="13" t="n">
        <v>209053.56</v>
      </c>
      <c r="O1349" s="13" t="n">
        <v>725.4225</v>
      </c>
      <c r="P1349" s="13" t="n">
        <v>1</v>
      </c>
      <c r="Q1349" s="13" t="n">
        <v>3</v>
      </c>
      <c r="R1349" s="13" t="s">
        <v>121</v>
      </c>
      <c r="S1349" s="13" t="s">
        <v>107</v>
      </c>
      <c r="T1349" s="13" t="n">
        <v>1</v>
      </c>
      <c r="U1349" s="13" t="n">
        <f aca="false">IF(B1349="Individual",1,0)</f>
        <v>1</v>
      </c>
      <c r="V1349" s="13" t="n">
        <f aca="false">IF(B1349="Company",1,0)</f>
        <v>0</v>
      </c>
      <c r="W1349" s="13" t="n">
        <f aca="false">IF(H1349="Home",1,0)</f>
        <v>0</v>
      </c>
      <c r="X1349" s="13" t="n">
        <f aca="false">IF(H1349="Investment",1,0)</f>
        <v>1</v>
      </c>
      <c r="Y1349" s="13" t="n">
        <f aca="false">IF(K1349="Website",1,0)</f>
        <v>0</v>
      </c>
      <c r="Z1349" s="13" t="n">
        <f aca="false">IF(K1349="Agency",1,0)</f>
        <v>1</v>
      </c>
      <c r="AA1349" s="13" t="n">
        <f aca="false">IF(K1349="Client",1,0)</f>
        <v>0</v>
      </c>
      <c r="AB1349" s="13" t="n">
        <f aca="false">(D1349-AVERAGE(D$2:D$2001))/STDEV(D$2:D$2001)</f>
        <v>0.914699531408543</v>
      </c>
      <c r="AC1349" s="13" t="n">
        <f aca="false">(I1349-AVERAGE(I$2:I$2001))/STDEV(I$2:I$2001)</f>
        <v>-0.0205155458339628</v>
      </c>
      <c r="AD1349" s="13" t="n">
        <f aca="false">(L1349-AVERAGE(L$2:L$2001))/STDEV(L$2:L$2001)</f>
        <v>0.413838214490712</v>
      </c>
      <c r="AE1349" s="13" t="n">
        <f aca="false">(M1349-AVERAGE(M$2:M$2001))/STDEV(M$2:M$2001)</f>
        <v>-1.2194475165966</v>
      </c>
      <c r="AF1349" s="13" t="n">
        <f aca="false">(N1349-AVERAGE(N$2:N$2001))/STDEV(N$2:N$2001)</f>
        <v>-1.97981625089198</v>
      </c>
      <c r="AG1349" s="13" t="n">
        <f aca="false">(O1349-AVERAGE(O$2:O$2001))/STDEV(O$2:O$2001)</f>
        <v>-1.9191169666949</v>
      </c>
      <c r="AH1349" s="0" t="str">
        <f aca="false">IF(B1349="Company","C3 - Corporate Buyers",IF(AND(H1349="Investment",M1349&gt;'Segmentation Summary'!$C$1),"C1 - Global Investors",IF(AND(I1349&gt;=4,M1349&gt;'Segmentation Summary'!$C$1),"C4 - Luxury Investors",IF(AND(D1349&lt;'Segmentation Summary'!$C$2,J1349=1),"C2 - First-Time Buyers","C5 - Other Individual Buyers"))))</f>
        <v>C5 - Other Individual Buyers</v>
      </c>
    </row>
    <row r="1350" customFormat="false" ht="15" hidden="false" customHeight="true" outlineLevel="0" collapsed="false">
      <c r="A1350" s="13" t="s">
        <v>2708</v>
      </c>
      <c r="B1350" s="13" t="s">
        <v>34</v>
      </c>
      <c r="C1350" s="13" t="s">
        <v>2709</v>
      </c>
      <c r="D1350" s="13" t="n">
        <v>78</v>
      </c>
      <c r="E1350" s="13" t="s">
        <v>83</v>
      </c>
      <c r="F1350" s="13" t="s">
        <v>33</v>
      </c>
      <c r="G1350" s="13" t="s">
        <v>95</v>
      </c>
      <c r="H1350" s="13" t="s">
        <v>43</v>
      </c>
      <c r="I1350" s="13" t="n">
        <v>4</v>
      </c>
      <c r="J1350" s="13" t="n">
        <v>0</v>
      </c>
      <c r="K1350" s="13" t="s">
        <v>91</v>
      </c>
      <c r="L1350" s="13" t="n">
        <v>4</v>
      </c>
      <c r="M1350" s="13" t="n">
        <v>1449799.93</v>
      </c>
      <c r="N1350" s="13" t="n">
        <v>362449.9825</v>
      </c>
      <c r="O1350" s="13" t="n">
        <v>1177.4025</v>
      </c>
      <c r="P1350" s="13" t="n">
        <v>0</v>
      </c>
      <c r="Q1350" s="13" t="n">
        <v>4</v>
      </c>
      <c r="R1350" s="13" t="s">
        <v>111</v>
      </c>
      <c r="S1350" s="13" t="s">
        <v>114</v>
      </c>
      <c r="T1350" s="13" t="n">
        <v>1</v>
      </c>
      <c r="U1350" s="13" t="n">
        <f aca="false">IF(B1350="Individual",1,0)</f>
        <v>1</v>
      </c>
      <c r="V1350" s="13" t="n">
        <f aca="false">IF(B1350="Company",1,0)</f>
        <v>0</v>
      </c>
      <c r="W1350" s="13" t="n">
        <f aca="false">IF(H1350="Home",1,0)</f>
        <v>0</v>
      </c>
      <c r="X1350" s="13" t="n">
        <f aca="false">IF(H1350="Investment",1,0)</f>
        <v>1</v>
      </c>
      <c r="Y1350" s="13" t="n">
        <f aca="false">IF(K1350="Website",1,0)</f>
        <v>0</v>
      </c>
      <c r="Z1350" s="13" t="n">
        <f aca="false">IF(K1350="Agency",1,0)</f>
        <v>1</v>
      </c>
      <c r="AA1350" s="13" t="n">
        <f aca="false">IF(K1350="Client",1,0)</f>
        <v>0</v>
      </c>
      <c r="AB1350" s="13" t="n">
        <f aca="false">(D1350-AVERAGE(D$2:D$2001))/STDEV(D$2:D$2001)</f>
        <v>1.37599917531375</v>
      </c>
      <c r="AC1350" s="13" t="n">
        <f aca="false">(I1350-AVERAGE(I$2:I$2001))/STDEV(I$2:I$2001)</f>
        <v>0.686917069130275</v>
      </c>
      <c r="AD1350" s="13" t="n">
        <f aca="false">(L1350-AVERAGE(L$2:L$2001))/STDEV(L$2:L$2001)</f>
        <v>0.413838214490712</v>
      </c>
      <c r="AE1350" s="13" t="n">
        <f aca="false">(M1350-AVERAGE(M$2:M$2001))/STDEV(M$2:M$2001)</f>
        <v>0.544588125011805</v>
      </c>
      <c r="AF1350" s="13" t="n">
        <f aca="false">(N1350-AVERAGE(N$2:N$2001))/STDEV(N$2:N$2001)</f>
        <v>0.220304435989197</v>
      </c>
      <c r="AG1350" s="13" t="n">
        <f aca="false">(O1350-AVERAGE(O$2:O$2001))/STDEV(O$2:O$2001)</f>
        <v>0.136060749463335</v>
      </c>
      <c r="AH1350" s="0" t="str">
        <f aca="false">IF(B1350="Company","C3 - Corporate Buyers",IF(AND(H1350="Investment",M1350&gt;'Segmentation Summary'!$C$1),"C1 - Global Investors",IF(AND(I1350&gt;=4,M1350&gt;'Segmentation Summary'!$C$1),"C4 - Luxury Investors",IF(AND(D1350&lt;'Segmentation Summary'!$C$2,J1350=1),"C2 - First-Time Buyers","C5 - Other Individual Buyers"))))</f>
        <v>C1 - Global Investors</v>
      </c>
    </row>
    <row r="1351" customFormat="false" ht="15" hidden="false" customHeight="true" outlineLevel="0" collapsed="false">
      <c r="A1351" s="13" t="s">
        <v>2710</v>
      </c>
      <c r="B1351" s="13" t="s">
        <v>34</v>
      </c>
      <c r="C1351" s="13" t="s">
        <v>2711</v>
      </c>
      <c r="D1351" s="13" t="n">
        <v>65</v>
      </c>
      <c r="E1351" s="13" t="s">
        <v>83</v>
      </c>
      <c r="F1351" s="13" t="s">
        <v>33</v>
      </c>
      <c r="G1351" s="13" t="s">
        <v>84</v>
      </c>
      <c r="H1351" s="13" t="s">
        <v>41</v>
      </c>
      <c r="I1351" s="13" t="n">
        <v>3</v>
      </c>
      <c r="J1351" s="13" t="n">
        <v>1</v>
      </c>
      <c r="K1351" s="13" t="s">
        <v>85</v>
      </c>
      <c r="L1351" s="13" t="n">
        <v>4</v>
      </c>
      <c r="M1351" s="13" t="n">
        <v>1488042.88</v>
      </c>
      <c r="N1351" s="13" t="n">
        <v>372010.72</v>
      </c>
      <c r="O1351" s="13" t="n">
        <v>1215.035</v>
      </c>
      <c r="P1351" s="13" t="n">
        <v>0</v>
      </c>
      <c r="Q1351" s="13" t="n">
        <v>4</v>
      </c>
      <c r="R1351" s="13" t="s">
        <v>128</v>
      </c>
      <c r="S1351" s="13" t="s">
        <v>87</v>
      </c>
      <c r="T1351" s="13" t="n">
        <v>1</v>
      </c>
      <c r="U1351" s="13" t="n">
        <f aca="false">IF(B1351="Individual",1,0)</f>
        <v>1</v>
      </c>
      <c r="V1351" s="13" t="n">
        <f aca="false">IF(B1351="Company",1,0)</f>
        <v>0</v>
      </c>
      <c r="W1351" s="13" t="n">
        <f aca="false">IF(H1351="Home",1,0)</f>
        <v>1</v>
      </c>
      <c r="X1351" s="13" t="n">
        <f aca="false">IF(H1351="Investment",1,0)</f>
        <v>0</v>
      </c>
      <c r="Y1351" s="13" t="n">
        <f aca="false">IF(K1351="Website",1,0)</f>
        <v>1</v>
      </c>
      <c r="Z1351" s="13" t="n">
        <f aca="false">IF(K1351="Agency",1,0)</f>
        <v>0</v>
      </c>
      <c r="AA1351" s="13" t="n">
        <f aca="false">IF(K1351="Client",1,0)</f>
        <v>0</v>
      </c>
      <c r="AB1351" s="13" t="n">
        <f aca="false">(D1351-AVERAGE(D$2:D$2001))/STDEV(D$2:D$2001)</f>
        <v>0.626387253967787</v>
      </c>
      <c r="AC1351" s="13" t="n">
        <f aca="false">(I1351-AVERAGE(I$2:I$2001))/STDEV(I$2:I$2001)</f>
        <v>-0.0205155458339628</v>
      </c>
      <c r="AD1351" s="13" t="n">
        <f aca="false">(L1351-AVERAGE(L$2:L$2001))/STDEV(L$2:L$2001)</f>
        <v>0.413838214490712</v>
      </c>
      <c r="AE1351" s="13" t="n">
        <f aca="false">(M1351-AVERAGE(M$2:M$2001))/STDEV(M$2:M$2001)</f>
        <v>0.654535159207222</v>
      </c>
      <c r="AF1351" s="13" t="n">
        <f aca="false">(N1351-AVERAGE(N$2:N$2001))/STDEV(N$2:N$2001)</f>
        <v>0.357431339034088</v>
      </c>
      <c r="AG1351" s="13" t="n">
        <f aca="false">(O1351-AVERAGE(O$2:O$2001))/STDEV(O$2:O$2001)</f>
        <v>0.307177779870267</v>
      </c>
      <c r="AH1351" s="0" t="str">
        <f aca="false">IF(B1351="Company","C3 - Corporate Buyers",IF(AND(H1351="Investment",M1351&gt;'Segmentation Summary'!$C$1),"C1 - Global Investors",IF(AND(I1351&gt;=4,M1351&gt;'Segmentation Summary'!$C$1),"C4 - Luxury Investors",IF(AND(D1351&lt;'Segmentation Summary'!$C$2,J1351=1),"C2 - First-Time Buyers","C5 - Other Individual Buyers"))))</f>
        <v>C5 - Other Individual Buyers</v>
      </c>
    </row>
    <row r="1352" customFormat="false" ht="15" hidden="false" customHeight="true" outlineLevel="0" collapsed="false">
      <c r="A1352" s="13" t="s">
        <v>2712</v>
      </c>
      <c r="B1352" s="13" t="s">
        <v>34</v>
      </c>
      <c r="C1352" s="13" t="s">
        <v>2713</v>
      </c>
      <c r="D1352" s="13" t="n">
        <v>57</v>
      </c>
      <c r="E1352" s="13" t="s">
        <v>83</v>
      </c>
      <c r="F1352" s="13" t="s">
        <v>33</v>
      </c>
      <c r="G1352" s="13" t="s">
        <v>95</v>
      </c>
      <c r="H1352" s="13" t="s">
        <v>41</v>
      </c>
      <c r="I1352" s="13" t="n">
        <v>2</v>
      </c>
      <c r="J1352" s="13" t="n">
        <v>1</v>
      </c>
      <c r="K1352" s="13" t="s">
        <v>91</v>
      </c>
      <c r="L1352" s="13" t="n">
        <v>4</v>
      </c>
      <c r="M1352" s="13" t="n">
        <v>1061478.67</v>
      </c>
      <c r="N1352" s="13" t="n">
        <v>265369.6675</v>
      </c>
      <c r="O1352" s="13" t="n">
        <v>913.8325</v>
      </c>
      <c r="P1352" s="13" t="n">
        <v>0</v>
      </c>
      <c r="Q1352" s="13" t="n">
        <v>4</v>
      </c>
      <c r="R1352" s="13" t="s">
        <v>98</v>
      </c>
      <c r="S1352" s="13" t="s">
        <v>141</v>
      </c>
      <c r="T1352" s="13" t="n">
        <v>1</v>
      </c>
      <c r="U1352" s="13" t="n">
        <f aca="false">IF(B1352="Individual",1,0)</f>
        <v>1</v>
      </c>
      <c r="V1352" s="13" t="n">
        <f aca="false">IF(B1352="Company",1,0)</f>
        <v>0</v>
      </c>
      <c r="W1352" s="13" t="n">
        <f aca="false">IF(H1352="Home",1,0)</f>
        <v>1</v>
      </c>
      <c r="X1352" s="13" t="n">
        <f aca="false">IF(H1352="Investment",1,0)</f>
        <v>0</v>
      </c>
      <c r="Y1352" s="13" t="n">
        <f aca="false">IF(K1352="Website",1,0)</f>
        <v>0</v>
      </c>
      <c r="Z1352" s="13" t="n">
        <f aca="false">IF(K1352="Agency",1,0)</f>
        <v>1</v>
      </c>
      <c r="AA1352" s="13" t="n">
        <f aca="false">IF(K1352="Client",1,0)</f>
        <v>0</v>
      </c>
      <c r="AB1352" s="13" t="n">
        <f aca="false">(D1352-AVERAGE(D$2:D$2001))/STDEV(D$2:D$2001)</f>
        <v>0.165087610062577</v>
      </c>
      <c r="AC1352" s="13" t="n">
        <f aca="false">(I1352-AVERAGE(I$2:I$2001))/STDEV(I$2:I$2001)</f>
        <v>-0.727948160798201</v>
      </c>
      <c r="AD1352" s="13" t="n">
        <f aca="false">(L1352-AVERAGE(L$2:L$2001))/STDEV(L$2:L$2001)</f>
        <v>0.413838214490712</v>
      </c>
      <c r="AE1352" s="13" t="n">
        <f aca="false">(M1352-AVERAGE(M$2:M$2001))/STDEV(M$2:M$2001)</f>
        <v>-0.571820804007198</v>
      </c>
      <c r="AF1352" s="13" t="n">
        <f aca="false">(N1352-AVERAGE(N$2:N$2001))/STDEV(N$2:N$2001)</f>
        <v>-1.17209054845342</v>
      </c>
      <c r="AG1352" s="13" t="n">
        <f aca="false">(O1352-AVERAGE(O$2:O$2001))/STDEV(O$2:O$2001)</f>
        <v>-1.06240641865876</v>
      </c>
      <c r="AH1352" s="0" t="str">
        <f aca="false">IF(B1352="Company","C3 - Corporate Buyers",IF(AND(H1352="Investment",M1352&gt;'Segmentation Summary'!$C$1),"C1 - Global Investors",IF(AND(I1352&gt;=4,M1352&gt;'Segmentation Summary'!$C$1),"C4 - Luxury Investors",IF(AND(D1352&lt;'Segmentation Summary'!$C$2,J1352=1),"C2 - First-Time Buyers","C5 - Other Individual Buyers"))))</f>
        <v>C5 - Other Individual Buyers</v>
      </c>
    </row>
    <row r="1353" customFormat="false" ht="15" hidden="false" customHeight="true" outlineLevel="0" collapsed="false">
      <c r="A1353" s="13" t="s">
        <v>2714</v>
      </c>
      <c r="B1353" s="13" t="s">
        <v>34</v>
      </c>
      <c r="C1353" s="13" t="s">
        <v>2715</v>
      </c>
      <c r="D1353" s="13" t="n">
        <v>56</v>
      </c>
      <c r="E1353" s="13" t="s">
        <v>90</v>
      </c>
      <c r="F1353" s="13" t="s">
        <v>33</v>
      </c>
      <c r="G1353" s="13" t="s">
        <v>95</v>
      </c>
      <c r="H1353" s="13" t="s">
        <v>41</v>
      </c>
      <c r="I1353" s="13" t="n">
        <v>3</v>
      </c>
      <c r="J1353" s="13" t="n">
        <v>1</v>
      </c>
      <c r="K1353" s="13" t="s">
        <v>85</v>
      </c>
      <c r="L1353" s="13" t="n">
        <v>4</v>
      </c>
      <c r="M1353" s="13" t="n">
        <v>1404998.67</v>
      </c>
      <c r="N1353" s="13" t="n">
        <v>351249.6675</v>
      </c>
      <c r="O1353" s="13" t="n">
        <v>1250.4325</v>
      </c>
      <c r="P1353" s="13" t="n">
        <v>1</v>
      </c>
      <c r="Q1353" s="13" t="n">
        <v>3</v>
      </c>
      <c r="R1353" s="13" t="s">
        <v>117</v>
      </c>
      <c r="S1353" s="13" t="s">
        <v>164</v>
      </c>
      <c r="T1353" s="13" t="n">
        <v>1</v>
      </c>
      <c r="U1353" s="13" t="n">
        <f aca="false">IF(B1353="Individual",1,0)</f>
        <v>1</v>
      </c>
      <c r="V1353" s="13" t="n">
        <f aca="false">IF(B1353="Company",1,0)</f>
        <v>0</v>
      </c>
      <c r="W1353" s="13" t="n">
        <f aca="false">IF(H1353="Home",1,0)</f>
        <v>1</v>
      </c>
      <c r="X1353" s="13" t="n">
        <f aca="false">IF(H1353="Investment",1,0)</f>
        <v>0</v>
      </c>
      <c r="Y1353" s="13" t="n">
        <f aca="false">IF(K1353="Website",1,0)</f>
        <v>1</v>
      </c>
      <c r="Z1353" s="13" t="n">
        <f aca="false">IF(K1353="Agency",1,0)</f>
        <v>0</v>
      </c>
      <c r="AA1353" s="13" t="n">
        <f aca="false">IF(K1353="Client",1,0)</f>
        <v>0</v>
      </c>
      <c r="AB1353" s="13" t="n">
        <f aca="false">(D1353-AVERAGE(D$2:D$2001))/STDEV(D$2:D$2001)</f>
        <v>0.107425154574426</v>
      </c>
      <c r="AC1353" s="13" t="n">
        <f aca="false">(I1353-AVERAGE(I$2:I$2001))/STDEV(I$2:I$2001)</f>
        <v>-0.0205155458339628</v>
      </c>
      <c r="AD1353" s="13" t="n">
        <f aca="false">(L1353-AVERAGE(L$2:L$2001))/STDEV(L$2:L$2001)</f>
        <v>0.413838214490712</v>
      </c>
      <c r="AE1353" s="13" t="n">
        <f aca="false">(M1353-AVERAGE(M$2:M$2001))/STDEV(M$2:M$2001)</f>
        <v>0.415786197722782</v>
      </c>
      <c r="AF1353" s="13" t="n">
        <f aca="false">(N1353-AVERAGE(N$2:N$2001))/STDEV(N$2:N$2001)</f>
        <v>0.0596615453045365</v>
      </c>
      <c r="AG1353" s="13" t="n">
        <f aca="false">(O1353-AVERAGE(O$2:O$2001))/STDEV(O$2:O$2001)</f>
        <v>0.468132143354737</v>
      </c>
      <c r="AH1353" s="0" t="str">
        <f aca="false">IF(B1353="Company","C3 - Corporate Buyers",IF(AND(H1353="Investment",M1353&gt;'Segmentation Summary'!$C$1),"C1 - Global Investors",IF(AND(I1353&gt;=4,M1353&gt;'Segmentation Summary'!$C$1),"C4 - Luxury Investors",IF(AND(D1353&lt;'Segmentation Summary'!$C$2,J1353=1),"C2 - First-Time Buyers","C5 - Other Individual Buyers"))))</f>
        <v>C5 - Other Individual Buyers</v>
      </c>
    </row>
    <row r="1354" customFormat="false" ht="15" hidden="false" customHeight="true" outlineLevel="0" collapsed="false">
      <c r="A1354" s="13" t="s">
        <v>2716</v>
      </c>
      <c r="B1354" s="13" t="s">
        <v>34</v>
      </c>
      <c r="C1354" s="13" t="s">
        <v>2717</v>
      </c>
      <c r="D1354" s="13" t="n">
        <v>38</v>
      </c>
      <c r="E1354" s="13" t="s">
        <v>90</v>
      </c>
      <c r="F1354" s="13" t="s">
        <v>33</v>
      </c>
      <c r="G1354" s="13" t="s">
        <v>95</v>
      </c>
      <c r="H1354" s="13" t="s">
        <v>41</v>
      </c>
      <c r="I1354" s="13" t="n">
        <v>5</v>
      </c>
      <c r="J1354" s="13" t="n">
        <v>0</v>
      </c>
      <c r="K1354" s="13" t="s">
        <v>85</v>
      </c>
      <c r="L1354" s="13" t="n">
        <v>5</v>
      </c>
      <c r="M1354" s="13" t="n">
        <v>1765019.09</v>
      </c>
      <c r="N1354" s="13" t="n">
        <v>353003.818</v>
      </c>
      <c r="O1354" s="13" t="n">
        <v>1088.806</v>
      </c>
      <c r="P1354" s="13" t="n">
        <v>1</v>
      </c>
      <c r="Q1354" s="13" t="n">
        <v>4</v>
      </c>
      <c r="R1354" s="13" t="s">
        <v>92</v>
      </c>
      <c r="S1354" s="13" t="s">
        <v>114</v>
      </c>
      <c r="T1354" s="13" t="n">
        <v>1</v>
      </c>
      <c r="U1354" s="13" t="n">
        <f aca="false">IF(B1354="Individual",1,0)</f>
        <v>1</v>
      </c>
      <c r="V1354" s="13" t="n">
        <f aca="false">IF(B1354="Company",1,0)</f>
        <v>0</v>
      </c>
      <c r="W1354" s="13" t="n">
        <f aca="false">IF(H1354="Home",1,0)</f>
        <v>1</v>
      </c>
      <c r="X1354" s="13" t="n">
        <f aca="false">IF(H1354="Investment",1,0)</f>
        <v>0</v>
      </c>
      <c r="Y1354" s="13" t="n">
        <f aca="false">IF(K1354="Website",1,0)</f>
        <v>1</v>
      </c>
      <c r="Z1354" s="13" t="n">
        <f aca="false">IF(K1354="Agency",1,0)</f>
        <v>0</v>
      </c>
      <c r="AA1354" s="13" t="n">
        <f aca="false">IF(K1354="Client",1,0)</f>
        <v>0</v>
      </c>
      <c r="AB1354" s="13" t="n">
        <f aca="false">(D1354-AVERAGE(D$2:D$2001))/STDEV(D$2:D$2001)</f>
        <v>-0.930499044212296</v>
      </c>
      <c r="AC1354" s="13" t="n">
        <f aca="false">(I1354-AVERAGE(I$2:I$2001))/STDEV(I$2:I$2001)</f>
        <v>1.39434968409451</v>
      </c>
      <c r="AD1354" s="13" t="n">
        <f aca="false">(L1354-AVERAGE(L$2:L$2001))/STDEV(L$2:L$2001)</f>
        <v>1.60473955115463</v>
      </c>
      <c r="AE1354" s="13" t="n">
        <f aca="false">(M1354-AVERAGE(M$2:M$2001))/STDEV(M$2:M$2001)</f>
        <v>1.45083128260217</v>
      </c>
      <c r="AF1354" s="13" t="n">
        <f aca="false">(N1354-AVERAGE(N$2:N$2001))/STDEV(N$2:N$2001)</f>
        <v>0.0848208204692038</v>
      </c>
      <c r="AG1354" s="13" t="n">
        <f aca="false">(O1354-AVERAGE(O$2:O$2001))/STDEV(O$2:O$2001)</f>
        <v>-0.266792369103002</v>
      </c>
      <c r="AH1354" s="0" t="str">
        <f aca="false">IF(B1354="Company","C3 - Corporate Buyers",IF(AND(H1354="Investment",M1354&gt;'Segmentation Summary'!$C$1),"C1 - Global Investors",IF(AND(I1354&gt;=4,M1354&gt;'Segmentation Summary'!$C$1),"C4 - Luxury Investors",IF(AND(D1354&lt;'Segmentation Summary'!$C$2,J1354=1),"C2 - First-Time Buyers","C5 - Other Individual Buyers"))))</f>
        <v>C4 - Luxury Investors</v>
      </c>
    </row>
    <row r="1355" customFormat="false" ht="15" hidden="false" customHeight="true" outlineLevel="0" collapsed="false">
      <c r="A1355" s="13" t="s">
        <v>2718</v>
      </c>
      <c r="B1355" s="13" t="s">
        <v>34</v>
      </c>
      <c r="C1355" s="13" t="s">
        <v>2719</v>
      </c>
      <c r="D1355" s="13" t="n">
        <v>71</v>
      </c>
      <c r="E1355" s="13" t="s">
        <v>90</v>
      </c>
      <c r="F1355" s="13" t="s">
        <v>33</v>
      </c>
      <c r="G1355" s="13" t="s">
        <v>95</v>
      </c>
      <c r="H1355" s="13" t="s">
        <v>41</v>
      </c>
      <c r="I1355" s="13" t="n">
        <v>4</v>
      </c>
      <c r="J1355" s="13" t="n">
        <v>1</v>
      </c>
      <c r="K1355" s="13" t="s">
        <v>85</v>
      </c>
      <c r="L1355" s="13" t="n">
        <v>5</v>
      </c>
      <c r="M1355" s="13" t="n">
        <v>1753587.39</v>
      </c>
      <c r="N1355" s="13" t="n">
        <v>350717.478</v>
      </c>
      <c r="O1355" s="13" t="n">
        <v>1243.96</v>
      </c>
      <c r="P1355" s="13" t="n">
        <v>0</v>
      </c>
      <c r="Q1355" s="13" t="n">
        <v>5</v>
      </c>
      <c r="R1355" s="13" t="s">
        <v>86</v>
      </c>
      <c r="S1355" s="13" t="s">
        <v>114</v>
      </c>
      <c r="T1355" s="13" t="n">
        <v>1</v>
      </c>
      <c r="U1355" s="13" t="n">
        <f aca="false">IF(B1355="Individual",1,0)</f>
        <v>1</v>
      </c>
      <c r="V1355" s="13" t="n">
        <f aca="false">IF(B1355="Company",1,0)</f>
        <v>0</v>
      </c>
      <c r="W1355" s="13" t="n">
        <f aca="false">IF(H1355="Home",1,0)</f>
        <v>1</v>
      </c>
      <c r="X1355" s="13" t="n">
        <f aca="false">IF(H1355="Investment",1,0)</f>
        <v>0</v>
      </c>
      <c r="Y1355" s="13" t="n">
        <f aca="false">IF(K1355="Website",1,0)</f>
        <v>1</v>
      </c>
      <c r="Z1355" s="13" t="n">
        <f aca="false">IF(K1355="Agency",1,0)</f>
        <v>0</v>
      </c>
      <c r="AA1355" s="13" t="n">
        <f aca="false">IF(K1355="Client",1,0)</f>
        <v>0</v>
      </c>
      <c r="AB1355" s="13" t="n">
        <f aca="false">(D1355-AVERAGE(D$2:D$2001))/STDEV(D$2:D$2001)</f>
        <v>0.972361986896694</v>
      </c>
      <c r="AC1355" s="13" t="n">
        <f aca="false">(I1355-AVERAGE(I$2:I$2001))/STDEV(I$2:I$2001)</f>
        <v>0.686917069130275</v>
      </c>
      <c r="AD1355" s="13" t="n">
        <f aca="false">(L1355-AVERAGE(L$2:L$2001))/STDEV(L$2:L$2001)</f>
        <v>1.60473955115463</v>
      </c>
      <c r="AE1355" s="13" t="n">
        <f aca="false">(M1355-AVERAGE(M$2:M$2001))/STDEV(M$2:M$2001)</f>
        <v>1.41796557766017</v>
      </c>
      <c r="AF1355" s="13" t="n">
        <f aca="false">(N1355-AVERAGE(N$2:N$2001))/STDEV(N$2:N$2001)</f>
        <v>0.0520285046559458</v>
      </c>
      <c r="AG1355" s="13" t="n">
        <f aca="false">(O1355-AVERAGE(O$2:O$2001))/STDEV(O$2:O$2001)</f>
        <v>0.438701332770565</v>
      </c>
      <c r="AH1355" s="0" t="str">
        <f aca="false">IF(B1355="Company","C3 - Corporate Buyers",IF(AND(H1355="Investment",M1355&gt;'Segmentation Summary'!$C$1),"C1 - Global Investors",IF(AND(I1355&gt;=4,M1355&gt;'Segmentation Summary'!$C$1),"C4 - Luxury Investors",IF(AND(D1355&lt;'Segmentation Summary'!$C$2,J1355=1),"C2 - First-Time Buyers","C5 - Other Individual Buyers"))))</f>
        <v>C4 - Luxury Investors</v>
      </c>
    </row>
    <row r="1356" customFormat="false" ht="15" hidden="false" customHeight="true" outlineLevel="0" collapsed="false">
      <c r="A1356" s="13" t="s">
        <v>2720</v>
      </c>
      <c r="B1356" s="13" t="s">
        <v>34</v>
      </c>
      <c r="C1356" s="13" t="s">
        <v>2721</v>
      </c>
      <c r="D1356" s="13" t="n">
        <v>28</v>
      </c>
      <c r="E1356" s="13" t="s">
        <v>90</v>
      </c>
      <c r="F1356" s="13" t="s">
        <v>35</v>
      </c>
      <c r="G1356" s="13" t="s">
        <v>267</v>
      </c>
      <c r="H1356" s="13" t="s">
        <v>41</v>
      </c>
      <c r="I1356" s="13" t="n">
        <v>5</v>
      </c>
      <c r="J1356" s="13" t="n">
        <v>1</v>
      </c>
      <c r="K1356" s="13" t="s">
        <v>85</v>
      </c>
      <c r="L1356" s="13" t="n">
        <v>3</v>
      </c>
      <c r="M1356" s="13" t="n">
        <v>1019385.69</v>
      </c>
      <c r="N1356" s="13" t="n">
        <v>339795.23</v>
      </c>
      <c r="O1356" s="13" t="n">
        <v>1156.56333333333</v>
      </c>
      <c r="P1356" s="13" t="n">
        <v>1</v>
      </c>
      <c r="Q1356" s="13" t="n">
        <v>2</v>
      </c>
      <c r="R1356" s="13" t="s">
        <v>98</v>
      </c>
      <c r="S1356" s="13" t="s">
        <v>124</v>
      </c>
      <c r="T1356" s="13" t="n">
        <v>1</v>
      </c>
      <c r="U1356" s="13" t="n">
        <f aca="false">IF(B1356="Individual",1,0)</f>
        <v>1</v>
      </c>
      <c r="V1356" s="13" t="n">
        <f aca="false">IF(B1356="Company",1,0)</f>
        <v>0</v>
      </c>
      <c r="W1356" s="13" t="n">
        <f aca="false">IF(H1356="Home",1,0)</f>
        <v>1</v>
      </c>
      <c r="X1356" s="13" t="n">
        <f aca="false">IF(H1356="Investment",1,0)</f>
        <v>0</v>
      </c>
      <c r="Y1356" s="13" t="n">
        <f aca="false">IF(K1356="Website",1,0)</f>
        <v>1</v>
      </c>
      <c r="Z1356" s="13" t="n">
        <f aca="false">IF(K1356="Agency",1,0)</f>
        <v>0</v>
      </c>
      <c r="AA1356" s="13" t="n">
        <f aca="false">IF(K1356="Client",1,0)</f>
        <v>0</v>
      </c>
      <c r="AB1356" s="13" t="n">
        <f aca="false">(D1356-AVERAGE(D$2:D$2001))/STDEV(D$2:D$2001)</f>
        <v>-1.50712359909381</v>
      </c>
      <c r="AC1356" s="13" t="n">
        <f aca="false">(I1356-AVERAGE(I$2:I$2001))/STDEV(I$2:I$2001)</f>
        <v>1.39434968409451</v>
      </c>
      <c r="AD1356" s="13" t="n">
        <f aca="false">(L1356-AVERAGE(L$2:L$2001))/STDEV(L$2:L$2001)</f>
        <v>-0.777063122173208</v>
      </c>
      <c r="AE1356" s="13" t="n">
        <f aca="false">(M1356-AVERAGE(M$2:M$2001))/STDEV(M$2:M$2001)</f>
        <v>-0.692836528773383</v>
      </c>
      <c r="AF1356" s="13" t="n">
        <f aca="false">(N1356-AVERAGE(N$2:N$2001))/STDEV(N$2:N$2001)</f>
        <v>-0.104626151172462</v>
      </c>
      <c r="AG1356" s="13" t="n">
        <f aca="false">(O1356-AVERAGE(O$2:O$2001))/STDEV(O$2:O$2001)</f>
        <v>0.0413039218235118</v>
      </c>
      <c r="AH1356" s="0" t="str">
        <f aca="false">IF(B1356="Company","C3 - Corporate Buyers",IF(AND(H1356="Investment",M1356&gt;'Segmentation Summary'!$C$1),"C1 - Global Investors",IF(AND(I1356&gt;=4,M1356&gt;'Segmentation Summary'!$C$1),"C4 - Luxury Investors",IF(AND(D1356&lt;'Segmentation Summary'!$C$2,J1356=1),"C2 - First-Time Buyers","C5 - Other Individual Buyers"))))</f>
        <v>C2 - First-Time Buyers</v>
      </c>
    </row>
    <row r="1357" customFormat="false" ht="15" hidden="false" customHeight="true" outlineLevel="0" collapsed="false">
      <c r="A1357" s="13" t="s">
        <v>2722</v>
      </c>
      <c r="B1357" s="13" t="s">
        <v>34</v>
      </c>
      <c r="C1357" s="13" t="s">
        <v>2723</v>
      </c>
      <c r="D1357" s="13" t="n">
        <v>49</v>
      </c>
      <c r="E1357" s="13" t="s">
        <v>90</v>
      </c>
      <c r="F1357" s="13" t="s">
        <v>33</v>
      </c>
      <c r="G1357" s="13" t="s">
        <v>120</v>
      </c>
      <c r="H1357" s="13" t="s">
        <v>43</v>
      </c>
      <c r="I1357" s="13" t="n">
        <v>3</v>
      </c>
      <c r="J1357" s="13" t="n">
        <v>0</v>
      </c>
      <c r="K1357" s="13" t="s">
        <v>91</v>
      </c>
      <c r="L1357" s="13" t="n">
        <v>3</v>
      </c>
      <c r="M1357" s="13" t="n">
        <v>981719.26</v>
      </c>
      <c r="N1357" s="13" t="n">
        <v>327239.753333333</v>
      </c>
      <c r="O1357" s="13" t="n">
        <v>1108.99666666667</v>
      </c>
      <c r="P1357" s="13" t="n">
        <v>0</v>
      </c>
      <c r="Q1357" s="13" t="n">
        <v>3</v>
      </c>
      <c r="R1357" s="13" t="s">
        <v>215</v>
      </c>
      <c r="S1357" s="13" t="s">
        <v>164</v>
      </c>
      <c r="T1357" s="13" t="n">
        <v>1</v>
      </c>
      <c r="U1357" s="13" t="n">
        <f aca="false">IF(B1357="Individual",1,0)</f>
        <v>1</v>
      </c>
      <c r="V1357" s="13" t="n">
        <f aca="false">IF(B1357="Company",1,0)</f>
        <v>0</v>
      </c>
      <c r="W1357" s="13" t="n">
        <f aca="false">IF(H1357="Home",1,0)</f>
        <v>0</v>
      </c>
      <c r="X1357" s="13" t="n">
        <f aca="false">IF(H1357="Investment",1,0)</f>
        <v>1</v>
      </c>
      <c r="Y1357" s="13" t="n">
        <f aca="false">IF(K1357="Website",1,0)</f>
        <v>0</v>
      </c>
      <c r="Z1357" s="13" t="n">
        <f aca="false">IF(K1357="Agency",1,0)</f>
        <v>1</v>
      </c>
      <c r="AA1357" s="13" t="n">
        <f aca="false">IF(K1357="Client",1,0)</f>
        <v>0</v>
      </c>
      <c r="AB1357" s="13" t="n">
        <f aca="false">(D1357-AVERAGE(D$2:D$2001))/STDEV(D$2:D$2001)</f>
        <v>-0.296212033842633</v>
      </c>
      <c r="AC1357" s="13" t="n">
        <f aca="false">(I1357-AVERAGE(I$2:I$2001))/STDEV(I$2:I$2001)</f>
        <v>-0.0205155458339628</v>
      </c>
      <c r="AD1357" s="13" t="n">
        <f aca="false">(L1357-AVERAGE(L$2:L$2001))/STDEV(L$2:L$2001)</f>
        <v>-0.777063122173208</v>
      </c>
      <c r="AE1357" s="13" t="n">
        <f aca="false">(M1357-AVERAGE(M$2:M$2001))/STDEV(M$2:M$2001)</f>
        <v>-0.801126089783433</v>
      </c>
      <c r="AF1357" s="13" t="n">
        <f aca="false">(N1357-AVERAGE(N$2:N$2001))/STDEV(N$2:N$2001)</f>
        <v>-0.284705735153555</v>
      </c>
      <c r="AG1357" s="13" t="n">
        <f aca="false">(O1357-AVERAGE(O$2:O$2001))/STDEV(O$2:O$2001)</f>
        <v>-0.174984306339784</v>
      </c>
      <c r="AH1357" s="0" t="str">
        <f aca="false">IF(B1357="Company","C3 - Corporate Buyers",IF(AND(H1357="Investment",M1357&gt;'Segmentation Summary'!$C$1),"C1 - Global Investors",IF(AND(I1357&gt;=4,M1357&gt;'Segmentation Summary'!$C$1),"C4 - Luxury Investors",IF(AND(D1357&lt;'Segmentation Summary'!$C$2,J1357=1),"C2 - First-Time Buyers","C5 - Other Individual Buyers"))))</f>
        <v>C5 - Other Individual Buyers</v>
      </c>
    </row>
    <row r="1358" customFormat="false" ht="15" hidden="false" customHeight="true" outlineLevel="0" collapsed="false">
      <c r="A1358" s="13" t="s">
        <v>2724</v>
      </c>
      <c r="B1358" s="13" t="s">
        <v>34</v>
      </c>
      <c r="C1358" s="13" t="s">
        <v>2725</v>
      </c>
      <c r="D1358" s="13" t="n">
        <v>58</v>
      </c>
      <c r="E1358" s="13" t="s">
        <v>90</v>
      </c>
      <c r="F1358" s="13" t="s">
        <v>33</v>
      </c>
      <c r="G1358" s="13" t="s">
        <v>120</v>
      </c>
      <c r="H1358" s="13" t="s">
        <v>41</v>
      </c>
      <c r="I1358" s="13" t="n">
        <v>4</v>
      </c>
      <c r="J1358" s="13" t="n">
        <v>0</v>
      </c>
      <c r="K1358" s="13" t="s">
        <v>85</v>
      </c>
      <c r="L1358" s="13" t="n">
        <v>4</v>
      </c>
      <c r="M1358" s="13" t="n">
        <v>1537989.75</v>
      </c>
      <c r="N1358" s="13" t="n">
        <v>384497.4375</v>
      </c>
      <c r="O1358" s="13" t="n">
        <v>1324.385</v>
      </c>
      <c r="P1358" s="13" t="n">
        <v>2</v>
      </c>
      <c r="Q1358" s="13" t="n">
        <v>2</v>
      </c>
      <c r="R1358" s="13" t="s">
        <v>92</v>
      </c>
      <c r="S1358" s="13" t="s">
        <v>133</v>
      </c>
      <c r="T1358" s="13" t="n">
        <v>1</v>
      </c>
      <c r="U1358" s="13" t="n">
        <f aca="false">IF(B1358="Individual",1,0)</f>
        <v>1</v>
      </c>
      <c r="V1358" s="13" t="n">
        <f aca="false">IF(B1358="Company",1,0)</f>
        <v>0</v>
      </c>
      <c r="W1358" s="13" t="n">
        <f aca="false">IF(H1358="Home",1,0)</f>
        <v>1</v>
      </c>
      <c r="X1358" s="13" t="n">
        <f aca="false">IF(H1358="Investment",1,0)</f>
        <v>0</v>
      </c>
      <c r="Y1358" s="13" t="n">
        <f aca="false">IF(K1358="Website",1,0)</f>
        <v>1</v>
      </c>
      <c r="Z1358" s="13" t="n">
        <f aca="false">IF(K1358="Agency",1,0)</f>
        <v>0</v>
      </c>
      <c r="AA1358" s="13" t="n">
        <f aca="false">IF(K1358="Client",1,0)</f>
        <v>0</v>
      </c>
      <c r="AB1358" s="13" t="n">
        <f aca="false">(D1358-AVERAGE(D$2:D$2001))/STDEV(D$2:D$2001)</f>
        <v>0.222750065550728</v>
      </c>
      <c r="AC1358" s="13" t="n">
        <f aca="false">(I1358-AVERAGE(I$2:I$2001))/STDEV(I$2:I$2001)</f>
        <v>0.686917069130275</v>
      </c>
      <c r="AD1358" s="13" t="n">
        <f aca="false">(L1358-AVERAGE(L$2:L$2001))/STDEV(L$2:L$2001)</f>
        <v>0.413838214490712</v>
      </c>
      <c r="AE1358" s="13" t="n">
        <f aca="false">(M1358-AVERAGE(M$2:M$2001))/STDEV(M$2:M$2001)</f>
        <v>0.798130520544254</v>
      </c>
      <c r="AF1358" s="13" t="n">
        <f aca="false">(N1358-AVERAGE(N$2:N$2001))/STDEV(N$2:N$2001)</f>
        <v>0.536524730100566</v>
      </c>
      <c r="AG1358" s="13" t="n">
        <f aca="false">(O1358-AVERAGE(O$2:O$2001))/STDEV(O$2:O$2001)</f>
        <v>0.80439819506984</v>
      </c>
      <c r="AH1358" s="0" t="str">
        <f aca="false">IF(B1358="Company","C3 - Corporate Buyers",IF(AND(H1358="Investment",M1358&gt;'Segmentation Summary'!$C$1),"C1 - Global Investors",IF(AND(I1358&gt;=4,M1358&gt;'Segmentation Summary'!$C$1),"C4 - Luxury Investors",IF(AND(D1358&lt;'Segmentation Summary'!$C$2,J1358=1),"C2 - First-Time Buyers","C5 - Other Individual Buyers"))))</f>
        <v>C4 - Luxury Investors</v>
      </c>
    </row>
    <row r="1359" customFormat="false" ht="15" hidden="false" customHeight="true" outlineLevel="0" collapsed="false">
      <c r="A1359" s="13" t="s">
        <v>2726</v>
      </c>
      <c r="B1359" s="13" t="s">
        <v>34</v>
      </c>
      <c r="C1359" s="13" t="s">
        <v>2727</v>
      </c>
      <c r="D1359" s="13" t="n">
        <v>31</v>
      </c>
      <c r="E1359" s="13" t="s">
        <v>90</v>
      </c>
      <c r="F1359" s="13" t="s">
        <v>45</v>
      </c>
      <c r="G1359" s="13" t="s">
        <v>405</v>
      </c>
      <c r="H1359" s="13" t="s">
        <v>43</v>
      </c>
      <c r="I1359" s="13" t="n">
        <v>4</v>
      </c>
      <c r="J1359" s="13" t="n">
        <v>1</v>
      </c>
      <c r="K1359" s="13" t="s">
        <v>91</v>
      </c>
      <c r="L1359" s="13" t="n">
        <v>4</v>
      </c>
      <c r="M1359" s="13" t="n">
        <v>916825.86</v>
      </c>
      <c r="N1359" s="13" t="n">
        <v>229206.465</v>
      </c>
      <c r="O1359" s="13" t="n">
        <v>735.11</v>
      </c>
      <c r="P1359" s="13" t="n">
        <v>1</v>
      </c>
      <c r="Q1359" s="13" t="n">
        <v>3</v>
      </c>
      <c r="R1359" s="13" t="s">
        <v>92</v>
      </c>
      <c r="S1359" s="13" t="s">
        <v>150</v>
      </c>
      <c r="T1359" s="13" t="n">
        <v>1</v>
      </c>
      <c r="U1359" s="13" t="n">
        <f aca="false">IF(B1359="Individual",1,0)</f>
        <v>1</v>
      </c>
      <c r="V1359" s="13" t="n">
        <f aca="false">IF(B1359="Company",1,0)</f>
        <v>0</v>
      </c>
      <c r="W1359" s="13" t="n">
        <f aca="false">IF(H1359="Home",1,0)</f>
        <v>0</v>
      </c>
      <c r="X1359" s="13" t="n">
        <f aca="false">IF(H1359="Investment",1,0)</f>
        <v>1</v>
      </c>
      <c r="Y1359" s="13" t="n">
        <f aca="false">IF(K1359="Website",1,0)</f>
        <v>0</v>
      </c>
      <c r="Z1359" s="13" t="n">
        <f aca="false">IF(K1359="Agency",1,0)</f>
        <v>1</v>
      </c>
      <c r="AA1359" s="13" t="n">
        <f aca="false">IF(K1359="Client",1,0)</f>
        <v>0</v>
      </c>
      <c r="AB1359" s="13" t="n">
        <f aca="false">(D1359-AVERAGE(D$2:D$2001))/STDEV(D$2:D$2001)</f>
        <v>-1.33413623262935</v>
      </c>
      <c r="AC1359" s="13" t="n">
        <f aca="false">(I1359-AVERAGE(I$2:I$2001))/STDEV(I$2:I$2001)</f>
        <v>0.686917069130275</v>
      </c>
      <c r="AD1359" s="13" t="n">
        <f aca="false">(L1359-AVERAGE(L$2:L$2001))/STDEV(L$2:L$2001)</f>
        <v>0.413838214490712</v>
      </c>
      <c r="AE1359" s="13" t="n">
        <f aca="false">(M1359-AVERAGE(M$2:M$2001))/STDEV(M$2:M$2001)</f>
        <v>-0.987692159316689</v>
      </c>
      <c r="AF1359" s="13" t="n">
        <f aca="false">(N1359-AVERAGE(N$2:N$2001))/STDEV(N$2:N$2001)</f>
        <v>-1.69076894151779</v>
      </c>
      <c r="AG1359" s="13" t="n">
        <f aca="false">(O1359-AVERAGE(O$2:O$2001))/STDEV(O$2:O$2001)</f>
        <v>-1.87506737572786</v>
      </c>
      <c r="AH1359" s="0" t="str">
        <f aca="false">IF(B1359="Company","C3 - Corporate Buyers",IF(AND(H1359="Investment",M1359&gt;'Segmentation Summary'!$C$1),"C1 - Global Investors",IF(AND(I1359&gt;=4,M1359&gt;'Segmentation Summary'!$C$1),"C4 - Luxury Investors",IF(AND(D1359&lt;'Segmentation Summary'!$C$2,J1359=1),"C2 - First-Time Buyers","C5 - Other Individual Buyers"))))</f>
        <v>C2 - First-Time Buyers</v>
      </c>
    </row>
    <row r="1360" customFormat="false" ht="15" hidden="false" customHeight="true" outlineLevel="0" collapsed="false">
      <c r="A1360" s="13" t="s">
        <v>2728</v>
      </c>
      <c r="B1360" s="13" t="s">
        <v>34</v>
      </c>
      <c r="C1360" s="13" t="s">
        <v>2729</v>
      </c>
      <c r="D1360" s="13" t="n">
        <v>50</v>
      </c>
      <c r="E1360" s="13" t="s">
        <v>90</v>
      </c>
      <c r="F1360" s="13" t="s">
        <v>37</v>
      </c>
      <c r="G1360" s="13" t="s">
        <v>940</v>
      </c>
      <c r="H1360" s="13" t="s">
        <v>43</v>
      </c>
      <c r="I1360" s="13" t="n">
        <v>1</v>
      </c>
      <c r="J1360" s="13" t="n">
        <v>0</v>
      </c>
      <c r="K1360" s="13" t="s">
        <v>85</v>
      </c>
      <c r="L1360" s="13" t="n">
        <v>3</v>
      </c>
      <c r="M1360" s="13" t="n">
        <v>1125271.6</v>
      </c>
      <c r="N1360" s="13" t="n">
        <v>375090.533333333</v>
      </c>
      <c r="O1360" s="13" t="n">
        <v>1228.91</v>
      </c>
      <c r="P1360" s="13" t="n">
        <v>2</v>
      </c>
      <c r="Q1360" s="13" t="n">
        <v>1</v>
      </c>
      <c r="R1360" s="13" t="s">
        <v>98</v>
      </c>
      <c r="S1360" s="13" t="s">
        <v>103</v>
      </c>
      <c r="T1360" s="13" t="n">
        <v>1</v>
      </c>
      <c r="U1360" s="13" t="n">
        <f aca="false">IF(B1360="Individual",1,0)</f>
        <v>1</v>
      </c>
      <c r="V1360" s="13" t="n">
        <f aca="false">IF(B1360="Company",1,0)</f>
        <v>0</v>
      </c>
      <c r="W1360" s="13" t="n">
        <f aca="false">IF(H1360="Home",1,0)</f>
        <v>0</v>
      </c>
      <c r="X1360" s="13" t="n">
        <f aca="false">IF(H1360="Investment",1,0)</f>
        <v>1</v>
      </c>
      <c r="Y1360" s="13" t="n">
        <f aca="false">IF(K1360="Website",1,0)</f>
        <v>1</v>
      </c>
      <c r="Z1360" s="13" t="n">
        <f aca="false">IF(K1360="Agency",1,0)</f>
        <v>0</v>
      </c>
      <c r="AA1360" s="13" t="n">
        <f aca="false">IF(K1360="Client",1,0)</f>
        <v>0</v>
      </c>
      <c r="AB1360" s="13" t="n">
        <f aca="false">(D1360-AVERAGE(D$2:D$2001))/STDEV(D$2:D$2001)</f>
        <v>-0.238549578354482</v>
      </c>
      <c r="AC1360" s="13" t="n">
        <f aca="false">(I1360-AVERAGE(I$2:I$2001))/STDEV(I$2:I$2001)</f>
        <v>-1.43538077576244</v>
      </c>
      <c r="AD1360" s="13" t="n">
        <f aca="false">(L1360-AVERAGE(L$2:L$2001))/STDEV(L$2:L$2001)</f>
        <v>-0.777063122173208</v>
      </c>
      <c r="AE1360" s="13" t="n">
        <f aca="false">(M1360-AVERAGE(M$2:M$2001))/STDEV(M$2:M$2001)</f>
        <v>-0.388418544083844</v>
      </c>
      <c r="AF1360" s="13" t="n">
        <f aca="false">(N1360-AVERAGE(N$2:N$2001))/STDEV(N$2:N$2001)</f>
        <v>0.401604214228738</v>
      </c>
      <c r="AG1360" s="13" t="n">
        <f aca="false">(O1360-AVERAGE(O$2:O$2001))/STDEV(O$2:O$2001)</f>
        <v>0.370268161771447</v>
      </c>
      <c r="AH1360" s="0" t="str">
        <f aca="false">IF(B1360="Company","C3 - Corporate Buyers",IF(AND(H1360="Investment",M1360&gt;'Segmentation Summary'!$C$1),"C1 - Global Investors",IF(AND(I1360&gt;=4,M1360&gt;'Segmentation Summary'!$C$1),"C4 - Luxury Investors",IF(AND(D1360&lt;'Segmentation Summary'!$C$2,J1360=1),"C2 - First-Time Buyers","C5 - Other Individual Buyers"))))</f>
        <v>C5 - Other Individual Buyers</v>
      </c>
    </row>
    <row r="1361" customFormat="false" ht="15" hidden="false" customHeight="true" outlineLevel="0" collapsed="false">
      <c r="A1361" s="13" t="s">
        <v>2730</v>
      </c>
      <c r="B1361" s="13" t="s">
        <v>34</v>
      </c>
      <c r="C1361" s="13" t="s">
        <v>2731</v>
      </c>
      <c r="D1361" s="13" t="n">
        <v>30</v>
      </c>
      <c r="E1361" s="13" t="s">
        <v>90</v>
      </c>
      <c r="F1361" s="13" t="s">
        <v>35</v>
      </c>
      <c r="G1361" s="13" t="s">
        <v>137</v>
      </c>
      <c r="H1361" s="13" t="s">
        <v>41</v>
      </c>
      <c r="I1361" s="13" t="n">
        <v>1</v>
      </c>
      <c r="J1361" s="13" t="n">
        <v>1</v>
      </c>
      <c r="K1361" s="13" t="s">
        <v>85</v>
      </c>
      <c r="L1361" s="13" t="n">
        <v>3</v>
      </c>
      <c r="M1361" s="13" t="n">
        <v>1185126.78</v>
      </c>
      <c r="N1361" s="13" t="n">
        <v>395042.26</v>
      </c>
      <c r="O1361" s="13" t="n">
        <v>1303.47333333333</v>
      </c>
      <c r="P1361" s="13" t="n">
        <v>0</v>
      </c>
      <c r="Q1361" s="13" t="n">
        <v>3</v>
      </c>
      <c r="R1361" s="13" t="s">
        <v>117</v>
      </c>
      <c r="S1361" s="13" t="s">
        <v>124</v>
      </c>
      <c r="T1361" s="13" t="n">
        <v>1</v>
      </c>
      <c r="U1361" s="13" t="n">
        <f aca="false">IF(B1361="Individual",1,0)</f>
        <v>1</v>
      </c>
      <c r="V1361" s="13" t="n">
        <f aca="false">IF(B1361="Company",1,0)</f>
        <v>0</v>
      </c>
      <c r="W1361" s="13" t="n">
        <f aca="false">IF(H1361="Home",1,0)</f>
        <v>1</v>
      </c>
      <c r="X1361" s="13" t="n">
        <f aca="false">IF(H1361="Investment",1,0)</f>
        <v>0</v>
      </c>
      <c r="Y1361" s="13" t="n">
        <f aca="false">IF(K1361="Website",1,0)</f>
        <v>1</v>
      </c>
      <c r="Z1361" s="13" t="n">
        <f aca="false">IF(K1361="Agency",1,0)</f>
        <v>0</v>
      </c>
      <c r="AA1361" s="13" t="n">
        <f aca="false">IF(K1361="Client",1,0)</f>
        <v>0</v>
      </c>
      <c r="AB1361" s="13" t="n">
        <f aca="false">(D1361-AVERAGE(D$2:D$2001))/STDEV(D$2:D$2001)</f>
        <v>-1.39179868811751</v>
      </c>
      <c r="AC1361" s="13" t="n">
        <f aca="false">(I1361-AVERAGE(I$2:I$2001))/STDEV(I$2:I$2001)</f>
        <v>-1.43538077576244</v>
      </c>
      <c r="AD1361" s="13" t="n">
        <f aca="false">(L1361-AVERAGE(L$2:L$2001))/STDEV(L$2:L$2001)</f>
        <v>-0.777063122173208</v>
      </c>
      <c r="AE1361" s="13" t="n">
        <f aca="false">(M1361-AVERAGE(M$2:M$2001))/STDEV(M$2:M$2001)</f>
        <v>-0.216337166412069</v>
      </c>
      <c r="AF1361" s="13" t="n">
        <f aca="false">(N1361-AVERAGE(N$2:N$2001))/STDEV(N$2:N$2001)</f>
        <v>0.68776608073728</v>
      </c>
      <c r="AG1361" s="13" t="n">
        <f aca="false">(O1361-AVERAGE(O$2:O$2001))/STDEV(O$2:O$2001)</f>
        <v>0.709311705975036</v>
      </c>
      <c r="AH1361" s="0" t="str">
        <f aca="false">IF(B1361="Company","C3 - Corporate Buyers",IF(AND(H1361="Investment",M1361&gt;'Segmentation Summary'!$C$1),"C1 - Global Investors",IF(AND(I1361&gt;=4,M1361&gt;'Segmentation Summary'!$C$1),"C4 - Luxury Investors",IF(AND(D1361&lt;'Segmentation Summary'!$C$2,J1361=1),"C2 - First-Time Buyers","C5 - Other Individual Buyers"))))</f>
        <v>C2 - First-Time Buyers</v>
      </c>
    </row>
    <row r="1362" customFormat="false" ht="15" hidden="false" customHeight="true" outlineLevel="0" collapsed="false">
      <c r="A1362" s="13" t="s">
        <v>2732</v>
      </c>
      <c r="B1362" s="13" t="s">
        <v>34</v>
      </c>
      <c r="C1362" s="13" t="s">
        <v>2733</v>
      </c>
      <c r="D1362" s="13" t="n">
        <v>84</v>
      </c>
      <c r="E1362" s="13" t="s">
        <v>90</v>
      </c>
      <c r="F1362" s="13" t="s">
        <v>37</v>
      </c>
      <c r="G1362" s="13" t="s">
        <v>259</v>
      </c>
      <c r="H1362" s="13" t="s">
        <v>43</v>
      </c>
      <c r="I1362" s="13" t="n">
        <v>4</v>
      </c>
      <c r="J1362" s="13" t="n">
        <v>0</v>
      </c>
      <c r="K1362" s="13" t="s">
        <v>85</v>
      </c>
      <c r="L1362" s="13" t="n">
        <v>3</v>
      </c>
      <c r="M1362" s="13" t="n">
        <v>864661.45</v>
      </c>
      <c r="N1362" s="13" t="n">
        <v>288220.483333333</v>
      </c>
      <c r="O1362" s="13" t="n">
        <v>939.33</v>
      </c>
      <c r="P1362" s="13" t="n">
        <v>0</v>
      </c>
      <c r="Q1362" s="13" t="n">
        <v>3</v>
      </c>
      <c r="R1362" s="13" t="s">
        <v>92</v>
      </c>
      <c r="S1362" s="13" t="s">
        <v>101</v>
      </c>
      <c r="T1362" s="13" t="n">
        <v>1</v>
      </c>
      <c r="U1362" s="13" t="n">
        <f aca="false">IF(B1362="Individual",1,0)</f>
        <v>1</v>
      </c>
      <c r="V1362" s="13" t="n">
        <f aca="false">IF(B1362="Company",1,0)</f>
        <v>0</v>
      </c>
      <c r="W1362" s="13" t="n">
        <f aca="false">IF(H1362="Home",1,0)</f>
        <v>0</v>
      </c>
      <c r="X1362" s="13" t="n">
        <f aca="false">IF(H1362="Investment",1,0)</f>
        <v>1</v>
      </c>
      <c r="Y1362" s="13" t="n">
        <f aca="false">IF(K1362="Website",1,0)</f>
        <v>1</v>
      </c>
      <c r="Z1362" s="13" t="n">
        <f aca="false">IF(K1362="Agency",1,0)</f>
        <v>0</v>
      </c>
      <c r="AA1362" s="13" t="n">
        <f aca="false">IF(K1362="Client",1,0)</f>
        <v>0</v>
      </c>
      <c r="AB1362" s="13" t="n">
        <f aca="false">(D1362-AVERAGE(D$2:D$2001))/STDEV(D$2:D$2001)</f>
        <v>1.72197390824266</v>
      </c>
      <c r="AC1362" s="13" t="n">
        <f aca="false">(I1362-AVERAGE(I$2:I$2001))/STDEV(I$2:I$2001)</f>
        <v>0.686917069130275</v>
      </c>
      <c r="AD1362" s="13" t="n">
        <f aca="false">(L1362-AVERAGE(L$2:L$2001))/STDEV(L$2:L$2001)</f>
        <v>-0.777063122173208</v>
      </c>
      <c r="AE1362" s="13" t="n">
        <f aca="false">(M1362-AVERAGE(M$2:M$2001))/STDEV(M$2:M$2001)</f>
        <v>-1.13766286424541</v>
      </c>
      <c r="AF1362" s="13" t="n">
        <f aca="false">(N1362-AVERAGE(N$2:N$2001))/STDEV(N$2:N$2001)</f>
        <v>-0.844347881397232</v>
      </c>
      <c r="AG1362" s="13" t="n">
        <f aca="false">(O1362-AVERAGE(O$2:O$2001))/STDEV(O$2:O$2001)</f>
        <v>-0.946467895233512</v>
      </c>
      <c r="AH1362" s="0" t="str">
        <f aca="false">IF(B1362="Company","C3 - Corporate Buyers",IF(AND(H1362="Investment",M1362&gt;'Segmentation Summary'!$C$1),"C1 - Global Investors",IF(AND(I1362&gt;=4,M1362&gt;'Segmentation Summary'!$C$1),"C4 - Luxury Investors",IF(AND(D1362&lt;'Segmentation Summary'!$C$2,J1362=1),"C2 - First-Time Buyers","C5 - Other Individual Buyers"))))</f>
        <v>C5 - Other Individual Buyers</v>
      </c>
    </row>
    <row r="1363" customFormat="false" ht="15" hidden="false" customHeight="true" outlineLevel="0" collapsed="false">
      <c r="A1363" s="13" t="s">
        <v>2734</v>
      </c>
      <c r="B1363" s="13" t="s">
        <v>34</v>
      </c>
      <c r="C1363" s="13" t="s">
        <v>2735</v>
      </c>
      <c r="D1363" s="13" t="n">
        <v>62</v>
      </c>
      <c r="E1363" s="13" t="s">
        <v>90</v>
      </c>
      <c r="F1363" s="13" t="s">
        <v>33</v>
      </c>
      <c r="G1363" s="13" t="s">
        <v>110</v>
      </c>
      <c r="H1363" s="13" t="s">
        <v>41</v>
      </c>
      <c r="I1363" s="13" t="n">
        <v>1</v>
      </c>
      <c r="J1363" s="13" t="n">
        <v>1</v>
      </c>
      <c r="K1363" s="13" t="s">
        <v>85</v>
      </c>
      <c r="L1363" s="13" t="n">
        <v>4</v>
      </c>
      <c r="M1363" s="13" t="n">
        <v>959344.08</v>
      </c>
      <c r="N1363" s="13" t="n">
        <v>239836.02</v>
      </c>
      <c r="O1363" s="13" t="n">
        <v>828.375</v>
      </c>
      <c r="P1363" s="13" t="n">
        <v>1</v>
      </c>
      <c r="Q1363" s="13" t="n">
        <v>3</v>
      </c>
      <c r="R1363" s="13" t="s">
        <v>103</v>
      </c>
      <c r="S1363" s="13" t="s">
        <v>87</v>
      </c>
      <c r="T1363" s="13" t="n">
        <v>1</v>
      </c>
      <c r="U1363" s="13" t="n">
        <f aca="false">IF(B1363="Individual",1,0)</f>
        <v>1</v>
      </c>
      <c r="V1363" s="13" t="n">
        <f aca="false">IF(B1363="Company",1,0)</f>
        <v>0</v>
      </c>
      <c r="W1363" s="13" t="n">
        <f aca="false">IF(H1363="Home",1,0)</f>
        <v>1</v>
      </c>
      <c r="X1363" s="13" t="n">
        <f aca="false">IF(H1363="Investment",1,0)</f>
        <v>0</v>
      </c>
      <c r="Y1363" s="13" t="n">
        <f aca="false">IF(K1363="Website",1,0)</f>
        <v>1</v>
      </c>
      <c r="Z1363" s="13" t="n">
        <f aca="false">IF(K1363="Agency",1,0)</f>
        <v>0</v>
      </c>
      <c r="AA1363" s="13" t="n">
        <f aca="false">IF(K1363="Client",1,0)</f>
        <v>0</v>
      </c>
      <c r="AB1363" s="13" t="n">
        <f aca="false">(D1363-AVERAGE(D$2:D$2001))/STDEV(D$2:D$2001)</f>
        <v>0.453399887503333</v>
      </c>
      <c r="AC1363" s="13" t="n">
        <f aca="false">(I1363-AVERAGE(I$2:I$2001))/STDEV(I$2:I$2001)</f>
        <v>-1.43538077576244</v>
      </c>
      <c r="AD1363" s="13" t="n">
        <f aca="false">(L1363-AVERAGE(L$2:L$2001))/STDEV(L$2:L$2001)</f>
        <v>0.413838214490712</v>
      </c>
      <c r="AE1363" s="13" t="n">
        <f aca="false">(M1363-AVERAGE(M$2:M$2001))/STDEV(M$2:M$2001)</f>
        <v>-0.865453885640933</v>
      </c>
      <c r="AF1363" s="13" t="n">
        <f aca="false">(N1363-AVERAGE(N$2:N$2001))/STDEV(N$2:N$2001)</f>
        <v>-1.53831229704917</v>
      </c>
      <c r="AG1363" s="13" t="n">
        <f aca="false">(O1363-AVERAGE(O$2:O$2001))/STDEV(O$2:O$2001)</f>
        <v>-1.45098633298814</v>
      </c>
      <c r="AH1363" s="0" t="str">
        <f aca="false">IF(B1363="Company","C3 - Corporate Buyers",IF(AND(H1363="Investment",M1363&gt;'Segmentation Summary'!$C$1),"C1 - Global Investors",IF(AND(I1363&gt;=4,M1363&gt;'Segmentation Summary'!$C$1),"C4 - Luxury Investors",IF(AND(D1363&lt;'Segmentation Summary'!$C$2,J1363=1),"C2 - First-Time Buyers","C5 - Other Individual Buyers"))))</f>
        <v>C5 - Other Individual Buyers</v>
      </c>
    </row>
    <row r="1364" customFormat="false" ht="15" hidden="false" customHeight="true" outlineLevel="0" collapsed="false">
      <c r="A1364" s="13" t="s">
        <v>2736</v>
      </c>
      <c r="B1364" s="13" t="s">
        <v>34</v>
      </c>
      <c r="C1364" s="13" t="s">
        <v>2737</v>
      </c>
      <c r="D1364" s="13" t="n">
        <v>49</v>
      </c>
      <c r="E1364" s="13" t="s">
        <v>90</v>
      </c>
      <c r="F1364" s="13" t="s">
        <v>33</v>
      </c>
      <c r="G1364" s="13" t="s">
        <v>110</v>
      </c>
      <c r="H1364" s="13" t="s">
        <v>41</v>
      </c>
      <c r="I1364" s="13" t="n">
        <v>1</v>
      </c>
      <c r="J1364" s="13" t="n">
        <v>1</v>
      </c>
      <c r="K1364" s="13" t="s">
        <v>85</v>
      </c>
      <c r="L1364" s="13" t="n">
        <v>4</v>
      </c>
      <c r="M1364" s="13" t="n">
        <v>1101390.25</v>
      </c>
      <c r="N1364" s="13" t="n">
        <v>275347.5625</v>
      </c>
      <c r="O1364" s="13" t="n">
        <v>913.8425</v>
      </c>
      <c r="P1364" s="13" t="n">
        <v>1</v>
      </c>
      <c r="Q1364" s="13" t="n">
        <v>3</v>
      </c>
      <c r="R1364" s="13" t="s">
        <v>93</v>
      </c>
      <c r="S1364" s="13" t="s">
        <v>133</v>
      </c>
      <c r="T1364" s="13" t="n">
        <v>1</v>
      </c>
      <c r="U1364" s="13" t="n">
        <f aca="false">IF(B1364="Individual",1,0)</f>
        <v>1</v>
      </c>
      <c r="V1364" s="13" t="n">
        <f aca="false">IF(B1364="Company",1,0)</f>
        <v>0</v>
      </c>
      <c r="W1364" s="13" t="n">
        <f aca="false">IF(H1364="Home",1,0)</f>
        <v>1</v>
      </c>
      <c r="X1364" s="13" t="n">
        <f aca="false">IF(H1364="Investment",1,0)</f>
        <v>0</v>
      </c>
      <c r="Y1364" s="13" t="n">
        <f aca="false">IF(K1364="Website",1,0)</f>
        <v>1</v>
      </c>
      <c r="Z1364" s="13" t="n">
        <f aca="false">IF(K1364="Agency",1,0)</f>
        <v>0</v>
      </c>
      <c r="AA1364" s="13" t="n">
        <f aca="false">IF(K1364="Client",1,0)</f>
        <v>0</v>
      </c>
      <c r="AB1364" s="13" t="n">
        <f aca="false">(D1364-AVERAGE(D$2:D$2001))/STDEV(D$2:D$2001)</f>
        <v>-0.296212033842633</v>
      </c>
      <c r="AC1364" s="13" t="n">
        <f aca="false">(I1364-AVERAGE(I$2:I$2001))/STDEV(I$2:I$2001)</f>
        <v>-1.43538077576244</v>
      </c>
      <c r="AD1364" s="13" t="n">
        <f aca="false">(L1364-AVERAGE(L$2:L$2001))/STDEV(L$2:L$2001)</f>
        <v>0.413838214490712</v>
      </c>
      <c r="AE1364" s="13" t="n">
        <f aca="false">(M1364-AVERAGE(M$2:M$2001))/STDEV(M$2:M$2001)</f>
        <v>-0.457076521700182</v>
      </c>
      <c r="AF1364" s="13" t="n">
        <f aca="false">(N1364-AVERAGE(N$2:N$2001))/STDEV(N$2:N$2001)</f>
        <v>-1.02898047558957</v>
      </c>
      <c r="AG1364" s="13" t="n">
        <f aca="false">(O1364-AVERAGE(O$2:O$2001))/STDEV(O$2:O$2001)</f>
        <v>-1.06236094811325</v>
      </c>
      <c r="AH1364" s="0" t="str">
        <f aca="false">IF(B1364="Company","C3 - Corporate Buyers",IF(AND(H1364="Investment",M1364&gt;'Segmentation Summary'!$C$1),"C1 - Global Investors",IF(AND(I1364&gt;=4,M1364&gt;'Segmentation Summary'!$C$1),"C4 - Luxury Investors",IF(AND(D1364&lt;'Segmentation Summary'!$C$2,J1364=1),"C2 - First-Time Buyers","C5 - Other Individual Buyers"))))</f>
        <v>C2 - First-Time Buyers</v>
      </c>
    </row>
    <row r="1365" customFormat="false" ht="15" hidden="false" customHeight="true" outlineLevel="0" collapsed="false">
      <c r="A1365" s="13" t="s">
        <v>2738</v>
      </c>
      <c r="B1365" s="13" t="s">
        <v>34</v>
      </c>
      <c r="C1365" s="13" t="s">
        <v>2739</v>
      </c>
      <c r="D1365" s="13" t="n">
        <v>51</v>
      </c>
      <c r="E1365" s="13" t="s">
        <v>90</v>
      </c>
      <c r="F1365" s="13" t="s">
        <v>33</v>
      </c>
      <c r="G1365" s="13" t="s">
        <v>95</v>
      </c>
      <c r="H1365" s="13" t="s">
        <v>41</v>
      </c>
      <c r="I1365" s="13" t="n">
        <v>5</v>
      </c>
      <c r="J1365" s="13" t="n">
        <v>1</v>
      </c>
      <c r="K1365" s="13" t="s">
        <v>91</v>
      </c>
      <c r="L1365" s="13" t="n">
        <v>4</v>
      </c>
      <c r="M1365" s="13" t="n">
        <v>1178979.21</v>
      </c>
      <c r="N1365" s="13" t="n">
        <v>294744.8025</v>
      </c>
      <c r="O1365" s="13" t="n">
        <v>989.83</v>
      </c>
      <c r="P1365" s="13" t="n">
        <v>0</v>
      </c>
      <c r="Q1365" s="13" t="n">
        <v>4</v>
      </c>
      <c r="R1365" s="13" t="s">
        <v>101</v>
      </c>
      <c r="S1365" s="13" t="s">
        <v>87</v>
      </c>
      <c r="T1365" s="13" t="n">
        <v>1</v>
      </c>
      <c r="U1365" s="13" t="n">
        <f aca="false">IF(B1365="Individual",1,0)</f>
        <v>1</v>
      </c>
      <c r="V1365" s="13" t="n">
        <f aca="false">IF(B1365="Company",1,0)</f>
        <v>0</v>
      </c>
      <c r="W1365" s="13" t="n">
        <f aca="false">IF(H1365="Home",1,0)</f>
        <v>1</v>
      </c>
      <c r="X1365" s="13" t="n">
        <f aca="false">IF(H1365="Investment",1,0)</f>
        <v>0</v>
      </c>
      <c r="Y1365" s="13" t="n">
        <f aca="false">IF(K1365="Website",1,0)</f>
        <v>0</v>
      </c>
      <c r="Z1365" s="13" t="n">
        <f aca="false">IF(K1365="Agency",1,0)</f>
        <v>1</v>
      </c>
      <c r="AA1365" s="13" t="n">
        <f aca="false">IF(K1365="Client",1,0)</f>
        <v>0</v>
      </c>
      <c r="AB1365" s="13" t="n">
        <f aca="false">(D1365-AVERAGE(D$2:D$2001))/STDEV(D$2:D$2001)</f>
        <v>-0.18088712286633</v>
      </c>
      <c r="AC1365" s="13" t="n">
        <f aca="false">(I1365-AVERAGE(I$2:I$2001))/STDEV(I$2:I$2001)</f>
        <v>1.39434968409451</v>
      </c>
      <c r="AD1365" s="13" t="n">
        <f aca="false">(L1365-AVERAGE(L$2:L$2001))/STDEV(L$2:L$2001)</f>
        <v>0.413838214490712</v>
      </c>
      <c r="AE1365" s="13" t="n">
        <f aca="false">(M1365-AVERAGE(M$2:M$2001))/STDEV(M$2:M$2001)</f>
        <v>-0.234011197547447</v>
      </c>
      <c r="AF1365" s="13" t="n">
        <f aca="false">(N1365-AVERAGE(N$2:N$2001))/STDEV(N$2:N$2001)</f>
        <v>-0.750771451566221</v>
      </c>
      <c r="AG1365" s="13" t="n">
        <f aca="false">(O1365-AVERAGE(O$2:O$2001))/STDEV(O$2:O$2001)</f>
        <v>-0.716841640385973</v>
      </c>
      <c r="AH1365" s="0" t="str">
        <f aca="false">IF(B1365="Company","C3 - Corporate Buyers",IF(AND(H1365="Investment",M1365&gt;'Segmentation Summary'!$C$1),"C1 - Global Investors",IF(AND(I1365&gt;=4,M1365&gt;'Segmentation Summary'!$C$1),"C4 - Luxury Investors",IF(AND(D1365&lt;'Segmentation Summary'!$C$2,J1365=1),"C2 - First-Time Buyers","C5 - Other Individual Buyers"))))</f>
        <v>C2 - First-Time Buyers</v>
      </c>
    </row>
    <row r="1366" customFormat="false" ht="15" hidden="false" customHeight="true" outlineLevel="0" collapsed="false">
      <c r="A1366" s="13" t="s">
        <v>2740</v>
      </c>
      <c r="B1366" s="13" t="s">
        <v>34</v>
      </c>
      <c r="C1366" s="13" t="s">
        <v>2741</v>
      </c>
      <c r="D1366" s="13" t="n">
        <v>49</v>
      </c>
      <c r="E1366" s="13" t="s">
        <v>90</v>
      </c>
      <c r="F1366" s="13" t="s">
        <v>44</v>
      </c>
      <c r="G1366" s="13" t="s">
        <v>318</v>
      </c>
      <c r="H1366" s="13" t="s">
        <v>41</v>
      </c>
      <c r="I1366" s="13" t="n">
        <v>5</v>
      </c>
      <c r="J1366" s="13" t="n">
        <v>0</v>
      </c>
      <c r="K1366" s="13" t="s">
        <v>116</v>
      </c>
      <c r="L1366" s="13" t="n">
        <v>4</v>
      </c>
      <c r="M1366" s="13" t="n">
        <v>1335399.36</v>
      </c>
      <c r="N1366" s="13" t="n">
        <v>333849.84</v>
      </c>
      <c r="O1366" s="13" t="n">
        <v>1132.7375</v>
      </c>
      <c r="P1366" s="13" t="n">
        <v>1</v>
      </c>
      <c r="Q1366" s="13" t="n">
        <v>3</v>
      </c>
      <c r="R1366" s="13" t="s">
        <v>92</v>
      </c>
      <c r="S1366" s="13" t="s">
        <v>152</v>
      </c>
      <c r="T1366" s="13" t="n">
        <v>1</v>
      </c>
      <c r="U1366" s="13" t="n">
        <f aca="false">IF(B1366="Individual",1,0)</f>
        <v>1</v>
      </c>
      <c r="V1366" s="13" t="n">
        <f aca="false">IF(B1366="Company",1,0)</f>
        <v>0</v>
      </c>
      <c r="W1366" s="13" t="n">
        <f aca="false">IF(H1366="Home",1,0)</f>
        <v>1</v>
      </c>
      <c r="X1366" s="13" t="n">
        <f aca="false">IF(H1366="Investment",1,0)</f>
        <v>0</v>
      </c>
      <c r="Y1366" s="13" t="n">
        <f aca="false">IF(K1366="Website",1,0)</f>
        <v>0</v>
      </c>
      <c r="Z1366" s="13" t="n">
        <f aca="false">IF(K1366="Agency",1,0)</f>
        <v>0</v>
      </c>
      <c r="AA1366" s="13" t="n">
        <f aca="false">IF(K1366="Client",1,0)</f>
        <v>1</v>
      </c>
      <c r="AB1366" s="13" t="n">
        <f aca="false">(D1366-AVERAGE(D$2:D$2001))/STDEV(D$2:D$2001)</f>
        <v>-0.296212033842633</v>
      </c>
      <c r="AC1366" s="13" t="n">
        <f aca="false">(I1366-AVERAGE(I$2:I$2001))/STDEV(I$2:I$2001)</f>
        <v>1.39434968409451</v>
      </c>
      <c r="AD1366" s="13" t="n">
        <f aca="false">(L1366-AVERAGE(L$2:L$2001))/STDEV(L$2:L$2001)</f>
        <v>0.413838214490712</v>
      </c>
      <c r="AE1366" s="13" t="n">
        <f aca="false">(M1366-AVERAGE(M$2:M$2001))/STDEV(M$2:M$2001)</f>
        <v>0.215690815003944</v>
      </c>
      <c r="AF1366" s="13" t="n">
        <f aca="false">(N1366-AVERAGE(N$2:N$2001))/STDEV(N$2:N$2001)</f>
        <v>-0.189899166783868</v>
      </c>
      <c r="AG1366" s="13" t="n">
        <f aca="false">(O1366-AVERAGE(O$2:O$2001))/STDEV(O$2:O$2001)</f>
        <v>-0.0670334420765727</v>
      </c>
      <c r="AH1366" s="0" t="str">
        <f aca="false">IF(B1366="Company","C3 - Corporate Buyers",IF(AND(H1366="Investment",M1366&gt;'Segmentation Summary'!$C$1),"C1 - Global Investors",IF(AND(I1366&gt;=4,M1366&gt;'Segmentation Summary'!$C$1),"C4 - Luxury Investors",IF(AND(D1366&lt;'Segmentation Summary'!$C$2,J1366=1),"C2 - First-Time Buyers","C5 - Other Individual Buyers"))))</f>
        <v>C4 - Luxury Investors</v>
      </c>
    </row>
    <row r="1367" customFormat="false" ht="15" hidden="false" customHeight="true" outlineLevel="0" collapsed="false">
      <c r="A1367" s="13" t="s">
        <v>2742</v>
      </c>
      <c r="B1367" s="13" t="s">
        <v>34</v>
      </c>
      <c r="C1367" s="13" t="s">
        <v>2743</v>
      </c>
      <c r="D1367" s="13" t="n">
        <v>62</v>
      </c>
      <c r="E1367" s="13" t="s">
        <v>90</v>
      </c>
      <c r="F1367" s="13" t="s">
        <v>33</v>
      </c>
      <c r="G1367" s="13" t="s">
        <v>120</v>
      </c>
      <c r="H1367" s="13" t="s">
        <v>41</v>
      </c>
      <c r="I1367" s="13" t="n">
        <v>3</v>
      </c>
      <c r="J1367" s="13" t="n">
        <v>1</v>
      </c>
      <c r="K1367" s="13" t="s">
        <v>85</v>
      </c>
      <c r="L1367" s="13" t="n">
        <v>3</v>
      </c>
      <c r="M1367" s="13" t="n">
        <v>1137673.55</v>
      </c>
      <c r="N1367" s="13" t="n">
        <v>379224.516666667</v>
      </c>
      <c r="O1367" s="13" t="n">
        <v>1221.67666666667</v>
      </c>
      <c r="P1367" s="13" t="n">
        <v>0</v>
      </c>
      <c r="Q1367" s="13" t="n">
        <v>3</v>
      </c>
      <c r="R1367" s="13" t="s">
        <v>150</v>
      </c>
      <c r="S1367" s="13" t="s">
        <v>114</v>
      </c>
      <c r="T1367" s="13" t="n">
        <v>1</v>
      </c>
      <c r="U1367" s="13" t="n">
        <f aca="false">IF(B1367="Individual",1,0)</f>
        <v>1</v>
      </c>
      <c r="V1367" s="13" t="n">
        <f aca="false">IF(B1367="Company",1,0)</f>
        <v>0</v>
      </c>
      <c r="W1367" s="13" t="n">
        <f aca="false">IF(H1367="Home",1,0)</f>
        <v>1</v>
      </c>
      <c r="X1367" s="13" t="n">
        <f aca="false">IF(H1367="Investment",1,0)</f>
        <v>0</v>
      </c>
      <c r="Y1367" s="13" t="n">
        <f aca="false">IF(K1367="Website",1,0)</f>
        <v>1</v>
      </c>
      <c r="Z1367" s="13" t="n">
        <f aca="false">IF(K1367="Agency",1,0)</f>
        <v>0</v>
      </c>
      <c r="AA1367" s="13" t="n">
        <f aca="false">IF(K1367="Client",1,0)</f>
        <v>0</v>
      </c>
      <c r="AB1367" s="13" t="n">
        <f aca="false">(D1367-AVERAGE(D$2:D$2001))/STDEV(D$2:D$2001)</f>
        <v>0.453399887503333</v>
      </c>
      <c r="AC1367" s="13" t="n">
        <f aca="false">(I1367-AVERAGE(I$2:I$2001))/STDEV(I$2:I$2001)</f>
        <v>-0.0205155458339628</v>
      </c>
      <c r="AD1367" s="13" t="n">
        <f aca="false">(L1367-AVERAGE(L$2:L$2001))/STDEV(L$2:L$2001)</f>
        <v>-0.777063122173208</v>
      </c>
      <c r="AE1367" s="13" t="n">
        <f aca="false">(M1367-AVERAGE(M$2:M$2001))/STDEV(M$2:M$2001)</f>
        <v>-0.352763407104614</v>
      </c>
      <c r="AF1367" s="13" t="n">
        <f aca="false">(N1367-AVERAGE(N$2:N$2001))/STDEV(N$2:N$2001)</f>
        <v>0.4608967459753</v>
      </c>
      <c r="AG1367" s="13" t="n">
        <f aca="false">(O1367-AVERAGE(O$2:O$2001))/STDEV(O$2:O$2001)</f>
        <v>0.337377800516072</v>
      </c>
      <c r="AH1367" s="0" t="str">
        <f aca="false">IF(B1367="Company","C3 - Corporate Buyers",IF(AND(H1367="Investment",M1367&gt;'Segmentation Summary'!$C$1),"C1 - Global Investors",IF(AND(I1367&gt;=4,M1367&gt;'Segmentation Summary'!$C$1),"C4 - Luxury Investors",IF(AND(D1367&lt;'Segmentation Summary'!$C$2,J1367=1),"C2 - First-Time Buyers","C5 - Other Individual Buyers"))))</f>
        <v>C5 - Other Individual Buyers</v>
      </c>
    </row>
    <row r="1368" customFormat="false" ht="15" hidden="false" customHeight="true" outlineLevel="0" collapsed="false">
      <c r="A1368" s="13" t="s">
        <v>2744</v>
      </c>
      <c r="B1368" s="13" t="s">
        <v>34</v>
      </c>
      <c r="C1368" s="13" t="s">
        <v>2745</v>
      </c>
      <c r="D1368" s="13" t="n">
        <v>69</v>
      </c>
      <c r="E1368" s="13" t="s">
        <v>90</v>
      </c>
      <c r="F1368" s="13" t="s">
        <v>33</v>
      </c>
      <c r="G1368" s="13" t="s">
        <v>95</v>
      </c>
      <c r="H1368" s="13" t="s">
        <v>43</v>
      </c>
      <c r="I1368" s="13" t="n">
        <v>2</v>
      </c>
      <c r="J1368" s="13" t="n">
        <v>1</v>
      </c>
      <c r="K1368" s="13" t="s">
        <v>85</v>
      </c>
      <c r="L1368" s="13" t="n">
        <v>3</v>
      </c>
      <c r="M1368" s="13" t="n">
        <v>1442538.67</v>
      </c>
      <c r="N1368" s="13" t="n">
        <v>480846.223333333</v>
      </c>
      <c r="O1368" s="13" t="n">
        <v>1685.27666666667</v>
      </c>
      <c r="P1368" s="13" t="n">
        <v>0</v>
      </c>
      <c r="Q1368" s="13" t="n">
        <v>3</v>
      </c>
      <c r="R1368" s="13" t="s">
        <v>86</v>
      </c>
      <c r="S1368" s="13" t="s">
        <v>93</v>
      </c>
      <c r="T1368" s="13" t="n">
        <v>1</v>
      </c>
      <c r="U1368" s="13" t="n">
        <f aca="false">IF(B1368="Individual",1,0)</f>
        <v>1</v>
      </c>
      <c r="V1368" s="13" t="n">
        <f aca="false">IF(B1368="Company",1,0)</f>
        <v>0</v>
      </c>
      <c r="W1368" s="13" t="n">
        <f aca="false">IF(H1368="Home",1,0)</f>
        <v>0</v>
      </c>
      <c r="X1368" s="13" t="n">
        <f aca="false">IF(H1368="Investment",1,0)</f>
        <v>1</v>
      </c>
      <c r="Y1368" s="13" t="n">
        <f aca="false">IF(K1368="Website",1,0)</f>
        <v>1</v>
      </c>
      <c r="Z1368" s="13" t="n">
        <f aca="false">IF(K1368="Agency",1,0)</f>
        <v>0</v>
      </c>
      <c r="AA1368" s="13" t="n">
        <f aca="false">IF(K1368="Client",1,0)</f>
        <v>0</v>
      </c>
      <c r="AB1368" s="13" t="n">
        <f aca="false">(D1368-AVERAGE(D$2:D$2001))/STDEV(D$2:D$2001)</f>
        <v>0.857037075920391</v>
      </c>
      <c r="AC1368" s="13" t="n">
        <f aca="false">(I1368-AVERAGE(I$2:I$2001))/STDEV(I$2:I$2001)</f>
        <v>-0.727948160798201</v>
      </c>
      <c r="AD1368" s="13" t="n">
        <f aca="false">(L1368-AVERAGE(L$2:L$2001))/STDEV(L$2:L$2001)</f>
        <v>-0.777063122173208</v>
      </c>
      <c r="AE1368" s="13" t="n">
        <f aca="false">(M1368-AVERAGE(M$2:M$2001))/STDEV(M$2:M$2001)</f>
        <v>0.523712277266749</v>
      </c>
      <c r="AF1368" s="13" t="n">
        <f aca="false">(N1368-AVERAGE(N$2:N$2001))/STDEV(N$2:N$2001)</f>
        <v>1.91842760249513</v>
      </c>
      <c r="AG1368" s="13" t="n">
        <f aca="false">(O1368-AVERAGE(O$2:O$2001))/STDEV(O$2:O$2001)</f>
        <v>2.445392290562</v>
      </c>
      <c r="AH1368" s="0" t="str">
        <f aca="false">IF(B1368="Company","C3 - Corporate Buyers",IF(AND(H1368="Investment",M1368&gt;'Segmentation Summary'!$C$1),"C1 - Global Investors",IF(AND(I1368&gt;=4,M1368&gt;'Segmentation Summary'!$C$1),"C4 - Luxury Investors",IF(AND(D1368&lt;'Segmentation Summary'!$C$2,J1368=1),"C2 - First-Time Buyers","C5 - Other Individual Buyers"))))</f>
        <v>C1 - Global Investors</v>
      </c>
    </row>
    <row r="1369" customFormat="false" ht="15" hidden="false" customHeight="true" outlineLevel="0" collapsed="false">
      <c r="A1369" s="13" t="s">
        <v>2746</v>
      </c>
      <c r="B1369" s="13" t="s">
        <v>34</v>
      </c>
      <c r="C1369" s="13" t="s">
        <v>2747</v>
      </c>
      <c r="D1369" s="13" t="n">
        <v>49</v>
      </c>
      <c r="E1369" s="13" t="s">
        <v>90</v>
      </c>
      <c r="F1369" s="13" t="s">
        <v>33</v>
      </c>
      <c r="G1369" s="13" t="s">
        <v>145</v>
      </c>
      <c r="H1369" s="13" t="s">
        <v>41</v>
      </c>
      <c r="I1369" s="13" t="n">
        <v>2</v>
      </c>
      <c r="J1369" s="13" t="n">
        <v>1</v>
      </c>
      <c r="K1369" s="13" t="s">
        <v>91</v>
      </c>
      <c r="L1369" s="13" t="n">
        <v>4</v>
      </c>
      <c r="M1369" s="13" t="n">
        <v>1199337.46</v>
      </c>
      <c r="N1369" s="13" t="n">
        <v>299834.365</v>
      </c>
      <c r="O1369" s="13" t="n">
        <v>997.415</v>
      </c>
      <c r="P1369" s="13" t="n">
        <v>1</v>
      </c>
      <c r="Q1369" s="13" t="n">
        <v>3</v>
      </c>
      <c r="R1369" s="13" t="s">
        <v>92</v>
      </c>
      <c r="S1369" s="13" t="s">
        <v>87</v>
      </c>
      <c r="T1369" s="13" t="n">
        <v>1</v>
      </c>
      <c r="U1369" s="13" t="n">
        <f aca="false">IF(B1369="Individual",1,0)</f>
        <v>1</v>
      </c>
      <c r="V1369" s="13" t="n">
        <f aca="false">IF(B1369="Company",1,0)</f>
        <v>0</v>
      </c>
      <c r="W1369" s="13" t="n">
        <f aca="false">IF(H1369="Home",1,0)</f>
        <v>1</v>
      </c>
      <c r="X1369" s="13" t="n">
        <f aca="false">IF(H1369="Investment",1,0)</f>
        <v>0</v>
      </c>
      <c r="Y1369" s="13" t="n">
        <f aca="false">IF(K1369="Website",1,0)</f>
        <v>0</v>
      </c>
      <c r="Z1369" s="13" t="n">
        <f aca="false">IF(K1369="Agency",1,0)</f>
        <v>1</v>
      </c>
      <c r="AA1369" s="13" t="n">
        <f aca="false">IF(K1369="Client",1,0)</f>
        <v>0</v>
      </c>
      <c r="AB1369" s="13" t="n">
        <f aca="false">(D1369-AVERAGE(D$2:D$2001))/STDEV(D$2:D$2001)</f>
        <v>-0.296212033842633</v>
      </c>
      <c r="AC1369" s="13" t="n">
        <f aca="false">(I1369-AVERAGE(I$2:I$2001))/STDEV(I$2:I$2001)</f>
        <v>-0.727948160798201</v>
      </c>
      <c r="AD1369" s="13" t="n">
        <f aca="false">(L1369-AVERAGE(L$2:L$2001))/STDEV(L$2:L$2001)</f>
        <v>0.413838214490712</v>
      </c>
      <c r="AE1369" s="13" t="n">
        <f aca="false">(M1369-AVERAGE(M$2:M$2001))/STDEV(M$2:M$2001)</f>
        <v>-0.175481999122408</v>
      </c>
      <c r="AF1369" s="13" t="n">
        <f aca="false">(N1369-AVERAGE(N$2:N$2001))/STDEV(N$2:N$2001)</f>
        <v>-0.677773323181417</v>
      </c>
      <c r="AG1369" s="13" t="n">
        <f aca="false">(O1369-AVERAGE(O$2:O$2001))/STDEV(O$2:O$2001)</f>
        <v>-0.682352231613328</v>
      </c>
      <c r="AH1369" s="0" t="str">
        <f aca="false">IF(B1369="Company","C3 - Corporate Buyers",IF(AND(H1369="Investment",M1369&gt;'Segmentation Summary'!$C$1),"C1 - Global Investors",IF(AND(I1369&gt;=4,M1369&gt;'Segmentation Summary'!$C$1),"C4 - Luxury Investors",IF(AND(D1369&lt;'Segmentation Summary'!$C$2,J1369=1),"C2 - First-Time Buyers","C5 - Other Individual Buyers"))))</f>
        <v>C2 - First-Time Buyers</v>
      </c>
    </row>
    <row r="1370" customFormat="false" ht="15" hidden="false" customHeight="true" outlineLevel="0" collapsed="false">
      <c r="A1370" s="13" t="s">
        <v>2748</v>
      </c>
      <c r="B1370" s="13" t="s">
        <v>34</v>
      </c>
      <c r="C1370" s="13" t="s">
        <v>2749</v>
      </c>
      <c r="D1370" s="13" t="n">
        <v>40</v>
      </c>
      <c r="E1370" s="13" t="s">
        <v>90</v>
      </c>
      <c r="F1370" s="13" t="s">
        <v>42</v>
      </c>
      <c r="G1370" s="13" t="s">
        <v>551</v>
      </c>
      <c r="H1370" s="13" t="s">
        <v>43</v>
      </c>
      <c r="I1370" s="13" t="n">
        <v>2</v>
      </c>
      <c r="J1370" s="13" t="n">
        <v>1</v>
      </c>
      <c r="K1370" s="13" t="s">
        <v>85</v>
      </c>
      <c r="L1370" s="13" t="n">
        <v>7</v>
      </c>
      <c r="M1370" s="13" t="n">
        <v>2900509.1</v>
      </c>
      <c r="N1370" s="13" t="n">
        <v>414358.442857143</v>
      </c>
      <c r="O1370" s="13" t="n">
        <v>1304.72142857143</v>
      </c>
      <c r="P1370" s="13" t="n">
        <v>2</v>
      </c>
      <c r="Q1370" s="13" t="n">
        <v>5</v>
      </c>
      <c r="R1370" s="13" t="s">
        <v>101</v>
      </c>
      <c r="S1370" s="13" t="s">
        <v>87</v>
      </c>
      <c r="T1370" s="13" t="n">
        <v>1</v>
      </c>
      <c r="U1370" s="13" t="n">
        <f aca="false">IF(B1370="Individual",1,0)</f>
        <v>1</v>
      </c>
      <c r="V1370" s="13" t="n">
        <f aca="false">IF(B1370="Company",1,0)</f>
        <v>0</v>
      </c>
      <c r="W1370" s="13" t="n">
        <f aca="false">IF(H1370="Home",1,0)</f>
        <v>0</v>
      </c>
      <c r="X1370" s="13" t="n">
        <f aca="false">IF(H1370="Investment",1,0)</f>
        <v>1</v>
      </c>
      <c r="Y1370" s="13" t="n">
        <f aca="false">IF(K1370="Website",1,0)</f>
        <v>1</v>
      </c>
      <c r="Z1370" s="13" t="n">
        <f aca="false">IF(K1370="Agency",1,0)</f>
        <v>0</v>
      </c>
      <c r="AA1370" s="13" t="n">
        <f aca="false">IF(K1370="Client",1,0)</f>
        <v>0</v>
      </c>
      <c r="AB1370" s="13" t="n">
        <f aca="false">(D1370-AVERAGE(D$2:D$2001))/STDEV(D$2:D$2001)</f>
        <v>-0.815174133235994</v>
      </c>
      <c r="AC1370" s="13" t="n">
        <f aca="false">(I1370-AVERAGE(I$2:I$2001))/STDEV(I$2:I$2001)</f>
        <v>-0.727948160798201</v>
      </c>
      <c r="AD1370" s="13" t="n">
        <f aca="false">(L1370-AVERAGE(L$2:L$2001))/STDEV(L$2:L$2001)</f>
        <v>3.98654222448247</v>
      </c>
      <c r="AE1370" s="13" t="n">
        <f aca="false">(M1370-AVERAGE(M$2:M$2001))/STDEV(M$2:M$2001)</f>
        <v>4.71532209615144</v>
      </c>
      <c r="AF1370" s="13" t="n">
        <f aca="false">(N1370-AVERAGE(N$2:N$2001))/STDEV(N$2:N$2001)</f>
        <v>0.964812525517176</v>
      </c>
      <c r="AG1370" s="13" t="n">
        <f aca="false">(O1370-AVERAGE(O$2:O$2001))/STDEV(O$2:O$2001)</f>
        <v>0.714986863108065</v>
      </c>
      <c r="AH1370" s="0" t="str">
        <f aca="false">IF(B1370="Company","C3 - Corporate Buyers",IF(AND(H1370="Investment",M1370&gt;'Segmentation Summary'!$C$1),"C1 - Global Investors",IF(AND(I1370&gt;=4,M1370&gt;'Segmentation Summary'!$C$1),"C4 - Luxury Investors",IF(AND(D1370&lt;'Segmentation Summary'!$C$2,J1370=1),"C2 - First-Time Buyers","C5 - Other Individual Buyers"))))</f>
        <v>C1 - Global Investors</v>
      </c>
    </row>
    <row r="1371" customFormat="false" ht="15" hidden="false" customHeight="true" outlineLevel="0" collapsed="false">
      <c r="A1371" s="13" t="s">
        <v>2750</v>
      </c>
      <c r="B1371" s="13" t="s">
        <v>34</v>
      </c>
      <c r="C1371" s="13" t="s">
        <v>2751</v>
      </c>
      <c r="D1371" s="13" t="n">
        <v>46</v>
      </c>
      <c r="E1371" s="13" t="s">
        <v>90</v>
      </c>
      <c r="F1371" s="13" t="s">
        <v>40</v>
      </c>
      <c r="G1371" s="13" t="s">
        <v>239</v>
      </c>
      <c r="H1371" s="13" t="s">
        <v>43</v>
      </c>
      <c r="I1371" s="13" t="n">
        <v>4</v>
      </c>
      <c r="J1371" s="13" t="n">
        <v>1</v>
      </c>
      <c r="K1371" s="13" t="s">
        <v>85</v>
      </c>
      <c r="L1371" s="13" t="n">
        <v>4</v>
      </c>
      <c r="M1371" s="13" t="n">
        <v>987175.01</v>
      </c>
      <c r="N1371" s="13" t="n">
        <v>246793.7525</v>
      </c>
      <c r="O1371" s="13" t="n">
        <v>824.2025</v>
      </c>
      <c r="P1371" s="13" t="n">
        <v>0</v>
      </c>
      <c r="Q1371" s="13" t="n">
        <v>4</v>
      </c>
      <c r="R1371" s="13" t="s">
        <v>93</v>
      </c>
      <c r="S1371" s="13" t="s">
        <v>154</v>
      </c>
      <c r="T1371" s="13" t="n">
        <v>1</v>
      </c>
      <c r="U1371" s="13" t="n">
        <f aca="false">IF(B1371="Individual",1,0)</f>
        <v>1</v>
      </c>
      <c r="V1371" s="13" t="n">
        <f aca="false">IF(B1371="Company",1,0)</f>
        <v>0</v>
      </c>
      <c r="W1371" s="13" t="n">
        <f aca="false">IF(H1371="Home",1,0)</f>
        <v>0</v>
      </c>
      <c r="X1371" s="13" t="n">
        <f aca="false">IF(H1371="Investment",1,0)</f>
        <v>1</v>
      </c>
      <c r="Y1371" s="13" t="n">
        <f aca="false">IF(K1371="Website",1,0)</f>
        <v>1</v>
      </c>
      <c r="Z1371" s="13" t="n">
        <f aca="false">IF(K1371="Agency",1,0)</f>
        <v>0</v>
      </c>
      <c r="AA1371" s="13" t="n">
        <f aca="false">IF(K1371="Client",1,0)</f>
        <v>0</v>
      </c>
      <c r="AB1371" s="13" t="n">
        <f aca="false">(D1371-AVERAGE(D$2:D$2001))/STDEV(D$2:D$2001)</f>
        <v>-0.469199400307086</v>
      </c>
      <c r="AC1371" s="13" t="n">
        <f aca="false">(I1371-AVERAGE(I$2:I$2001))/STDEV(I$2:I$2001)</f>
        <v>0.686917069130275</v>
      </c>
      <c r="AD1371" s="13" t="n">
        <f aca="false">(L1371-AVERAGE(L$2:L$2001))/STDEV(L$2:L$2001)</f>
        <v>0.413838214490712</v>
      </c>
      <c r="AE1371" s="13" t="n">
        <f aca="false">(M1371-AVERAGE(M$2:M$2001))/STDEV(M$2:M$2001)</f>
        <v>-0.785441014970646</v>
      </c>
      <c r="AF1371" s="13" t="n">
        <f aca="false">(N1371-AVERAGE(N$2:N$2001))/STDEV(N$2:N$2001)</f>
        <v>-1.43851954466581</v>
      </c>
      <c r="AG1371" s="13" t="n">
        <f aca="false">(O1371-AVERAGE(O$2:O$2001))/STDEV(O$2:O$2001)</f>
        <v>-1.46995891810401</v>
      </c>
      <c r="AH1371" s="0" t="str">
        <f aca="false">IF(B1371="Company","C3 - Corporate Buyers",IF(AND(H1371="Investment",M1371&gt;'Segmentation Summary'!$C$1),"C1 - Global Investors",IF(AND(I1371&gt;=4,M1371&gt;'Segmentation Summary'!$C$1),"C4 - Luxury Investors",IF(AND(D1371&lt;'Segmentation Summary'!$C$2,J1371=1),"C2 - First-Time Buyers","C5 - Other Individual Buyers"))))</f>
        <v>C2 - First-Time Buyers</v>
      </c>
    </row>
    <row r="1372" customFormat="false" ht="15" hidden="false" customHeight="true" outlineLevel="0" collapsed="false">
      <c r="A1372" s="13" t="s">
        <v>2752</v>
      </c>
      <c r="B1372" s="13" t="s">
        <v>34</v>
      </c>
      <c r="C1372" s="13" t="s">
        <v>2753</v>
      </c>
      <c r="D1372" s="13" t="n">
        <v>56</v>
      </c>
      <c r="E1372" s="13" t="s">
        <v>90</v>
      </c>
      <c r="F1372" s="13" t="s">
        <v>33</v>
      </c>
      <c r="G1372" s="13" t="s">
        <v>95</v>
      </c>
      <c r="H1372" s="13" t="s">
        <v>41</v>
      </c>
      <c r="I1372" s="13" t="n">
        <v>4</v>
      </c>
      <c r="J1372" s="13" t="n">
        <v>0</v>
      </c>
      <c r="K1372" s="13" t="s">
        <v>91</v>
      </c>
      <c r="L1372" s="13" t="n">
        <v>4</v>
      </c>
      <c r="M1372" s="13" t="n">
        <v>1489065.16</v>
      </c>
      <c r="N1372" s="13" t="n">
        <v>372266.29</v>
      </c>
      <c r="O1372" s="13" t="n">
        <v>1425.7675</v>
      </c>
      <c r="P1372" s="13" t="n">
        <v>0</v>
      </c>
      <c r="Q1372" s="13" t="n">
        <v>4</v>
      </c>
      <c r="R1372" s="13" t="s">
        <v>92</v>
      </c>
      <c r="S1372" s="13" t="s">
        <v>114</v>
      </c>
      <c r="T1372" s="13" t="n">
        <v>1</v>
      </c>
      <c r="U1372" s="13" t="n">
        <f aca="false">IF(B1372="Individual",1,0)</f>
        <v>1</v>
      </c>
      <c r="V1372" s="13" t="n">
        <f aca="false">IF(B1372="Company",1,0)</f>
        <v>0</v>
      </c>
      <c r="W1372" s="13" t="n">
        <f aca="false">IF(H1372="Home",1,0)</f>
        <v>1</v>
      </c>
      <c r="X1372" s="13" t="n">
        <f aca="false">IF(H1372="Investment",1,0)</f>
        <v>0</v>
      </c>
      <c r="Y1372" s="13" t="n">
        <f aca="false">IF(K1372="Website",1,0)</f>
        <v>0</v>
      </c>
      <c r="Z1372" s="13" t="n">
        <f aca="false">IF(K1372="Agency",1,0)</f>
        <v>1</v>
      </c>
      <c r="AA1372" s="13" t="n">
        <f aca="false">IF(K1372="Client",1,0)</f>
        <v>0</v>
      </c>
      <c r="AB1372" s="13" t="n">
        <f aca="false">(D1372-AVERAGE(D$2:D$2001))/STDEV(D$2:D$2001)</f>
        <v>0.107425154574426</v>
      </c>
      <c r="AC1372" s="13" t="n">
        <f aca="false">(I1372-AVERAGE(I$2:I$2001))/STDEV(I$2:I$2001)</f>
        <v>0.686917069130275</v>
      </c>
      <c r="AD1372" s="13" t="n">
        <f aca="false">(L1372-AVERAGE(L$2:L$2001))/STDEV(L$2:L$2001)</f>
        <v>0.413838214490712</v>
      </c>
      <c r="AE1372" s="13" t="n">
        <f aca="false">(M1372-AVERAGE(M$2:M$2001))/STDEV(M$2:M$2001)</f>
        <v>0.657474175525714</v>
      </c>
      <c r="AF1372" s="13" t="n">
        <f aca="false">(N1372-AVERAGE(N$2:N$2001))/STDEV(N$2:N$2001)</f>
        <v>0.36109690590183</v>
      </c>
      <c r="AG1372" s="13" t="n">
        <f aca="false">(O1372-AVERAGE(O$2:O$2001))/STDEV(O$2:O$2001)</f>
        <v>1.26538995313084</v>
      </c>
      <c r="AH1372" s="0" t="str">
        <f aca="false">IF(B1372="Company","C3 - Corporate Buyers",IF(AND(H1372="Investment",M1372&gt;'Segmentation Summary'!$C$1),"C1 - Global Investors",IF(AND(I1372&gt;=4,M1372&gt;'Segmentation Summary'!$C$1),"C4 - Luxury Investors",IF(AND(D1372&lt;'Segmentation Summary'!$C$2,J1372=1),"C2 - First-Time Buyers","C5 - Other Individual Buyers"))))</f>
        <v>C4 - Luxury Investors</v>
      </c>
    </row>
    <row r="1373" customFormat="false" ht="15" hidden="false" customHeight="true" outlineLevel="0" collapsed="false">
      <c r="A1373" s="13" t="s">
        <v>2754</v>
      </c>
      <c r="B1373" s="13" t="s">
        <v>34</v>
      </c>
      <c r="C1373" s="13" t="s">
        <v>2755</v>
      </c>
      <c r="D1373" s="13" t="n">
        <v>77</v>
      </c>
      <c r="E1373" s="13" t="s">
        <v>90</v>
      </c>
      <c r="F1373" s="13" t="s">
        <v>33</v>
      </c>
      <c r="G1373" s="13" t="s">
        <v>95</v>
      </c>
      <c r="H1373" s="13" t="s">
        <v>41</v>
      </c>
      <c r="I1373" s="13" t="n">
        <v>2</v>
      </c>
      <c r="J1373" s="13" t="n">
        <v>0</v>
      </c>
      <c r="K1373" s="13" t="s">
        <v>85</v>
      </c>
      <c r="L1373" s="13" t="n">
        <v>4</v>
      </c>
      <c r="M1373" s="13" t="n">
        <v>1363201.96</v>
      </c>
      <c r="N1373" s="13" t="n">
        <v>340800.49</v>
      </c>
      <c r="O1373" s="13" t="n">
        <v>1187.8925</v>
      </c>
      <c r="P1373" s="13" t="n">
        <v>1</v>
      </c>
      <c r="Q1373" s="13" t="n">
        <v>3</v>
      </c>
      <c r="R1373" s="13" t="s">
        <v>150</v>
      </c>
      <c r="S1373" s="13" t="s">
        <v>125</v>
      </c>
      <c r="T1373" s="13" t="n">
        <v>1</v>
      </c>
      <c r="U1373" s="13" t="n">
        <f aca="false">IF(B1373="Individual",1,0)</f>
        <v>1</v>
      </c>
      <c r="V1373" s="13" t="n">
        <f aca="false">IF(B1373="Company",1,0)</f>
        <v>0</v>
      </c>
      <c r="W1373" s="13" t="n">
        <f aca="false">IF(H1373="Home",1,0)</f>
        <v>1</v>
      </c>
      <c r="X1373" s="13" t="n">
        <f aca="false">IF(H1373="Investment",1,0)</f>
        <v>0</v>
      </c>
      <c r="Y1373" s="13" t="n">
        <f aca="false">IF(K1373="Website",1,0)</f>
        <v>1</v>
      </c>
      <c r="Z1373" s="13" t="n">
        <f aca="false">IF(K1373="Agency",1,0)</f>
        <v>0</v>
      </c>
      <c r="AA1373" s="13" t="n">
        <f aca="false">IF(K1373="Client",1,0)</f>
        <v>0</v>
      </c>
      <c r="AB1373" s="13" t="n">
        <f aca="false">(D1373-AVERAGE(D$2:D$2001))/STDEV(D$2:D$2001)</f>
        <v>1.3183367198256</v>
      </c>
      <c r="AC1373" s="13" t="n">
        <f aca="false">(I1373-AVERAGE(I$2:I$2001))/STDEV(I$2:I$2001)</f>
        <v>-0.727948160798201</v>
      </c>
      <c r="AD1373" s="13" t="n">
        <f aca="false">(L1373-AVERAGE(L$2:L$2001))/STDEV(L$2:L$2001)</f>
        <v>0.413838214490712</v>
      </c>
      <c r="AE1373" s="13" t="n">
        <f aca="false">(M1373-AVERAGE(M$2:M$2001))/STDEV(M$2:M$2001)</f>
        <v>0.295622237996194</v>
      </c>
      <c r="AF1373" s="13" t="n">
        <f aca="false">(N1373-AVERAGE(N$2:N$2001))/STDEV(N$2:N$2001)</f>
        <v>-0.0902079966571952</v>
      </c>
      <c r="AG1373" s="13" t="n">
        <f aca="false">(O1373-AVERAGE(O$2:O$2001))/STDEV(O$2:O$2001)</f>
        <v>0.183759351707903</v>
      </c>
      <c r="AH1373" s="0" t="str">
        <f aca="false">IF(B1373="Company","C3 - Corporate Buyers",IF(AND(H1373="Investment",M1373&gt;'Segmentation Summary'!$C$1),"C1 - Global Investors",IF(AND(I1373&gt;=4,M1373&gt;'Segmentation Summary'!$C$1),"C4 - Luxury Investors",IF(AND(D1373&lt;'Segmentation Summary'!$C$2,J1373=1),"C2 - First-Time Buyers","C5 - Other Individual Buyers"))))</f>
        <v>C5 - Other Individual Buyers</v>
      </c>
    </row>
    <row r="1374" customFormat="false" ht="15" hidden="false" customHeight="true" outlineLevel="0" collapsed="false">
      <c r="A1374" s="13" t="s">
        <v>2756</v>
      </c>
      <c r="B1374" s="13" t="s">
        <v>34</v>
      </c>
      <c r="C1374" s="13" t="s">
        <v>2757</v>
      </c>
      <c r="D1374" s="13" t="n">
        <v>56</v>
      </c>
      <c r="E1374" s="13" t="s">
        <v>90</v>
      </c>
      <c r="F1374" s="13" t="s">
        <v>33</v>
      </c>
      <c r="G1374" s="13" t="s">
        <v>95</v>
      </c>
      <c r="H1374" s="13" t="s">
        <v>41</v>
      </c>
      <c r="I1374" s="13" t="n">
        <v>2</v>
      </c>
      <c r="J1374" s="13" t="n">
        <v>0</v>
      </c>
      <c r="K1374" s="13" t="s">
        <v>91</v>
      </c>
      <c r="L1374" s="13" t="n">
        <v>4</v>
      </c>
      <c r="M1374" s="13" t="n">
        <v>1571360.11</v>
      </c>
      <c r="N1374" s="13" t="n">
        <v>392840.0275</v>
      </c>
      <c r="O1374" s="13" t="n">
        <v>1276.8225</v>
      </c>
      <c r="P1374" s="13" t="n">
        <v>0</v>
      </c>
      <c r="Q1374" s="13" t="n">
        <v>4</v>
      </c>
      <c r="R1374" s="13" t="s">
        <v>98</v>
      </c>
      <c r="S1374" s="13" t="s">
        <v>114</v>
      </c>
      <c r="T1374" s="13" t="n">
        <v>1</v>
      </c>
      <c r="U1374" s="13" t="n">
        <f aca="false">IF(B1374="Individual",1,0)</f>
        <v>1</v>
      </c>
      <c r="V1374" s="13" t="n">
        <f aca="false">IF(B1374="Company",1,0)</f>
        <v>0</v>
      </c>
      <c r="W1374" s="13" t="n">
        <f aca="false">IF(H1374="Home",1,0)</f>
        <v>1</v>
      </c>
      <c r="X1374" s="13" t="n">
        <f aca="false">IF(H1374="Investment",1,0)</f>
        <v>0</v>
      </c>
      <c r="Y1374" s="13" t="n">
        <f aca="false">IF(K1374="Website",1,0)</f>
        <v>0</v>
      </c>
      <c r="Z1374" s="13" t="n">
        <f aca="false">IF(K1374="Agency",1,0)</f>
        <v>1</v>
      </c>
      <c r="AA1374" s="13" t="n">
        <f aca="false">IF(K1374="Client",1,0)</f>
        <v>0</v>
      </c>
      <c r="AB1374" s="13" t="n">
        <f aca="false">(D1374-AVERAGE(D$2:D$2001))/STDEV(D$2:D$2001)</f>
        <v>0.107425154574426</v>
      </c>
      <c r="AC1374" s="13" t="n">
        <f aca="false">(I1374-AVERAGE(I$2:I$2001))/STDEV(I$2:I$2001)</f>
        <v>-0.727948160798201</v>
      </c>
      <c r="AD1374" s="13" t="n">
        <f aca="false">(L1374-AVERAGE(L$2:L$2001))/STDEV(L$2:L$2001)</f>
        <v>0.413838214490712</v>
      </c>
      <c r="AE1374" s="13" t="n">
        <f aca="false">(M1374-AVERAGE(M$2:M$2001))/STDEV(M$2:M$2001)</f>
        <v>0.894069042861004</v>
      </c>
      <c r="AF1374" s="13" t="n">
        <f aca="false">(N1374-AVERAGE(N$2:N$2001))/STDEV(N$2:N$2001)</f>
        <v>0.656180094561025</v>
      </c>
      <c r="AG1374" s="13" t="n">
        <f aca="false">(O1374-AVERAGE(O$2:O$2001))/STDEV(O$2:O$2001)</f>
        <v>0.588128912967145</v>
      </c>
      <c r="AH1374" s="0" t="str">
        <f aca="false">IF(B1374="Company","C3 - Corporate Buyers",IF(AND(H1374="Investment",M1374&gt;'Segmentation Summary'!$C$1),"C1 - Global Investors",IF(AND(I1374&gt;=4,M1374&gt;'Segmentation Summary'!$C$1),"C4 - Luxury Investors",IF(AND(D1374&lt;'Segmentation Summary'!$C$2,J1374=1),"C2 - First-Time Buyers","C5 - Other Individual Buyers"))))</f>
        <v>C5 - Other Individual Buyers</v>
      </c>
    </row>
    <row r="1375" customFormat="false" ht="15" hidden="false" customHeight="true" outlineLevel="0" collapsed="false">
      <c r="A1375" s="13" t="s">
        <v>2758</v>
      </c>
      <c r="B1375" s="13" t="s">
        <v>34</v>
      </c>
      <c r="C1375" s="13" t="s">
        <v>2759</v>
      </c>
      <c r="D1375" s="13" t="n">
        <v>43</v>
      </c>
      <c r="E1375" s="13" t="s">
        <v>90</v>
      </c>
      <c r="F1375" s="13" t="s">
        <v>37</v>
      </c>
      <c r="G1375" s="13" t="s">
        <v>572</v>
      </c>
      <c r="H1375" s="13" t="s">
        <v>41</v>
      </c>
      <c r="I1375" s="13" t="n">
        <v>5</v>
      </c>
      <c r="J1375" s="13" t="n">
        <v>0</v>
      </c>
      <c r="K1375" s="13" t="s">
        <v>85</v>
      </c>
      <c r="L1375" s="13" t="n">
        <v>4</v>
      </c>
      <c r="M1375" s="13" t="n">
        <v>1441785.62</v>
      </c>
      <c r="N1375" s="13" t="n">
        <v>360446.405</v>
      </c>
      <c r="O1375" s="13" t="n">
        <v>1167.16</v>
      </c>
      <c r="P1375" s="13" t="n">
        <v>2</v>
      </c>
      <c r="Q1375" s="13" t="n">
        <v>2</v>
      </c>
      <c r="R1375" s="13" t="s">
        <v>86</v>
      </c>
      <c r="S1375" s="13" t="s">
        <v>164</v>
      </c>
      <c r="T1375" s="13" t="n">
        <v>1</v>
      </c>
      <c r="U1375" s="13" t="n">
        <f aca="false">IF(B1375="Individual",1,0)</f>
        <v>1</v>
      </c>
      <c r="V1375" s="13" t="n">
        <f aca="false">IF(B1375="Company",1,0)</f>
        <v>0</v>
      </c>
      <c r="W1375" s="13" t="n">
        <f aca="false">IF(H1375="Home",1,0)</f>
        <v>1</v>
      </c>
      <c r="X1375" s="13" t="n">
        <f aca="false">IF(H1375="Investment",1,0)</f>
        <v>0</v>
      </c>
      <c r="Y1375" s="13" t="n">
        <f aca="false">IF(K1375="Website",1,0)</f>
        <v>1</v>
      </c>
      <c r="Z1375" s="13" t="n">
        <f aca="false">IF(K1375="Agency",1,0)</f>
        <v>0</v>
      </c>
      <c r="AA1375" s="13" t="n">
        <f aca="false">IF(K1375="Client",1,0)</f>
        <v>0</v>
      </c>
      <c r="AB1375" s="13" t="n">
        <f aca="false">(D1375-AVERAGE(D$2:D$2001))/STDEV(D$2:D$2001)</f>
        <v>-0.64218676677154</v>
      </c>
      <c r="AC1375" s="13" t="n">
        <f aca="false">(I1375-AVERAGE(I$2:I$2001))/STDEV(I$2:I$2001)</f>
        <v>1.39434968409451</v>
      </c>
      <c r="AD1375" s="13" t="n">
        <f aca="false">(L1375-AVERAGE(L$2:L$2001))/STDEV(L$2:L$2001)</f>
        <v>0.413838214490712</v>
      </c>
      <c r="AE1375" s="13" t="n">
        <f aca="false">(M1375-AVERAGE(M$2:M$2001))/STDEV(M$2:M$2001)</f>
        <v>0.521547287011006</v>
      </c>
      <c r="AF1375" s="13" t="n">
        <f aca="false">(N1375-AVERAGE(N$2:N$2001))/STDEV(N$2:N$2001)</f>
        <v>0.191567701235689</v>
      </c>
      <c r="AG1375" s="13" t="n">
        <f aca="false">(O1375-AVERAGE(O$2:O$2001))/STDEV(O$2:O$2001)</f>
        <v>0.0894875432202482</v>
      </c>
      <c r="AH1375" s="0" t="str">
        <f aca="false">IF(B1375="Company","C3 - Corporate Buyers",IF(AND(H1375="Investment",M1375&gt;'Segmentation Summary'!$C$1),"C1 - Global Investors",IF(AND(I1375&gt;=4,M1375&gt;'Segmentation Summary'!$C$1),"C4 - Luxury Investors",IF(AND(D1375&lt;'Segmentation Summary'!$C$2,J1375=1),"C2 - First-Time Buyers","C5 - Other Individual Buyers"))))</f>
        <v>C4 - Luxury Investors</v>
      </c>
    </row>
    <row r="1376" customFormat="false" ht="15" hidden="false" customHeight="true" outlineLevel="0" collapsed="false">
      <c r="A1376" s="13" t="s">
        <v>2760</v>
      </c>
      <c r="B1376" s="13" t="s">
        <v>34</v>
      </c>
      <c r="C1376" s="13" t="s">
        <v>2761</v>
      </c>
      <c r="D1376" s="13" t="n">
        <v>44</v>
      </c>
      <c r="E1376" s="13" t="s">
        <v>90</v>
      </c>
      <c r="F1376" s="13" t="s">
        <v>42</v>
      </c>
      <c r="G1376" s="13" t="s">
        <v>551</v>
      </c>
      <c r="H1376" s="13" t="s">
        <v>41</v>
      </c>
      <c r="I1376" s="13" t="n">
        <v>2</v>
      </c>
      <c r="J1376" s="13" t="n">
        <v>0</v>
      </c>
      <c r="K1376" s="13" t="s">
        <v>116</v>
      </c>
      <c r="L1376" s="13" t="n">
        <v>4</v>
      </c>
      <c r="M1376" s="13" t="n">
        <v>802813.26</v>
      </c>
      <c r="N1376" s="13" t="n">
        <v>200703.315</v>
      </c>
      <c r="O1376" s="13" t="n">
        <v>700.7825</v>
      </c>
      <c r="P1376" s="13" t="n">
        <v>0</v>
      </c>
      <c r="Q1376" s="13" t="n">
        <v>4</v>
      </c>
      <c r="R1376" s="13" t="s">
        <v>98</v>
      </c>
      <c r="S1376" s="13" t="s">
        <v>87</v>
      </c>
      <c r="T1376" s="13" t="n">
        <v>1</v>
      </c>
      <c r="U1376" s="13" t="n">
        <f aca="false">IF(B1376="Individual",1,0)</f>
        <v>1</v>
      </c>
      <c r="V1376" s="13" t="n">
        <f aca="false">IF(B1376="Company",1,0)</f>
        <v>0</v>
      </c>
      <c r="W1376" s="13" t="n">
        <f aca="false">IF(H1376="Home",1,0)</f>
        <v>1</v>
      </c>
      <c r="X1376" s="13" t="n">
        <f aca="false">IF(H1376="Investment",1,0)</f>
        <v>0</v>
      </c>
      <c r="Y1376" s="13" t="n">
        <f aca="false">IF(K1376="Website",1,0)</f>
        <v>0</v>
      </c>
      <c r="Z1376" s="13" t="n">
        <f aca="false">IF(K1376="Agency",1,0)</f>
        <v>0</v>
      </c>
      <c r="AA1376" s="13" t="n">
        <f aca="false">IF(K1376="Client",1,0)</f>
        <v>1</v>
      </c>
      <c r="AB1376" s="13" t="n">
        <f aca="false">(D1376-AVERAGE(D$2:D$2001))/STDEV(D$2:D$2001)</f>
        <v>-0.584524311283389</v>
      </c>
      <c r="AC1376" s="13" t="n">
        <f aca="false">(I1376-AVERAGE(I$2:I$2001))/STDEV(I$2:I$2001)</f>
        <v>-0.727948160798201</v>
      </c>
      <c r="AD1376" s="13" t="n">
        <f aca="false">(L1376-AVERAGE(L$2:L$2001))/STDEV(L$2:L$2001)</f>
        <v>0.413838214490712</v>
      </c>
      <c r="AE1376" s="13" t="n">
        <f aca="false">(M1376-AVERAGE(M$2:M$2001))/STDEV(M$2:M$2001)</f>
        <v>-1.31547407025474</v>
      </c>
      <c r="AF1376" s="13" t="n">
        <f aca="false">(N1376-AVERAGE(N$2:N$2001))/STDEV(N$2:N$2001)</f>
        <v>-2.09958140881165</v>
      </c>
      <c r="AG1376" s="13" t="n">
        <f aca="false">(O1376-AVERAGE(O$2:O$2001))/STDEV(O$2:O$2001)</f>
        <v>-2.03115639084229</v>
      </c>
      <c r="AH1376" s="0" t="str">
        <f aca="false">IF(B1376="Company","C3 - Corporate Buyers",IF(AND(H1376="Investment",M1376&gt;'Segmentation Summary'!$C$1),"C1 - Global Investors",IF(AND(I1376&gt;=4,M1376&gt;'Segmentation Summary'!$C$1),"C4 - Luxury Investors",IF(AND(D1376&lt;'Segmentation Summary'!$C$2,J1376=1),"C2 - First-Time Buyers","C5 - Other Individual Buyers"))))</f>
        <v>C5 - Other Individual Buyers</v>
      </c>
    </row>
    <row r="1377" customFormat="false" ht="15" hidden="false" customHeight="true" outlineLevel="0" collapsed="false">
      <c r="A1377" s="13" t="s">
        <v>2762</v>
      </c>
      <c r="B1377" s="13" t="s">
        <v>34</v>
      </c>
      <c r="C1377" s="13" t="s">
        <v>2763</v>
      </c>
      <c r="D1377" s="13" t="n">
        <v>79</v>
      </c>
      <c r="E1377" s="13" t="s">
        <v>90</v>
      </c>
      <c r="F1377" s="13" t="s">
        <v>33</v>
      </c>
      <c r="G1377" s="13" t="s">
        <v>265</v>
      </c>
      <c r="H1377" s="13" t="s">
        <v>41</v>
      </c>
      <c r="I1377" s="13" t="n">
        <v>3</v>
      </c>
      <c r="J1377" s="13" t="n">
        <v>0</v>
      </c>
      <c r="K1377" s="13" t="s">
        <v>91</v>
      </c>
      <c r="L1377" s="13" t="n">
        <v>3</v>
      </c>
      <c r="M1377" s="13" t="n">
        <v>991862.87</v>
      </c>
      <c r="N1377" s="13" t="n">
        <v>330620.956666667</v>
      </c>
      <c r="O1377" s="13" t="n">
        <v>1138.42333333333</v>
      </c>
      <c r="P1377" s="13" t="n">
        <v>0</v>
      </c>
      <c r="Q1377" s="13" t="n">
        <v>3</v>
      </c>
      <c r="R1377" s="13" t="s">
        <v>101</v>
      </c>
      <c r="S1377" s="13" t="s">
        <v>93</v>
      </c>
      <c r="T1377" s="13" t="n">
        <v>1</v>
      </c>
      <c r="U1377" s="13" t="n">
        <f aca="false">IF(B1377="Individual",1,0)</f>
        <v>1</v>
      </c>
      <c r="V1377" s="13" t="n">
        <f aca="false">IF(B1377="Company",1,0)</f>
        <v>0</v>
      </c>
      <c r="W1377" s="13" t="n">
        <f aca="false">IF(H1377="Home",1,0)</f>
        <v>1</v>
      </c>
      <c r="X1377" s="13" t="n">
        <f aca="false">IF(H1377="Investment",1,0)</f>
        <v>0</v>
      </c>
      <c r="Y1377" s="13" t="n">
        <f aca="false">IF(K1377="Website",1,0)</f>
        <v>0</v>
      </c>
      <c r="Z1377" s="13" t="n">
        <f aca="false">IF(K1377="Agency",1,0)</f>
        <v>1</v>
      </c>
      <c r="AA1377" s="13" t="n">
        <f aca="false">IF(K1377="Client",1,0)</f>
        <v>0</v>
      </c>
      <c r="AB1377" s="13" t="n">
        <f aca="false">(D1377-AVERAGE(D$2:D$2001))/STDEV(D$2:D$2001)</f>
        <v>1.4336616308019</v>
      </c>
      <c r="AC1377" s="13" t="n">
        <f aca="false">(I1377-AVERAGE(I$2:I$2001))/STDEV(I$2:I$2001)</f>
        <v>-0.0205155458339628</v>
      </c>
      <c r="AD1377" s="13" t="n">
        <f aca="false">(L1377-AVERAGE(L$2:L$2001))/STDEV(L$2:L$2001)</f>
        <v>-0.777063122173208</v>
      </c>
      <c r="AE1377" s="13" t="n">
        <f aca="false">(M1377-AVERAGE(M$2:M$2001))/STDEV(M$2:M$2001)</f>
        <v>-0.77196359485208</v>
      </c>
      <c r="AF1377" s="13" t="n">
        <f aca="false">(N1377-AVERAGE(N$2:N$2001))/STDEV(N$2:N$2001)</f>
        <v>-0.236210110034137</v>
      </c>
      <c r="AG1377" s="13" t="n">
        <f aca="false">(O1377-AVERAGE(O$2:O$2001))/STDEV(O$2:O$2001)</f>
        <v>-0.0411796477395454</v>
      </c>
      <c r="AH1377" s="0" t="str">
        <f aca="false">IF(B1377="Company","C3 - Corporate Buyers",IF(AND(H1377="Investment",M1377&gt;'Segmentation Summary'!$C$1),"C1 - Global Investors",IF(AND(I1377&gt;=4,M1377&gt;'Segmentation Summary'!$C$1),"C4 - Luxury Investors",IF(AND(D1377&lt;'Segmentation Summary'!$C$2,J1377=1),"C2 - First-Time Buyers","C5 - Other Individual Buyers"))))</f>
        <v>C5 - Other Individual Buyers</v>
      </c>
    </row>
    <row r="1378" customFormat="false" ht="15" hidden="false" customHeight="true" outlineLevel="0" collapsed="false">
      <c r="A1378" s="13" t="s">
        <v>2764</v>
      </c>
      <c r="B1378" s="13" t="s">
        <v>34</v>
      </c>
      <c r="C1378" s="13" t="s">
        <v>2765</v>
      </c>
      <c r="D1378" s="13" t="n">
        <v>76</v>
      </c>
      <c r="E1378" s="13" t="s">
        <v>90</v>
      </c>
      <c r="F1378" s="13" t="s">
        <v>33</v>
      </c>
      <c r="G1378" s="13" t="s">
        <v>95</v>
      </c>
      <c r="H1378" s="13" t="s">
        <v>43</v>
      </c>
      <c r="I1378" s="13" t="n">
        <v>1</v>
      </c>
      <c r="J1378" s="13" t="n">
        <v>0</v>
      </c>
      <c r="K1378" s="13" t="s">
        <v>85</v>
      </c>
      <c r="L1378" s="13" t="n">
        <v>4</v>
      </c>
      <c r="M1378" s="13" t="n">
        <v>1532074.27</v>
      </c>
      <c r="N1378" s="13" t="n">
        <v>383018.5675</v>
      </c>
      <c r="O1378" s="13" t="n">
        <v>1271.345</v>
      </c>
      <c r="P1378" s="13" t="n">
        <v>2</v>
      </c>
      <c r="Q1378" s="13" t="n">
        <v>2</v>
      </c>
      <c r="R1378" s="13" t="s">
        <v>98</v>
      </c>
      <c r="S1378" s="13" t="s">
        <v>87</v>
      </c>
      <c r="T1378" s="13" t="n">
        <v>1</v>
      </c>
      <c r="U1378" s="13" t="n">
        <f aca="false">IF(B1378="Individual",1,0)</f>
        <v>1</v>
      </c>
      <c r="V1378" s="13" t="n">
        <f aca="false">IF(B1378="Company",1,0)</f>
        <v>0</v>
      </c>
      <c r="W1378" s="13" t="n">
        <f aca="false">IF(H1378="Home",1,0)</f>
        <v>0</v>
      </c>
      <c r="X1378" s="13" t="n">
        <f aca="false">IF(H1378="Investment",1,0)</f>
        <v>1</v>
      </c>
      <c r="Y1378" s="13" t="n">
        <f aca="false">IF(K1378="Website",1,0)</f>
        <v>1</v>
      </c>
      <c r="Z1378" s="13" t="n">
        <f aca="false">IF(K1378="Agency",1,0)</f>
        <v>0</v>
      </c>
      <c r="AA1378" s="13" t="n">
        <f aca="false">IF(K1378="Client",1,0)</f>
        <v>0</v>
      </c>
      <c r="AB1378" s="13" t="n">
        <f aca="false">(D1378-AVERAGE(D$2:D$2001))/STDEV(D$2:D$2001)</f>
        <v>1.26067426433745</v>
      </c>
      <c r="AC1378" s="13" t="n">
        <f aca="false">(I1378-AVERAGE(I$2:I$2001))/STDEV(I$2:I$2001)</f>
        <v>-1.43538077576244</v>
      </c>
      <c r="AD1378" s="13" t="n">
        <f aca="false">(L1378-AVERAGE(L$2:L$2001))/STDEV(L$2:L$2001)</f>
        <v>0.413838214490712</v>
      </c>
      <c r="AE1378" s="13" t="n">
        <f aca="false">(M1378-AVERAGE(M$2:M$2001))/STDEV(M$2:M$2001)</f>
        <v>0.781123739376946</v>
      </c>
      <c r="AF1378" s="13" t="n">
        <f aca="false">(N1378-AVERAGE(N$2:N$2001))/STDEV(N$2:N$2001)</f>
        <v>0.51531372382558</v>
      </c>
      <c r="AG1378" s="13" t="n">
        <f aca="false">(O1378-AVERAGE(O$2:O$2001))/STDEV(O$2:O$2001)</f>
        <v>0.563222421661652</v>
      </c>
      <c r="AH1378" s="0" t="str">
        <f aca="false">IF(B1378="Company","C3 - Corporate Buyers",IF(AND(H1378="Investment",M1378&gt;'Segmentation Summary'!$C$1),"C1 - Global Investors",IF(AND(I1378&gt;=4,M1378&gt;'Segmentation Summary'!$C$1),"C4 - Luxury Investors",IF(AND(D1378&lt;'Segmentation Summary'!$C$2,J1378=1),"C2 - First-Time Buyers","C5 - Other Individual Buyers"))))</f>
        <v>C1 - Global Investors</v>
      </c>
    </row>
    <row r="1379" customFormat="false" ht="15" hidden="false" customHeight="true" outlineLevel="0" collapsed="false">
      <c r="A1379" s="13" t="s">
        <v>2766</v>
      </c>
      <c r="B1379" s="13" t="s">
        <v>34</v>
      </c>
      <c r="C1379" s="13" t="s">
        <v>2767</v>
      </c>
      <c r="D1379" s="13" t="n">
        <v>48</v>
      </c>
      <c r="E1379" s="13" t="s">
        <v>90</v>
      </c>
      <c r="F1379" s="13" t="s">
        <v>33</v>
      </c>
      <c r="G1379" s="13" t="s">
        <v>110</v>
      </c>
      <c r="H1379" s="13" t="s">
        <v>43</v>
      </c>
      <c r="I1379" s="13" t="n">
        <v>1</v>
      </c>
      <c r="J1379" s="13" t="n">
        <v>0</v>
      </c>
      <c r="K1379" s="13" t="s">
        <v>91</v>
      </c>
      <c r="L1379" s="13" t="n">
        <v>4</v>
      </c>
      <c r="M1379" s="13" t="n">
        <v>1654300.33</v>
      </c>
      <c r="N1379" s="13" t="n">
        <v>413575.0825</v>
      </c>
      <c r="O1379" s="13" t="n">
        <v>1239.145</v>
      </c>
      <c r="P1379" s="13" t="n">
        <v>2</v>
      </c>
      <c r="Q1379" s="13" t="n">
        <v>2</v>
      </c>
      <c r="R1379" s="13" t="s">
        <v>124</v>
      </c>
      <c r="S1379" s="13" t="s">
        <v>125</v>
      </c>
      <c r="T1379" s="13" t="n">
        <v>1</v>
      </c>
      <c r="U1379" s="13" t="n">
        <f aca="false">IF(B1379="Individual",1,0)</f>
        <v>1</v>
      </c>
      <c r="V1379" s="13" t="n">
        <f aca="false">IF(B1379="Company",1,0)</f>
        <v>0</v>
      </c>
      <c r="W1379" s="13" t="n">
        <f aca="false">IF(H1379="Home",1,0)</f>
        <v>0</v>
      </c>
      <c r="X1379" s="13" t="n">
        <f aca="false">IF(H1379="Investment",1,0)</f>
        <v>1</v>
      </c>
      <c r="Y1379" s="13" t="n">
        <f aca="false">IF(K1379="Website",1,0)</f>
        <v>0</v>
      </c>
      <c r="Z1379" s="13" t="n">
        <f aca="false">IF(K1379="Agency",1,0)</f>
        <v>1</v>
      </c>
      <c r="AA1379" s="13" t="n">
        <f aca="false">IF(K1379="Client",1,0)</f>
        <v>0</v>
      </c>
      <c r="AB1379" s="13" t="n">
        <f aca="false">(D1379-AVERAGE(D$2:D$2001))/STDEV(D$2:D$2001)</f>
        <v>-0.353874489330784</v>
      </c>
      <c r="AC1379" s="13" t="n">
        <f aca="false">(I1379-AVERAGE(I$2:I$2001))/STDEV(I$2:I$2001)</f>
        <v>-1.43538077576244</v>
      </c>
      <c r="AD1379" s="13" t="n">
        <f aca="false">(L1379-AVERAGE(L$2:L$2001))/STDEV(L$2:L$2001)</f>
        <v>0.413838214490712</v>
      </c>
      <c r="AE1379" s="13" t="n">
        <f aca="false">(M1379-AVERAGE(M$2:M$2001))/STDEV(M$2:M$2001)</f>
        <v>1.13251903703027</v>
      </c>
      <c r="AF1379" s="13" t="n">
        <f aca="false">(N1379-AVERAGE(N$2:N$2001))/STDEV(N$2:N$2001)</f>
        <v>0.953577013639231</v>
      </c>
      <c r="AG1379" s="13" t="n">
        <f aca="false">(O1379-AVERAGE(O$2:O$2001))/STDEV(O$2:O$2001)</f>
        <v>0.416807265105399</v>
      </c>
      <c r="AH1379" s="0" t="str">
        <f aca="false">IF(B1379="Company","C3 - Corporate Buyers",IF(AND(H1379="Investment",M1379&gt;'Segmentation Summary'!$C$1),"C1 - Global Investors",IF(AND(I1379&gt;=4,M1379&gt;'Segmentation Summary'!$C$1),"C4 - Luxury Investors",IF(AND(D1379&lt;'Segmentation Summary'!$C$2,J1379=1),"C2 - First-Time Buyers","C5 - Other Individual Buyers"))))</f>
        <v>C1 - Global Investors</v>
      </c>
    </row>
    <row r="1380" customFormat="false" ht="15" hidden="false" customHeight="true" outlineLevel="0" collapsed="false">
      <c r="A1380" s="13" t="s">
        <v>2768</v>
      </c>
      <c r="B1380" s="13" t="s">
        <v>34</v>
      </c>
      <c r="C1380" s="13" t="s">
        <v>2769</v>
      </c>
      <c r="D1380" s="13" t="n">
        <v>41</v>
      </c>
      <c r="E1380" s="13" t="s">
        <v>90</v>
      </c>
      <c r="F1380" s="13" t="s">
        <v>33</v>
      </c>
      <c r="G1380" s="13" t="s">
        <v>95</v>
      </c>
      <c r="H1380" s="13" t="s">
        <v>41</v>
      </c>
      <c r="I1380" s="13" t="n">
        <v>5</v>
      </c>
      <c r="J1380" s="13" t="n">
        <v>1</v>
      </c>
      <c r="K1380" s="13" t="s">
        <v>91</v>
      </c>
      <c r="L1380" s="13" t="n">
        <v>4</v>
      </c>
      <c r="M1380" s="13" t="n">
        <v>1205175.56</v>
      </c>
      <c r="N1380" s="13" t="n">
        <v>301293.89</v>
      </c>
      <c r="O1380" s="13" t="n">
        <v>1030.1225</v>
      </c>
      <c r="P1380" s="13" t="n">
        <v>2</v>
      </c>
      <c r="Q1380" s="13" t="n">
        <v>2</v>
      </c>
      <c r="R1380" s="13" t="s">
        <v>92</v>
      </c>
      <c r="S1380" s="13" t="s">
        <v>135</v>
      </c>
      <c r="T1380" s="13" t="n">
        <v>1</v>
      </c>
      <c r="U1380" s="13" t="n">
        <f aca="false">IF(B1380="Individual",1,0)</f>
        <v>1</v>
      </c>
      <c r="V1380" s="13" t="n">
        <f aca="false">IF(B1380="Company",1,0)</f>
        <v>0</v>
      </c>
      <c r="W1380" s="13" t="n">
        <f aca="false">IF(H1380="Home",1,0)</f>
        <v>1</v>
      </c>
      <c r="X1380" s="13" t="n">
        <f aca="false">IF(H1380="Investment",1,0)</f>
        <v>0</v>
      </c>
      <c r="Y1380" s="13" t="n">
        <f aca="false">IF(K1380="Website",1,0)</f>
        <v>0</v>
      </c>
      <c r="Z1380" s="13" t="n">
        <f aca="false">IF(K1380="Agency",1,0)</f>
        <v>1</v>
      </c>
      <c r="AA1380" s="13" t="n">
        <f aca="false">IF(K1380="Client",1,0)</f>
        <v>0</v>
      </c>
      <c r="AB1380" s="13" t="n">
        <f aca="false">(D1380-AVERAGE(D$2:D$2001))/STDEV(D$2:D$2001)</f>
        <v>-0.757511677747842</v>
      </c>
      <c r="AC1380" s="13" t="n">
        <f aca="false">(I1380-AVERAGE(I$2:I$2001))/STDEV(I$2:I$2001)</f>
        <v>1.39434968409451</v>
      </c>
      <c r="AD1380" s="13" t="n">
        <f aca="false">(L1380-AVERAGE(L$2:L$2001))/STDEV(L$2:L$2001)</f>
        <v>0.413838214490712</v>
      </c>
      <c r="AE1380" s="13" t="n">
        <f aca="false">(M1380-AVERAGE(M$2:M$2001))/STDEV(M$2:M$2001)</f>
        <v>-0.158697682527159</v>
      </c>
      <c r="AF1380" s="13" t="n">
        <f aca="false">(N1380-AVERAGE(N$2:N$2001))/STDEV(N$2:N$2001)</f>
        <v>-0.656839776667187</v>
      </c>
      <c r="AG1380" s="13" t="n">
        <f aca="false">(O1380-AVERAGE(O$2:O$2001))/STDEV(O$2:O$2001)</f>
        <v>-0.533629444872221</v>
      </c>
      <c r="AH1380" s="0" t="str">
        <f aca="false">IF(B1380="Company","C3 - Corporate Buyers",IF(AND(H1380="Investment",M1380&gt;'Segmentation Summary'!$C$1),"C1 - Global Investors",IF(AND(I1380&gt;=4,M1380&gt;'Segmentation Summary'!$C$1),"C4 - Luxury Investors",IF(AND(D1380&lt;'Segmentation Summary'!$C$2,J1380=1),"C2 - First-Time Buyers","C5 - Other Individual Buyers"))))</f>
        <v>C2 - First-Time Buyers</v>
      </c>
    </row>
    <row r="1381" customFormat="false" ht="15" hidden="false" customHeight="true" outlineLevel="0" collapsed="false">
      <c r="A1381" s="13" t="s">
        <v>2770</v>
      </c>
      <c r="B1381" s="13" t="s">
        <v>34</v>
      </c>
      <c r="C1381" s="13" t="s">
        <v>2771</v>
      </c>
      <c r="D1381" s="13" t="n">
        <v>50</v>
      </c>
      <c r="E1381" s="13" t="s">
        <v>90</v>
      </c>
      <c r="F1381" s="13" t="s">
        <v>33</v>
      </c>
      <c r="G1381" s="13" t="s">
        <v>95</v>
      </c>
      <c r="H1381" s="13" t="s">
        <v>41</v>
      </c>
      <c r="I1381" s="13" t="n">
        <v>5</v>
      </c>
      <c r="J1381" s="13" t="n">
        <v>1</v>
      </c>
      <c r="K1381" s="13" t="s">
        <v>85</v>
      </c>
      <c r="L1381" s="13" t="n">
        <v>4</v>
      </c>
      <c r="M1381" s="13" t="n">
        <v>1159317.69</v>
      </c>
      <c r="N1381" s="13" t="n">
        <v>289829.4225</v>
      </c>
      <c r="O1381" s="13" t="n">
        <v>941.61</v>
      </c>
      <c r="P1381" s="13" t="n">
        <v>1</v>
      </c>
      <c r="Q1381" s="13" t="n">
        <v>3</v>
      </c>
      <c r="R1381" s="13" t="s">
        <v>101</v>
      </c>
      <c r="S1381" s="13" t="s">
        <v>87</v>
      </c>
      <c r="T1381" s="13" t="n">
        <v>1</v>
      </c>
      <c r="U1381" s="13" t="n">
        <f aca="false">IF(B1381="Individual",1,0)</f>
        <v>1</v>
      </c>
      <c r="V1381" s="13" t="n">
        <f aca="false">IF(B1381="Company",1,0)</f>
        <v>0</v>
      </c>
      <c r="W1381" s="13" t="n">
        <f aca="false">IF(H1381="Home",1,0)</f>
        <v>1</v>
      </c>
      <c r="X1381" s="13" t="n">
        <f aca="false">IF(H1381="Investment",1,0)</f>
        <v>0</v>
      </c>
      <c r="Y1381" s="13" t="n">
        <f aca="false">IF(K1381="Website",1,0)</f>
        <v>1</v>
      </c>
      <c r="Z1381" s="13" t="n">
        <f aca="false">IF(K1381="Agency",1,0)</f>
        <v>0</v>
      </c>
      <c r="AA1381" s="13" t="n">
        <f aca="false">IF(K1381="Client",1,0)</f>
        <v>0</v>
      </c>
      <c r="AB1381" s="13" t="n">
        <f aca="false">(D1381-AVERAGE(D$2:D$2001))/STDEV(D$2:D$2001)</f>
        <v>-0.238549578354482</v>
      </c>
      <c r="AC1381" s="13" t="n">
        <f aca="false">(I1381-AVERAGE(I$2:I$2001))/STDEV(I$2:I$2001)</f>
        <v>1.39434968409451</v>
      </c>
      <c r="AD1381" s="13" t="n">
        <f aca="false">(L1381-AVERAGE(L$2:L$2001))/STDEV(L$2:L$2001)</f>
        <v>0.413838214490712</v>
      </c>
      <c r="AE1381" s="13" t="n">
        <f aca="false">(M1381-AVERAGE(M$2:M$2001))/STDEV(M$2:M$2001)</f>
        <v>-0.290537323585681</v>
      </c>
      <c r="AF1381" s="13" t="n">
        <f aca="false">(N1381-AVERAGE(N$2:N$2001))/STDEV(N$2:N$2001)</f>
        <v>-0.82127133054405</v>
      </c>
      <c r="AG1381" s="13" t="n">
        <f aca="false">(O1381-AVERAGE(O$2:O$2001))/STDEV(O$2:O$2001)</f>
        <v>-0.936100610856237</v>
      </c>
      <c r="AH1381" s="0" t="str">
        <f aca="false">IF(B1381="Company","C3 - Corporate Buyers",IF(AND(H1381="Investment",M1381&gt;'Segmentation Summary'!$C$1),"C1 - Global Investors",IF(AND(I1381&gt;=4,M1381&gt;'Segmentation Summary'!$C$1),"C4 - Luxury Investors",IF(AND(D1381&lt;'Segmentation Summary'!$C$2,J1381=1),"C2 - First-Time Buyers","C5 - Other Individual Buyers"))))</f>
        <v>C2 - First-Time Buyers</v>
      </c>
    </row>
    <row r="1382" customFormat="false" ht="15" hidden="false" customHeight="true" outlineLevel="0" collapsed="false">
      <c r="A1382" s="13" t="s">
        <v>2772</v>
      </c>
      <c r="B1382" s="13" t="s">
        <v>34</v>
      </c>
      <c r="C1382" s="13" t="s">
        <v>2773</v>
      </c>
      <c r="D1382" s="13" t="n">
        <v>50</v>
      </c>
      <c r="E1382" s="13" t="s">
        <v>90</v>
      </c>
      <c r="F1382" s="13" t="s">
        <v>33</v>
      </c>
      <c r="G1382" s="13" t="s">
        <v>95</v>
      </c>
      <c r="H1382" s="13" t="s">
        <v>41</v>
      </c>
      <c r="I1382" s="13" t="n">
        <v>2</v>
      </c>
      <c r="J1382" s="13" t="n">
        <v>0</v>
      </c>
      <c r="K1382" s="13" t="s">
        <v>91</v>
      </c>
      <c r="L1382" s="13" t="n">
        <v>4</v>
      </c>
      <c r="M1382" s="13" t="n">
        <v>1415300.74</v>
      </c>
      <c r="N1382" s="13" t="n">
        <v>353825.185</v>
      </c>
      <c r="O1382" s="13" t="n">
        <v>1009.23</v>
      </c>
      <c r="P1382" s="13" t="n">
        <v>0</v>
      </c>
      <c r="Q1382" s="13" t="n">
        <v>4</v>
      </c>
      <c r="R1382" s="13" t="s">
        <v>92</v>
      </c>
      <c r="S1382" s="13" t="s">
        <v>107</v>
      </c>
      <c r="T1382" s="13" t="n">
        <v>1</v>
      </c>
      <c r="U1382" s="13" t="n">
        <f aca="false">IF(B1382="Individual",1,0)</f>
        <v>1</v>
      </c>
      <c r="V1382" s="13" t="n">
        <f aca="false">IF(B1382="Company",1,0)</f>
        <v>0</v>
      </c>
      <c r="W1382" s="13" t="n">
        <f aca="false">IF(H1382="Home",1,0)</f>
        <v>1</v>
      </c>
      <c r="X1382" s="13" t="n">
        <f aca="false">IF(H1382="Investment",1,0)</f>
        <v>0</v>
      </c>
      <c r="Y1382" s="13" t="n">
        <f aca="false">IF(K1382="Website",1,0)</f>
        <v>0</v>
      </c>
      <c r="Z1382" s="13" t="n">
        <f aca="false">IF(K1382="Agency",1,0)</f>
        <v>1</v>
      </c>
      <c r="AA1382" s="13" t="n">
        <f aca="false">IF(K1382="Client",1,0)</f>
        <v>0</v>
      </c>
      <c r="AB1382" s="13" t="n">
        <f aca="false">(D1382-AVERAGE(D$2:D$2001))/STDEV(D$2:D$2001)</f>
        <v>-0.238549578354482</v>
      </c>
      <c r="AC1382" s="13" t="n">
        <f aca="false">(I1382-AVERAGE(I$2:I$2001))/STDEV(I$2:I$2001)</f>
        <v>-0.727948160798201</v>
      </c>
      <c r="AD1382" s="13" t="n">
        <f aca="false">(L1382-AVERAGE(L$2:L$2001))/STDEV(L$2:L$2001)</f>
        <v>0.413838214490712</v>
      </c>
      <c r="AE1382" s="13" t="n">
        <f aca="false">(M1382-AVERAGE(M$2:M$2001))/STDEV(M$2:M$2001)</f>
        <v>0.445404259158251</v>
      </c>
      <c r="AF1382" s="13" t="n">
        <f aca="false">(N1382-AVERAGE(N$2:N$2001))/STDEV(N$2:N$2001)</f>
        <v>0.096601450674067</v>
      </c>
      <c r="AG1382" s="13" t="n">
        <f aca="false">(O1382-AVERAGE(O$2:O$2001))/STDEV(O$2:O$2001)</f>
        <v>-0.628628782088107</v>
      </c>
      <c r="AH1382" s="0" t="str">
        <f aca="false">IF(B1382="Company","C3 - Corporate Buyers",IF(AND(H1382="Investment",M1382&gt;'Segmentation Summary'!$C$1),"C1 - Global Investors",IF(AND(I1382&gt;=4,M1382&gt;'Segmentation Summary'!$C$1),"C4 - Luxury Investors",IF(AND(D1382&lt;'Segmentation Summary'!$C$2,J1382=1),"C2 - First-Time Buyers","C5 - Other Individual Buyers"))))</f>
        <v>C5 - Other Individual Buyers</v>
      </c>
    </row>
    <row r="1383" customFormat="false" ht="15" hidden="false" customHeight="true" outlineLevel="0" collapsed="false">
      <c r="A1383" s="13" t="s">
        <v>2774</v>
      </c>
      <c r="B1383" s="13" t="s">
        <v>34</v>
      </c>
      <c r="C1383" s="13" t="s">
        <v>2775</v>
      </c>
      <c r="D1383" s="13" t="n">
        <v>60</v>
      </c>
      <c r="E1383" s="13" t="s">
        <v>90</v>
      </c>
      <c r="F1383" s="13" t="s">
        <v>33</v>
      </c>
      <c r="G1383" s="13" t="s">
        <v>95</v>
      </c>
      <c r="H1383" s="13" t="s">
        <v>41</v>
      </c>
      <c r="I1383" s="13" t="n">
        <v>1</v>
      </c>
      <c r="J1383" s="13" t="n">
        <v>1</v>
      </c>
      <c r="K1383" s="13" t="s">
        <v>91</v>
      </c>
      <c r="L1383" s="13" t="n">
        <v>3</v>
      </c>
      <c r="M1383" s="13" t="n">
        <v>922722.19</v>
      </c>
      <c r="N1383" s="13" t="n">
        <v>307574.063333333</v>
      </c>
      <c r="O1383" s="13" t="n">
        <v>1003.31333333333</v>
      </c>
      <c r="P1383" s="13" t="n">
        <v>0</v>
      </c>
      <c r="Q1383" s="13" t="n">
        <v>3</v>
      </c>
      <c r="R1383" s="13" t="s">
        <v>98</v>
      </c>
      <c r="S1383" s="13" t="s">
        <v>103</v>
      </c>
      <c r="T1383" s="13" t="n">
        <v>1</v>
      </c>
      <c r="U1383" s="13" t="n">
        <f aca="false">IF(B1383="Individual",1,0)</f>
        <v>1</v>
      </c>
      <c r="V1383" s="13" t="n">
        <f aca="false">IF(B1383="Company",1,0)</f>
        <v>0</v>
      </c>
      <c r="W1383" s="13" t="n">
        <f aca="false">IF(H1383="Home",1,0)</f>
        <v>1</v>
      </c>
      <c r="X1383" s="13" t="n">
        <f aca="false">IF(H1383="Investment",1,0)</f>
        <v>0</v>
      </c>
      <c r="Y1383" s="13" t="n">
        <f aca="false">IF(K1383="Website",1,0)</f>
        <v>0</v>
      </c>
      <c r="Z1383" s="13" t="n">
        <f aca="false">IF(K1383="Agency",1,0)</f>
        <v>1</v>
      </c>
      <c r="AA1383" s="13" t="n">
        <f aca="false">IF(K1383="Client",1,0)</f>
        <v>0</v>
      </c>
      <c r="AB1383" s="13" t="n">
        <f aca="false">(D1383-AVERAGE(D$2:D$2001))/STDEV(D$2:D$2001)</f>
        <v>0.338074976527031</v>
      </c>
      <c r="AC1383" s="13" t="n">
        <f aca="false">(I1383-AVERAGE(I$2:I$2001))/STDEV(I$2:I$2001)</f>
        <v>-1.43538077576244</v>
      </c>
      <c r="AD1383" s="13" t="n">
        <f aca="false">(L1383-AVERAGE(L$2:L$2001))/STDEV(L$2:L$2001)</f>
        <v>-0.777063122173208</v>
      </c>
      <c r="AE1383" s="13" t="n">
        <f aca="false">(M1383-AVERAGE(M$2:M$2001))/STDEV(M$2:M$2001)</f>
        <v>-0.970740433674775</v>
      </c>
      <c r="AF1383" s="13" t="n">
        <f aca="false">(N1383-AVERAGE(N$2:N$2001))/STDEV(N$2:N$2001)</f>
        <v>-0.56676506017329</v>
      </c>
      <c r="AG1383" s="13" t="n">
        <f aca="false">(O1383-AVERAGE(O$2:O$2001))/STDEV(O$2:O$2001)</f>
        <v>-0.655532188184121</v>
      </c>
      <c r="AH1383" s="0" t="str">
        <f aca="false">IF(B1383="Company","C3 - Corporate Buyers",IF(AND(H1383="Investment",M1383&gt;'Segmentation Summary'!$C$1),"C1 - Global Investors",IF(AND(I1383&gt;=4,M1383&gt;'Segmentation Summary'!$C$1),"C4 - Luxury Investors",IF(AND(D1383&lt;'Segmentation Summary'!$C$2,J1383=1),"C2 - First-Time Buyers","C5 - Other Individual Buyers"))))</f>
        <v>C5 - Other Individual Buyers</v>
      </c>
    </row>
    <row r="1384" customFormat="false" ht="15" hidden="false" customHeight="true" outlineLevel="0" collapsed="false">
      <c r="A1384" s="13" t="s">
        <v>2776</v>
      </c>
      <c r="B1384" s="13" t="s">
        <v>34</v>
      </c>
      <c r="C1384" s="13" t="s">
        <v>2777</v>
      </c>
      <c r="D1384" s="13" t="n">
        <v>81</v>
      </c>
      <c r="E1384" s="13" t="s">
        <v>90</v>
      </c>
      <c r="F1384" s="13" t="s">
        <v>33</v>
      </c>
      <c r="G1384" s="13" t="s">
        <v>84</v>
      </c>
      <c r="H1384" s="13" t="s">
        <v>41</v>
      </c>
      <c r="I1384" s="13" t="n">
        <v>5</v>
      </c>
      <c r="J1384" s="13" t="n">
        <v>0</v>
      </c>
      <c r="K1384" s="13" t="s">
        <v>116</v>
      </c>
      <c r="L1384" s="13" t="n">
        <v>4</v>
      </c>
      <c r="M1384" s="13" t="n">
        <v>1368615.25</v>
      </c>
      <c r="N1384" s="13" t="n">
        <v>342153.8125</v>
      </c>
      <c r="O1384" s="13" t="n">
        <v>1140.38</v>
      </c>
      <c r="P1384" s="13" t="n">
        <v>0</v>
      </c>
      <c r="Q1384" s="13" t="n">
        <v>4</v>
      </c>
      <c r="R1384" s="13" t="s">
        <v>98</v>
      </c>
      <c r="S1384" s="13" t="s">
        <v>124</v>
      </c>
      <c r="T1384" s="13" t="n">
        <v>1</v>
      </c>
      <c r="U1384" s="13" t="n">
        <f aca="false">IF(B1384="Individual",1,0)</f>
        <v>1</v>
      </c>
      <c r="V1384" s="13" t="n">
        <f aca="false">IF(B1384="Company",1,0)</f>
        <v>0</v>
      </c>
      <c r="W1384" s="13" t="n">
        <f aca="false">IF(H1384="Home",1,0)</f>
        <v>1</v>
      </c>
      <c r="X1384" s="13" t="n">
        <f aca="false">IF(H1384="Investment",1,0)</f>
        <v>0</v>
      </c>
      <c r="Y1384" s="13" t="n">
        <f aca="false">IF(K1384="Website",1,0)</f>
        <v>0</v>
      </c>
      <c r="Z1384" s="13" t="n">
        <f aca="false">IF(K1384="Agency",1,0)</f>
        <v>0</v>
      </c>
      <c r="AA1384" s="13" t="n">
        <f aca="false">IF(K1384="Client",1,0)</f>
        <v>1</v>
      </c>
      <c r="AB1384" s="13" t="n">
        <f aca="false">(D1384-AVERAGE(D$2:D$2001))/STDEV(D$2:D$2001)</f>
        <v>1.54898654177821</v>
      </c>
      <c r="AC1384" s="13" t="n">
        <f aca="false">(I1384-AVERAGE(I$2:I$2001))/STDEV(I$2:I$2001)</f>
        <v>1.39434968409451</v>
      </c>
      <c r="AD1384" s="13" t="n">
        <f aca="false">(L1384-AVERAGE(L$2:L$2001))/STDEV(L$2:L$2001)</f>
        <v>0.413838214490712</v>
      </c>
      <c r="AE1384" s="13" t="n">
        <f aca="false">(M1384-AVERAGE(M$2:M$2001))/STDEV(M$2:M$2001)</f>
        <v>0.311185241915602</v>
      </c>
      <c r="AF1384" s="13" t="n">
        <f aca="false">(N1384-AVERAGE(N$2:N$2001))/STDEV(N$2:N$2001)</f>
        <v>-0.0707976819983134</v>
      </c>
      <c r="AG1384" s="13" t="n">
        <f aca="false">(O1384-AVERAGE(O$2:O$2001))/STDEV(O$2:O$2001)</f>
        <v>-0.0322825776672191</v>
      </c>
      <c r="AH1384" s="0" t="str">
        <f aca="false">IF(B1384="Company","C3 - Corporate Buyers",IF(AND(H1384="Investment",M1384&gt;'Segmentation Summary'!$C$1),"C1 - Global Investors",IF(AND(I1384&gt;=4,M1384&gt;'Segmentation Summary'!$C$1),"C4 - Luxury Investors",IF(AND(D1384&lt;'Segmentation Summary'!$C$2,J1384=1),"C2 - First-Time Buyers","C5 - Other Individual Buyers"))))</f>
        <v>C4 - Luxury Investors</v>
      </c>
    </row>
    <row r="1385" customFormat="false" ht="15" hidden="false" customHeight="true" outlineLevel="0" collapsed="false">
      <c r="A1385" s="13" t="s">
        <v>2778</v>
      </c>
      <c r="B1385" s="13" t="s">
        <v>34</v>
      </c>
      <c r="C1385" s="13" t="s">
        <v>2779</v>
      </c>
      <c r="D1385" s="13" t="n">
        <v>57</v>
      </c>
      <c r="E1385" s="13" t="s">
        <v>90</v>
      </c>
      <c r="F1385" s="13" t="s">
        <v>38</v>
      </c>
      <c r="G1385" s="13" t="s">
        <v>127</v>
      </c>
      <c r="H1385" s="13" t="s">
        <v>41</v>
      </c>
      <c r="I1385" s="13" t="n">
        <v>1</v>
      </c>
      <c r="J1385" s="13" t="n">
        <v>1</v>
      </c>
      <c r="K1385" s="13" t="s">
        <v>91</v>
      </c>
      <c r="L1385" s="13" t="n">
        <v>4</v>
      </c>
      <c r="M1385" s="13" t="n">
        <v>1086018.36</v>
      </c>
      <c r="N1385" s="13" t="n">
        <v>271504.59</v>
      </c>
      <c r="O1385" s="13" t="n">
        <v>984.12</v>
      </c>
      <c r="P1385" s="13" t="n">
        <v>1</v>
      </c>
      <c r="Q1385" s="13" t="n">
        <v>3</v>
      </c>
      <c r="R1385" s="13" t="s">
        <v>124</v>
      </c>
      <c r="S1385" s="13" t="s">
        <v>114</v>
      </c>
      <c r="T1385" s="13" t="n">
        <v>1</v>
      </c>
      <c r="U1385" s="13" t="n">
        <f aca="false">IF(B1385="Individual",1,0)</f>
        <v>1</v>
      </c>
      <c r="V1385" s="13" t="n">
        <f aca="false">IF(B1385="Company",1,0)</f>
        <v>0</v>
      </c>
      <c r="W1385" s="13" t="n">
        <f aca="false">IF(H1385="Home",1,0)</f>
        <v>1</v>
      </c>
      <c r="X1385" s="13" t="n">
        <f aca="false">IF(H1385="Investment",1,0)</f>
        <v>0</v>
      </c>
      <c r="Y1385" s="13" t="n">
        <f aca="false">IF(K1385="Website",1,0)</f>
        <v>0</v>
      </c>
      <c r="Z1385" s="13" t="n">
        <f aca="false">IF(K1385="Agency",1,0)</f>
        <v>1</v>
      </c>
      <c r="AA1385" s="13" t="n">
        <f aca="false">IF(K1385="Client",1,0)</f>
        <v>0</v>
      </c>
      <c r="AB1385" s="13" t="n">
        <f aca="false">(D1385-AVERAGE(D$2:D$2001))/STDEV(D$2:D$2001)</f>
        <v>0.165087610062577</v>
      </c>
      <c r="AC1385" s="13" t="n">
        <f aca="false">(I1385-AVERAGE(I$2:I$2001))/STDEV(I$2:I$2001)</f>
        <v>-1.43538077576244</v>
      </c>
      <c r="AD1385" s="13" t="n">
        <f aca="false">(L1385-AVERAGE(L$2:L$2001))/STDEV(L$2:L$2001)</f>
        <v>0.413838214490712</v>
      </c>
      <c r="AE1385" s="13" t="n">
        <f aca="false">(M1385-AVERAGE(M$2:M$2001))/STDEV(M$2:M$2001)</f>
        <v>-0.501270123801436</v>
      </c>
      <c r="AF1385" s="13" t="n">
        <f aca="false">(N1385-AVERAGE(N$2:N$2001))/STDEV(N$2:N$2001)</f>
        <v>-1.08409912280813</v>
      </c>
      <c r="AG1385" s="13" t="n">
        <f aca="false">(O1385-AVERAGE(O$2:O$2001))/STDEV(O$2:O$2001)</f>
        <v>-0.742805321874675</v>
      </c>
      <c r="AH1385" s="0" t="str">
        <f aca="false">IF(B1385="Company","C3 - Corporate Buyers",IF(AND(H1385="Investment",M1385&gt;'Segmentation Summary'!$C$1),"C1 - Global Investors",IF(AND(I1385&gt;=4,M1385&gt;'Segmentation Summary'!$C$1),"C4 - Luxury Investors",IF(AND(D1385&lt;'Segmentation Summary'!$C$2,J1385=1),"C2 - First-Time Buyers","C5 - Other Individual Buyers"))))</f>
        <v>C5 - Other Individual Buyers</v>
      </c>
    </row>
    <row r="1386" customFormat="false" ht="15" hidden="false" customHeight="true" outlineLevel="0" collapsed="false">
      <c r="A1386" s="13" t="s">
        <v>2780</v>
      </c>
      <c r="B1386" s="13" t="s">
        <v>34</v>
      </c>
      <c r="C1386" s="13" t="s">
        <v>2781</v>
      </c>
      <c r="D1386" s="13" t="n">
        <v>33</v>
      </c>
      <c r="E1386" s="13" t="s">
        <v>90</v>
      </c>
      <c r="F1386" s="13" t="s">
        <v>35</v>
      </c>
      <c r="G1386" s="13" t="s">
        <v>185</v>
      </c>
      <c r="H1386" s="13" t="s">
        <v>41</v>
      </c>
      <c r="I1386" s="13" t="n">
        <v>4</v>
      </c>
      <c r="J1386" s="13" t="n">
        <v>0</v>
      </c>
      <c r="K1386" s="13" t="s">
        <v>116</v>
      </c>
      <c r="L1386" s="13" t="n">
        <v>4</v>
      </c>
      <c r="M1386" s="13" t="n">
        <v>1146194.54</v>
      </c>
      <c r="N1386" s="13" t="n">
        <v>286548.635</v>
      </c>
      <c r="O1386" s="13" t="n">
        <v>939.4875</v>
      </c>
      <c r="P1386" s="13" t="n">
        <v>0</v>
      </c>
      <c r="Q1386" s="13" t="n">
        <v>4</v>
      </c>
      <c r="R1386" s="13" t="s">
        <v>128</v>
      </c>
      <c r="S1386" s="13" t="s">
        <v>141</v>
      </c>
      <c r="T1386" s="13" t="n">
        <v>1</v>
      </c>
      <c r="U1386" s="13" t="n">
        <f aca="false">IF(B1386="Individual",1,0)</f>
        <v>1</v>
      </c>
      <c r="V1386" s="13" t="n">
        <f aca="false">IF(B1386="Company",1,0)</f>
        <v>0</v>
      </c>
      <c r="W1386" s="13" t="n">
        <f aca="false">IF(H1386="Home",1,0)</f>
        <v>1</v>
      </c>
      <c r="X1386" s="13" t="n">
        <f aca="false">IF(H1386="Investment",1,0)</f>
        <v>0</v>
      </c>
      <c r="Y1386" s="13" t="n">
        <f aca="false">IF(K1386="Website",1,0)</f>
        <v>0</v>
      </c>
      <c r="Z1386" s="13" t="n">
        <f aca="false">IF(K1386="Agency",1,0)</f>
        <v>0</v>
      </c>
      <c r="AA1386" s="13" t="n">
        <f aca="false">IF(K1386="Client",1,0)</f>
        <v>1</v>
      </c>
      <c r="AB1386" s="13" t="n">
        <f aca="false">(D1386-AVERAGE(D$2:D$2001))/STDEV(D$2:D$2001)</f>
        <v>-1.21881132165305</v>
      </c>
      <c r="AC1386" s="13" t="n">
        <f aca="false">(I1386-AVERAGE(I$2:I$2001))/STDEV(I$2:I$2001)</f>
        <v>0.686917069130275</v>
      </c>
      <c r="AD1386" s="13" t="n">
        <f aca="false">(L1386-AVERAGE(L$2:L$2001))/STDEV(L$2:L$2001)</f>
        <v>0.413838214490712</v>
      </c>
      <c r="AE1386" s="13" t="n">
        <f aca="false">(M1386-AVERAGE(M$2:M$2001))/STDEV(M$2:M$2001)</f>
        <v>-0.328265883275809</v>
      </c>
      <c r="AF1386" s="13" t="n">
        <f aca="false">(N1386-AVERAGE(N$2:N$2001))/STDEV(N$2:N$2001)</f>
        <v>-0.868326720300687</v>
      </c>
      <c r="AG1386" s="13" t="n">
        <f aca="false">(O1386-AVERAGE(O$2:O$2001))/STDEV(O$2:O$2001)</f>
        <v>-0.945751734141662</v>
      </c>
      <c r="AH1386" s="0" t="str">
        <f aca="false">IF(B1386="Company","C3 - Corporate Buyers",IF(AND(H1386="Investment",M1386&gt;'Segmentation Summary'!$C$1),"C1 - Global Investors",IF(AND(I1386&gt;=4,M1386&gt;'Segmentation Summary'!$C$1),"C4 - Luxury Investors",IF(AND(D1386&lt;'Segmentation Summary'!$C$2,J1386=1),"C2 - First-Time Buyers","C5 - Other Individual Buyers"))))</f>
        <v>C5 - Other Individual Buyers</v>
      </c>
    </row>
    <row r="1387" customFormat="false" ht="15" hidden="false" customHeight="true" outlineLevel="0" collapsed="false">
      <c r="A1387" s="13" t="s">
        <v>2782</v>
      </c>
      <c r="B1387" s="13" t="s">
        <v>34</v>
      </c>
      <c r="C1387" s="13" t="s">
        <v>2783</v>
      </c>
      <c r="D1387" s="13" t="n">
        <v>48</v>
      </c>
      <c r="E1387" s="13" t="s">
        <v>90</v>
      </c>
      <c r="F1387" s="13" t="s">
        <v>33</v>
      </c>
      <c r="G1387" s="13" t="s">
        <v>95</v>
      </c>
      <c r="H1387" s="13" t="s">
        <v>43</v>
      </c>
      <c r="I1387" s="13" t="n">
        <v>1</v>
      </c>
      <c r="J1387" s="13" t="n">
        <v>0</v>
      </c>
      <c r="K1387" s="13" t="s">
        <v>85</v>
      </c>
      <c r="L1387" s="13" t="n">
        <v>3</v>
      </c>
      <c r="M1387" s="13" t="n">
        <v>1399739.87</v>
      </c>
      <c r="N1387" s="13" t="n">
        <v>466579.956666667</v>
      </c>
      <c r="O1387" s="13" t="n">
        <v>1464.84666666667</v>
      </c>
      <c r="P1387" s="13" t="n">
        <v>0</v>
      </c>
      <c r="Q1387" s="13" t="n">
        <v>3</v>
      </c>
      <c r="R1387" s="13" t="s">
        <v>107</v>
      </c>
      <c r="S1387" s="13" t="s">
        <v>133</v>
      </c>
      <c r="T1387" s="13" t="n">
        <v>1</v>
      </c>
      <c r="U1387" s="13" t="n">
        <f aca="false">IF(B1387="Individual",1,0)</f>
        <v>1</v>
      </c>
      <c r="V1387" s="13" t="n">
        <f aca="false">IF(B1387="Company",1,0)</f>
        <v>0</v>
      </c>
      <c r="W1387" s="13" t="n">
        <f aca="false">IF(H1387="Home",1,0)</f>
        <v>0</v>
      </c>
      <c r="X1387" s="13" t="n">
        <f aca="false">IF(H1387="Investment",1,0)</f>
        <v>1</v>
      </c>
      <c r="Y1387" s="13" t="n">
        <f aca="false">IF(K1387="Website",1,0)</f>
        <v>1</v>
      </c>
      <c r="Z1387" s="13" t="n">
        <f aca="false">IF(K1387="Agency",1,0)</f>
        <v>0</v>
      </c>
      <c r="AA1387" s="13" t="n">
        <f aca="false">IF(K1387="Client",1,0)</f>
        <v>0</v>
      </c>
      <c r="AB1387" s="13" t="n">
        <f aca="false">(D1387-AVERAGE(D$2:D$2001))/STDEV(D$2:D$2001)</f>
        <v>-0.353874489330784</v>
      </c>
      <c r="AC1387" s="13" t="n">
        <f aca="false">(I1387-AVERAGE(I$2:I$2001))/STDEV(I$2:I$2001)</f>
        <v>-1.43538077576244</v>
      </c>
      <c r="AD1387" s="13" t="n">
        <f aca="false">(L1387-AVERAGE(L$2:L$2001))/STDEV(L$2:L$2001)</f>
        <v>-0.777063122173208</v>
      </c>
      <c r="AE1387" s="13" t="n">
        <f aca="false">(M1387-AVERAGE(M$2:M$2001))/STDEV(M$2:M$2001)</f>
        <v>0.40066734670771</v>
      </c>
      <c r="AF1387" s="13" t="n">
        <f aca="false">(N1387-AVERAGE(N$2:N$2001))/STDEV(N$2:N$2001)</f>
        <v>1.71381065050659</v>
      </c>
      <c r="AG1387" s="13" t="n">
        <f aca="false">(O1387-AVERAGE(O$2:O$2001))/STDEV(O$2:O$2001)</f>
        <v>1.44308505578887</v>
      </c>
      <c r="AH1387" s="0" t="str">
        <f aca="false">IF(B1387="Company","C3 - Corporate Buyers",IF(AND(H1387="Investment",M1387&gt;'Segmentation Summary'!$C$1),"C1 - Global Investors",IF(AND(I1387&gt;=4,M1387&gt;'Segmentation Summary'!$C$1),"C4 - Luxury Investors",IF(AND(D1387&lt;'Segmentation Summary'!$C$2,J1387=1),"C2 - First-Time Buyers","C5 - Other Individual Buyers"))))</f>
        <v>C1 - Global Investors</v>
      </c>
    </row>
    <row r="1388" customFormat="false" ht="15" hidden="false" customHeight="true" outlineLevel="0" collapsed="false">
      <c r="A1388" s="13" t="s">
        <v>2784</v>
      </c>
      <c r="B1388" s="13" t="s">
        <v>34</v>
      </c>
      <c r="C1388" s="13" t="s">
        <v>2785</v>
      </c>
      <c r="D1388" s="13" t="n">
        <v>37</v>
      </c>
      <c r="E1388" s="13" t="s">
        <v>90</v>
      </c>
      <c r="F1388" s="13" t="s">
        <v>33</v>
      </c>
      <c r="G1388" s="13" t="s">
        <v>95</v>
      </c>
      <c r="H1388" s="13" t="s">
        <v>41</v>
      </c>
      <c r="I1388" s="13" t="n">
        <v>4</v>
      </c>
      <c r="J1388" s="13" t="n">
        <v>0</v>
      </c>
      <c r="K1388" s="13" t="s">
        <v>116</v>
      </c>
      <c r="L1388" s="13" t="n">
        <v>3</v>
      </c>
      <c r="M1388" s="13" t="n">
        <v>1179775.32</v>
      </c>
      <c r="N1388" s="13" t="n">
        <v>393258.44</v>
      </c>
      <c r="O1388" s="13" t="n">
        <v>1268.04666666667</v>
      </c>
      <c r="P1388" s="13" t="n">
        <v>0</v>
      </c>
      <c r="Q1388" s="13" t="n">
        <v>3</v>
      </c>
      <c r="R1388" s="13" t="s">
        <v>101</v>
      </c>
      <c r="S1388" s="13" t="s">
        <v>93</v>
      </c>
      <c r="T1388" s="13" t="n">
        <v>1</v>
      </c>
      <c r="U1388" s="13" t="n">
        <f aca="false">IF(B1388="Individual",1,0)</f>
        <v>1</v>
      </c>
      <c r="V1388" s="13" t="n">
        <f aca="false">IF(B1388="Company",1,0)</f>
        <v>0</v>
      </c>
      <c r="W1388" s="13" t="n">
        <f aca="false">IF(H1388="Home",1,0)</f>
        <v>1</v>
      </c>
      <c r="X1388" s="13" t="n">
        <f aca="false">IF(H1388="Investment",1,0)</f>
        <v>0</v>
      </c>
      <c r="Y1388" s="13" t="n">
        <f aca="false">IF(K1388="Website",1,0)</f>
        <v>0</v>
      </c>
      <c r="Z1388" s="13" t="n">
        <f aca="false">IF(K1388="Agency",1,0)</f>
        <v>0</v>
      </c>
      <c r="AA1388" s="13" t="n">
        <f aca="false">IF(K1388="Client",1,0)</f>
        <v>1</v>
      </c>
      <c r="AB1388" s="13" t="n">
        <f aca="false">(D1388-AVERAGE(D$2:D$2001))/STDEV(D$2:D$2001)</f>
        <v>-0.988161499700447</v>
      </c>
      <c r="AC1388" s="13" t="n">
        <f aca="false">(I1388-AVERAGE(I$2:I$2001))/STDEV(I$2:I$2001)</f>
        <v>0.686917069130275</v>
      </c>
      <c r="AD1388" s="13" t="n">
        <f aca="false">(L1388-AVERAGE(L$2:L$2001))/STDEV(L$2:L$2001)</f>
        <v>-0.777063122173208</v>
      </c>
      <c r="AE1388" s="13" t="n">
        <f aca="false">(M1388-AVERAGE(M$2:M$2001))/STDEV(M$2:M$2001)</f>
        <v>-0.231722411421028</v>
      </c>
      <c r="AF1388" s="13" t="n">
        <f aca="false">(N1388-AVERAGE(N$2:N$2001))/STDEV(N$2:N$2001)</f>
        <v>0.662181264483352</v>
      </c>
      <c r="AG1388" s="13" t="n">
        <f aca="false">(O1388-AVERAGE(O$2:O$2001))/STDEV(O$2:O$2001)</f>
        <v>0.548224720066179</v>
      </c>
      <c r="AH1388" s="0" t="str">
        <f aca="false">IF(B1388="Company","C3 - Corporate Buyers",IF(AND(H1388="Investment",M1388&gt;'Segmentation Summary'!$C$1),"C1 - Global Investors",IF(AND(I1388&gt;=4,M1388&gt;'Segmentation Summary'!$C$1),"C4 - Luxury Investors",IF(AND(D1388&lt;'Segmentation Summary'!$C$2,J1388=1),"C2 - First-Time Buyers","C5 - Other Individual Buyers"))))</f>
        <v>C5 - Other Individual Buyers</v>
      </c>
    </row>
    <row r="1389" customFormat="false" ht="15" hidden="false" customHeight="true" outlineLevel="0" collapsed="false">
      <c r="A1389" s="13" t="s">
        <v>2786</v>
      </c>
      <c r="B1389" s="13" t="s">
        <v>34</v>
      </c>
      <c r="C1389" s="13" t="s">
        <v>2787</v>
      </c>
      <c r="D1389" s="13" t="n">
        <v>78</v>
      </c>
      <c r="E1389" s="13" t="s">
        <v>90</v>
      </c>
      <c r="F1389" s="13" t="s">
        <v>33</v>
      </c>
      <c r="G1389" s="13" t="s">
        <v>95</v>
      </c>
      <c r="H1389" s="13" t="s">
        <v>43</v>
      </c>
      <c r="I1389" s="13" t="n">
        <v>2</v>
      </c>
      <c r="J1389" s="13" t="n">
        <v>0</v>
      </c>
      <c r="K1389" s="13" t="s">
        <v>91</v>
      </c>
      <c r="L1389" s="13" t="n">
        <v>3</v>
      </c>
      <c r="M1389" s="13" t="n">
        <v>961721.77</v>
      </c>
      <c r="N1389" s="13" t="n">
        <v>320573.923333333</v>
      </c>
      <c r="O1389" s="13" t="n">
        <v>1129.17666666667</v>
      </c>
      <c r="P1389" s="13" t="n">
        <v>0</v>
      </c>
      <c r="Q1389" s="13" t="n">
        <v>3</v>
      </c>
      <c r="R1389" s="13" t="s">
        <v>101</v>
      </c>
      <c r="S1389" s="13" t="s">
        <v>114</v>
      </c>
      <c r="T1389" s="13" t="n">
        <v>1</v>
      </c>
      <c r="U1389" s="13" t="n">
        <f aca="false">IF(B1389="Individual",1,0)</f>
        <v>1</v>
      </c>
      <c r="V1389" s="13" t="n">
        <f aca="false">IF(B1389="Company",1,0)</f>
        <v>0</v>
      </c>
      <c r="W1389" s="13" t="n">
        <f aca="false">IF(H1389="Home",1,0)</f>
        <v>0</v>
      </c>
      <c r="X1389" s="13" t="n">
        <f aca="false">IF(H1389="Investment",1,0)</f>
        <v>1</v>
      </c>
      <c r="Y1389" s="13" t="n">
        <f aca="false">IF(K1389="Website",1,0)</f>
        <v>0</v>
      </c>
      <c r="Z1389" s="13" t="n">
        <f aca="false">IF(K1389="Agency",1,0)</f>
        <v>1</v>
      </c>
      <c r="AA1389" s="13" t="n">
        <f aca="false">IF(K1389="Client",1,0)</f>
        <v>0</v>
      </c>
      <c r="AB1389" s="13" t="n">
        <f aca="false">(D1389-AVERAGE(D$2:D$2001))/STDEV(D$2:D$2001)</f>
        <v>1.37599917531375</v>
      </c>
      <c r="AC1389" s="13" t="n">
        <f aca="false">(I1389-AVERAGE(I$2:I$2001))/STDEV(I$2:I$2001)</f>
        <v>-0.727948160798201</v>
      </c>
      <c r="AD1389" s="13" t="n">
        <f aca="false">(L1389-AVERAGE(L$2:L$2001))/STDEV(L$2:L$2001)</f>
        <v>-0.777063122173208</v>
      </c>
      <c r="AE1389" s="13" t="n">
        <f aca="false">(M1389-AVERAGE(M$2:M$2001))/STDEV(M$2:M$2001)</f>
        <v>-0.858618116859077</v>
      </c>
      <c r="AF1389" s="13" t="n">
        <f aca="false">(N1389-AVERAGE(N$2:N$2001))/STDEV(N$2:N$2001)</f>
        <v>-0.380311814090846</v>
      </c>
      <c r="AG1389" s="13" t="n">
        <f aca="false">(O1389-AVERAGE(O$2:O$2001))/STDEV(O$2:O$2001)</f>
        <v>-0.0832247454917976</v>
      </c>
      <c r="AH1389" s="0" t="str">
        <f aca="false">IF(B1389="Company","C3 - Corporate Buyers",IF(AND(H1389="Investment",M1389&gt;'Segmentation Summary'!$C$1),"C1 - Global Investors",IF(AND(I1389&gt;=4,M1389&gt;'Segmentation Summary'!$C$1),"C4 - Luxury Investors",IF(AND(D1389&lt;'Segmentation Summary'!$C$2,J1389=1),"C2 - First-Time Buyers","C5 - Other Individual Buyers"))))</f>
        <v>C5 - Other Individual Buyers</v>
      </c>
    </row>
    <row r="1390" customFormat="false" ht="15" hidden="false" customHeight="true" outlineLevel="0" collapsed="false">
      <c r="A1390" s="13" t="s">
        <v>2788</v>
      </c>
      <c r="B1390" s="13" t="s">
        <v>34</v>
      </c>
      <c r="C1390" s="13" t="s">
        <v>2787</v>
      </c>
      <c r="D1390" s="13" t="n">
        <v>25</v>
      </c>
      <c r="E1390" s="13" t="s">
        <v>90</v>
      </c>
      <c r="F1390" s="13" t="s">
        <v>33</v>
      </c>
      <c r="G1390" s="13" t="s">
        <v>95</v>
      </c>
      <c r="H1390" s="13" t="s">
        <v>41</v>
      </c>
      <c r="I1390" s="13" t="n">
        <v>5</v>
      </c>
      <c r="J1390" s="13" t="n">
        <v>0</v>
      </c>
      <c r="K1390" s="13" t="s">
        <v>85</v>
      </c>
      <c r="L1390" s="13" t="n">
        <v>3</v>
      </c>
      <c r="M1390" s="13" t="n">
        <v>774293.93</v>
      </c>
      <c r="N1390" s="13" t="n">
        <v>258097.976666667</v>
      </c>
      <c r="O1390" s="13" t="n">
        <v>842.68</v>
      </c>
      <c r="P1390" s="13" t="n">
        <v>0</v>
      </c>
      <c r="Q1390" s="13" t="n">
        <v>3</v>
      </c>
      <c r="R1390" s="13" t="s">
        <v>86</v>
      </c>
      <c r="S1390" s="13" t="s">
        <v>152</v>
      </c>
      <c r="T1390" s="13" t="n">
        <v>1</v>
      </c>
      <c r="U1390" s="13" t="n">
        <f aca="false">IF(B1390="Individual",1,0)</f>
        <v>1</v>
      </c>
      <c r="V1390" s="13" t="n">
        <f aca="false">IF(B1390="Company",1,0)</f>
        <v>0</v>
      </c>
      <c r="W1390" s="13" t="n">
        <f aca="false">IF(H1390="Home",1,0)</f>
        <v>1</v>
      </c>
      <c r="X1390" s="13" t="n">
        <f aca="false">IF(H1390="Investment",1,0)</f>
        <v>0</v>
      </c>
      <c r="Y1390" s="13" t="n">
        <f aca="false">IF(K1390="Website",1,0)</f>
        <v>1</v>
      </c>
      <c r="Z1390" s="13" t="n">
        <f aca="false">IF(K1390="Agency",1,0)</f>
        <v>0</v>
      </c>
      <c r="AA1390" s="13" t="n">
        <f aca="false">IF(K1390="Client",1,0)</f>
        <v>0</v>
      </c>
      <c r="AB1390" s="13" t="n">
        <f aca="false">(D1390-AVERAGE(D$2:D$2001))/STDEV(D$2:D$2001)</f>
        <v>-1.68011096555826</v>
      </c>
      <c r="AC1390" s="13" t="n">
        <f aca="false">(I1390-AVERAGE(I$2:I$2001))/STDEV(I$2:I$2001)</f>
        <v>1.39434968409451</v>
      </c>
      <c r="AD1390" s="13" t="n">
        <f aca="false">(L1390-AVERAGE(L$2:L$2001))/STDEV(L$2:L$2001)</f>
        <v>-0.777063122173208</v>
      </c>
      <c r="AE1390" s="13" t="n">
        <f aca="false">(M1390-AVERAGE(M$2:M$2001))/STDEV(M$2:M$2001)</f>
        <v>-1.39746606487703</v>
      </c>
      <c r="AF1390" s="13" t="n">
        <f aca="false">(N1390-AVERAGE(N$2:N$2001))/STDEV(N$2:N$2001)</f>
        <v>-1.27638631474497</v>
      </c>
      <c r="AG1390" s="13" t="n">
        <f aca="false">(O1390-AVERAGE(O$2:O$2001))/STDEV(O$2:O$2001)</f>
        <v>-1.38594071762984</v>
      </c>
      <c r="AH1390" s="0" t="str">
        <f aca="false">IF(B1390="Company","C3 - Corporate Buyers",IF(AND(H1390="Investment",M1390&gt;'Segmentation Summary'!$C$1),"C1 - Global Investors",IF(AND(I1390&gt;=4,M1390&gt;'Segmentation Summary'!$C$1),"C4 - Luxury Investors",IF(AND(D1390&lt;'Segmentation Summary'!$C$2,J1390=1),"C2 - First-Time Buyers","C5 - Other Individual Buyers"))))</f>
        <v>C5 - Other Individual Buyers</v>
      </c>
    </row>
    <row r="1391" customFormat="false" ht="15" hidden="false" customHeight="true" outlineLevel="0" collapsed="false">
      <c r="A1391" s="13" t="s">
        <v>2789</v>
      </c>
      <c r="B1391" s="13" t="s">
        <v>34</v>
      </c>
      <c r="C1391" s="13" t="s">
        <v>2790</v>
      </c>
      <c r="D1391" s="13" t="n">
        <v>78</v>
      </c>
      <c r="E1391" s="13" t="s">
        <v>90</v>
      </c>
      <c r="F1391" s="13" t="s">
        <v>33</v>
      </c>
      <c r="G1391" s="13" t="s">
        <v>95</v>
      </c>
      <c r="H1391" s="13" t="s">
        <v>41</v>
      </c>
      <c r="I1391" s="13" t="n">
        <v>2</v>
      </c>
      <c r="J1391" s="13" t="n">
        <v>1</v>
      </c>
      <c r="K1391" s="13" t="s">
        <v>85</v>
      </c>
      <c r="L1391" s="13" t="n">
        <v>4</v>
      </c>
      <c r="M1391" s="13" t="n">
        <v>1560635.51</v>
      </c>
      <c r="N1391" s="13" t="n">
        <v>390158.8775</v>
      </c>
      <c r="O1391" s="13" t="n">
        <v>1286.9575</v>
      </c>
      <c r="P1391" s="13" t="n">
        <v>1</v>
      </c>
      <c r="Q1391" s="13" t="n">
        <v>3</v>
      </c>
      <c r="R1391" s="13" t="s">
        <v>98</v>
      </c>
      <c r="S1391" s="13" t="s">
        <v>152</v>
      </c>
      <c r="T1391" s="13" t="n">
        <v>1</v>
      </c>
      <c r="U1391" s="13" t="n">
        <f aca="false">IF(B1391="Individual",1,0)</f>
        <v>1</v>
      </c>
      <c r="V1391" s="13" t="n">
        <f aca="false">IF(B1391="Company",1,0)</f>
        <v>0</v>
      </c>
      <c r="W1391" s="13" t="n">
        <f aca="false">IF(H1391="Home",1,0)</f>
        <v>1</v>
      </c>
      <c r="X1391" s="13" t="n">
        <f aca="false">IF(H1391="Investment",1,0)</f>
        <v>0</v>
      </c>
      <c r="Y1391" s="13" t="n">
        <f aca="false">IF(K1391="Website",1,0)</f>
        <v>1</v>
      </c>
      <c r="Z1391" s="13" t="n">
        <f aca="false">IF(K1391="Agency",1,0)</f>
        <v>0</v>
      </c>
      <c r="AA1391" s="13" t="n">
        <f aca="false">IF(K1391="Client",1,0)</f>
        <v>0</v>
      </c>
      <c r="AB1391" s="13" t="n">
        <f aca="false">(D1391-AVERAGE(D$2:D$2001))/STDEV(D$2:D$2001)</f>
        <v>1.37599917531375</v>
      </c>
      <c r="AC1391" s="13" t="n">
        <f aca="false">(I1391-AVERAGE(I$2:I$2001))/STDEV(I$2:I$2001)</f>
        <v>-0.727948160798201</v>
      </c>
      <c r="AD1391" s="13" t="n">
        <f aca="false">(L1391-AVERAGE(L$2:L$2001))/STDEV(L$2:L$2001)</f>
        <v>0.413838214490712</v>
      </c>
      <c r="AE1391" s="13" t="n">
        <f aca="false">(M1391-AVERAGE(M$2:M$2001))/STDEV(M$2:M$2001)</f>
        <v>0.863236223663422</v>
      </c>
      <c r="AF1391" s="13" t="n">
        <f aca="false">(N1391-AVERAGE(N$2:N$2001))/STDEV(N$2:N$2001)</f>
        <v>0.617725132681901</v>
      </c>
      <c r="AG1391" s="13" t="n">
        <f aca="false">(O1391-AVERAGE(O$2:O$2001))/STDEV(O$2:O$2001)</f>
        <v>0.634213310845953</v>
      </c>
      <c r="AH1391" s="0" t="str">
        <f aca="false">IF(B1391="Company","C3 - Corporate Buyers",IF(AND(H1391="Investment",M1391&gt;'Segmentation Summary'!$C$1),"C1 - Global Investors",IF(AND(I1391&gt;=4,M1391&gt;'Segmentation Summary'!$C$1),"C4 - Luxury Investors",IF(AND(D1391&lt;'Segmentation Summary'!$C$2,J1391=1),"C2 - First-Time Buyers","C5 - Other Individual Buyers"))))</f>
        <v>C5 - Other Individual Buyers</v>
      </c>
    </row>
    <row r="1392" customFormat="false" ht="15" hidden="false" customHeight="true" outlineLevel="0" collapsed="false">
      <c r="A1392" s="13" t="s">
        <v>2791</v>
      </c>
      <c r="B1392" s="13" t="s">
        <v>34</v>
      </c>
      <c r="C1392" s="13" t="s">
        <v>2792</v>
      </c>
      <c r="D1392" s="13" t="n">
        <v>55</v>
      </c>
      <c r="E1392" s="13" t="s">
        <v>90</v>
      </c>
      <c r="F1392" s="13" t="s">
        <v>37</v>
      </c>
      <c r="G1392" s="13" t="s">
        <v>259</v>
      </c>
      <c r="H1392" s="13" t="s">
        <v>41</v>
      </c>
      <c r="I1392" s="13" t="n">
        <v>4</v>
      </c>
      <c r="J1392" s="13" t="n">
        <v>1</v>
      </c>
      <c r="K1392" s="13" t="s">
        <v>85</v>
      </c>
      <c r="L1392" s="13" t="n">
        <v>4</v>
      </c>
      <c r="M1392" s="13" t="n">
        <v>1301128.39</v>
      </c>
      <c r="N1392" s="13" t="n">
        <v>325282.0975</v>
      </c>
      <c r="O1392" s="13" t="n">
        <v>1049.7</v>
      </c>
      <c r="P1392" s="13" t="n">
        <v>0</v>
      </c>
      <c r="Q1392" s="13" t="n">
        <v>4</v>
      </c>
      <c r="R1392" s="13" t="s">
        <v>92</v>
      </c>
      <c r="S1392" s="13" t="s">
        <v>125</v>
      </c>
      <c r="T1392" s="13" t="n">
        <v>1</v>
      </c>
      <c r="U1392" s="13" t="n">
        <f aca="false">IF(B1392="Individual",1,0)</f>
        <v>1</v>
      </c>
      <c r="V1392" s="13" t="n">
        <f aca="false">IF(B1392="Company",1,0)</f>
        <v>0</v>
      </c>
      <c r="W1392" s="13" t="n">
        <f aca="false">IF(H1392="Home",1,0)</f>
        <v>1</v>
      </c>
      <c r="X1392" s="13" t="n">
        <f aca="false">IF(H1392="Investment",1,0)</f>
        <v>0</v>
      </c>
      <c r="Y1392" s="13" t="n">
        <f aca="false">IF(K1392="Website",1,0)</f>
        <v>1</v>
      </c>
      <c r="Z1392" s="13" t="n">
        <f aca="false">IF(K1392="Agency",1,0)</f>
        <v>0</v>
      </c>
      <c r="AA1392" s="13" t="n">
        <f aca="false">IF(K1392="Client",1,0)</f>
        <v>0</v>
      </c>
      <c r="AB1392" s="13" t="n">
        <f aca="false">(D1392-AVERAGE(D$2:D$2001))/STDEV(D$2:D$2001)</f>
        <v>0.0497626990862745</v>
      </c>
      <c r="AC1392" s="13" t="n">
        <f aca="false">(I1392-AVERAGE(I$2:I$2001))/STDEV(I$2:I$2001)</f>
        <v>0.686917069130275</v>
      </c>
      <c r="AD1392" s="13" t="n">
        <f aca="false">(L1392-AVERAGE(L$2:L$2001))/STDEV(L$2:L$2001)</f>
        <v>0.413838214490712</v>
      </c>
      <c r="AE1392" s="13" t="n">
        <f aca="false">(M1392-AVERAGE(M$2:M$2001))/STDEV(M$2:M$2001)</f>
        <v>0.117163073014894</v>
      </c>
      <c r="AF1392" s="13" t="n">
        <f aca="false">(N1392-AVERAGE(N$2:N$2001))/STDEV(N$2:N$2001)</f>
        <v>-0.312783828674345</v>
      </c>
      <c r="AG1392" s="13" t="n">
        <f aca="false">(O1392-AVERAGE(O$2:O$2001))/STDEV(O$2:O$2001)</f>
        <v>-0.444609484391474</v>
      </c>
      <c r="AH1392" s="0" t="str">
        <f aca="false">IF(B1392="Company","C3 - Corporate Buyers",IF(AND(H1392="Investment",M1392&gt;'Segmentation Summary'!$C$1),"C1 - Global Investors",IF(AND(I1392&gt;=4,M1392&gt;'Segmentation Summary'!$C$1),"C4 - Luxury Investors",IF(AND(D1392&lt;'Segmentation Summary'!$C$2,J1392=1),"C2 - First-Time Buyers","C5 - Other Individual Buyers"))))</f>
        <v>C4 - Luxury Investors</v>
      </c>
    </row>
    <row r="1393" customFormat="false" ht="15" hidden="false" customHeight="true" outlineLevel="0" collapsed="false">
      <c r="A1393" s="13" t="s">
        <v>2793</v>
      </c>
      <c r="B1393" s="13" t="s">
        <v>34</v>
      </c>
      <c r="C1393" s="13" t="s">
        <v>2794</v>
      </c>
      <c r="D1393" s="13" t="n">
        <v>69</v>
      </c>
      <c r="E1393" s="13" t="s">
        <v>83</v>
      </c>
      <c r="F1393" s="13" t="s">
        <v>33</v>
      </c>
      <c r="G1393" s="13" t="s">
        <v>95</v>
      </c>
      <c r="H1393" s="13" t="s">
        <v>41</v>
      </c>
      <c r="I1393" s="13" t="n">
        <v>1</v>
      </c>
      <c r="J1393" s="13" t="n">
        <v>0</v>
      </c>
      <c r="K1393" s="13" t="s">
        <v>91</v>
      </c>
      <c r="L1393" s="13" t="n">
        <v>3</v>
      </c>
      <c r="M1393" s="13" t="n">
        <v>1056227.37</v>
      </c>
      <c r="N1393" s="13" t="n">
        <v>352075.79</v>
      </c>
      <c r="O1393" s="13" t="n">
        <v>1111.25</v>
      </c>
      <c r="P1393" s="13" t="n">
        <v>1</v>
      </c>
      <c r="Q1393" s="13" t="n">
        <v>2</v>
      </c>
      <c r="R1393" s="13" t="s">
        <v>101</v>
      </c>
      <c r="S1393" s="13" t="s">
        <v>87</v>
      </c>
      <c r="T1393" s="13" t="n">
        <v>1</v>
      </c>
      <c r="U1393" s="13" t="n">
        <f aca="false">IF(B1393="Individual",1,0)</f>
        <v>1</v>
      </c>
      <c r="V1393" s="13" t="n">
        <f aca="false">IF(B1393="Company",1,0)</f>
        <v>0</v>
      </c>
      <c r="W1393" s="13" t="n">
        <f aca="false">IF(H1393="Home",1,0)</f>
        <v>1</v>
      </c>
      <c r="X1393" s="13" t="n">
        <f aca="false">IF(H1393="Investment",1,0)</f>
        <v>0</v>
      </c>
      <c r="Y1393" s="13" t="n">
        <f aca="false">IF(K1393="Website",1,0)</f>
        <v>0</v>
      </c>
      <c r="Z1393" s="13" t="n">
        <f aca="false">IF(K1393="Agency",1,0)</f>
        <v>1</v>
      </c>
      <c r="AA1393" s="13" t="n">
        <f aca="false">IF(K1393="Client",1,0)</f>
        <v>0</v>
      </c>
      <c r="AB1393" s="13" t="n">
        <f aca="false">(D1393-AVERAGE(D$2:D$2001))/STDEV(D$2:D$2001)</f>
        <v>0.857037075920391</v>
      </c>
      <c r="AC1393" s="13" t="n">
        <f aca="false">(I1393-AVERAGE(I$2:I$2001))/STDEV(I$2:I$2001)</f>
        <v>-1.43538077576244</v>
      </c>
      <c r="AD1393" s="13" t="n">
        <f aca="false">(L1393-AVERAGE(L$2:L$2001))/STDEV(L$2:L$2001)</f>
        <v>-0.777063122173208</v>
      </c>
      <c r="AE1393" s="13" t="n">
        <f aca="false">(M1393-AVERAGE(M$2:M$2001))/STDEV(M$2:M$2001)</f>
        <v>-0.586918092806058</v>
      </c>
      <c r="AF1393" s="13" t="n">
        <f aca="false">(N1393-AVERAGE(N$2:N$2001))/STDEV(N$2:N$2001)</f>
        <v>0.0715103822756073</v>
      </c>
      <c r="AG1393" s="13" t="n">
        <f aca="false">(O1393-AVERAGE(O$2:O$2001))/STDEV(O$2:O$2001)</f>
        <v>-0.164738276750563</v>
      </c>
      <c r="AH1393" s="0" t="str">
        <f aca="false">IF(B1393="Company","C3 - Corporate Buyers",IF(AND(H1393="Investment",M1393&gt;'Segmentation Summary'!$C$1),"C1 - Global Investors",IF(AND(I1393&gt;=4,M1393&gt;'Segmentation Summary'!$C$1),"C4 - Luxury Investors",IF(AND(D1393&lt;'Segmentation Summary'!$C$2,J1393=1),"C2 - First-Time Buyers","C5 - Other Individual Buyers"))))</f>
        <v>C5 - Other Individual Buyers</v>
      </c>
    </row>
    <row r="1394" customFormat="false" ht="15" hidden="false" customHeight="true" outlineLevel="0" collapsed="false">
      <c r="A1394" s="13" t="s">
        <v>2795</v>
      </c>
      <c r="B1394" s="13" t="s">
        <v>34</v>
      </c>
      <c r="C1394" s="13" t="s">
        <v>2796</v>
      </c>
      <c r="D1394" s="13" t="n">
        <v>63</v>
      </c>
      <c r="E1394" s="13" t="s">
        <v>83</v>
      </c>
      <c r="F1394" s="13" t="s">
        <v>35</v>
      </c>
      <c r="G1394" s="13" t="s">
        <v>137</v>
      </c>
      <c r="H1394" s="13" t="s">
        <v>41</v>
      </c>
      <c r="I1394" s="13" t="n">
        <v>3</v>
      </c>
      <c r="J1394" s="13" t="n">
        <v>1</v>
      </c>
      <c r="K1394" s="13" t="s">
        <v>85</v>
      </c>
      <c r="L1394" s="13" t="n">
        <v>3</v>
      </c>
      <c r="M1394" s="13" t="n">
        <v>861670.72</v>
      </c>
      <c r="N1394" s="13" t="n">
        <v>287223.573333333</v>
      </c>
      <c r="O1394" s="13" t="n">
        <v>1008.13</v>
      </c>
      <c r="P1394" s="13" t="n">
        <v>0</v>
      </c>
      <c r="Q1394" s="13" t="n">
        <v>3</v>
      </c>
      <c r="R1394" s="13" t="s">
        <v>133</v>
      </c>
      <c r="S1394" s="13" t="s">
        <v>125</v>
      </c>
      <c r="T1394" s="13" t="n">
        <v>1</v>
      </c>
      <c r="U1394" s="13" t="n">
        <f aca="false">IF(B1394="Individual",1,0)</f>
        <v>1</v>
      </c>
      <c r="V1394" s="13" t="n">
        <f aca="false">IF(B1394="Company",1,0)</f>
        <v>0</v>
      </c>
      <c r="W1394" s="13" t="n">
        <f aca="false">IF(H1394="Home",1,0)</f>
        <v>1</v>
      </c>
      <c r="X1394" s="13" t="n">
        <f aca="false">IF(H1394="Investment",1,0)</f>
        <v>0</v>
      </c>
      <c r="Y1394" s="13" t="n">
        <f aca="false">IF(K1394="Website",1,0)</f>
        <v>1</v>
      </c>
      <c r="Z1394" s="13" t="n">
        <f aca="false">IF(K1394="Agency",1,0)</f>
        <v>0</v>
      </c>
      <c r="AA1394" s="13" t="n">
        <f aca="false">IF(K1394="Client",1,0)</f>
        <v>0</v>
      </c>
      <c r="AB1394" s="13" t="n">
        <f aca="false">(D1394-AVERAGE(D$2:D$2001))/STDEV(D$2:D$2001)</f>
        <v>0.511062342991484</v>
      </c>
      <c r="AC1394" s="13" t="n">
        <f aca="false">(I1394-AVERAGE(I$2:I$2001))/STDEV(I$2:I$2001)</f>
        <v>-0.0205155458339628</v>
      </c>
      <c r="AD1394" s="13" t="n">
        <f aca="false">(L1394-AVERAGE(L$2:L$2001))/STDEV(L$2:L$2001)</f>
        <v>-0.777063122173208</v>
      </c>
      <c r="AE1394" s="13" t="n">
        <f aca="false">(M1394-AVERAGE(M$2:M$2001))/STDEV(M$2:M$2001)</f>
        <v>-1.14626109983077</v>
      </c>
      <c r="AF1394" s="13" t="n">
        <f aca="false">(N1394-AVERAGE(N$2:N$2001))/STDEV(N$2:N$2001)</f>
        <v>-0.858646274268544</v>
      </c>
      <c r="AG1394" s="13" t="n">
        <f aca="false">(O1394-AVERAGE(O$2:O$2001))/STDEV(O$2:O$2001)</f>
        <v>-0.633630542094687</v>
      </c>
      <c r="AH1394" s="0" t="str">
        <f aca="false">IF(B1394="Company","C3 - Corporate Buyers",IF(AND(H1394="Investment",M1394&gt;'Segmentation Summary'!$C$1),"C1 - Global Investors",IF(AND(I1394&gt;=4,M1394&gt;'Segmentation Summary'!$C$1),"C4 - Luxury Investors",IF(AND(D1394&lt;'Segmentation Summary'!$C$2,J1394=1),"C2 - First-Time Buyers","C5 - Other Individual Buyers"))))</f>
        <v>C5 - Other Individual Buyers</v>
      </c>
    </row>
    <row r="1395" customFormat="false" ht="15" hidden="false" customHeight="true" outlineLevel="0" collapsed="false">
      <c r="A1395" s="13" t="s">
        <v>2797</v>
      </c>
      <c r="B1395" s="13" t="s">
        <v>34</v>
      </c>
      <c r="C1395" s="13" t="s">
        <v>2798</v>
      </c>
      <c r="D1395" s="13" t="n">
        <v>26</v>
      </c>
      <c r="E1395" s="13" t="s">
        <v>83</v>
      </c>
      <c r="F1395" s="13" t="s">
        <v>33</v>
      </c>
      <c r="G1395" s="13" t="s">
        <v>84</v>
      </c>
      <c r="H1395" s="13" t="s">
        <v>41</v>
      </c>
      <c r="I1395" s="13" t="n">
        <v>1</v>
      </c>
      <c r="J1395" s="13" t="n">
        <v>1</v>
      </c>
      <c r="K1395" s="13" t="s">
        <v>85</v>
      </c>
      <c r="L1395" s="13" t="n">
        <v>3</v>
      </c>
      <c r="M1395" s="13" t="n">
        <v>672116.92</v>
      </c>
      <c r="N1395" s="13" t="n">
        <v>224038.973333333</v>
      </c>
      <c r="O1395" s="13" t="n">
        <v>776.243333333333</v>
      </c>
      <c r="P1395" s="13" t="n">
        <v>0</v>
      </c>
      <c r="Q1395" s="13" t="n">
        <v>3</v>
      </c>
      <c r="R1395" s="13" t="s">
        <v>121</v>
      </c>
      <c r="S1395" s="13" t="s">
        <v>150</v>
      </c>
      <c r="T1395" s="13" t="n">
        <v>1</v>
      </c>
      <c r="U1395" s="13" t="n">
        <f aca="false">IF(B1395="Individual",1,0)</f>
        <v>1</v>
      </c>
      <c r="V1395" s="13" t="n">
        <f aca="false">IF(B1395="Company",1,0)</f>
        <v>0</v>
      </c>
      <c r="W1395" s="13" t="n">
        <f aca="false">IF(H1395="Home",1,0)</f>
        <v>1</v>
      </c>
      <c r="X1395" s="13" t="n">
        <f aca="false">IF(H1395="Investment",1,0)</f>
        <v>0</v>
      </c>
      <c r="Y1395" s="13" t="n">
        <f aca="false">IF(K1395="Website",1,0)</f>
        <v>1</v>
      </c>
      <c r="Z1395" s="13" t="n">
        <f aca="false">IF(K1395="Agency",1,0)</f>
        <v>0</v>
      </c>
      <c r="AA1395" s="13" t="n">
        <f aca="false">IF(K1395="Client",1,0)</f>
        <v>0</v>
      </c>
      <c r="AB1395" s="13" t="n">
        <f aca="false">(D1395-AVERAGE(D$2:D$2001))/STDEV(D$2:D$2001)</f>
        <v>-1.62244851007011</v>
      </c>
      <c r="AC1395" s="13" t="n">
        <f aca="false">(I1395-AVERAGE(I$2:I$2001))/STDEV(I$2:I$2001)</f>
        <v>-1.43538077576244</v>
      </c>
      <c r="AD1395" s="13" t="n">
        <f aca="false">(L1395-AVERAGE(L$2:L$2001))/STDEV(L$2:L$2001)</f>
        <v>-0.777063122173208</v>
      </c>
      <c r="AE1395" s="13" t="n">
        <f aca="false">(M1395-AVERAGE(M$2:M$2001))/STDEV(M$2:M$2001)</f>
        <v>-1.69122110240566</v>
      </c>
      <c r="AF1395" s="13" t="n">
        <f aca="false">(N1395-AVERAGE(N$2:N$2001))/STDEV(N$2:N$2001)</f>
        <v>-1.76488478548488</v>
      </c>
      <c r="AG1395" s="13" t="n">
        <f aca="false">(O1395-AVERAGE(O$2:O$2001))/STDEV(O$2:O$2001)</f>
        <v>-1.68803186517878</v>
      </c>
      <c r="AH1395" s="0" t="str">
        <f aca="false">IF(B1395="Company","C3 - Corporate Buyers",IF(AND(H1395="Investment",M1395&gt;'Segmentation Summary'!$C$1),"C1 - Global Investors",IF(AND(I1395&gt;=4,M1395&gt;'Segmentation Summary'!$C$1),"C4 - Luxury Investors",IF(AND(D1395&lt;'Segmentation Summary'!$C$2,J1395=1),"C2 - First-Time Buyers","C5 - Other Individual Buyers"))))</f>
        <v>C2 - First-Time Buyers</v>
      </c>
    </row>
    <row r="1396" customFormat="false" ht="15" hidden="false" customHeight="true" outlineLevel="0" collapsed="false">
      <c r="A1396" s="13" t="s">
        <v>2799</v>
      </c>
      <c r="B1396" s="13" t="s">
        <v>34</v>
      </c>
      <c r="C1396" s="13" t="s">
        <v>2800</v>
      </c>
      <c r="D1396" s="13" t="n">
        <v>68</v>
      </c>
      <c r="E1396" s="13" t="s">
        <v>83</v>
      </c>
      <c r="F1396" s="13" t="s">
        <v>33</v>
      </c>
      <c r="G1396" s="13" t="s">
        <v>106</v>
      </c>
      <c r="H1396" s="13" t="s">
        <v>41</v>
      </c>
      <c r="I1396" s="13" t="n">
        <v>2</v>
      </c>
      <c r="J1396" s="13" t="n">
        <v>0</v>
      </c>
      <c r="K1396" s="13" t="s">
        <v>116</v>
      </c>
      <c r="L1396" s="13" t="n">
        <v>3</v>
      </c>
      <c r="M1396" s="13" t="n">
        <v>1001705.48</v>
      </c>
      <c r="N1396" s="13" t="n">
        <v>333901.826666667</v>
      </c>
      <c r="O1396" s="13" t="n">
        <v>1090.94666666667</v>
      </c>
      <c r="P1396" s="13" t="n">
        <v>0</v>
      </c>
      <c r="Q1396" s="13" t="n">
        <v>3</v>
      </c>
      <c r="R1396" s="13" t="s">
        <v>117</v>
      </c>
      <c r="S1396" s="13" t="s">
        <v>107</v>
      </c>
      <c r="T1396" s="13" t="n">
        <v>1</v>
      </c>
      <c r="U1396" s="13" t="n">
        <f aca="false">IF(B1396="Individual",1,0)</f>
        <v>1</v>
      </c>
      <c r="V1396" s="13" t="n">
        <f aca="false">IF(B1396="Company",1,0)</f>
        <v>0</v>
      </c>
      <c r="W1396" s="13" t="n">
        <f aca="false">IF(H1396="Home",1,0)</f>
        <v>1</v>
      </c>
      <c r="X1396" s="13" t="n">
        <f aca="false">IF(H1396="Investment",1,0)</f>
        <v>0</v>
      </c>
      <c r="Y1396" s="13" t="n">
        <f aca="false">IF(K1396="Website",1,0)</f>
        <v>0</v>
      </c>
      <c r="Z1396" s="13" t="n">
        <f aca="false">IF(K1396="Agency",1,0)</f>
        <v>0</v>
      </c>
      <c r="AA1396" s="13" t="n">
        <f aca="false">IF(K1396="Client",1,0)</f>
        <v>1</v>
      </c>
      <c r="AB1396" s="13" t="n">
        <f aca="false">(D1396-AVERAGE(D$2:D$2001))/STDEV(D$2:D$2001)</f>
        <v>0.79937462043224</v>
      </c>
      <c r="AC1396" s="13" t="n">
        <f aca="false">(I1396-AVERAGE(I$2:I$2001))/STDEV(I$2:I$2001)</f>
        <v>-0.727948160798201</v>
      </c>
      <c r="AD1396" s="13" t="n">
        <f aca="false">(L1396-AVERAGE(L$2:L$2001))/STDEV(L$2:L$2001)</f>
        <v>-0.777063122173208</v>
      </c>
      <c r="AE1396" s="13" t="n">
        <f aca="false">(M1396-AVERAGE(M$2:M$2001))/STDEV(M$2:M$2001)</f>
        <v>-0.743666463531349</v>
      </c>
      <c r="AF1396" s="13" t="n">
        <f aca="false">(N1396-AVERAGE(N$2:N$2001))/STDEV(N$2:N$2001)</f>
        <v>-0.189153537003773</v>
      </c>
      <c r="AG1396" s="13" t="n">
        <f aca="false">(O1396-AVERAGE(O$2:O$2001))/STDEV(O$2:O$2001)</f>
        <v>-0.257058640993212</v>
      </c>
      <c r="AH1396" s="0" t="str">
        <f aca="false">IF(B1396="Company","C3 - Corporate Buyers",IF(AND(H1396="Investment",M1396&gt;'Segmentation Summary'!$C$1),"C1 - Global Investors",IF(AND(I1396&gt;=4,M1396&gt;'Segmentation Summary'!$C$1),"C4 - Luxury Investors",IF(AND(D1396&lt;'Segmentation Summary'!$C$2,J1396=1),"C2 - First-Time Buyers","C5 - Other Individual Buyers"))))</f>
        <v>C5 - Other Individual Buyers</v>
      </c>
    </row>
    <row r="1397" customFormat="false" ht="15" hidden="false" customHeight="true" outlineLevel="0" collapsed="false">
      <c r="A1397" s="13" t="s">
        <v>2801</v>
      </c>
      <c r="B1397" s="13" t="s">
        <v>34</v>
      </c>
      <c r="C1397" s="13" t="s">
        <v>2800</v>
      </c>
      <c r="D1397" s="13" t="n">
        <v>38</v>
      </c>
      <c r="E1397" s="13" t="s">
        <v>83</v>
      </c>
      <c r="F1397" s="13" t="s">
        <v>40</v>
      </c>
      <c r="G1397" s="13" t="s">
        <v>528</v>
      </c>
      <c r="H1397" s="13" t="s">
        <v>41</v>
      </c>
      <c r="I1397" s="13" t="n">
        <v>4</v>
      </c>
      <c r="J1397" s="13" t="n">
        <v>1</v>
      </c>
      <c r="K1397" s="13" t="s">
        <v>91</v>
      </c>
      <c r="L1397" s="13" t="n">
        <v>4</v>
      </c>
      <c r="M1397" s="13" t="n">
        <v>1199654.38</v>
      </c>
      <c r="N1397" s="13" t="n">
        <v>299913.595</v>
      </c>
      <c r="O1397" s="13" t="n">
        <v>997.41</v>
      </c>
      <c r="P1397" s="13" t="n">
        <v>1</v>
      </c>
      <c r="Q1397" s="13" t="n">
        <v>3</v>
      </c>
      <c r="R1397" s="13" t="s">
        <v>101</v>
      </c>
      <c r="S1397" s="13" t="s">
        <v>107</v>
      </c>
      <c r="T1397" s="13" t="n">
        <v>1</v>
      </c>
      <c r="U1397" s="13" t="n">
        <f aca="false">IF(B1397="Individual",1,0)</f>
        <v>1</v>
      </c>
      <c r="V1397" s="13" t="n">
        <f aca="false">IF(B1397="Company",1,0)</f>
        <v>0</v>
      </c>
      <c r="W1397" s="13" t="n">
        <f aca="false">IF(H1397="Home",1,0)</f>
        <v>1</v>
      </c>
      <c r="X1397" s="13" t="n">
        <f aca="false">IF(H1397="Investment",1,0)</f>
        <v>0</v>
      </c>
      <c r="Y1397" s="13" t="n">
        <f aca="false">IF(K1397="Website",1,0)</f>
        <v>0</v>
      </c>
      <c r="Z1397" s="13" t="n">
        <f aca="false">IF(K1397="Agency",1,0)</f>
        <v>1</v>
      </c>
      <c r="AA1397" s="13" t="n">
        <f aca="false">IF(K1397="Client",1,0)</f>
        <v>0</v>
      </c>
      <c r="AB1397" s="13" t="n">
        <f aca="false">(D1397-AVERAGE(D$2:D$2001))/STDEV(D$2:D$2001)</f>
        <v>-0.930499044212296</v>
      </c>
      <c r="AC1397" s="13" t="n">
        <f aca="false">(I1397-AVERAGE(I$2:I$2001))/STDEV(I$2:I$2001)</f>
        <v>0.686917069130275</v>
      </c>
      <c r="AD1397" s="13" t="n">
        <f aca="false">(L1397-AVERAGE(L$2:L$2001))/STDEV(L$2:L$2001)</f>
        <v>0.413838214490712</v>
      </c>
      <c r="AE1397" s="13" t="n">
        <f aca="false">(M1397-AVERAGE(M$2:M$2001))/STDEV(M$2:M$2001)</f>
        <v>-0.174570866114175</v>
      </c>
      <c r="AF1397" s="13" t="n">
        <f aca="false">(N1397-AVERAGE(N$2:N$2001))/STDEV(N$2:N$2001)</f>
        <v>-0.676636950121468</v>
      </c>
      <c r="AG1397" s="13" t="n">
        <f aca="false">(O1397-AVERAGE(O$2:O$2001))/STDEV(O$2:O$2001)</f>
        <v>-0.682374966886085</v>
      </c>
      <c r="AH1397" s="0" t="str">
        <f aca="false">IF(B1397="Company","C3 - Corporate Buyers",IF(AND(H1397="Investment",M1397&gt;'Segmentation Summary'!$C$1),"C1 - Global Investors",IF(AND(I1397&gt;=4,M1397&gt;'Segmentation Summary'!$C$1),"C4 - Luxury Investors",IF(AND(D1397&lt;'Segmentation Summary'!$C$2,J1397=1),"C2 - First-Time Buyers","C5 - Other Individual Buyers"))))</f>
        <v>C2 - First-Time Buyers</v>
      </c>
    </row>
    <row r="1398" customFormat="false" ht="15" hidden="false" customHeight="true" outlineLevel="0" collapsed="false">
      <c r="A1398" s="13" t="s">
        <v>2802</v>
      </c>
      <c r="B1398" s="13" t="s">
        <v>34</v>
      </c>
      <c r="C1398" s="13" t="s">
        <v>2803</v>
      </c>
      <c r="D1398" s="13" t="n">
        <v>62</v>
      </c>
      <c r="E1398" s="13" t="s">
        <v>83</v>
      </c>
      <c r="F1398" s="13" t="s">
        <v>37</v>
      </c>
      <c r="G1398" s="13" t="s">
        <v>572</v>
      </c>
      <c r="H1398" s="13" t="s">
        <v>41</v>
      </c>
      <c r="I1398" s="13" t="n">
        <v>5</v>
      </c>
      <c r="J1398" s="13" t="n">
        <v>1</v>
      </c>
      <c r="K1398" s="13" t="s">
        <v>91</v>
      </c>
      <c r="L1398" s="13" t="n">
        <v>3</v>
      </c>
      <c r="M1398" s="13" t="n">
        <v>1206529.21</v>
      </c>
      <c r="N1398" s="13" t="n">
        <v>402176.403333333</v>
      </c>
      <c r="O1398" s="13" t="n">
        <v>1337.17333333333</v>
      </c>
      <c r="P1398" s="13" t="n">
        <v>1</v>
      </c>
      <c r="Q1398" s="13" t="n">
        <v>2</v>
      </c>
      <c r="R1398" s="13" t="s">
        <v>101</v>
      </c>
      <c r="S1398" s="13" t="s">
        <v>135</v>
      </c>
      <c r="T1398" s="13" t="n">
        <v>1</v>
      </c>
      <c r="U1398" s="13" t="n">
        <f aca="false">IF(B1398="Individual",1,0)</f>
        <v>1</v>
      </c>
      <c r="V1398" s="13" t="n">
        <f aca="false">IF(B1398="Company",1,0)</f>
        <v>0</v>
      </c>
      <c r="W1398" s="13" t="n">
        <f aca="false">IF(H1398="Home",1,0)</f>
        <v>1</v>
      </c>
      <c r="X1398" s="13" t="n">
        <f aca="false">IF(H1398="Investment",1,0)</f>
        <v>0</v>
      </c>
      <c r="Y1398" s="13" t="n">
        <f aca="false">IF(K1398="Website",1,0)</f>
        <v>0</v>
      </c>
      <c r="Z1398" s="13" t="n">
        <f aca="false">IF(K1398="Agency",1,0)</f>
        <v>1</v>
      </c>
      <c r="AA1398" s="13" t="n">
        <f aca="false">IF(K1398="Client",1,0)</f>
        <v>0</v>
      </c>
      <c r="AB1398" s="13" t="n">
        <f aca="false">(D1398-AVERAGE(D$2:D$2001))/STDEV(D$2:D$2001)</f>
        <v>0.453399887503333</v>
      </c>
      <c r="AC1398" s="13" t="n">
        <f aca="false">(I1398-AVERAGE(I$2:I$2001))/STDEV(I$2:I$2001)</f>
        <v>1.39434968409451</v>
      </c>
      <c r="AD1398" s="13" t="n">
        <f aca="false">(L1398-AVERAGE(L$2:L$2001))/STDEV(L$2:L$2001)</f>
        <v>-0.777063122173208</v>
      </c>
      <c r="AE1398" s="13" t="n">
        <f aca="false">(M1398-AVERAGE(M$2:M$2001))/STDEV(M$2:M$2001)</f>
        <v>-0.1548059899972</v>
      </c>
      <c r="AF1398" s="13" t="n">
        <f aca="false">(N1398-AVERAGE(N$2:N$2001))/STDEV(N$2:N$2001)</f>
        <v>0.790089042870515</v>
      </c>
      <c r="AG1398" s="13" t="n">
        <f aca="false">(O1398-AVERAGE(O$2:O$2001))/STDEV(O$2:O$2001)</f>
        <v>0.862547444358444</v>
      </c>
      <c r="AH1398" s="0" t="str">
        <f aca="false">IF(B1398="Company","C3 - Corporate Buyers",IF(AND(H1398="Investment",M1398&gt;'Segmentation Summary'!$C$1),"C1 - Global Investors",IF(AND(I1398&gt;=4,M1398&gt;'Segmentation Summary'!$C$1),"C4 - Luxury Investors",IF(AND(D1398&lt;'Segmentation Summary'!$C$2,J1398=1),"C2 - First-Time Buyers","C5 - Other Individual Buyers"))))</f>
        <v>C5 - Other Individual Buyers</v>
      </c>
    </row>
    <row r="1399" customFormat="false" ht="15" hidden="false" customHeight="true" outlineLevel="0" collapsed="false">
      <c r="A1399" s="13" t="s">
        <v>2804</v>
      </c>
      <c r="B1399" s="13" t="s">
        <v>34</v>
      </c>
      <c r="C1399" s="13" t="s">
        <v>2805</v>
      </c>
      <c r="D1399" s="13" t="n">
        <v>73</v>
      </c>
      <c r="E1399" s="13" t="s">
        <v>83</v>
      </c>
      <c r="F1399" s="13" t="s">
        <v>33</v>
      </c>
      <c r="G1399" s="13" t="s">
        <v>207</v>
      </c>
      <c r="H1399" s="13" t="s">
        <v>41</v>
      </c>
      <c r="I1399" s="13" t="n">
        <v>3</v>
      </c>
      <c r="J1399" s="13" t="n">
        <v>0</v>
      </c>
      <c r="K1399" s="13" t="s">
        <v>85</v>
      </c>
      <c r="L1399" s="13" t="n">
        <v>3</v>
      </c>
      <c r="M1399" s="13" t="n">
        <v>1062656.61</v>
      </c>
      <c r="N1399" s="13" t="n">
        <v>354218.87</v>
      </c>
      <c r="O1399" s="13" t="n">
        <v>1221.38333333333</v>
      </c>
      <c r="P1399" s="13" t="n">
        <v>0</v>
      </c>
      <c r="Q1399" s="13" t="n">
        <v>3</v>
      </c>
      <c r="R1399" s="13" t="s">
        <v>117</v>
      </c>
      <c r="S1399" s="13" t="s">
        <v>152</v>
      </c>
      <c r="T1399" s="13" t="n">
        <v>1</v>
      </c>
      <c r="U1399" s="13" t="n">
        <f aca="false">IF(B1399="Individual",1,0)</f>
        <v>1</v>
      </c>
      <c r="V1399" s="13" t="n">
        <f aca="false">IF(B1399="Company",1,0)</f>
        <v>0</v>
      </c>
      <c r="W1399" s="13" t="n">
        <f aca="false">IF(H1399="Home",1,0)</f>
        <v>1</v>
      </c>
      <c r="X1399" s="13" t="n">
        <f aca="false">IF(H1399="Investment",1,0)</f>
        <v>0</v>
      </c>
      <c r="Y1399" s="13" t="n">
        <f aca="false">IF(K1399="Website",1,0)</f>
        <v>1</v>
      </c>
      <c r="Z1399" s="13" t="n">
        <f aca="false">IF(K1399="Agency",1,0)</f>
        <v>0</v>
      </c>
      <c r="AA1399" s="13" t="n">
        <f aca="false">IF(K1399="Client",1,0)</f>
        <v>0</v>
      </c>
      <c r="AB1399" s="13" t="n">
        <f aca="false">(D1399-AVERAGE(D$2:D$2001))/STDEV(D$2:D$2001)</f>
        <v>1.087686897873</v>
      </c>
      <c r="AC1399" s="13" t="n">
        <f aca="false">(I1399-AVERAGE(I$2:I$2001))/STDEV(I$2:I$2001)</f>
        <v>-0.0205155458339628</v>
      </c>
      <c r="AD1399" s="13" t="n">
        <f aca="false">(L1399-AVERAGE(L$2:L$2001))/STDEV(L$2:L$2001)</f>
        <v>-0.777063122173208</v>
      </c>
      <c r="AE1399" s="13" t="n">
        <f aca="false">(M1399-AVERAGE(M$2:M$2001))/STDEV(M$2:M$2001)</f>
        <v>-0.568434271078641</v>
      </c>
      <c r="AF1399" s="13" t="n">
        <f aca="false">(N1399-AVERAGE(N$2:N$2001))/STDEV(N$2:N$2001)</f>
        <v>0.102247961189101</v>
      </c>
      <c r="AG1399" s="13" t="n">
        <f aca="false">(O1399-AVERAGE(O$2:O$2001))/STDEV(O$2:O$2001)</f>
        <v>0.33604399784762</v>
      </c>
      <c r="AH1399" s="0" t="str">
        <f aca="false">IF(B1399="Company","C3 - Corporate Buyers",IF(AND(H1399="Investment",M1399&gt;'Segmentation Summary'!$C$1),"C1 - Global Investors",IF(AND(I1399&gt;=4,M1399&gt;'Segmentation Summary'!$C$1),"C4 - Luxury Investors",IF(AND(D1399&lt;'Segmentation Summary'!$C$2,J1399=1),"C2 - First-Time Buyers","C5 - Other Individual Buyers"))))</f>
        <v>C5 - Other Individual Buyers</v>
      </c>
    </row>
    <row r="1400" customFormat="false" ht="15" hidden="false" customHeight="true" outlineLevel="0" collapsed="false">
      <c r="A1400" s="13" t="s">
        <v>2806</v>
      </c>
      <c r="B1400" s="13" t="s">
        <v>34</v>
      </c>
      <c r="C1400" s="13" t="s">
        <v>2807</v>
      </c>
      <c r="D1400" s="13" t="n">
        <v>70</v>
      </c>
      <c r="E1400" s="13" t="s">
        <v>83</v>
      </c>
      <c r="F1400" s="13" t="s">
        <v>37</v>
      </c>
      <c r="G1400" s="13" t="s">
        <v>940</v>
      </c>
      <c r="H1400" s="13" t="s">
        <v>41</v>
      </c>
      <c r="I1400" s="13" t="n">
        <v>4</v>
      </c>
      <c r="J1400" s="13" t="n">
        <v>0</v>
      </c>
      <c r="K1400" s="13" t="s">
        <v>116</v>
      </c>
      <c r="L1400" s="13" t="n">
        <v>4</v>
      </c>
      <c r="M1400" s="13" t="n">
        <v>1209659.27</v>
      </c>
      <c r="N1400" s="13" t="n">
        <v>302414.8175</v>
      </c>
      <c r="O1400" s="13" t="n">
        <v>1042.1725</v>
      </c>
      <c r="P1400" s="13" t="n">
        <v>1</v>
      </c>
      <c r="Q1400" s="13" t="n">
        <v>3</v>
      </c>
      <c r="R1400" s="13" t="s">
        <v>86</v>
      </c>
      <c r="S1400" s="13" t="s">
        <v>215</v>
      </c>
      <c r="T1400" s="13" t="n">
        <v>1</v>
      </c>
      <c r="U1400" s="13" t="n">
        <f aca="false">IF(B1400="Individual",1,0)</f>
        <v>1</v>
      </c>
      <c r="V1400" s="13" t="n">
        <f aca="false">IF(B1400="Company",1,0)</f>
        <v>0</v>
      </c>
      <c r="W1400" s="13" t="n">
        <f aca="false">IF(H1400="Home",1,0)</f>
        <v>1</v>
      </c>
      <c r="X1400" s="13" t="n">
        <f aca="false">IF(H1400="Investment",1,0)</f>
        <v>0</v>
      </c>
      <c r="Y1400" s="13" t="n">
        <f aca="false">IF(K1400="Website",1,0)</f>
        <v>0</v>
      </c>
      <c r="Z1400" s="13" t="n">
        <f aca="false">IF(K1400="Agency",1,0)</f>
        <v>0</v>
      </c>
      <c r="AA1400" s="13" t="n">
        <f aca="false">IF(K1400="Client",1,0)</f>
        <v>1</v>
      </c>
      <c r="AB1400" s="13" t="n">
        <f aca="false">(D1400-AVERAGE(D$2:D$2001))/STDEV(D$2:D$2001)</f>
        <v>0.914699531408543</v>
      </c>
      <c r="AC1400" s="13" t="n">
        <f aca="false">(I1400-AVERAGE(I$2:I$2001))/STDEV(I$2:I$2001)</f>
        <v>0.686917069130275</v>
      </c>
      <c r="AD1400" s="13" t="n">
        <f aca="false">(L1400-AVERAGE(L$2:L$2001))/STDEV(L$2:L$2001)</f>
        <v>0.413838214490712</v>
      </c>
      <c r="AE1400" s="13" t="n">
        <f aca="false">(M1400-AVERAGE(M$2:M$2001))/STDEV(M$2:M$2001)</f>
        <v>-0.14580718593387</v>
      </c>
      <c r="AF1400" s="13" t="n">
        <f aca="false">(N1400-AVERAGE(N$2:N$2001))/STDEV(N$2:N$2001)</f>
        <v>-0.640762636528902</v>
      </c>
      <c r="AG1400" s="13" t="n">
        <f aca="false">(O1400-AVERAGE(O$2:O$2001))/STDEV(O$2:O$2001)</f>
        <v>-0.478837437527413</v>
      </c>
      <c r="AH1400" s="0" t="str">
        <f aca="false">IF(B1400="Company","C3 - Corporate Buyers",IF(AND(H1400="Investment",M1400&gt;'Segmentation Summary'!$C$1),"C1 - Global Investors",IF(AND(I1400&gt;=4,M1400&gt;'Segmentation Summary'!$C$1),"C4 - Luxury Investors",IF(AND(D1400&lt;'Segmentation Summary'!$C$2,J1400=1),"C2 - First-Time Buyers","C5 - Other Individual Buyers"))))</f>
        <v>C5 - Other Individual Buyers</v>
      </c>
    </row>
    <row r="1401" customFormat="false" ht="15" hidden="false" customHeight="true" outlineLevel="0" collapsed="false">
      <c r="A1401" s="13" t="s">
        <v>2808</v>
      </c>
      <c r="B1401" s="13" t="s">
        <v>34</v>
      </c>
      <c r="C1401" s="13" t="s">
        <v>2809</v>
      </c>
      <c r="D1401" s="13" t="n">
        <v>61</v>
      </c>
      <c r="E1401" s="13" t="s">
        <v>83</v>
      </c>
      <c r="F1401" s="13" t="s">
        <v>33</v>
      </c>
      <c r="G1401" s="13" t="s">
        <v>100</v>
      </c>
      <c r="H1401" s="13" t="s">
        <v>41</v>
      </c>
      <c r="I1401" s="13" t="n">
        <v>5</v>
      </c>
      <c r="J1401" s="13" t="n">
        <v>1</v>
      </c>
      <c r="K1401" s="13" t="s">
        <v>85</v>
      </c>
      <c r="L1401" s="13" t="n">
        <v>3</v>
      </c>
      <c r="M1401" s="13" t="n">
        <v>1023688.56</v>
      </c>
      <c r="N1401" s="13" t="n">
        <v>341229.52</v>
      </c>
      <c r="O1401" s="13" t="n">
        <v>1140.4</v>
      </c>
      <c r="P1401" s="13" t="n">
        <v>0</v>
      </c>
      <c r="Q1401" s="13" t="n">
        <v>3</v>
      </c>
      <c r="R1401" s="13" t="s">
        <v>101</v>
      </c>
      <c r="S1401" s="13" t="s">
        <v>114</v>
      </c>
      <c r="T1401" s="13" t="n">
        <v>1</v>
      </c>
      <c r="U1401" s="13" t="n">
        <f aca="false">IF(B1401="Individual",1,0)</f>
        <v>1</v>
      </c>
      <c r="V1401" s="13" t="n">
        <f aca="false">IF(B1401="Company",1,0)</f>
        <v>0</v>
      </c>
      <c r="W1401" s="13" t="n">
        <f aca="false">IF(H1401="Home",1,0)</f>
        <v>1</v>
      </c>
      <c r="X1401" s="13" t="n">
        <f aca="false">IF(H1401="Investment",1,0)</f>
        <v>0</v>
      </c>
      <c r="Y1401" s="13" t="n">
        <f aca="false">IF(K1401="Website",1,0)</f>
        <v>1</v>
      </c>
      <c r="Z1401" s="13" t="n">
        <f aca="false">IF(K1401="Agency",1,0)</f>
        <v>0</v>
      </c>
      <c r="AA1401" s="13" t="n">
        <f aca="false">IF(K1401="Client",1,0)</f>
        <v>0</v>
      </c>
      <c r="AB1401" s="13" t="n">
        <f aca="false">(D1401-AVERAGE(D$2:D$2001))/STDEV(D$2:D$2001)</f>
        <v>0.395737432015182</v>
      </c>
      <c r="AC1401" s="13" t="n">
        <f aca="false">(I1401-AVERAGE(I$2:I$2001))/STDEV(I$2:I$2001)</f>
        <v>1.39434968409451</v>
      </c>
      <c r="AD1401" s="13" t="n">
        <f aca="false">(L1401-AVERAGE(L$2:L$2001))/STDEV(L$2:L$2001)</f>
        <v>-0.777063122173208</v>
      </c>
      <c r="AE1401" s="13" t="n">
        <f aca="false">(M1401-AVERAGE(M$2:M$2001))/STDEV(M$2:M$2001)</f>
        <v>-0.680465940337386</v>
      </c>
      <c r="AF1401" s="13" t="n">
        <f aca="false">(N1401-AVERAGE(N$2:N$2001))/STDEV(N$2:N$2001)</f>
        <v>-0.0840545429917898</v>
      </c>
      <c r="AG1401" s="13" t="n">
        <f aca="false">(O1401-AVERAGE(O$2:O$2001))/STDEV(O$2:O$2001)</f>
        <v>-0.0321916365761905</v>
      </c>
      <c r="AH1401" s="0" t="str">
        <f aca="false">IF(B1401="Company","C3 - Corporate Buyers",IF(AND(H1401="Investment",M1401&gt;'Segmentation Summary'!$C$1),"C1 - Global Investors",IF(AND(I1401&gt;=4,M1401&gt;'Segmentation Summary'!$C$1),"C4 - Luxury Investors",IF(AND(D1401&lt;'Segmentation Summary'!$C$2,J1401=1),"C2 - First-Time Buyers","C5 - Other Individual Buyers"))))</f>
        <v>C5 - Other Individual Buyers</v>
      </c>
    </row>
    <row r="1402" customFormat="false" ht="15" hidden="false" customHeight="true" outlineLevel="0" collapsed="false">
      <c r="A1402" s="13" t="s">
        <v>2810</v>
      </c>
      <c r="B1402" s="13" t="s">
        <v>34</v>
      </c>
      <c r="C1402" s="13" t="s">
        <v>2809</v>
      </c>
      <c r="D1402" s="13" t="n">
        <v>25</v>
      </c>
      <c r="E1402" s="13" t="s">
        <v>83</v>
      </c>
      <c r="F1402" s="13" t="s">
        <v>33</v>
      </c>
      <c r="G1402" s="13" t="s">
        <v>95</v>
      </c>
      <c r="H1402" s="13" t="s">
        <v>41</v>
      </c>
      <c r="I1402" s="13" t="n">
        <v>3</v>
      </c>
      <c r="J1402" s="13" t="n">
        <v>0</v>
      </c>
      <c r="K1402" s="13" t="s">
        <v>91</v>
      </c>
      <c r="L1402" s="13" t="n">
        <v>4</v>
      </c>
      <c r="M1402" s="13" t="n">
        <v>1105130.19</v>
      </c>
      <c r="N1402" s="13" t="n">
        <v>276282.5475</v>
      </c>
      <c r="O1402" s="13" t="n">
        <v>942.035</v>
      </c>
      <c r="P1402" s="13" t="n">
        <v>1</v>
      </c>
      <c r="Q1402" s="13" t="n">
        <v>3</v>
      </c>
      <c r="R1402" s="13" t="s">
        <v>98</v>
      </c>
      <c r="S1402" s="13" t="s">
        <v>135</v>
      </c>
      <c r="T1402" s="13" t="n">
        <v>1</v>
      </c>
      <c r="U1402" s="13" t="n">
        <f aca="false">IF(B1402="Individual",1,0)</f>
        <v>1</v>
      </c>
      <c r="V1402" s="13" t="n">
        <f aca="false">IF(B1402="Company",1,0)</f>
        <v>0</v>
      </c>
      <c r="W1402" s="13" t="n">
        <f aca="false">IF(H1402="Home",1,0)</f>
        <v>1</v>
      </c>
      <c r="X1402" s="13" t="n">
        <f aca="false">IF(H1402="Investment",1,0)</f>
        <v>0</v>
      </c>
      <c r="Y1402" s="13" t="n">
        <f aca="false">IF(K1402="Website",1,0)</f>
        <v>0</v>
      </c>
      <c r="Z1402" s="13" t="n">
        <f aca="false">IF(K1402="Agency",1,0)</f>
        <v>1</v>
      </c>
      <c r="AA1402" s="13" t="n">
        <f aca="false">IF(K1402="Client",1,0)</f>
        <v>0</v>
      </c>
      <c r="AB1402" s="13" t="n">
        <f aca="false">(D1402-AVERAGE(D$2:D$2001))/STDEV(D$2:D$2001)</f>
        <v>-1.68011096555826</v>
      </c>
      <c r="AC1402" s="13" t="n">
        <f aca="false">(I1402-AVERAGE(I$2:I$2001))/STDEV(I$2:I$2001)</f>
        <v>-0.0205155458339628</v>
      </c>
      <c r="AD1402" s="13" t="n">
        <f aca="false">(L1402-AVERAGE(L$2:L$2001))/STDEV(L$2:L$2001)</f>
        <v>0.413838214490712</v>
      </c>
      <c r="AE1402" s="13" t="n">
        <f aca="false">(M1402-AVERAGE(M$2:M$2001))/STDEV(M$2:M$2001)</f>
        <v>-0.446324335713776</v>
      </c>
      <c r="AF1402" s="13" t="n">
        <f aca="false">(N1402-AVERAGE(N$2:N$2001))/STDEV(N$2:N$2001)</f>
        <v>-1.01557025514963</v>
      </c>
      <c r="AG1402" s="13" t="n">
        <f aca="false">(O1402-AVERAGE(O$2:O$2001))/STDEV(O$2:O$2001)</f>
        <v>-0.934168112671877</v>
      </c>
      <c r="AH1402" s="0" t="str">
        <f aca="false">IF(B1402="Company","C3 - Corporate Buyers",IF(AND(H1402="Investment",M1402&gt;'Segmentation Summary'!$C$1),"C1 - Global Investors",IF(AND(I1402&gt;=4,M1402&gt;'Segmentation Summary'!$C$1),"C4 - Luxury Investors",IF(AND(D1402&lt;'Segmentation Summary'!$C$2,J1402=1),"C2 - First-Time Buyers","C5 - Other Individual Buyers"))))</f>
        <v>C5 - Other Individual Buyers</v>
      </c>
    </row>
    <row r="1403" customFormat="false" ht="15" hidden="false" customHeight="true" outlineLevel="0" collapsed="false">
      <c r="A1403" s="13" t="s">
        <v>2811</v>
      </c>
      <c r="B1403" s="13" t="s">
        <v>34</v>
      </c>
      <c r="C1403" s="13" t="s">
        <v>2812</v>
      </c>
      <c r="D1403" s="13" t="n">
        <v>69</v>
      </c>
      <c r="E1403" s="13" t="s">
        <v>83</v>
      </c>
      <c r="F1403" s="13" t="s">
        <v>33</v>
      </c>
      <c r="G1403" s="13" t="s">
        <v>97</v>
      </c>
      <c r="H1403" s="13" t="s">
        <v>41</v>
      </c>
      <c r="I1403" s="13" t="n">
        <v>3</v>
      </c>
      <c r="J1403" s="13" t="n">
        <v>1</v>
      </c>
      <c r="K1403" s="13" t="s">
        <v>116</v>
      </c>
      <c r="L1403" s="13" t="n">
        <v>3</v>
      </c>
      <c r="M1403" s="13" t="n">
        <v>1107631.34</v>
      </c>
      <c r="N1403" s="13" t="n">
        <v>369210.446666667</v>
      </c>
      <c r="O1403" s="13" t="n">
        <v>1263.57666666667</v>
      </c>
      <c r="P1403" s="13" t="n">
        <v>0</v>
      </c>
      <c r="Q1403" s="13" t="n">
        <v>3</v>
      </c>
      <c r="R1403" s="13" t="s">
        <v>121</v>
      </c>
      <c r="S1403" s="13" t="s">
        <v>141</v>
      </c>
      <c r="T1403" s="13" t="n">
        <v>1</v>
      </c>
      <c r="U1403" s="13" t="n">
        <f aca="false">IF(B1403="Individual",1,0)</f>
        <v>1</v>
      </c>
      <c r="V1403" s="13" t="n">
        <f aca="false">IF(B1403="Company",1,0)</f>
        <v>0</v>
      </c>
      <c r="W1403" s="13" t="n">
        <f aca="false">IF(H1403="Home",1,0)</f>
        <v>1</v>
      </c>
      <c r="X1403" s="13" t="n">
        <f aca="false">IF(H1403="Investment",1,0)</f>
        <v>0</v>
      </c>
      <c r="Y1403" s="13" t="n">
        <f aca="false">IF(K1403="Website",1,0)</f>
        <v>0</v>
      </c>
      <c r="Z1403" s="13" t="n">
        <f aca="false">IF(K1403="Agency",1,0)</f>
        <v>0</v>
      </c>
      <c r="AA1403" s="13" t="n">
        <f aca="false">IF(K1403="Client",1,0)</f>
        <v>1</v>
      </c>
      <c r="AB1403" s="13" t="n">
        <f aca="false">(D1403-AVERAGE(D$2:D$2001))/STDEV(D$2:D$2001)</f>
        <v>0.857037075920391</v>
      </c>
      <c r="AC1403" s="13" t="n">
        <f aca="false">(I1403-AVERAGE(I$2:I$2001))/STDEV(I$2:I$2001)</f>
        <v>-0.0205155458339628</v>
      </c>
      <c r="AD1403" s="13" t="n">
        <f aca="false">(L1403-AVERAGE(L$2:L$2001))/STDEV(L$2:L$2001)</f>
        <v>-0.777063122173208</v>
      </c>
      <c r="AE1403" s="13" t="n">
        <f aca="false">(M1403-AVERAGE(M$2:M$2001))/STDEV(M$2:M$2001)</f>
        <v>-0.439133624103456</v>
      </c>
      <c r="AF1403" s="13" t="n">
        <f aca="false">(N1403-AVERAGE(N$2:N$2001))/STDEV(N$2:N$2001)</f>
        <v>0.317267825510247</v>
      </c>
      <c r="AG1403" s="13" t="n">
        <f aca="false">(O1403-AVERAGE(O$2:O$2001))/STDEV(O$2:O$2001)</f>
        <v>0.527899386221258</v>
      </c>
      <c r="AH1403" s="0" t="str">
        <f aca="false">IF(B1403="Company","C3 - Corporate Buyers",IF(AND(H1403="Investment",M1403&gt;'Segmentation Summary'!$C$1),"C1 - Global Investors",IF(AND(I1403&gt;=4,M1403&gt;'Segmentation Summary'!$C$1),"C4 - Luxury Investors",IF(AND(D1403&lt;'Segmentation Summary'!$C$2,J1403=1),"C2 - First-Time Buyers","C5 - Other Individual Buyers"))))</f>
        <v>C5 - Other Individual Buyers</v>
      </c>
    </row>
    <row r="1404" customFormat="false" ht="15" hidden="false" customHeight="true" outlineLevel="0" collapsed="false">
      <c r="A1404" s="13" t="s">
        <v>2813</v>
      </c>
      <c r="B1404" s="13" t="s">
        <v>34</v>
      </c>
      <c r="C1404" s="13" t="s">
        <v>2812</v>
      </c>
      <c r="D1404" s="13" t="n">
        <v>32</v>
      </c>
      <c r="E1404" s="13" t="s">
        <v>83</v>
      </c>
      <c r="F1404" s="13" t="s">
        <v>33</v>
      </c>
      <c r="G1404" s="13" t="s">
        <v>106</v>
      </c>
      <c r="H1404" s="13" t="s">
        <v>41</v>
      </c>
      <c r="I1404" s="13" t="n">
        <v>3</v>
      </c>
      <c r="J1404" s="13" t="n">
        <v>1</v>
      </c>
      <c r="K1404" s="13" t="s">
        <v>85</v>
      </c>
      <c r="L1404" s="13" t="n">
        <v>3</v>
      </c>
      <c r="M1404" s="13" t="n">
        <v>1378006.45</v>
      </c>
      <c r="N1404" s="13" t="n">
        <v>459335.483333333</v>
      </c>
      <c r="O1404" s="13" t="n">
        <v>1471.62</v>
      </c>
      <c r="P1404" s="13" t="n">
        <v>2</v>
      </c>
      <c r="Q1404" s="13" t="n">
        <v>1</v>
      </c>
      <c r="R1404" s="13" t="s">
        <v>86</v>
      </c>
      <c r="S1404" s="13" t="s">
        <v>125</v>
      </c>
      <c r="T1404" s="13" t="n">
        <v>1</v>
      </c>
      <c r="U1404" s="13" t="n">
        <f aca="false">IF(B1404="Individual",1,0)</f>
        <v>1</v>
      </c>
      <c r="V1404" s="13" t="n">
        <f aca="false">IF(B1404="Company",1,0)</f>
        <v>0</v>
      </c>
      <c r="W1404" s="13" t="n">
        <f aca="false">IF(H1404="Home",1,0)</f>
        <v>1</v>
      </c>
      <c r="X1404" s="13" t="n">
        <f aca="false">IF(H1404="Investment",1,0)</f>
        <v>0</v>
      </c>
      <c r="Y1404" s="13" t="n">
        <f aca="false">IF(K1404="Website",1,0)</f>
        <v>1</v>
      </c>
      <c r="Z1404" s="13" t="n">
        <f aca="false">IF(K1404="Agency",1,0)</f>
        <v>0</v>
      </c>
      <c r="AA1404" s="13" t="n">
        <f aca="false">IF(K1404="Client",1,0)</f>
        <v>0</v>
      </c>
      <c r="AB1404" s="13" t="n">
        <f aca="false">(D1404-AVERAGE(D$2:D$2001))/STDEV(D$2:D$2001)</f>
        <v>-1.2764737771412</v>
      </c>
      <c r="AC1404" s="13" t="n">
        <f aca="false">(I1404-AVERAGE(I$2:I$2001))/STDEV(I$2:I$2001)</f>
        <v>-0.0205155458339628</v>
      </c>
      <c r="AD1404" s="13" t="n">
        <f aca="false">(L1404-AVERAGE(L$2:L$2001))/STDEV(L$2:L$2001)</f>
        <v>-0.777063122173208</v>
      </c>
      <c r="AE1404" s="13" t="n">
        <f aca="false">(M1404-AVERAGE(M$2:M$2001))/STDEV(M$2:M$2001)</f>
        <v>0.338184586566995</v>
      </c>
      <c r="AF1404" s="13" t="n">
        <f aca="false">(N1404-AVERAGE(N$2:N$2001))/STDEV(N$2:N$2001)</f>
        <v>1.60990525697483</v>
      </c>
      <c r="AG1404" s="13" t="n">
        <f aca="false">(O1404-AVERAGE(O$2:O$2001))/STDEV(O$2:O$2001)</f>
        <v>1.47388377195058</v>
      </c>
      <c r="AH1404" s="0" t="str">
        <f aca="false">IF(B1404="Company","C3 - Corporate Buyers",IF(AND(H1404="Investment",M1404&gt;'Segmentation Summary'!$C$1),"C1 - Global Investors",IF(AND(I1404&gt;=4,M1404&gt;'Segmentation Summary'!$C$1),"C4 - Luxury Investors",IF(AND(D1404&lt;'Segmentation Summary'!$C$2,J1404=1),"C2 - First-Time Buyers","C5 - Other Individual Buyers"))))</f>
        <v>C2 - First-Time Buyers</v>
      </c>
    </row>
    <row r="1405" customFormat="false" ht="15" hidden="false" customHeight="true" outlineLevel="0" collapsed="false">
      <c r="A1405" s="13" t="s">
        <v>2814</v>
      </c>
      <c r="B1405" s="13" t="s">
        <v>34</v>
      </c>
      <c r="C1405" s="13" t="s">
        <v>2815</v>
      </c>
      <c r="D1405" s="13" t="n">
        <v>28</v>
      </c>
      <c r="E1405" s="13" t="s">
        <v>83</v>
      </c>
      <c r="F1405" s="13" t="s">
        <v>33</v>
      </c>
      <c r="G1405" s="13" t="s">
        <v>95</v>
      </c>
      <c r="H1405" s="13" t="s">
        <v>43</v>
      </c>
      <c r="I1405" s="13" t="n">
        <v>2</v>
      </c>
      <c r="J1405" s="13" t="n">
        <v>0</v>
      </c>
      <c r="K1405" s="13" t="s">
        <v>85</v>
      </c>
      <c r="L1405" s="13" t="n">
        <v>3</v>
      </c>
      <c r="M1405" s="13" t="n">
        <v>765431.01</v>
      </c>
      <c r="N1405" s="13" t="n">
        <v>255143.67</v>
      </c>
      <c r="O1405" s="13" t="n">
        <v>934.873333333333</v>
      </c>
      <c r="P1405" s="13" t="n">
        <v>0</v>
      </c>
      <c r="Q1405" s="13" t="n">
        <v>3</v>
      </c>
      <c r="R1405" s="13" t="s">
        <v>128</v>
      </c>
      <c r="S1405" s="13" t="s">
        <v>87</v>
      </c>
      <c r="T1405" s="13" t="n">
        <v>1</v>
      </c>
      <c r="U1405" s="13" t="n">
        <f aca="false">IF(B1405="Individual",1,0)</f>
        <v>1</v>
      </c>
      <c r="V1405" s="13" t="n">
        <f aca="false">IF(B1405="Company",1,0)</f>
        <v>0</v>
      </c>
      <c r="W1405" s="13" t="n">
        <f aca="false">IF(H1405="Home",1,0)</f>
        <v>0</v>
      </c>
      <c r="X1405" s="13" t="n">
        <f aca="false">IF(H1405="Investment",1,0)</f>
        <v>1</v>
      </c>
      <c r="Y1405" s="13" t="n">
        <f aca="false">IF(K1405="Website",1,0)</f>
        <v>1</v>
      </c>
      <c r="Z1405" s="13" t="n">
        <f aca="false">IF(K1405="Agency",1,0)</f>
        <v>0</v>
      </c>
      <c r="AA1405" s="13" t="n">
        <f aca="false">IF(K1405="Client",1,0)</f>
        <v>0</v>
      </c>
      <c r="AB1405" s="13" t="n">
        <f aca="false">(D1405-AVERAGE(D$2:D$2001))/STDEV(D$2:D$2001)</f>
        <v>-1.50712359909381</v>
      </c>
      <c r="AC1405" s="13" t="n">
        <f aca="false">(I1405-AVERAGE(I$2:I$2001))/STDEV(I$2:I$2001)</f>
        <v>-0.727948160798201</v>
      </c>
      <c r="AD1405" s="13" t="n">
        <f aca="false">(L1405-AVERAGE(L$2:L$2001))/STDEV(L$2:L$2001)</f>
        <v>-0.777063122173208</v>
      </c>
      <c r="AE1405" s="13" t="n">
        <f aca="false">(M1405-AVERAGE(M$2:M$2001))/STDEV(M$2:M$2001)</f>
        <v>-1.42294662451773</v>
      </c>
      <c r="AF1405" s="13" t="n">
        <f aca="false">(N1405-AVERAGE(N$2:N$2001))/STDEV(N$2:N$2001)</f>
        <v>-1.31875908398426</v>
      </c>
      <c r="AG1405" s="13" t="n">
        <f aca="false">(O1405-AVERAGE(O$2:O$2001))/STDEV(O$2:O$2001)</f>
        <v>-0.966732601684416</v>
      </c>
      <c r="AH1405" s="0" t="str">
        <f aca="false">IF(B1405="Company","C3 - Corporate Buyers",IF(AND(H1405="Investment",M1405&gt;'Segmentation Summary'!$C$1),"C1 - Global Investors",IF(AND(I1405&gt;=4,M1405&gt;'Segmentation Summary'!$C$1),"C4 - Luxury Investors",IF(AND(D1405&lt;'Segmentation Summary'!$C$2,J1405=1),"C2 - First-Time Buyers","C5 - Other Individual Buyers"))))</f>
        <v>C5 - Other Individual Buyers</v>
      </c>
    </row>
    <row r="1406" customFormat="false" ht="15" hidden="false" customHeight="true" outlineLevel="0" collapsed="false">
      <c r="A1406" s="13" t="s">
        <v>2816</v>
      </c>
      <c r="B1406" s="13" t="s">
        <v>34</v>
      </c>
      <c r="C1406" s="13" t="s">
        <v>2817</v>
      </c>
      <c r="D1406" s="13" t="n">
        <v>44</v>
      </c>
      <c r="E1406" s="13" t="s">
        <v>83</v>
      </c>
      <c r="F1406" s="13" t="s">
        <v>33</v>
      </c>
      <c r="G1406" s="13" t="s">
        <v>84</v>
      </c>
      <c r="H1406" s="13" t="s">
        <v>43</v>
      </c>
      <c r="I1406" s="13" t="n">
        <v>2</v>
      </c>
      <c r="J1406" s="13" t="n">
        <v>0</v>
      </c>
      <c r="K1406" s="13" t="s">
        <v>91</v>
      </c>
      <c r="L1406" s="13" t="n">
        <v>3</v>
      </c>
      <c r="M1406" s="13" t="n">
        <v>942066.48</v>
      </c>
      <c r="N1406" s="13" t="n">
        <v>314022.16</v>
      </c>
      <c r="O1406" s="13" t="n">
        <v>1050.08</v>
      </c>
      <c r="P1406" s="13" t="n">
        <v>0</v>
      </c>
      <c r="Q1406" s="13" t="n">
        <v>3</v>
      </c>
      <c r="R1406" s="13" t="s">
        <v>92</v>
      </c>
      <c r="S1406" s="13" t="s">
        <v>215</v>
      </c>
      <c r="T1406" s="13" t="n">
        <v>1</v>
      </c>
      <c r="U1406" s="13" t="n">
        <f aca="false">IF(B1406="Individual",1,0)</f>
        <v>1</v>
      </c>
      <c r="V1406" s="13" t="n">
        <f aca="false">IF(B1406="Company",1,0)</f>
        <v>0</v>
      </c>
      <c r="W1406" s="13" t="n">
        <f aca="false">IF(H1406="Home",1,0)</f>
        <v>0</v>
      </c>
      <c r="X1406" s="13" t="n">
        <f aca="false">IF(H1406="Investment",1,0)</f>
        <v>1</v>
      </c>
      <c r="Y1406" s="13" t="n">
        <f aca="false">IF(K1406="Website",1,0)</f>
        <v>0</v>
      </c>
      <c r="Z1406" s="13" t="n">
        <f aca="false">IF(K1406="Agency",1,0)</f>
        <v>1</v>
      </c>
      <c r="AA1406" s="13" t="n">
        <f aca="false">IF(K1406="Client",1,0)</f>
        <v>0</v>
      </c>
      <c r="AB1406" s="13" t="n">
        <f aca="false">(D1406-AVERAGE(D$2:D$2001))/STDEV(D$2:D$2001)</f>
        <v>-0.584524311283389</v>
      </c>
      <c r="AC1406" s="13" t="n">
        <f aca="false">(I1406-AVERAGE(I$2:I$2001))/STDEV(I$2:I$2001)</f>
        <v>-0.727948160798201</v>
      </c>
      <c r="AD1406" s="13" t="n">
        <f aca="false">(L1406-AVERAGE(L$2:L$2001))/STDEV(L$2:L$2001)</f>
        <v>-0.777063122173208</v>
      </c>
      <c r="AE1406" s="13" t="n">
        <f aca="false">(M1406-AVERAGE(M$2:M$2001))/STDEV(M$2:M$2001)</f>
        <v>-0.915126331883044</v>
      </c>
      <c r="AF1406" s="13" t="n">
        <f aca="false">(N1406-AVERAGE(N$2:N$2001))/STDEV(N$2:N$2001)</f>
        <v>-0.474281867696337</v>
      </c>
      <c r="AG1406" s="13" t="n">
        <f aca="false">(O1406-AVERAGE(O$2:O$2001))/STDEV(O$2:O$2001)</f>
        <v>-0.442881603661929</v>
      </c>
      <c r="AH1406" s="0" t="str">
        <f aca="false">IF(B1406="Company","C3 - Corporate Buyers",IF(AND(H1406="Investment",M1406&gt;'Segmentation Summary'!$C$1),"C1 - Global Investors",IF(AND(I1406&gt;=4,M1406&gt;'Segmentation Summary'!$C$1),"C4 - Luxury Investors",IF(AND(D1406&lt;'Segmentation Summary'!$C$2,J1406=1),"C2 - First-Time Buyers","C5 - Other Individual Buyers"))))</f>
        <v>C5 - Other Individual Buyers</v>
      </c>
    </row>
    <row r="1407" customFormat="false" ht="15" hidden="false" customHeight="true" outlineLevel="0" collapsed="false">
      <c r="A1407" s="13" t="s">
        <v>2818</v>
      </c>
      <c r="B1407" s="13" t="s">
        <v>34</v>
      </c>
      <c r="C1407" s="13" t="s">
        <v>2819</v>
      </c>
      <c r="D1407" s="13" t="n">
        <v>40</v>
      </c>
      <c r="E1407" s="13" t="s">
        <v>83</v>
      </c>
      <c r="F1407" s="13" t="s">
        <v>37</v>
      </c>
      <c r="G1407" s="13" t="s">
        <v>676</v>
      </c>
      <c r="H1407" s="13" t="s">
        <v>41</v>
      </c>
      <c r="I1407" s="13" t="n">
        <v>1</v>
      </c>
      <c r="J1407" s="13" t="n">
        <v>1</v>
      </c>
      <c r="K1407" s="13" t="s">
        <v>116</v>
      </c>
      <c r="L1407" s="13" t="n">
        <v>3</v>
      </c>
      <c r="M1407" s="13" t="n">
        <v>1142875.46</v>
      </c>
      <c r="N1407" s="13" t="n">
        <v>380958.486666667</v>
      </c>
      <c r="O1407" s="13" t="n">
        <v>1238.02333333333</v>
      </c>
      <c r="P1407" s="13" t="n">
        <v>0</v>
      </c>
      <c r="Q1407" s="13" t="n">
        <v>3</v>
      </c>
      <c r="R1407" s="13" t="s">
        <v>101</v>
      </c>
      <c r="S1407" s="13" t="s">
        <v>133</v>
      </c>
      <c r="T1407" s="13" t="n">
        <v>1</v>
      </c>
      <c r="U1407" s="13" t="n">
        <f aca="false">IF(B1407="Individual",1,0)</f>
        <v>1</v>
      </c>
      <c r="V1407" s="13" t="n">
        <f aca="false">IF(B1407="Company",1,0)</f>
        <v>0</v>
      </c>
      <c r="W1407" s="13" t="n">
        <f aca="false">IF(H1407="Home",1,0)</f>
        <v>1</v>
      </c>
      <c r="X1407" s="13" t="n">
        <f aca="false">IF(H1407="Investment",1,0)</f>
        <v>0</v>
      </c>
      <c r="Y1407" s="13" t="n">
        <f aca="false">IF(K1407="Website",1,0)</f>
        <v>0</v>
      </c>
      <c r="Z1407" s="13" t="n">
        <f aca="false">IF(K1407="Agency",1,0)</f>
        <v>0</v>
      </c>
      <c r="AA1407" s="13" t="n">
        <f aca="false">IF(K1407="Client",1,0)</f>
        <v>1</v>
      </c>
      <c r="AB1407" s="13" t="n">
        <f aca="false">(D1407-AVERAGE(D$2:D$2001))/STDEV(D$2:D$2001)</f>
        <v>-0.815174133235994</v>
      </c>
      <c r="AC1407" s="13" t="n">
        <f aca="false">(I1407-AVERAGE(I$2:I$2001))/STDEV(I$2:I$2001)</f>
        <v>-1.43538077576244</v>
      </c>
      <c r="AD1407" s="13" t="n">
        <f aca="false">(L1407-AVERAGE(L$2:L$2001))/STDEV(L$2:L$2001)</f>
        <v>-0.777063122173208</v>
      </c>
      <c r="AE1407" s="13" t="n">
        <f aca="false">(M1407-AVERAGE(M$2:M$2001))/STDEV(M$2:M$2001)</f>
        <v>-0.337808112686911</v>
      </c>
      <c r="AF1407" s="13" t="n">
        <f aca="false">(N1407-AVERAGE(N$2:N$2001))/STDEV(N$2:N$2001)</f>
        <v>0.485766578043458</v>
      </c>
      <c r="AG1407" s="13" t="n">
        <f aca="false">(O1407-AVERAGE(O$2:O$2001))/STDEV(O$2:O$2001)</f>
        <v>0.411706985583522</v>
      </c>
      <c r="AH1407" s="0" t="str">
        <f aca="false">IF(B1407="Company","C3 - Corporate Buyers",IF(AND(H1407="Investment",M1407&gt;'Segmentation Summary'!$C$1),"C1 - Global Investors",IF(AND(I1407&gt;=4,M1407&gt;'Segmentation Summary'!$C$1),"C4 - Luxury Investors",IF(AND(D1407&lt;'Segmentation Summary'!$C$2,J1407=1),"C2 - First-Time Buyers","C5 - Other Individual Buyers"))))</f>
        <v>C2 - First-Time Buyers</v>
      </c>
    </row>
    <row r="1408" customFormat="false" ht="15" hidden="false" customHeight="true" outlineLevel="0" collapsed="false">
      <c r="A1408" s="13" t="s">
        <v>2820</v>
      </c>
      <c r="B1408" s="13" t="s">
        <v>34</v>
      </c>
      <c r="C1408" s="13" t="s">
        <v>2821</v>
      </c>
      <c r="D1408" s="13" t="n">
        <v>36</v>
      </c>
      <c r="E1408" s="13" t="s">
        <v>90</v>
      </c>
      <c r="F1408" s="13" t="s">
        <v>33</v>
      </c>
      <c r="G1408" s="13" t="s">
        <v>157</v>
      </c>
      <c r="H1408" s="13" t="s">
        <v>41</v>
      </c>
      <c r="I1408" s="13" t="n">
        <v>2</v>
      </c>
      <c r="J1408" s="13" t="n">
        <v>0</v>
      </c>
      <c r="K1408" s="13" t="s">
        <v>91</v>
      </c>
      <c r="L1408" s="13" t="n">
        <v>3</v>
      </c>
      <c r="M1408" s="13" t="n">
        <v>1176436.08</v>
      </c>
      <c r="N1408" s="13" t="n">
        <v>392145.36</v>
      </c>
      <c r="O1408" s="13" t="n">
        <v>1350.49333333333</v>
      </c>
      <c r="P1408" s="13" t="n">
        <v>0</v>
      </c>
      <c r="Q1408" s="13" t="n">
        <v>3</v>
      </c>
      <c r="R1408" s="13" t="s">
        <v>121</v>
      </c>
      <c r="S1408" s="13" t="s">
        <v>103</v>
      </c>
      <c r="T1408" s="13" t="n">
        <v>1</v>
      </c>
      <c r="U1408" s="13" t="n">
        <f aca="false">IF(B1408="Individual",1,0)</f>
        <v>1</v>
      </c>
      <c r="V1408" s="13" t="n">
        <f aca="false">IF(B1408="Company",1,0)</f>
        <v>0</v>
      </c>
      <c r="W1408" s="13" t="n">
        <f aca="false">IF(H1408="Home",1,0)</f>
        <v>1</v>
      </c>
      <c r="X1408" s="13" t="n">
        <f aca="false">IF(H1408="Investment",1,0)</f>
        <v>0</v>
      </c>
      <c r="Y1408" s="13" t="n">
        <f aca="false">IF(K1408="Website",1,0)</f>
        <v>0</v>
      </c>
      <c r="Z1408" s="13" t="n">
        <f aca="false">IF(K1408="Agency",1,0)</f>
        <v>1</v>
      </c>
      <c r="AA1408" s="13" t="n">
        <f aca="false">IF(K1408="Client",1,0)</f>
        <v>0</v>
      </c>
      <c r="AB1408" s="13" t="n">
        <f aca="false">(D1408-AVERAGE(D$2:D$2001))/STDEV(D$2:D$2001)</f>
        <v>-1.0458239551886</v>
      </c>
      <c r="AC1408" s="13" t="n">
        <f aca="false">(I1408-AVERAGE(I$2:I$2001))/STDEV(I$2:I$2001)</f>
        <v>-0.727948160798201</v>
      </c>
      <c r="AD1408" s="13" t="n">
        <f aca="false">(L1408-AVERAGE(L$2:L$2001))/STDEV(L$2:L$2001)</f>
        <v>-0.777063122173208</v>
      </c>
      <c r="AE1408" s="13" t="n">
        <f aca="false">(M1408-AVERAGE(M$2:M$2001))/STDEV(M$2:M$2001)</f>
        <v>-0.241322600069307</v>
      </c>
      <c r="AF1408" s="13" t="n">
        <f aca="false">(N1408-AVERAGE(N$2:N$2001))/STDEV(N$2:N$2001)</f>
        <v>0.646216678776318</v>
      </c>
      <c r="AG1408" s="13" t="n">
        <f aca="false">(O1408-AVERAGE(O$2:O$2001))/STDEV(O$2:O$2001)</f>
        <v>0.923114210983577</v>
      </c>
      <c r="AH1408" s="0" t="str">
        <f aca="false">IF(B1408="Company","C3 - Corporate Buyers",IF(AND(H1408="Investment",M1408&gt;'Segmentation Summary'!$C$1),"C1 - Global Investors",IF(AND(I1408&gt;=4,M1408&gt;'Segmentation Summary'!$C$1),"C4 - Luxury Investors",IF(AND(D1408&lt;'Segmentation Summary'!$C$2,J1408=1),"C2 - First-Time Buyers","C5 - Other Individual Buyers"))))</f>
        <v>C5 - Other Individual Buyers</v>
      </c>
    </row>
    <row r="1409" customFormat="false" ht="15" hidden="false" customHeight="true" outlineLevel="0" collapsed="false">
      <c r="A1409" s="13" t="s">
        <v>2822</v>
      </c>
      <c r="B1409" s="13" t="s">
        <v>34</v>
      </c>
      <c r="C1409" s="13" t="s">
        <v>2823</v>
      </c>
      <c r="D1409" s="13" t="n">
        <v>78</v>
      </c>
      <c r="E1409" s="13" t="s">
        <v>90</v>
      </c>
      <c r="F1409" s="13" t="s">
        <v>33</v>
      </c>
      <c r="G1409" s="13" t="s">
        <v>95</v>
      </c>
      <c r="H1409" s="13" t="s">
        <v>41</v>
      </c>
      <c r="I1409" s="13" t="n">
        <v>3</v>
      </c>
      <c r="J1409" s="13" t="n">
        <v>0</v>
      </c>
      <c r="K1409" s="13" t="s">
        <v>85</v>
      </c>
      <c r="L1409" s="13" t="n">
        <v>3</v>
      </c>
      <c r="M1409" s="13" t="n">
        <v>708761.69</v>
      </c>
      <c r="N1409" s="13" t="n">
        <v>236253.896666667</v>
      </c>
      <c r="O1409" s="13" t="n">
        <v>849.636666666667</v>
      </c>
      <c r="P1409" s="13" t="n">
        <v>0</v>
      </c>
      <c r="Q1409" s="13" t="n">
        <v>3</v>
      </c>
      <c r="R1409" s="13" t="s">
        <v>92</v>
      </c>
      <c r="S1409" s="13" t="s">
        <v>114</v>
      </c>
      <c r="T1409" s="13" t="n">
        <v>1</v>
      </c>
      <c r="U1409" s="13" t="n">
        <f aca="false">IF(B1409="Individual",1,0)</f>
        <v>1</v>
      </c>
      <c r="V1409" s="13" t="n">
        <f aca="false">IF(B1409="Company",1,0)</f>
        <v>0</v>
      </c>
      <c r="W1409" s="13" t="n">
        <f aca="false">IF(H1409="Home",1,0)</f>
        <v>1</v>
      </c>
      <c r="X1409" s="13" t="n">
        <f aca="false">IF(H1409="Investment",1,0)</f>
        <v>0</v>
      </c>
      <c r="Y1409" s="13" t="n">
        <f aca="false">IF(K1409="Website",1,0)</f>
        <v>1</v>
      </c>
      <c r="Z1409" s="13" t="n">
        <f aca="false">IF(K1409="Agency",1,0)</f>
        <v>0</v>
      </c>
      <c r="AA1409" s="13" t="n">
        <f aca="false">IF(K1409="Client",1,0)</f>
        <v>0</v>
      </c>
      <c r="AB1409" s="13" t="n">
        <f aca="false">(D1409-AVERAGE(D$2:D$2001))/STDEV(D$2:D$2001)</f>
        <v>1.37599917531375</v>
      </c>
      <c r="AC1409" s="13" t="n">
        <f aca="false">(I1409-AVERAGE(I$2:I$2001))/STDEV(I$2:I$2001)</f>
        <v>-0.0205155458339628</v>
      </c>
      <c r="AD1409" s="13" t="n">
        <f aca="false">(L1409-AVERAGE(L$2:L$2001))/STDEV(L$2:L$2001)</f>
        <v>-0.777063122173208</v>
      </c>
      <c r="AE1409" s="13" t="n">
        <f aca="false">(M1409-AVERAGE(M$2:M$2001))/STDEV(M$2:M$2001)</f>
        <v>-1.58586877523756</v>
      </c>
      <c r="AF1409" s="13" t="n">
        <f aca="false">(N1409-AVERAGE(N$2:N$2001))/STDEV(N$2:N$2001)</f>
        <v>-1.58968965983366</v>
      </c>
      <c r="AG1409" s="13" t="n">
        <f aca="false">(O1409-AVERAGE(O$2:O$2001))/STDEV(O$2:O$2001)</f>
        <v>-1.35430837480035</v>
      </c>
      <c r="AH1409" s="0" t="str">
        <f aca="false">IF(B1409="Company","C3 - Corporate Buyers",IF(AND(H1409="Investment",M1409&gt;'Segmentation Summary'!$C$1),"C1 - Global Investors",IF(AND(I1409&gt;=4,M1409&gt;'Segmentation Summary'!$C$1),"C4 - Luxury Investors",IF(AND(D1409&lt;'Segmentation Summary'!$C$2,J1409=1),"C2 - First-Time Buyers","C5 - Other Individual Buyers"))))</f>
        <v>C5 - Other Individual Buyers</v>
      </c>
    </row>
    <row r="1410" customFormat="false" ht="15" hidden="false" customHeight="true" outlineLevel="0" collapsed="false">
      <c r="A1410" s="13" t="s">
        <v>2824</v>
      </c>
      <c r="B1410" s="13" t="s">
        <v>34</v>
      </c>
      <c r="C1410" s="13" t="s">
        <v>2823</v>
      </c>
      <c r="D1410" s="13" t="n">
        <v>79</v>
      </c>
      <c r="E1410" s="13" t="s">
        <v>90</v>
      </c>
      <c r="F1410" s="13" t="s">
        <v>33</v>
      </c>
      <c r="G1410" s="13" t="s">
        <v>162</v>
      </c>
      <c r="H1410" s="13" t="s">
        <v>43</v>
      </c>
      <c r="I1410" s="13" t="n">
        <v>5</v>
      </c>
      <c r="J1410" s="13" t="n">
        <v>0</v>
      </c>
      <c r="K1410" s="13" t="s">
        <v>91</v>
      </c>
      <c r="L1410" s="13" t="n">
        <v>4</v>
      </c>
      <c r="M1410" s="13" t="n">
        <v>1463125.26</v>
      </c>
      <c r="N1410" s="13" t="n">
        <v>365781.315</v>
      </c>
      <c r="O1410" s="13" t="n">
        <v>1219.4375</v>
      </c>
      <c r="P1410" s="13" t="n">
        <v>0</v>
      </c>
      <c r="Q1410" s="13" t="n">
        <v>4</v>
      </c>
      <c r="R1410" s="13" t="s">
        <v>92</v>
      </c>
      <c r="S1410" s="13" t="s">
        <v>141</v>
      </c>
      <c r="T1410" s="13" t="n">
        <v>1</v>
      </c>
      <c r="U1410" s="13" t="n">
        <f aca="false">IF(B1410="Individual",1,0)</f>
        <v>1</v>
      </c>
      <c r="V1410" s="13" t="n">
        <f aca="false">IF(B1410="Company",1,0)</f>
        <v>0</v>
      </c>
      <c r="W1410" s="13" t="n">
        <f aca="false">IF(H1410="Home",1,0)</f>
        <v>0</v>
      </c>
      <c r="X1410" s="13" t="n">
        <f aca="false">IF(H1410="Investment",1,0)</f>
        <v>1</v>
      </c>
      <c r="Y1410" s="13" t="n">
        <f aca="false">IF(K1410="Website",1,0)</f>
        <v>0</v>
      </c>
      <c r="Z1410" s="13" t="n">
        <f aca="false">IF(K1410="Agency",1,0)</f>
        <v>1</v>
      </c>
      <c r="AA1410" s="13" t="n">
        <f aca="false">IF(K1410="Client",1,0)</f>
        <v>0</v>
      </c>
      <c r="AB1410" s="13" t="n">
        <f aca="false">(D1410-AVERAGE(D$2:D$2001))/STDEV(D$2:D$2001)</f>
        <v>1.4336616308019</v>
      </c>
      <c r="AC1410" s="13" t="n">
        <f aca="false">(I1410-AVERAGE(I$2:I$2001))/STDEV(I$2:I$2001)</f>
        <v>1.39434968409451</v>
      </c>
      <c r="AD1410" s="13" t="n">
        <f aca="false">(L1410-AVERAGE(L$2:L$2001))/STDEV(L$2:L$2001)</f>
        <v>0.413838214490712</v>
      </c>
      <c r="AE1410" s="13" t="n">
        <f aca="false">(M1410-AVERAGE(M$2:M$2001))/STDEV(M$2:M$2001)</f>
        <v>0.582897944551752</v>
      </c>
      <c r="AF1410" s="13" t="n">
        <f aca="false">(N1410-AVERAGE(N$2:N$2001))/STDEV(N$2:N$2001)</f>
        <v>0.268084778116339</v>
      </c>
      <c r="AG1410" s="13" t="n">
        <f aca="false">(O1410-AVERAGE(O$2:O$2001))/STDEV(O$2:O$2001)</f>
        <v>0.327196187532966</v>
      </c>
      <c r="AH1410" s="0" t="str">
        <f aca="false">IF(B1410="Company","C3 - Corporate Buyers",IF(AND(H1410="Investment",M1410&gt;'Segmentation Summary'!$C$1),"C1 - Global Investors",IF(AND(I1410&gt;=4,M1410&gt;'Segmentation Summary'!$C$1),"C4 - Luxury Investors",IF(AND(D1410&lt;'Segmentation Summary'!$C$2,J1410=1),"C2 - First-Time Buyers","C5 - Other Individual Buyers"))))</f>
        <v>C1 - Global Investors</v>
      </c>
    </row>
    <row r="1411" customFormat="false" ht="15" hidden="false" customHeight="true" outlineLevel="0" collapsed="false">
      <c r="A1411" s="13" t="s">
        <v>2825</v>
      </c>
      <c r="B1411" s="13" t="s">
        <v>34</v>
      </c>
      <c r="C1411" s="13" t="s">
        <v>2826</v>
      </c>
      <c r="D1411" s="13" t="n">
        <v>48</v>
      </c>
      <c r="E1411" s="13" t="s">
        <v>90</v>
      </c>
      <c r="F1411" s="13" t="s">
        <v>37</v>
      </c>
      <c r="G1411" s="13" t="s">
        <v>259</v>
      </c>
      <c r="H1411" s="13" t="s">
        <v>43</v>
      </c>
      <c r="I1411" s="13" t="n">
        <v>3</v>
      </c>
      <c r="J1411" s="13" t="n">
        <v>0</v>
      </c>
      <c r="K1411" s="13" t="s">
        <v>91</v>
      </c>
      <c r="L1411" s="13" t="n">
        <v>3</v>
      </c>
      <c r="M1411" s="13" t="n">
        <v>1069033.77</v>
      </c>
      <c r="N1411" s="13" t="n">
        <v>356344.59</v>
      </c>
      <c r="O1411" s="13" t="n">
        <v>1135.52333333333</v>
      </c>
      <c r="P1411" s="13" t="n">
        <v>0</v>
      </c>
      <c r="Q1411" s="13" t="n">
        <v>3</v>
      </c>
      <c r="R1411" s="13" t="s">
        <v>124</v>
      </c>
      <c r="S1411" s="13" t="s">
        <v>215</v>
      </c>
      <c r="T1411" s="13" t="n">
        <v>1</v>
      </c>
      <c r="U1411" s="13" t="n">
        <f aca="false">IF(B1411="Individual",1,0)</f>
        <v>1</v>
      </c>
      <c r="V1411" s="13" t="n">
        <f aca="false">IF(B1411="Company",1,0)</f>
        <v>0</v>
      </c>
      <c r="W1411" s="13" t="n">
        <f aca="false">IF(H1411="Home",1,0)</f>
        <v>0</v>
      </c>
      <c r="X1411" s="13" t="n">
        <f aca="false">IF(H1411="Investment",1,0)</f>
        <v>1</v>
      </c>
      <c r="Y1411" s="13" t="n">
        <f aca="false">IF(K1411="Website",1,0)</f>
        <v>0</v>
      </c>
      <c r="Z1411" s="13" t="n">
        <f aca="false">IF(K1411="Agency",1,0)</f>
        <v>1</v>
      </c>
      <c r="AA1411" s="13" t="n">
        <f aca="false">IF(K1411="Client",1,0)</f>
        <v>0</v>
      </c>
      <c r="AB1411" s="13" t="n">
        <f aca="false">(D1411-AVERAGE(D$2:D$2001))/STDEV(D$2:D$2001)</f>
        <v>-0.353874489330784</v>
      </c>
      <c r="AC1411" s="13" t="n">
        <f aca="false">(I1411-AVERAGE(I$2:I$2001))/STDEV(I$2:I$2001)</f>
        <v>-0.0205155458339628</v>
      </c>
      <c r="AD1411" s="13" t="n">
        <f aca="false">(L1411-AVERAGE(L$2:L$2001))/STDEV(L$2:L$2001)</f>
        <v>-0.777063122173208</v>
      </c>
      <c r="AE1411" s="13" t="n">
        <f aca="false">(M1411-AVERAGE(M$2:M$2001))/STDEV(M$2:M$2001)</f>
        <v>-0.550100177380596</v>
      </c>
      <c r="AF1411" s="13" t="n">
        <f aca="false">(N1411-AVERAGE(N$2:N$2001))/STDEV(N$2:N$2001)</f>
        <v>0.132736550624862</v>
      </c>
      <c r="AG1411" s="13" t="n">
        <f aca="false">(O1411-AVERAGE(O$2:O$2001))/STDEV(O$2:O$2001)</f>
        <v>-0.0543661059387114</v>
      </c>
      <c r="AH1411" s="0" t="str">
        <f aca="false">IF(B1411="Company","C3 - Corporate Buyers",IF(AND(H1411="Investment",M1411&gt;'Segmentation Summary'!$C$1),"C1 - Global Investors",IF(AND(I1411&gt;=4,M1411&gt;'Segmentation Summary'!$C$1),"C4 - Luxury Investors",IF(AND(D1411&lt;'Segmentation Summary'!$C$2,J1411=1),"C2 - First-Time Buyers","C5 - Other Individual Buyers"))))</f>
        <v>C5 - Other Individual Buyers</v>
      </c>
    </row>
    <row r="1412" customFormat="false" ht="15" hidden="false" customHeight="true" outlineLevel="0" collapsed="false">
      <c r="A1412" s="13" t="s">
        <v>2827</v>
      </c>
      <c r="B1412" s="13" t="s">
        <v>34</v>
      </c>
      <c r="C1412" s="13" t="s">
        <v>2828</v>
      </c>
      <c r="D1412" s="13" t="n">
        <v>27</v>
      </c>
      <c r="E1412" s="13" t="s">
        <v>90</v>
      </c>
      <c r="F1412" s="13" t="s">
        <v>40</v>
      </c>
      <c r="G1412" s="13" t="s">
        <v>205</v>
      </c>
      <c r="H1412" s="13" t="s">
        <v>41</v>
      </c>
      <c r="I1412" s="13" t="n">
        <v>4</v>
      </c>
      <c r="J1412" s="13" t="n">
        <v>0</v>
      </c>
      <c r="K1412" s="13" t="s">
        <v>85</v>
      </c>
      <c r="L1412" s="13" t="n">
        <v>3</v>
      </c>
      <c r="M1412" s="13" t="n">
        <v>1191384.37</v>
      </c>
      <c r="N1412" s="13" t="n">
        <v>397128.123333333</v>
      </c>
      <c r="O1412" s="13" t="n">
        <v>1464.84666666667</v>
      </c>
      <c r="P1412" s="13" t="n">
        <v>0</v>
      </c>
      <c r="Q1412" s="13" t="n">
        <v>3</v>
      </c>
      <c r="R1412" s="13" t="s">
        <v>101</v>
      </c>
      <c r="S1412" s="13" t="s">
        <v>87</v>
      </c>
      <c r="T1412" s="13" t="n">
        <v>1</v>
      </c>
      <c r="U1412" s="13" t="n">
        <f aca="false">IF(B1412="Individual",1,0)</f>
        <v>1</v>
      </c>
      <c r="V1412" s="13" t="n">
        <f aca="false">IF(B1412="Company",1,0)</f>
        <v>0</v>
      </c>
      <c r="W1412" s="13" t="n">
        <f aca="false">IF(H1412="Home",1,0)</f>
        <v>1</v>
      </c>
      <c r="X1412" s="13" t="n">
        <f aca="false">IF(H1412="Investment",1,0)</f>
        <v>0</v>
      </c>
      <c r="Y1412" s="13" t="n">
        <f aca="false">IF(K1412="Website",1,0)</f>
        <v>1</v>
      </c>
      <c r="Z1412" s="13" t="n">
        <f aca="false">IF(K1412="Agency",1,0)</f>
        <v>0</v>
      </c>
      <c r="AA1412" s="13" t="n">
        <f aca="false">IF(K1412="Client",1,0)</f>
        <v>0</v>
      </c>
      <c r="AB1412" s="13" t="n">
        <f aca="false">(D1412-AVERAGE(D$2:D$2001))/STDEV(D$2:D$2001)</f>
        <v>-1.56478605458196</v>
      </c>
      <c r="AC1412" s="13" t="n">
        <f aca="false">(I1412-AVERAGE(I$2:I$2001))/STDEV(I$2:I$2001)</f>
        <v>0.686917069130275</v>
      </c>
      <c r="AD1412" s="13" t="n">
        <f aca="false">(L1412-AVERAGE(L$2:L$2001))/STDEV(L$2:L$2001)</f>
        <v>-0.777063122173208</v>
      </c>
      <c r="AE1412" s="13" t="n">
        <f aca="false">(M1412-AVERAGE(M$2:M$2001))/STDEV(M$2:M$2001)</f>
        <v>-0.198346831939678</v>
      </c>
      <c r="AF1412" s="13" t="n">
        <f aca="false">(N1412-AVERAGE(N$2:N$2001))/STDEV(N$2:N$2001)</f>
        <v>0.717683017487698</v>
      </c>
      <c r="AG1412" s="13" t="n">
        <f aca="false">(O1412-AVERAGE(O$2:O$2001))/STDEV(O$2:O$2001)</f>
        <v>1.44308505578887</v>
      </c>
      <c r="AH1412" s="0" t="str">
        <f aca="false">IF(B1412="Company","C3 - Corporate Buyers",IF(AND(H1412="Investment",M1412&gt;'Segmentation Summary'!$C$1),"C1 - Global Investors",IF(AND(I1412&gt;=4,M1412&gt;'Segmentation Summary'!$C$1),"C4 - Luxury Investors",IF(AND(D1412&lt;'Segmentation Summary'!$C$2,J1412=1),"C2 - First-Time Buyers","C5 - Other Individual Buyers"))))</f>
        <v>C5 - Other Individual Buyers</v>
      </c>
    </row>
    <row r="1413" customFormat="false" ht="15" hidden="false" customHeight="true" outlineLevel="0" collapsed="false">
      <c r="A1413" s="13" t="s">
        <v>2829</v>
      </c>
      <c r="B1413" s="13" t="s">
        <v>34</v>
      </c>
      <c r="C1413" s="13" t="s">
        <v>2830</v>
      </c>
      <c r="D1413" s="13" t="n">
        <v>52</v>
      </c>
      <c r="E1413" s="13" t="s">
        <v>90</v>
      </c>
      <c r="F1413" s="13" t="s">
        <v>40</v>
      </c>
      <c r="G1413" s="13" t="s">
        <v>235</v>
      </c>
      <c r="H1413" s="13" t="s">
        <v>41</v>
      </c>
      <c r="I1413" s="13" t="n">
        <v>1</v>
      </c>
      <c r="J1413" s="13" t="n">
        <v>0</v>
      </c>
      <c r="K1413" s="13" t="s">
        <v>85</v>
      </c>
      <c r="L1413" s="13" t="n">
        <v>3</v>
      </c>
      <c r="M1413" s="13" t="n">
        <v>1071718.4</v>
      </c>
      <c r="N1413" s="13" t="n">
        <v>357239.466666667</v>
      </c>
      <c r="O1413" s="13" t="n">
        <v>1196.17333333333</v>
      </c>
      <c r="P1413" s="13" t="n">
        <v>0</v>
      </c>
      <c r="Q1413" s="13" t="n">
        <v>3</v>
      </c>
      <c r="R1413" s="13" t="s">
        <v>92</v>
      </c>
      <c r="S1413" s="13" t="s">
        <v>121</v>
      </c>
      <c r="T1413" s="13" t="n">
        <v>1</v>
      </c>
      <c r="U1413" s="13" t="n">
        <f aca="false">IF(B1413="Individual",1,0)</f>
        <v>1</v>
      </c>
      <c r="V1413" s="13" t="n">
        <f aca="false">IF(B1413="Company",1,0)</f>
        <v>0</v>
      </c>
      <c r="W1413" s="13" t="n">
        <f aca="false">IF(H1413="Home",1,0)</f>
        <v>1</v>
      </c>
      <c r="X1413" s="13" t="n">
        <f aca="false">IF(H1413="Investment",1,0)</f>
        <v>0</v>
      </c>
      <c r="Y1413" s="13" t="n">
        <f aca="false">IF(K1413="Website",1,0)</f>
        <v>1</v>
      </c>
      <c r="Z1413" s="13" t="n">
        <f aca="false">IF(K1413="Agency",1,0)</f>
        <v>0</v>
      </c>
      <c r="AA1413" s="13" t="n">
        <f aca="false">IF(K1413="Client",1,0)</f>
        <v>0</v>
      </c>
      <c r="AB1413" s="13" t="n">
        <f aca="false">(D1413-AVERAGE(D$2:D$2001))/STDEV(D$2:D$2001)</f>
        <v>-0.123224667378179</v>
      </c>
      <c r="AC1413" s="13" t="n">
        <f aca="false">(I1413-AVERAGE(I$2:I$2001))/STDEV(I$2:I$2001)</f>
        <v>-1.43538077576244</v>
      </c>
      <c r="AD1413" s="13" t="n">
        <f aca="false">(L1413-AVERAGE(L$2:L$2001))/STDEV(L$2:L$2001)</f>
        <v>-0.777063122173208</v>
      </c>
      <c r="AE1413" s="13" t="n">
        <f aca="false">(M1413-AVERAGE(M$2:M$2001))/STDEV(M$2:M$2001)</f>
        <v>-0.542381967712879</v>
      </c>
      <c r="AF1413" s="13" t="n">
        <f aca="false">(N1413-AVERAGE(N$2:N$2001))/STDEV(N$2:N$2001)</f>
        <v>0.145571508796989</v>
      </c>
      <c r="AG1413" s="13" t="n">
        <f aca="false">(O1413-AVERAGE(O$2:O$2001))/STDEV(O$2:O$2001)</f>
        <v>0.221412752605908</v>
      </c>
      <c r="AH1413" s="0" t="str">
        <f aca="false">IF(B1413="Company","C3 - Corporate Buyers",IF(AND(H1413="Investment",M1413&gt;'Segmentation Summary'!$C$1),"C1 - Global Investors",IF(AND(I1413&gt;=4,M1413&gt;'Segmentation Summary'!$C$1),"C4 - Luxury Investors",IF(AND(D1413&lt;'Segmentation Summary'!$C$2,J1413=1),"C2 - First-Time Buyers","C5 - Other Individual Buyers"))))</f>
        <v>C5 - Other Individual Buyers</v>
      </c>
    </row>
    <row r="1414" customFormat="false" ht="15" hidden="false" customHeight="true" outlineLevel="0" collapsed="false">
      <c r="A1414" s="13" t="s">
        <v>2831</v>
      </c>
      <c r="B1414" s="13" t="s">
        <v>34</v>
      </c>
      <c r="C1414" s="13" t="s">
        <v>2832</v>
      </c>
      <c r="D1414" s="13" t="n">
        <v>80</v>
      </c>
      <c r="E1414" s="13" t="s">
        <v>90</v>
      </c>
      <c r="F1414" s="13" t="s">
        <v>40</v>
      </c>
      <c r="G1414" s="13" t="s">
        <v>239</v>
      </c>
      <c r="H1414" s="13" t="s">
        <v>41</v>
      </c>
      <c r="I1414" s="13" t="n">
        <v>2</v>
      </c>
      <c r="J1414" s="13" t="n">
        <v>1</v>
      </c>
      <c r="K1414" s="13" t="s">
        <v>85</v>
      </c>
      <c r="L1414" s="13" t="n">
        <v>3</v>
      </c>
      <c r="M1414" s="13" t="n">
        <v>900157.91</v>
      </c>
      <c r="N1414" s="13" t="n">
        <v>300052.636666667</v>
      </c>
      <c r="O1414" s="13" t="n">
        <v>1123.80333333333</v>
      </c>
      <c r="P1414" s="13" t="n">
        <v>1</v>
      </c>
      <c r="Q1414" s="13" t="n">
        <v>2</v>
      </c>
      <c r="R1414" s="13" t="s">
        <v>111</v>
      </c>
      <c r="S1414" s="13" t="s">
        <v>107</v>
      </c>
      <c r="T1414" s="13" t="n">
        <v>1</v>
      </c>
      <c r="U1414" s="13" t="n">
        <f aca="false">IF(B1414="Individual",1,0)</f>
        <v>1</v>
      </c>
      <c r="V1414" s="13" t="n">
        <f aca="false">IF(B1414="Company",1,0)</f>
        <v>0</v>
      </c>
      <c r="W1414" s="13" t="n">
        <f aca="false">IF(H1414="Home",1,0)</f>
        <v>1</v>
      </c>
      <c r="X1414" s="13" t="n">
        <f aca="false">IF(H1414="Investment",1,0)</f>
        <v>0</v>
      </c>
      <c r="Y1414" s="13" t="n">
        <f aca="false">IF(K1414="Website",1,0)</f>
        <v>1</v>
      </c>
      <c r="Z1414" s="13" t="n">
        <f aca="false">IF(K1414="Agency",1,0)</f>
        <v>0</v>
      </c>
      <c r="AA1414" s="13" t="n">
        <f aca="false">IF(K1414="Client",1,0)</f>
        <v>0</v>
      </c>
      <c r="AB1414" s="13" t="n">
        <f aca="false">(D1414-AVERAGE(D$2:D$2001))/STDEV(D$2:D$2001)</f>
        <v>1.49132408629005</v>
      </c>
      <c r="AC1414" s="13" t="n">
        <f aca="false">(I1414-AVERAGE(I$2:I$2001))/STDEV(I$2:I$2001)</f>
        <v>-0.727948160798201</v>
      </c>
      <c r="AD1414" s="13" t="n">
        <f aca="false">(L1414-AVERAGE(L$2:L$2001))/STDEV(L$2:L$2001)</f>
        <v>-0.777063122173208</v>
      </c>
      <c r="AE1414" s="13" t="n">
        <f aca="false">(M1414-AVERAGE(M$2:M$2001))/STDEV(M$2:M$2001)</f>
        <v>-1.03561188487702</v>
      </c>
      <c r="AF1414" s="13" t="n">
        <f aca="false">(N1414-AVERAGE(N$2:N$2001))/STDEV(N$2:N$2001)</f>
        <v>-0.67464271556119</v>
      </c>
      <c r="AG1414" s="13" t="n">
        <f aca="false">(O1414-AVERAGE(O$2:O$2001))/STDEV(O$2:O$2001)</f>
        <v>-0.107657585281545</v>
      </c>
      <c r="AH1414" s="0" t="str">
        <f aca="false">IF(B1414="Company","C3 - Corporate Buyers",IF(AND(H1414="Investment",M1414&gt;'Segmentation Summary'!$C$1),"C1 - Global Investors",IF(AND(I1414&gt;=4,M1414&gt;'Segmentation Summary'!$C$1),"C4 - Luxury Investors",IF(AND(D1414&lt;'Segmentation Summary'!$C$2,J1414=1),"C2 - First-Time Buyers","C5 - Other Individual Buyers"))))</f>
        <v>C5 - Other Individual Buyers</v>
      </c>
    </row>
    <row r="1415" customFormat="false" ht="15" hidden="false" customHeight="true" outlineLevel="0" collapsed="false">
      <c r="A1415" s="13" t="s">
        <v>2833</v>
      </c>
      <c r="B1415" s="13" t="s">
        <v>34</v>
      </c>
      <c r="C1415" s="13" t="s">
        <v>2834</v>
      </c>
      <c r="D1415" s="13" t="n">
        <v>83</v>
      </c>
      <c r="E1415" s="13" t="s">
        <v>90</v>
      </c>
      <c r="F1415" s="13" t="s">
        <v>33</v>
      </c>
      <c r="G1415" s="13" t="s">
        <v>95</v>
      </c>
      <c r="H1415" s="13" t="s">
        <v>41</v>
      </c>
      <c r="I1415" s="13" t="n">
        <v>4</v>
      </c>
      <c r="J1415" s="13" t="n">
        <v>1</v>
      </c>
      <c r="K1415" s="13" t="s">
        <v>85</v>
      </c>
      <c r="L1415" s="13" t="n">
        <v>3</v>
      </c>
      <c r="M1415" s="13" t="n">
        <v>915606.07</v>
      </c>
      <c r="N1415" s="13" t="n">
        <v>305202.023333333</v>
      </c>
      <c r="O1415" s="13" t="n">
        <v>980.87</v>
      </c>
      <c r="P1415" s="13" t="n">
        <v>0</v>
      </c>
      <c r="Q1415" s="13" t="n">
        <v>3</v>
      </c>
      <c r="R1415" s="13" t="s">
        <v>128</v>
      </c>
      <c r="S1415" s="13" t="s">
        <v>103</v>
      </c>
      <c r="T1415" s="13" t="n">
        <v>1</v>
      </c>
      <c r="U1415" s="13" t="n">
        <f aca="false">IF(B1415="Individual",1,0)</f>
        <v>1</v>
      </c>
      <c r="V1415" s="13" t="n">
        <f aca="false">IF(B1415="Company",1,0)</f>
        <v>0</v>
      </c>
      <c r="W1415" s="13" t="n">
        <f aca="false">IF(H1415="Home",1,0)</f>
        <v>1</v>
      </c>
      <c r="X1415" s="13" t="n">
        <f aca="false">IF(H1415="Investment",1,0)</f>
        <v>0</v>
      </c>
      <c r="Y1415" s="13" t="n">
        <f aca="false">IF(K1415="Website",1,0)</f>
        <v>1</v>
      </c>
      <c r="Z1415" s="13" t="n">
        <f aca="false">IF(K1415="Agency",1,0)</f>
        <v>0</v>
      </c>
      <c r="AA1415" s="13" t="n">
        <f aca="false">IF(K1415="Client",1,0)</f>
        <v>0</v>
      </c>
      <c r="AB1415" s="13" t="n">
        <f aca="false">(D1415-AVERAGE(D$2:D$2001))/STDEV(D$2:D$2001)</f>
        <v>1.66431145275451</v>
      </c>
      <c r="AC1415" s="13" t="n">
        <f aca="false">(I1415-AVERAGE(I$2:I$2001))/STDEV(I$2:I$2001)</f>
        <v>0.686917069130275</v>
      </c>
      <c r="AD1415" s="13" t="n">
        <f aca="false">(L1415-AVERAGE(L$2:L$2001))/STDEV(L$2:L$2001)</f>
        <v>-0.777063122173208</v>
      </c>
      <c r="AE1415" s="13" t="n">
        <f aca="false">(M1415-AVERAGE(M$2:M$2001))/STDEV(M$2:M$2001)</f>
        <v>-0.991199009411706</v>
      </c>
      <c r="AF1415" s="13" t="n">
        <f aca="false">(N1415-AVERAGE(N$2:N$2001))/STDEV(N$2:N$2001)</f>
        <v>-0.600786546392173</v>
      </c>
      <c r="AG1415" s="13" t="n">
        <f aca="false">(O1415-AVERAGE(O$2:O$2001))/STDEV(O$2:O$2001)</f>
        <v>-0.757583249166844</v>
      </c>
      <c r="AH1415" s="0" t="str">
        <f aca="false">IF(B1415="Company","C3 - Corporate Buyers",IF(AND(H1415="Investment",M1415&gt;'Segmentation Summary'!$C$1),"C1 - Global Investors",IF(AND(I1415&gt;=4,M1415&gt;'Segmentation Summary'!$C$1),"C4 - Luxury Investors",IF(AND(D1415&lt;'Segmentation Summary'!$C$2,J1415=1),"C2 - First-Time Buyers","C5 - Other Individual Buyers"))))</f>
        <v>C5 - Other Individual Buyers</v>
      </c>
    </row>
    <row r="1416" customFormat="false" ht="15" hidden="false" customHeight="true" outlineLevel="0" collapsed="false">
      <c r="A1416" s="13" t="s">
        <v>2835</v>
      </c>
      <c r="B1416" s="13" t="s">
        <v>34</v>
      </c>
      <c r="C1416" s="13" t="s">
        <v>2834</v>
      </c>
      <c r="D1416" s="13" t="n">
        <v>35</v>
      </c>
      <c r="E1416" s="13" t="s">
        <v>90</v>
      </c>
      <c r="F1416" s="13" t="s">
        <v>33</v>
      </c>
      <c r="G1416" s="13" t="s">
        <v>95</v>
      </c>
      <c r="H1416" s="13" t="s">
        <v>41</v>
      </c>
      <c r="I1416" s="13" t="n">
        <v>1</v>
      </c>
      <c r="J1416" s="13" t="n">
        <v>0</v>
      </c>
      <c r="K1416" s="13" t="s">
        <v>91</v>
      </c>
      <c r="L1416" s="13" t="n">
        <v>3</v>
      </c>
      <c r="M1416" s="13" t="n">
        <v>993447.06</v>
      </c>
      <c r="N1416" s="13" t="n">
        <v>331149.02</v>
      </c>
      <c r="O1416" s="13" t="n">
        <v>1200.35</v>
      </c>
      <c r="P1416" s="13" t="n">
        <v>0</v>
      </c>
      <c r="Q1416" s="13" t="n">
        <v>3</v>
      </c>
      <c r="R1416" s="13" t="s">
        <v>98</v>
      </c>
      <c r="S1416" s="13" t="s">
        <v>152</v>
      </c>
      <c r="T1416" s="13" t="n">
        <v>1</v>
      </c>
      <c r="U1416" s="13" t="n">
        <f aca="false">IF(B1416="Individual",1,0)</f>
        <v>1</v>
      </c>
      <c r="V1416" s="13" t="n">
        <f aca="false">IF(B1416="Company",1,0)</f>
        <v>0</v>
      </c>
      <c r="W1416" s="13" t="n">
        <f aca="false">IF(H1416="Home",1,0)</f>
        <v>1</v>
      </c>
      <c r="X1416" s="13" t="n">
        <f aca="false">IF(H1416="Investment",1,0)</f>
        <v>0</v>
      </c>
      <c r="Y1416" s="13" t="n">
        <f aca="false">IF(K1416="Website",1,0)</f>
        <v>0</v>
      </c>
      <c r="Z1416" s="13" t="n">
        <f aca="false">IF(K1416="Agency",1,0)</f>
        <v>1</v>
      </c>
      <c r="AA1416" s="13" t="n">
        <f aca="false">IF(K1416="Client",1,0)</f>
        <v>0</v>
      </c>
      <c r="AB1416" s="13" t="n">
        <f aca="false">(D1416-AVERAGE(D$2:D$2001))/STDEV(D$2:D$2001)</f>
        <v>-1.10348641067675</v>
      </c>
      <c r="AC1416" s="13" t="n">
        <f aca="false">(I1416-AVERAGE(I$2:I$2001))/STDEV(I$2:I$2001)</f>
        <v>-1.43538077576244</v>
      </c>
      <c r="AD1416" s="13" t="n">
        <f aca="false">(L1416-AVERAGE(L$2:L$2001))/STDEV(L$2:L$2001)</f>
        <v>-0.777063122173208</v>
      </c>
      <c r="AE1416" s="13" t="n">
        <f aca="false">(M1416-AVERAGE(M$2:M$2001))/STDEV(M$2:M$2001)</f>
        <v>-0.7674091085454</v>
      </c>
      <c r="AF1416" s="13" t="n">
        <f aca="false">(N1416-AVERAGE(N$2:N$2001))/STDEV(N$2:N$2001)</f>
        <v>-0.2286362498051</v>
      </c>
      <c r="AG1416" s="13" t="n">
        <f aca="false">(O1416-AVERAGE(O$2:O$2001))/STDEV(O$2:O$2001)</f>
        <v>0.240404283782422</v>
      </c>
      <c r="AH1416" s="0" t="str">
        <f aca="false">IF(B1416="Company","C3 - Corporate Buyers",IF(AND(H1416="Investment",M1416&gt;'Segmentation Summary'!$C$1),"C1 - Global Investors",IF(AND(I1416&gt;=4,M1416&gt;'Segmentation Summary'!$C$1),"C4 - Luxury Investors",IF(AND(D1416&lt;'Segmentation Summary'!$C$2,J1416=1),"C2 - First-Time Buyers","C5 - Other Individual Buyers"))))</f>
        <v>C5 - Other Individual Buyers</v>
      </c>
    </row>
    <row r="1417" customFormat="false" ht="15" hidden="false" customHeight="true" outlineLevel="0" collapsed="false">
      <c r="A1417" s="13" t="s">
        <v>2836</v>
      </c>
      <c r="B1417" s="13" t="s">
        <v>34</v>
      </c>
      <c r="C1417" s="13" t="s">
        <v>2837</v>
      </c>
      <c r="D1417" s="13" t="n">
        <v>57</v>
      </c>
      <c r="E1417" s="13" t="s">
        <v>90</v>
      </c>
      <c r="F1417" s="13" t="s">
        <v>45</v>
      </c>
      <c r="G1417" s="13" t="s">
        <v>405</v>
      </c>
      <c r="H1417" s="13" t="s">
        <v>43</v>
      </c>
      <c r="I1417" s="13" t="n">
        <v>2</v>
      </c>
      <c r="J1417" s="13" t="n">
        <v>0</v>
      </c>
      <c r="K1417" s="13" t="s">
        <v>91</v>
      </c>
      <c r="L1417" s="13" t="n">
        <v>3</v>
      </c>
      <c r="M1417" s="13" t="n">
        <v>974821.86</v>
      </c>
      <c r="N1417" s="13" t="n">
        <v>324940.62</v>
      </c>
      <c r="O1417" s="13" t="n">
        <v>1049.30666666667</v>
      </c>
      <c r="P1417" s="13" t="n">
        <v>0</v>
      </c>
      <c r="Q1417" s="13" t="n">
        <v>3</v>
      </c>
      <c r="R1417" s="13" t="s">
        <v>150</v>
      </c>
      <c r="S1417" s="13" t="s">
        <v>215</v>
      </c>
      <c r="T1417" s="13" t="n">
        <v>1</v>
      </c>
      <c r="U1417" s="13" t="n">
        <f aca="false">IF(B1417="Individual",1,0)</f>
        <v>1</v>
      </c>
      <c r="V1417" s="13" t="n">
        <f aca="false">IF(B1417="Company",1,0)</f>
        <v>0</v>
      </c>
      <c r="W1417" s="13" t="n">
        <f aca="false">IF(H1417="Home",1,0)</f>
        <v>0</v>
      </c>
      <c r="X1417" s="13" t="n">
        <f aca="false">IF(H1417="Investment",1,0)</f>
        <v>1</v>
      </c>
      <c r="Y1417" s="13" t="n">
        <f aca="false">IF(K1417="Website",1,0)</f>
        <v>0</v>
      </c>
      <c r="Z1417" s="13" t="n">
        <f aca="false">IF(K1417="Agency",1,0)</f>
        <v>1</v>
      </c>
      <c r="AA1417" s="13" t="n">
        <f aca="false">IF(K1417="Client",1,0)</f>
        <v>0</v>
      </c>
      <c r="AB1417" s="13" t="n">
        <f aca="false">(D1417-AVERAGE(D$2:D$2001))/STDEV(D$2:D$2001)</f>
        <v>0.165087610062577</v>
      </c>
      <c r="AC1417" s="13" t="n">
        <f aca="false">(I1417-AVERAGE(I$2:I$2001))/STDEV(I$2:I$2001)</f>
        <v>-0.727948160798201</v>
      </c>
      <c r="AD1417" s="13" t="n">
        <f aca="false">(L1417-AVERAGE(L$2:L$2001))/STDEV(L$2:L$2001)</f>
        <v>-0.777063122173208</v>
      </c>
      <c r="AE1417" s="13" t="n">
        <f aca="false">(M1417-AVERAGE(M$2:M$2001))/STDEV(M$2:M$2001)</f>
        <v>-0.820955853796394</v>
      </c>
      <c r="AF1417" s="13" t="n">
        <f aca="false">(N1417-AVERAGE(N$2:N$2001))/STDEV(N$2:N$2001)</f>
        <v>-0.317681542060421</v>
      </c>
      <c r="AG1417" s="13" t="n">
        <f aca="false">(O1417-AVERAGE(O$2:O$2001))/STDEV(O$2:O$2001)</f>
        <v>-0.446397992515024</v>
      </c>
      <c r="AH1417" s="0" t="str">
        <f aca="false">IF(B1417="Company","C3 - Corporate Buyers",IF(AND(H1417="Investment",M1417&gt;'Segmentation Summary'!$C$1),"C1 - Global Investors",IF(AND(I1417&gt;=4,M1417&gt;'Segmentation Summary'!$C$1),"C4 - Luxury Investors",IF(AND(D1417&lt;'Segmentation Summary'!$C$2,J1417=1),"C2 - First-Time Buyers","C5 - Other Individual Buyers"))))</f>
        <v>C5 - Other Individual Buyers</v>
      </c>
    </row>
    <row r="1418" customFormat="false" ht="15" hidden="false" customHeight="true" outlineLevel="0" collapsed="false">
      <c r="A1418" s="13" t="s">
        <v>2838</v>
      </c>
      <c r="B1418" s="13" t="s">
        <v>34</v>
      </c>
      <c r="C1418" s="13" t="s">
        <v>2839</v>
      </c>
      <c r="D1418" s="13" t="n">
        <v>53</v>
      </c>
      <c r="E1418" s="13" t="s">
        <v>90</v>
      </c>
      <c r="F1418" s="13" t="s">
        <v>33</v>
      </c>
      <c r="G1418" s="13" t="s">
        <v>95</v>
      </c>
      <c r="H1418" s="13" t="s">
        <v>41</v>
      </c>
      <c r="I1418" s="13" t="n">
        <v>5</v>
      </c>
      <c r="J1418" s="13" t="n">
        <v>1</v>
      </c>
      <c r="K1418" s="13" t="s">
        <v>116</v>
      </c>
      <c r="L1418" s="13" t="n">
        <v>3</v>
      </c>
      <c r="M1418" s="13" t="n">
        <v>1384749.3</v>
      </c>
      <c r="N1418" s="13" t="n">
        <v>461583.1</v>
      </c>
      <c r="O1418" s="13" t="n">
        <v>1460.49333333333</v>
      </c>
      <c r="P1418" s="13" t="n">
        <v>0</v>
      </c>
      <c r="Q1418" s="13" t="n">
        <v>3</v>
      </c>
      <c r="R1418" s="13" t="s">
        <v>101</v>
      </c>
      <c r="S1418" s="13" t="s">
        <v>125</v>
      </c>
      <c r="T1418" s="13" t="n">
        <v>1</v>
      </c>
      <c r="U1418" s="13" t="n">
        <f aca="false">IF(B1418="Individual",1,0)</f>
        <v>1</v>
      </c>
      <c r="V1418" s="13" t="n">
        <f aca="false">IF(B1418="Company",1,0)</f>
        <v>0</v>
      </c>
      <c r="W1418" s="13" t="n">
        <f aca="false">IF(H1418="Home",1,0)</f>
        <v>1</v>
      </c>
      <c r="X1418" s="13" t="n">
        <f aca="false">IF(H1418="Investment",1,0)</f>
        <v>0</v>
      </c>
      <c r="Y1418" s="13" t="n">
        <f aca="false">IF(K1418="Website",1,0)</f>
        <v>0</v>
      </c>
      <c r="Z1418" s="13" t="n">
        <f aca="false">IF(K1418="Agency",1,0)</f>
        <v>0</v>
      </c>
      <c r="AA1418" s="13" t="n">
        <f aca="false">IF(K1418="Client",1,0)</f>
        <v>1</v>
      </c>
      <c r="AB1418" s="13" t="n">
        <f aca="false">(D1418-AVERAGE(D$2:D$2001))/STDEV(D$2:D$2001)</f>
        <v>-0.065562211890028</v>
      </c>
      <c r="AC1418" s="13" t="n">
        <f aca="false">(I1418-AVERAGE(I$2:I$2001))/STDEV(I$2:I$2001)</f>
        <v>1.39434968409451</v>
      </c>
      <c r="AD1418" s="13" t="n">
        <f aca="false">(L1418-AVERAGE(L$2:L$2001))/STDEV(L$2:L$2001)</f>
        <v>-0.777063122173208</v>
      </c>
      <c r="AE1418" s="13" t="n">
        <f aca="false">(M1418-AVERAGE(M$2:M$2001))/STDEV(M$2:M$2001)</f>
        <v>0.357570025177891</v>
      </c>
      <c r="AF1418" s="13" t="n">
        <f aca="false">(N1418-AVERAGE(N$2:N$2001))/STDEV(N$2:N$2001)</f>
        <v>1.64214217517618</v>
      </c>
      <c r="AG1418" s="13" t="n">
        <f aca="false">(O1418-AVERAGE(O$2:O$2001))/STDEV(O$2:O$2001)</f>
        <v>1.42329021164158</v>
      </c>
      <c r="AH1418" s="0" t="str">
        <f aca="false">IF(B1418="Company","C3 - Corporate Buyers",IF(AND(H1418="Investment",M1418&gt;'Segmentation Summary'!$C$1),"C1 - Global Investors",IF(AND(I1418&gt;=4,M1418&gt;'Segmentation Summary'!$C$1),"C4 - Luxury Investors",IF(AND(D1418&lt;'Segmentation Summary'!$C$2,J1418=1),"C2 - First-Time Buyers","C5 - Other Individual Buyers"))))</f>
        <v>C4 - Luxury Investors</v>
      </c>
    </row>
    <row r="1419" customFormat="false" ht="15" hidden="false" customHeight="true" outlineLevel="0" collapsed="false">
      <c r="A1419" s="13" t="s">
        <v>2840</v>
      </c>
      <c r="B1419" s="13" t="s">
        <v>34</v>
      </c>
      <c r="C1419" s="13" t="s">
        <v>2841</v>
      </c>
      <c r="D1419" s="13" t="n">
        <v>74</v>
      </c>
      <c r="E1419" s="13" t="s">
        <v>90</v>
      </c>
      <c r="F1419" s="13" t="s">
        <v>33</v>
      </c>
      <c r="G1419" s="13" t="s">
        <v>95</v>
      </c>
      <c r="H1419" s="13" t="s">
        <v>43</v>
      </c>
      <c r="I1419" s="13" t="n">
        <v>3</v>
      </c>
      <c r="J1419" s="13" t="n">
        <v>0</v>
      </c>
      <c r="K1419" s="13" t="s">
        <v>85</v>
      </c>
      <c r="L1419" s="13" t="n">
        <v>3</v>
      </c>
      <c r="M1419" s="13" t="n">
        <v>1095538.81</v>
      </c>
      <c r="N1419" s="13" t="n">
        <v>365179.603333333</v>
      </c>
      <c r="O1419" s="13" t="n">
        <v>1357.19333333333</v>
      </c>
      <c r="P1419" s="13" t="n">
        <v>1</v>
      </c>
      <c r="Q1419" s="13" t="n">
        <v>2</v>
      </c>
      <c r="R1419" s="13" t="s">
        <v>117</v>
      </c>
      <c r="S1419" s="13" t="s">
        <v>154</v>
      </c>
      <c r="T1419" s="13" t="n">
        <v>1</v>
      </c>
      <c r="U1419" s="13" t="n">
        <f aca="false">IF(B1419="Individual",1,0)</f>
        <v>1</v>
      </c>
      <c r="V1419" s="13" t="n">
        <f aca="false">IF(B1419="Company",1,0)</f>
        <v>0</v>
      </c>
      <c r="W1419" s="13" t="n">
        <f aca="false">IF(H1419="Home",1,0)</f>
        <v>0</v>
      </c>
      <c r="X1419" s="13" t="n">
        <f aca="false">IF(H1419="Investment",1,0)</f>
        <v>1</v>
      </c>
      <c r="Y1419" s="13" t="n">
        <f aca="false">IF(K1419="Website",1,0)</f>
        <v>1</v>
      </c>
      <c r="Z1419" s="13" t="n">
        <f aca="false">IF(K1419="Agency",1,0)</f>
        <v>0</v>
      </c>
      <c r="AA1419" s="13" t="n">
        <f aca="false">IF(K1419="Client",1,0)</f>
        <v>0</v>
      </c>
      <c r="AB1419" s="13" t="n">
        <f aca="false">(D1419-AVERAGE(D$2:D$2001))/STDEV(D$2:D$2001)</f>
        <v>1.14534935336115</v>
      </c>
      <c r="AC1419" s="13" t="n">
        <f aca="false">(I1419-AVERAGE(I$2:I$2001))/STDEV(I$2:I$2001)</f>
        <v>-0.0205155458339628</v>
      </c>
      <c r="AD1419" s="13" t="n">
        <f aca="false">(L1419-AVERAGE(L$2:L$2001))/STDEV(L$2:L$2001)</f>
        <v>-0.777063122173208</v>
      </c>
      <c r="AE1419" s="13" t="n">
        <f aca="false">(M1419-AVERAGE(M$2:M$2001))/STDEV(M$2:M$2001)</f>
        <v>-0.473899190290665</v>
      </c>
      <c r="AF1419" s="13" t="n">
        <f aca="false">(N1419-AVERAGE(N$2:N$2001))/STDEV(N$2:N$2001)</f>
        <v>0.259454601063991</v>
      </c>
      <c r="AG1419" s="13" t="n">
        <f aca="false">(O1419-AVERAGE(O$2:O$2001))/STDEV(O$2:O$2001)</f>
        <v>0.953579476478201</v>
      </c>
      <c r="AH1419" s="0" t="str">
        <f aca="false">IF(B1419="Company","C3 - Corporate Buyers",IF(AND(H1419="Investment",M1419&gt;'Segmentation Summary'!$C$1),"C1 - Global Investors",IF(AND(I1419&gt;=4,M1419&gt;'Segmentation Summary'!$C$1),"C4 - Luxury Investors",IF(AND(D1419&lt;'Segmentation Summary'!$C$2,J1419=1),"C2 - First-Time Buyers","C5 - Other Individual Buyers"))))</f>
        <v>C5 - Other Individual Buyers</v>
      </c>
    </row>
    <row r="1420" customFormat="false" ht="15" hidden="false" customHeight="true" outlineLevel="0" collapsed="false">
      <c r="A1420" s="13" t="s">
        <v>2842</v>
      </c>
      <c r="B1420" s="13" t="s">
        <v>34</v>
      </c>
      <c r="C1420" s="13" t="s">
        <v>2843</v>
      </c>
      <c r="D1420" s="13" t="n">
        <v>68</v>
      </c>
      <c r="E1420" s="13" t="s">
        <v>90</v>
      </c>
      <c r="F1420" s="13" t="s">
        <v>33</v>
      </c>
      <c r="G1420" s="13" t="s">
        <v>95</v>
      </c>
      <c r="H1420" s="13" t="s">
        <v>41</v>
      </c>
      <c r="I1420" s="13" t="n">
        <v>3</v>
      </c>
      <c r="J1420" s="13" t="n">
        <v>1</v>
      </c>
      <c r="K1420" s="13" t="s">
        <v>85</v>
      </c>
      <c r="L1420" s="13" t="n">
        <v>3</v>
      </c>
      <c r="M1420" s="13" t="n">
        <v>1276849.33</v>
      </c>
      <c r="N1420" s="13" t="n">
        <v>425616.443333333</v>
      </c>
      <c r="O1420" s="13" t="n">
        <v>1357.19333333333</v>
      </c>
      <c r="P1420" s="13" t="n">
        <v>0</v>
      </c>
      <c r="Q1420" s="13" t="n">
        <v>3</v>
      </c>
      <c r="R1420" s="13" t="s">
        <v>86</v>
      </c>
      <c r="S1420" s="13" t="s">
        <v>107</v>
      </c>
      <c r="T1420" s="13" t="n">
        <v>1</v>
      </c>
      <c r="U1420" s="13" t="n">
        <f aca="false">IF(B1420="Individual",1,0)</f>
        <v>1</v>
      </c>
      <c r="V1420" s="13" t="n">
        <f aca="false">IF(B1420="Company",1,0)</f>
        <v>0</v>
      </c>
      <c r="W1420" s="13" t="n">
        <f aca="false">IF(H1420="Home",1,0)</f>
        <v>1</v>
      </c>
      <c r="X1420" s="13" t="n">
        <f aca="false">IF(H1420="Investment",1,0)</f>
        <v>0</v>
      </c>
      <c r="Y1420" s="13" t="n">
        <f aca="false">IF(K1420="Website",1,0)</f>
        <v>1</v>
      </c>
      <c r="Z1420" s="13" t="n">
        <f aca="false">IF(K1420="Agency",1,0)</f>
        <v>0</v>
      </c>
      <c r="AA1420" s="13" t="n">
        <f aca="false">IF(K1420="Client",1,0)</f>
        <v>0</v>
      </c>
      <c r="AB1420" s="13" t="n">
        <f aca="false">(D1420-AVERAGE(D$2:D$2001))/STDEV(D$2:D$2001)</f>
        <v>0.79937462043224</v>
      </c>
      <c r="AC1420" s="13" t="n">
        <f aca="false">(I1420-AVERAGE(I$2:I$2001))/STDEV(I$2:I$2001)</f>
        <v>-0.0205155458339628</v>
      </c>
      <c r="AD1420" s="13" t="n">
        <f aca="false">(L1420-AVERAGE(L$2:L$2001))/STDEV(L$2:L$2001)</f>
        <v>-0.777063122173208</v>
      </c>
      <c r="AE1420" s="13" t="n">
        <f aca="false">(M1420-AVERAGE(M$2:M$2001))/STDEV(M$2:M$2001)</f>
        <v>0.0473616941972939</v>
      </c>
      <c r="AF1420" s="13" t="n">
        <f aca="false">(N1420-AVERAGE(N$2:N$2001))/STDEV(N$2:N$2001)</f>
        <v>1.12628278236481</v>
      </c>
      <c r="AG1420" s="13" t="n">
        <f aca="false">(O1420-AVERAGE(O$2:O$2001))/STDEV(O$2:O$2001)</f>
        <v>0.953579476478201</v>
      </c>
      <c r="AH1420" s="0" t="str">
        <f aca="false">IF(B1420="Company","C3 - Corporate Buyers",IF(AND(H1420="Investment",M1420&gt;'Segmentation Summary'!$C$1),"C1 - Global Investors",IF(AND(I1420&gt;=4,M1420&gt;'Segmentation Summary'!$C$1),"C4 - Luxury Investors",IF(AND(D1420&lt;'Segmentation Summary'!$C$2,J1420=1),"C2 - First-Time Buyers","C5 - Other Individual Buyers"))))</f>
        <v>C5 - Other Individual Buyers</v>
      </c>
    </row>
    <row r="1421" customFormat="false" ht="15" hidden="false" customHeight="true" outlineLevel="0" collapsed="false">
      <c r="A1421" s="13" t="s">
        <v>2844</v>
      </c>
      <c r="B1421" s="13" t="s">
        <v>34</v>
      </c>
      <c r="C1421" s="13" t="s">
        <v>2845</v>
      </c>
      <c r="D1421" s="13" t="n">
        <v>49</v>
      </c>
      <c r="E1421" s="13" t="s">
        <v>90</v>
      </c>
      <c r="F1421" s="13" t="s">
        <v>42</v>
      </c>
      <c r="G1421" s="13" t="s">
        <v>551</v>
      </c>
      <c r="H1421" s="13" t="s">
        <v>41</v>
      </c>
      <c r="I1421" s="13" t="n">
        <v>2</v>
      </c>
      <c r="J1421" s="13" t="n">
        <v>0</v>
      </c>
      <c r="K1421" s="13" t="s">
        <v>85</v>
      </c>
      <c r="L1421" s="13" t="n">
        <v>4</v>
      </c>
      <c r="M1421" s="13" t="n">
        <v>1454358.32</v>
      </c>
      <c r="N1421" s="13" t="n">
        <v>363589.58</v>
      </c>
      <c r="O1421" s="13" t="n">
        <v>1265.3825</v>
      </c>
      <c r="P1421" s="13" t="n">
        <v>2</v>
      </c>
      <c r="Q1421" s="13" t="n">
        <v>2</v>
      </c>
      <c r="R1421" s="13" t="s">
        <v>101</v>
      </c>
      <c r="S1421" s="13" t="s">
        <v>93</v>
      </c>
      <c r="T1421" s="13" t="n">
        <v>1</v>
      </c>
      <c r="U1421" s="13" t="n">
        <f aca="false">IF(B1421="Individual",1,0)</f>
        <v>1</v>
      </c>
      <c r="V1421" s="13" t="n">
        <f aca="false">IF(B1421="Company",1,0)</f>
        <v>0</v>
      </c>
      <c r="W1421" s="13" t="n">
        <f aca="false">IF(H1421="Home",1,0)</f>
        <v>1</v>
      </c>
      <c r="X1421" s="13" t="n">
        <f aca="false">IF(H1421="Investment",1,0)</f>
        <v>0</v>
      </c>
      <c r="Y1421" s="13" t="n">
        <f aca="false">IF(K1421="Website",1,0)</f>
        <v>1</v>
      </c>
      <c r="Z1421" s="13" t="n">
        <f aca="false">IF(K1421="Agency",1,0)</f>
        <v>0</v>
      </c>
      <c r="AA1421" s="13" t="n">
        <f aca="false">IF(K1421="Client",1,0)</f>
        <v>0</v>
      </c>
      <c r="AB1421" s="13" t="n">
        <f aca="false">(D1421-AVERAGE(D$2:D$2001))/STDEV(D$2:D$2001)</f>
        <v>-0.296212033842633</v>
      </c>
      <c r="AC1421" s="13" t="n">
        <f aca="false">(I1421-AVERAGE(I$2:I$2001))/STDEV(I$2:I$2001)</f>
        <v>-0.727948160798201</v>
      </c>
      <c r="AD1421" s="13" t="n">
        <f aca="false">(L1421-AVERAGE(L$2:L$2001))/STDEV(L$2:L$2001)</f>
        <v>0.413838214490712</v>
      </c>
      <c r="AE1421" s="13" t="n">
        <f aca="false">(M1421-AVERAGE(M$2:M$2001))/STDEV(M$2:M$2001)</f>
        <v>0.557693323779318</v>
      </c>
      <c r="AF1421" s="13" t="n">
        <f aca="false">(N1421-AVERAGE(N$2:N$2001))/STDEV(N$2:N$2001)</f>
        <v>0.236649354557739</v>
      </c>
      <c r="AG1421" s="13" t="n">
        <f aca="false">(O1421-AVERAGE(O$2:O$2001))/STDEV(O$2:O$2001)</f>
        <v>0.536110608898712</v>
      </c>
      <c r="AH1421" s="0" t="str">
        <f aca="false">IF(B1421="Company","C3 - Corporate Buyers",IF(AND(H1421="Investment",M1421&gt;'Segmentation Summary'!$C$1),"C1 - Global Investors",IF(AND(I1421&gt;=4,M1421&gt;'Segmentation Summary'!$C$1),"C4 - Luxury Investors",IF(AND(D1421&lt;'Segmentation Summary'!$C$2,J1421=1),"C2 - First-Time Buyers","C5 - Other Individual Buyers"))))</f>
        <v>C5 - Other Individual Buyers</v>
      </c>
    </row>
    <row r="1422" customFormat="false" ht="15" hidden="false" customHeight="true" outlineLevel="0" collapsed="false">
      <c r="A1422" s="13" t="s">
        <v>2846</v>
      </c>
      <c r="B1422" s="13" t="s">
        <v>34</v>
      </c>
      <c r="C1422" s="13" t="s">
        <v>2847</v>
      </c>
      <c r="D1422" s="13" t="n">
        <v>35</v>
      </c>
      <c r="E1422" s="13" t="s">
        <v>90</v>
      </c>
      <c r="F1422" s="13" t="s">
        <v>37</v>
      </c>
      <c r="G1422" s="13" t="s">
        <v>572</v>
      </c>
      <c r="H1422" s="13" t="s">
        <v>41</v>
      </c>
      <c r="I1422" s="13" t="n">
        <v>3</v>
      </c>
      <c r="J1422" s="13" t="n">
        <v>0</v>
      </c>
      <c r="K1422" s="13" t="s">
        <v>85</v>
      </c>
      <c r="L1422" s="13" t="n">
        <v>4</v>
      </c>
      <c r="M1422" s="13" t="n">
        <v>1527373.03</v>
      </c>
      <c r="N1422" s="13" t="n">
        <v>381843.2575</v>
      </c>
      <c r="O1422" s="13" t="n">
        <v>1173.8125</v>
      </c>
      <c r="P1422" s="13" t="n">
        <v>0</v>
      </c>
      <c r="Q1422" s="13" t="n">
        <v>4</v>
      </c>
      <c r="R1422" s="13" t="s">
        <v>150</v>
      </c>
      <c r="S1422" s="13" t="s">
        <v>154</v>
      </c>
      <c r="T1422" s="13" t="n">
        <v>1</v>
      </c>
      <c r="U1422" s="13" t="n">
        <f aca="false">IF(B1422="Individual",1,0)</f>
        <v>1</v>
      </c>
      <c r="V1422" s="13" t="n">
        <f aca="false">IF(B1422="Company",1,0)</f>
        <v>0</v>
      </c>
      <c r="W1422" s="13" t="n">
        <f aca="false">IF(H1422="Home",1,0)</f>
        <v>1</v>
      </c>
      <c r="X1422" s="13" t="n">
        <f aca="false">IF(H1422="Investment",1,0)</f>
        <v>0</v>
      </c>
      <c r="Y1422" s="13" t="n">
        <f aca="false">IF(K1422="Website",1,0)</f>
        <v>1</v>
      </c>
      <c r="Z1422" s="13" t="n">
        <f aca="false">IF(K1422="Agency",1,0)</f>
        <v>0</v>
      </c>
      <c r="AA1422" s="13" t="n">
        <f aca="false">IF(K1422="Client",1,0)</f>
        <v>0</v>
      </c>
      <c r="AB1422" s="13" t="n">
        <f aca="false">(D1422-AVERAGE(D$2:D$2001))/STDEV(D$2:D$2001)</f>
        <v>-1.10348641067675</v>
      </c>
      <c r="AC1422" s="13" t="n">
        <f aca="false">(I1422-AVERAGE(I$2:I$2001))/STDEV(I$2:I$2001)</f>
        <v>-0.0205155458339628</v>
      </c>
      <c r="AD1422" s="13" t="n">
        <f aca="false">(L1422-AVERAGE(L$2:L$2001))/STDEV(L$2:L$2001)</f>
        <v>0.413838214490712</v>
      </c>
      <c r="AE1422" s="13" t="n">
        <f aca="false">(M1422-AVERAGE(M$2:M$2001))/STDEV(M$2:M$2001)</f>
        <v>0.767607852264658</v>
      </c>
      <c r="AF1422" s="13" t="n">
        <f aca="false">(N1422-AVERAGE(N$2:N$2001))/STDEV(N$2:N$2001)</f>
        <v>0.498456591160062</v>
      </c>
      <c r="AG1422" s="13" t="n">
        <f aca="false">(O1422-AVERAGE(O$2:O$2001))/STDEV(O$2:O$2001)</f>
        <v>0.119736823623679</v>
      </c>
      <c r="AH1422" s="0" t="str">
        <f aca="false">IF(B1422="Company","C3 - Corporate Buyers",IF(AND(H1422="Investment",M1422&gt;'Segmentation Summary'!$C$1),"C1 - Global Investors",IF(AND(I1422&gt;=4,M1422&gt;'Segmentation Summary'!$C$1),"C4 - Luxury Investors",IF(AND(D1422&lt;'Segmentation Summary'!$C$2,J1422=1),"C2 - First-Time Buyers","C5 - Other Individual Buyers"))))</f>
        <v>C5 - Other Individual Buyers</v>
      </c>
    </row>
    <row r="1423" customFormat="false" ht="15" hidden="false" customHeight="true" outlineLevel="0" collapsed="false">
      <c r="A1423" s="13" t="s">
        <v>2848</v>
      </c>
      <c r="B1423" s="13" t="s">
        <v>34</v>
      </c>
      <c r="C1423" s="13" t="s">
        <v>2849</v>
      </c>
      <c r="D1423" s="13" t="n">
        <v>68</v>
      </c>
      <c r="E1423" s="13" t="s">
        <v>90</v>
      </c>
      <c r="F1423" s="13" t="s">
        <v>33</v>
      </c>
      <c r="G1423" s="13" t="s">
        <v>265</v>
      </c>
      <c r="H1423" s="13" t="s">
        <v>41</v>
      </c>
      <c r="I1423" s="13" t="n">
        <v>5</v>
      </c>
      <c r="J1423" s="13" t="n">
        <v>0</v>
      </c>
      <c r="K1423" s="13" t="s">
        <v>85</v>
      </c>
      <c r="L1423" s="13" t="n">
        <v>3</v>
      </c>
      <c r="M1423" s="13" t="n">
        <v>942467.41</v>
      </c>
      <c r="N1423" s="13" t="n">
        <v>314155.803333333</v>
      </c>
      <c r="O1423" s="13" t="n">
        <v>1049.30666666667</v>
      </c>
      <c r="P1423" s="13" t="n">
        <v>1</v>
      </c>
      <c r="Q1423" s="13" t="n">
        <v>2</v>
      </c>
      <c r="R1423" s="13" t="s">
        <v>92</v>
      </c>
      <c r="S1423" s="13" t="s">
        <v>154</v>
      </c>
      <c r="T1423" s="13" t="n">
        <v>1</v>
      </c>
      <c r="U1423" s="13" t="n">
        <f aca="false">IF(B1423="Individual",1,0)</f>
        <v>1</v>
      </c>
      <c r="V1423" s="13" t="n">
        <f aca="false">IF(B1423="Company",1,0)</f>
        <v>0</v>
      </c>
      <c r="W1423" s="13" t="n">
        <f aca="false">IF(H1423="Home",1,0)</f>
        <v>1</v>
      </c>
      <c r="X1423" s="13" t="n">
        <f aca="false">IF(H1423="Investment",1,0)</f>
        <v>0</v>
      </c>
      <c r="Y1423" s="13" t="n">
        <f aca="false">IF(K1423="Website",1,0)</f>
        <v>1</v>
      </c>
      <c r="Z1423" s="13" t="n">
        <f aca="false">IF(K1423="Agency",1,0)</f>
        <v>0</v>
      </c>
      <c r="AA1423" s="13" t="n">
        <f aca="false">IF(K1423="Client",1,0)</f>
        <v>0</v>
      </c>
      <c r="AB1423" s="13" t="n">
        <f aca="false">(D1423-AVERAGE(D$2:D$2001))/STDEV(D$2:D$2001)</f>
        <v>0.79937462043224</v>
      </c>
      <c r="AC1423" s="13" t="n">
        <f aca="false">(I1423-AVERAGE(I$2:I$2001))/STDEV(I$2:I$2001)</f>
        <v>1.39434968409451</v>
      </c>
      <c r="AD1423" s="13" t="n">
        <f aca="false">(L1423-AVERAGE(L$2:L$2001))/STDEV(L$2:L$2001)</f>
        <v>-0.777063122173208</v>
      </c>
      <c r="AE1423" s="13" t="n">
        <f aca="false">(M1423-AVERAGE(M$2:M$2001))/STDEV(M$2:M$2001)</f>
        <v>-0.91397367330362</v>
      </c>
      <c r="AF1423" s="13" t="n">
        <f aca="false">(N1423-AVERAGE(N$2:N$2001))/STDEV(N$2:N$2001)</f>
        <v>-0.472365059875544</v>
      </c>
      <c r="AG1423" s="13" t="n">
        <f aca="false">(O1423-AVERAGE(O$2:O$2001))/STDEV(O$2:O$2001)</f>
        <v>-0.446397992515024</v>
      </c>
      <c r="AH1423" s="0" t="str">
        <f aca="false">IF(B1423="Company","C3 - Corporate Buyers",IF(AND(H1423="Investment",M1423&gt;'Segmentation Summary'!$C$1),"C1 - Global Investors",IF(AND(I1423&gt;=4,M1423&gt;'Segmentation Summary'!$C$1),"C4 - Luxury Investors",IF(AND(D1423&lt;'Segmentation Summary'!$C$2,J1423=1),"C2 - First-Time Buyers","C5 - Other Individual Buyers"))))</f>
        <v>C5 - Other Individual Buyers</v>
      </c>
    </row>
    <row r="1424" customFormat="false" ht="15" hidden="false" customHeight="true" outlineLevel="0" collapsed="false">
      <c r="A1424" s="13" t="s">
        <v>2850</v>
      </c>
      <c r="B1424" s="13" t="s">
        <v>34</v>
      </c>
      <c r="C1424" s="13" t="s">
        <v>2851</v>
      </c>
      <c r="D1424" s="13" t="n">
        <v>72</v>
      </c>
      <c r="E1424" s="13" t="s">
        <v>90</v>
      </c>
      <c r="F1424" s="13" t="s">
        <v>33</v>
      </c>
      <c r="G1424" s="13" t="s">
        <v>162</v>
      </c>
      <c r="H1424" s="13" t="s">
        <v>43</v>
      </c>
      <c r="I1424" s="13" t="n">
        <v>2</v>
      </c>
      <c r="J1424" s="13" t="n">
        <v>0</v>
      </c>
      <c r="K1424" s="13" t="s">
        <v>91</v>
      </c>
      <c r="L1424" s="13" t="n">
        <v>3</v>
      </c>
      <c r="M1424" s="13" t="n">
        <v>901013.42</v>
      </c>
      <c r="N1424" s="13" t="n">
        <v>300337.806666667</v>
      </c>
      <c r="O1424" s="13" t="n">
        <v>1010.53</v>
      </c>
      <c r="P1424" s="13" t="n">
        <v>1</v>
      </c>
      <c r="Q1424" s="13" t="n">
        <v>2</v>
      </c>
      <c r="R1424" s="13" t="s">
        <v>150</v>
      </c>
      <c r="S1424" s="13" t="s">
        <v>141</v>
      </c>
      <c r="T1424" s="13" t="n">
        <v>1</v>
      </c>
      <c r="U1424" s="13" t="n">
        <f aca="false">IF(B1424="Individual",1,0)</f>
        <v>1</v>
      </c>
      <c r="V1424" s="13" t="n">
        <f aca="false">IF(B1424="Company",1,0)</f>
        <v>0</v>
      </c>
      <c r="W1424" s="13" t="n">
        <f aca="false">IF(H1424="Home",1,0)</f>
        <v>0</v>
      </c>
      <c r="X1424" s="13" t="n">
        <f aca="false">IF(H1424="Investment",1,0)</f>
        <v>1</v>
      </c>
      <c r="Y1424" s="13" t="n">
        <f aca="false">IF(K1424="Website",1,0)</f>
        <v>0</v>
      </c>
      <c r="Z1424" s="13" t="n">
        <f aca="false">IF(K1424="Agency",1,0)</f>
        <v>1</v>
      </c>
      <c r="AA1424" s="13" t="n">
        <f aca="false">IF(K1424="Client",1,0)</f>
        <v>0</v>
      </c>
      <c r="AB1424" s="13" t="n">
        <f aca="false">(D1424-AVERAGE(D$2:D$2001))/STDEV(D$2:D$2001)</f>
        <v>1.03002444238485</v>
      </c>
      <c r="AC1424" s="13" t="n">
        <f aca="false">(I1424-AVERAGE(I$2:I$2001))/STDEV(I$2:I$2001)</f>
        <v>-0.727948160798201</v>
      </c>
      <c r="AD1424" s="13" t="n">
        <f aca="false">(L1424-AVERAGE(L$2:L$2001))/STDEV(L$2:L$2001)</f>
        <v>-0.777063122173208</v>
      </c>
      <c r="AE1424" s="13" t="n">
        <f aca="false">(M1424-AVERAGE(M$2:M$2001))/STDEV(M$2:M$2001)</f>
        <v>-1.03315232599821</v>
      </c>
      <c r="AF1424" s="13" t="n">
        <f aca="false">(N1424-AVERAGE(N$2:N$2001))/STDEV(N$2:N$2001)</f>
        <v>-0.67055260442266</v>
      </c>
      <c r="AG1424" s="13" t="n">
        <f aca="false">(O1424-AVERAGE(O$2:O$2001))/STDEV(O$2:O$2001)</f>
        <v>-0.622717611171239</v>
      </c>
      <c r="AH1424" s="0" t="str">
        <f aca="false">IF(B1424="Company","C3 - Corporate Buyers",IF(AND(H1424="Investment",M1424&gt;'Segmentation Summary'!$C$1),"C1 - Global Investors",IF(AND(I1424&gt;=4,M1424&gt;'Segmentation Summary'!$C$1),"C4 - Luxury Investors",IF(AND(D1424&lt;'Segmentation Summary'!$C$2,J1424=1),"C2 - First-Time Buyers","C5 - Other Individual Buyers"))))</f>
        <v>C5 - Other Individual Buyers</v>
      </c>
    </row>
    <row r="1425" customFormat="false" ht="15" hidden="false" customHeight="true" outlineLevel="0" collapsed="false">
      <c r="A1425" s="13" t="s">
        <v>2852</v>
      </c>
      <c r="B1425" s="13" t="s">
        <v>34</v>
      </c>
      <c r="C1425" s="13" t="s">
        <v>2853</v>
      </c>
      <c r="D1425" s="13" t="n">
        <v>40</v>
      </c>
      <c r="E1425" s="13" t="s">
        <v>90</v>
      </c>
      <c r="F1425" s="13" t="s">
        <v>38</v>
      </c>
      <c r="G1425" s="13" t="s">
        <v>339</v>
      </c>
      <c r="H1425" s="13" t="s">
        <v>41</v>
      </c>
      <c r="I1425" s="13" t="n">
        <v>2</v>
      </c>
      <c r="J1425" s="13" t="n">
        <v>0</v>
      </c>
      <c r="K1425" s="13" t="s">
        <v>91</v>
      </c>
      <c r="L1425" s="13" t="n">
        <v>3</v>
      </c>
      <c r="M1425" s="13" t="n">
        <v>1309655.49</v>
      </c>
      <c r="N1425" s="13" t="n">
        <v>436551.83</v>
      </c>
      <c r="O1425" s="13" t="n">
        <v>1579.31333333333</v>
      </c>
      <c r="P1425" s="13" t="n">
        <v>0</v>
      </c>
      <c r="Q1425" s="13" t="n">
        <v>3</v>
      </c>
      <c r="R1425" s="13" t="s">
        <v>93</v>
      </c>
      <c r="S1425" s="13" t="s">
        <v>125</v>
      </c>
      <c r="T1425" s="13" t="n">
        <v>1</v>
      </c>
      <c r="U1425" s="13" t="n">
        <f aca="false">IF(B1425="Individual",1,0)</f>
        <v>1</v>
      </c>
      <c r="V1425" s="13" t="n">
        <f aca="false">IF(B1425="Company",1,0)</f>
        <v>0</v>
      </c>
      <c r="W1425" s="13" t="n">
        <f aca="false">IF(H1425="Home",1,0)</f>
        <v>1</v>
      </c>
      <c r="X1425" s="13" t="n">
        <f aca="false">IF(H1425="Investment",1,0)</f>
        <v>0</v>
      </c>
      <c r="Y1425" s="13" t="n">
        <f aca="false">IF(K1425="Website",1,0)</f>
        <v>0</v>
      </c>
      <c r="Z1425" s="13" t="n">
        <f aca="false">IF(K1425="Agency",1,0)</f>
        <v>1</v>
      </c>
      <c r="AA1425" s="13" t="n">
        <f aca="false">IF(K1425="Client",1,0)</f>
        <v>0</v>
      </c>
      <c r="AB1425" s="13" t="n">
        <f aca="false">(D1425-AVERAGE(D$2:D$2001))/STDEV(D$2:D$2001)</f>
        <v>-0.815174133235994</v>
      </c>
      <c r="AC1425" s="13" t="n">
        <f aca="false">(I1425-AVERAGE(I$2:I$2001))/STDEV(I$2:I$2001)</f>
        <v>-0.727948160798201</v>
      </c>
      <c r="AD1425" s="13" t="n">
        <f aca="false">(L1425-AVERAGE(L$2:L$2001))/STDEV(L$2:L$2001)</f>
        <v>-0.777063122173208</v>
      </c>
      <c r="AE1425" s="13" t="n">
        <f aca="false">(M1425-AVERAGE(M$2:M$2001))/STDEV(M$2:M$2001)</f>
        <v>0.141678162862507</v>
      </c>
      <c r="AF1425" s="13" t="n">
        <f aca="false">(N1425-AVERAGE(N$2:N$2001))/STDEV(N$2:N$2001)</f>
        <v>1.28312588230333</v>
      </c>
      <c r="AG1425" s="13" t="n">
        <f aca="false">(O1425-AVERAGE(O$2:O$2001))/STDEV(O$2:O$2001)</f>
        <v>1.96357123344326</v>
      </c>
      <c r="AH1425" s="0" t="str">
        <f aca="false">IF(B1425="Company","C3 - Corporate Buyers",IF(AND(H1425="Investment",M1425&gt;'Segmentation Summary'!$C$1),"C1 - Global Investors",IF(AND(I1425&gt;=4,M1425&gt;'Segmentation Summary'!$C$1),"C4 - Luxury Investors",IF(AND(D1425&lt;'Segmentation Summary'!$C$2,J1425=1),"C2 - First-Time Buyers","C5 - Other Individual Buyers"))))</f>
        <v>C5 - Other Individual Buyers</v>
      </c>
    </row>
    <row r="1426" customFormat="false" ht="15" hidden="false" customHeight="true" outlineLevel="0" collapsed="false">
      <c r="A1426" s="13" t="s">
        <v>2854</v>
      </c>
      <c r="B1426" s="13" t="s">
        <v>34</v>
      </c>
      <c r="C1426" s="13" t="s">
        <v>2855</v>
      </c>
      <c r="D1426" s="13" t="n">
        <v>36</v>
      </c>
      <c r="E1426" s="13" t="s">
        <v>90</v>
      </c>
      <c r="F1426" s="13" t="s">
        <v>33</v>
      </c>
      <c r="G1426" s="13" t="s">
        <v>95</v>
      </c>
      <c r="H1426" s="13" t="s">
        <v>41</v>
      </c>
      <c r="I1426" s="13" t="n">
        <v>2</v>
      </c>
      <c r="J1426" s="13" t="n">
        <v>1</v>
      </c>
      <c r="K1426" s="13" t="s">
        <v>91</v>
      </c>
      <c r="L1426" s="13" t="n">
        <v>3</v>
      </c>
      <c r="M1426" s="13" t="n">
        <v>905480.04</v>
      </c>
      <c r="N1426" s="13" t="n">
        <v>301826.68</v>
      </c>
      <c r="O1426" s="13" t="n">
        <v>1016.76333333333</v>
      </c>
      <c r="P1426" s="13" t="n">
        <v>0</v>
      </c>
      <c r="Q1426" s="13" t="n">
        <v>3</v>
      </c>
      <c r="R1426" s="13" t="s">
        <v>117</v>
      </c>
      <c r="S1426" s="13" t="s">
        <v>154</v>
      </c>
      <c r="T1426" s="13" t="n">
        <v>1</v>
      </c>
      <c r="U1426" s="13" t="n">
        <f aca="false">IF(B1426="Individual",1,0)</f>
        <v>1</v>
      </c>
      <c r="V1426" s="13" t="n">
        <f aca="false">IF(B1426="Company",1,0)</f>
        <v>0</v>
      </c>
      <c r="W1426" s="13" t="n">
        <f aca="false">IF(H1426="Home",1,0)</f>
        <v>1</v>
      </c>
      <c r="X1426" s="13" t="n">
        <f aca="false">IF(H1426="Investment",1,0)</f>
        <v>0</v>
      </c>
      <c r="Y1426" s="13" t="n">
        <f aca="false">IF(K1426="Website",1,0)</f>
        <v>0</v>
      </c>
      <c r="Z1426" s="13" t="n">
        <f aca="false">IF(K1426="Agency",1,0)</f>
        <v>1</v>
      </c>
      <c r="AA1426" s="13" t="n">
        <f aca="false">IF(K1426="Client",1,0)</f>
        <v>0</v>
      </c>
      <c r="AB1426" s="13" t="n">
        <f aca="false">(D1426-AVERAGE(D$2:D$2001))/STDEV(D$2:D$2001)</f>
        <v>-1.0458239551886</v>
      </c>
      <c r="AC1426" s="13" t="n">
        <f aca="false">(I1426-AVERAGE(I$2:I$2001))/STDEV(I$2:I$2001)</f>
        <v>-0.727948160798201</v>
      </c>
      <c r="AD1426" s="13" t="n">
        <f aca="false">(L1426-AVERAGE(L$2:L$2001))/STDEV(L$2:L$2001)</f>
        <v>-0.777063122173208</v>
      </c>
      <c r="AE1426" s="13" t="n">
        <f aca="false">(M1426-AVERAGE(M$2:M$2001))/STDEV(M$2:M$2001)</f>
        <v>-1.02031096250826</v>
      </c>
      <c r="AF1426" s="13" t="n">
        <f aca="false">(N1426-AVERAGE(N$2:N$2001))/STDEV(N$2:N$2001)</f>
        <v>-0.649198123220129</v>
      </c>
      <c r="AG1426" s="13" t="n">
        <f aca="false">(O1426-AVERAGE(O$2:O$2001))/STDEV(O$2:O$2001)</f>
        <v>-0.594374304467301</v>
      </c>
      <c r="AH1426" s="0" t="str">
        <f aca="false">IF(B1426="Company","C3 - Corporate Buyers",IF(AND(H1426="Investment",M1426&gt;'Segmentation Summary'!$C$1),"C1 - Global Investors",IF(AND(I1426&gt;=4,M1426&gt;'Segmentation Summary'!$C$1),"C4 - Luxury Investors",IF(AND(D1426&lt;'Segmentation Summary'!$C$2,J1426=1),"C2 - First-Time Buyers","C5 - Other Individual Buyers"))))</f>
        <v>C2 - First-Time Buyers</v>
      </c>
    </row>
    <row r="1427" customFormat="false" ht="15" hidden="false" customHeight="true" outlineLevel="0" collapsed="false">
      <c r="A1427" s="13" t="s">
        <v>2856</v>
      </c>
      <c r="B1427" s="13" t="s">
        <v>34</v>
      </c>
      <c r="C1427" s="13" t="s">
        <v>2857</v>
      </c>
      <c r="D1427" s="13" t="n">
        <v>54</v>
      </c>
      <c r="E1427" s="13" t="s">
        <v>83</v>
      </c>
      <c r="F1427" s="13" t="s">
        <v>33</v>
      </c>
      <c r="G1427" s="13" t="s">
        <v>162</v>
      </c>
      <c r="H1427" s="13" t="s">
        <v>41</v>
      </c>
      <c r="I1427" s="13" t="n">
        <v>2</v>
      </c>
      <c r="J1427" s="13" t="n">
        <v>0</v>
      </c>
      <c r="K1427" s="13" t="s">
        <v>91</v>
      </c>
      <c r="L1427" s="13" t="n">
        <v>5</v>
      </c>
      <c r="M1427" s="13" t="n">
        <v>1438239.28</v>
      </c>
      <c r="N1427" s="13" t="n">
        <v>287647.856</v>
      </c>
      <c r="O1427" s="13" t="n">
        <v>953.568</v>
      </c>
      <c r="P1427" s="13" t="n">
        <v>0</v>
      </c>
      <c r="Q1427" s="13" t="n">
        <v>5</v>
      </c>
      <c r="R1427" s="13" t="s">
        <v>124</v>
      </c>
      <c r="S1427" s="13" t="s">
        <v>114</v>
      </c>
      <c r="T1427" s="13" t="n">
        <v>1</v>
      </c>
      <c r="U1427" s="13" t="n">
        <f aca="false">IF(B1427="Individual",1,0)</f>
        <v>1</v>
      </c>
      <c r="V1427" s="13" t="n">
        <f aca="false">IF(B1427="Company",1,0)</f>
        <v>0</v>
      </c>
      <c r="W1427" s="13" t="n">
        <f aca="false">IF(H1427="Home",1,0)</f>
        <v>1</v>
      </c>
      <c r="X1427" s="13" t="n">
        <f aca="false">IF(H1427="Investment",1,0)</f>
        <v>0</v>
      </c>
      <c r="Y1427" s="13" t="n">
        <f aca="false">IF(K1427="Website",1,0)</f>
        <v>0</v>
      </c>
      <c r="Z1427" s="13" t="n">
        <f aca="false">IF(K1427="Agency",1,0)</f>
        <v>1</v>
      </c>
      <c r="AA1427" s="13" t="n">
        <f aca="false">IF(K1427="Client",1,0)</f>
        <v>0</v>
      </c>
      <c r="AB1427" s="13" t="n">
        <f aca="false">(D1427-AVERAGE(D$2:D$2001))/STDEV(D$2:D$2001)</f>
        <v>-0.00789975640187674</v>
      </c>
      <c r="AC1427" s="13" t="n">
        <f aca="false">(I1427-AVERAGE(I$2:I$2001))/STDEV(I$2:I$2001)</f>
        <v>-0.727948160798201</v>
      </c>
      <c r="AD1427" s="13" t="n">
        <f aca="false">(L1427-AVERAGE(L$2:L$2001))/STDEV(L$2:L$2001)</f>
        <v>1.60473955115463</v>
      </c>
      <c r="AE1427" s="13" t="n">
        <f aca="false">(M1427-AVERAGE(M$2:M$2001))/STDEV(M$2:M$2001)</f>
        <v>0.511351693699074</v>
      </c>
      <c r="AF1427" s="13" t="n">
        <f aca="false">(N1427-AVERAGE(N$2:N$2001))/STDEV(N$2:N$2001)</f>
        <v>-0.852560910237194</v>
      </c>
      <c r="AG1427" s="13" t="n">
        <f aca="false">(O1427-AVERAGE(O$2:O$2001))/STDEV(O$2:O$2001)</f>
        <v>-0.881726932530161</v>
      </c>
      <c r="AH1427" s="0" t="str">
        <f aca="false">IF(B1427="Company","C3 - Corporate Buyers",IF(AND(H1427="Investment",M1427&gt;'Segmentation Summary'!$C$1),"C1 - Global Investors",IF(AND(I1427&gt;=4,M1427&gt;'Segmentation Summary'!$C$1),"C4 - Luxury Investors",IF(AND(D1427&lt;'Segmentation Summary'!$C$2,J1427=1),"C2 - First-Time Buyers","C5 - Other Individual Buyers"))))</f>
        <v>C5 - Other Individual Buyers</v>
      </c>
    </row>
    <row r="1428" customFormat="false" ht="15" hidden="false" customHeight="true" outlineLevel="0" collapsed="false">
      <c r="A1428" s="13" t="s">
        <v>2858</v>
      </c>
      <c r="B1428" s="13" t="s">
        <v>34</v>
      </c>
      <c r="C1428" s="13" t="s">
        <v>2859</v>
      </c>
      <c r="D1428" s="13" t="n">
        <v>83</v>
      </c>
      <c r="E1428" s="13" t="s">
        <v>90</v>
      </c>
      <c r="F1428" s="13" t="s">
        <v>33</v>
      </c>
      <c r="G1428" s="13" t="s">
        <v>162</v>
      </c>
      <c r="H1428" s="13" t="s">
        <v>41</v>
      </c>
      <c r="I1428" s="13" t="n">
        <v>3</v>
      </c>
      <c r="J1428" s="13" t="n">
        <v>0</v>
      </c>
      <c r="K1428" s="13" t="s">
        <v>91</v>
      </c>
      <c r="L1428" s="13" t="n">
        <v>4</v>
      </c>
      <c r="M1428" s="13" t="n">
        <v>1270440.42</v>
      </c>
      <c r="N1428" s="13" t="n">
        <v>317610.105</v>
      </c>
      <c r="O1428" s="13" t="n">
        <v>1039.56</v>
      </c>
      <c r="P1428" s="13" t="n">
        <v>0</v>
      </c>
      <c r="Q1428" s="13" t="n">
        <v>4</v>
      </c>
      <c r="R1428" s="13" t="s">
        <v>86</v>
      </c>
      <c r="S1428" s="13" t="s">
        <v>112</v>
      </c>
      <c r="T1428" s="13" t="n">
        <v>1</v>
      </c>
      <c r="U1428" s="13" t="n">
        <f aca="false">IF(B1428="Individual",1,0)</f>
        <v>1</v>
      </c>
      <c r="V1428" s="13" t="n">
        <f aca="false">IF(B1428="Company",1,0)</f>
        <v>0</v>
      </c>
      <c r="W1428" s="13" t="n">
        <f aca="false">IF(H1428="Home",1,0)</f>
        <v>1</v>
      </c>
      <c r="X1428" s="13" t="n">
        <f aca="false">IF(H1428="Investment",1,0)</f>
        <v>0</v>
      </c>
      <c r="Y1428" s="13" t="n">
        <f aca="false">IF(K1428="Website",1,0)</f>
        <v>0</v>
      </c>
      <c r="Z1428" s="13" t="n">
        <f aca="false">IF(K1428="Agency",1,0)</f>
        <v>1</v>
      </c>
      <c r="AA1428" s="13" t="n">
        <f aca="false">IF(K1428="Client",1,0)</f>
        <v>0</v>
      </c>
      <c r="AB1428" s="13" t="n">
        <f aca="false">(D1428-AVERAGE(D$2:D$2001))/STDEV(D$2:D$2001)</f>
        <v>1.66431145275451</v>
      </c>
      <c r="AC1428" s="13" t="n">
        <f aca="false">(I1428-AVERAGE(I$2:I$2001))/STDEV(I$2:I$2001)</f>
        <v>-0.0205155458339628</v>
      </c>
      <c r="AD1428" s="13" t="n">
        <f aca="false">(L1428-AVERAGE(L$2:L$2001))/STDEV(L$2:L$2001)</f>
        <v>0.413838214490712</v>
      </c>
      <c r="AE1428" s="13" t="n">
        <f aca="false">(M1428-AVERAGE(M$2:M$2001))/STDEV(M$2:M$2001)</f>
        <v>0.02893632045062</v>
      </c>
      <c r="AF1428" s="13" t="n">
        <f aca="false">(N1428-AVERAGE(N$2:N$2001))/STDEV(N$2:N$2001)</f>
        <v>-0.422821006424348</v>
      </c>
      <c r="AG1428" s="13" t="n">
        <f aca="false">(O1428-AVERAGE(O$2:O$2001))/STDEV(O$2:O$2001)</f>
        <v>-0.49071661754304</v>
      </c>
      <c r="AH1428" s="0" t="str">
        <f aca="false">IF(B1428="Company","C3 - Corporate Buyers",IF(AND(H1428="Investment",M1428&gt;'Segmentation Summary'!$C$1),"C1 - Global Investors",IF(AND(I1428&gt;=4,M1428&gt;'Segmentation Summary'!$C$1),"C4 - Luxury Investors",IF(AND(D1428&lt;'Segmentation Summary'!$C$2,J1428=1),"C2 - First-Time Buyers","C5 - Other Individual Buyers"))))</f>
        <v>C5 - Other Individual Buyers</v>
      </c>
    </row>
    <row r="1429" customFormat="false" ht="15" hidden="false" customHeight="true" outlineLevel="0" collapsed="false">
      <c r="A1429" s="13" t="s">
        <v>2860</v>
      </c>
      <c r="B1429" s="13" t="s">
        <v>34</v>
      </c>
      <c r="C1429" s="13" t="s">
        <v>2861</v>
      </c>
      <c r="D1429" s="13" t="n">
        <v>82</v>
      </c>
      <c r="E1429" s="13" t="s">
        <v>83</v>
      </c>
      <c r="F1429" s="13" t="s">
        <v>33</v>
      </c>
      <c r="G1429" s="13" t="s">
        <v>120</v>
      </c>
      <c r="H1429" s="13" t="s">
        <v>41</v>
      </c>
      <c r="I1429" s="13" t="n">
        <v>4</v>
      </c>
      <c r="J1429" s="13" t="n">
        <v>1</v>
      </c>
      <c r="K1429" s="13" t="s">
        <v>85</v>
      </c>
      <c r="L1429" s="13" t="n">
        <v>4</v>
      </c>
      <c r="M1429" s="13" t="n">
        <v>1101825.4</v>
      </c>
      <c r="N1429" s="13" t="n">
        <v>275456.35</v>
      </c>
      <c r="O1429" s="13" t="n">
        <v>910.42</v>
      </c>
      <c r="P1429" s="13" t="n">
        <v>2</v>
      </c>
      <c r="Q1429" s="13" t="n">
        <v>2</v>
      </c>
      <c r="R1429" s="13" t="s">
        <v>128</v>
      </c>
      <c r="S1429" s="13" t="s">
        <v>154</v>
      </c>
      <c r="T1429" s="13" t="n">
        <v>1</v>
      </c>
      <c r="U1429" s="13" t="n">
        <f aca="false">IF(B1429="Individual",1,0)</f>
        <v>1</v>
      </c>
      <c r="V1429" s="13" t="n">
        <f aca="false">IF(B1429="Company",1,0)</f>
        <v>0</v>
      </c>
      <c r="W1429" s="13" t="n">
        <f aca="false">IF(H1429="Home",1,0)</f>
        <v>1</v>
      </c>
      <c r="X1429" s="13" t="n">
        <f aca="false">IF(H1429="Investment",1,0)</f>
        <v>0</v>
      </c>
      <c r="Y1429" s="13" t="n">
        <f aca="false">IF(K1429="Website",1,0)</f>
        <v>1</v>
      </c>
      <c r="Z1429" s="13" t="n">
        <f aca="false">IF(K1429="Agency",1,0)</f>
        <v>0</v>
      </c>
      <c r="AA1429" s="13" t="n">
        <f aca="false">IF(K1429="Client",1,0)</f>
        <v>0</v>
      </c>
      <c r="AB1429" s="13" t="n">
        <f aca="false">(D1429-AVERAGE(D$2:D$2001))/STDEV(D$2:D$2001)</f>
        <v>1.60664899726636</v>
      </c>
      <c r="AC1429" s="13" t="n">
        <f aca="false">(I1429-AVERAGE(I$2:I$2001))/STDEV(I$2:I$2001)</f>
        <v>0.686917069130275</v>
      </c>
      <c r="AD1429" s="13" t="n">
        <f aca="false">(L1429-AVERAGE(L$2:L$2001))/STDEV(L$2:L$2001)</f>
        <v>0.413838214490712</v>
      </c>
      <c r="AE1429" s="13" t="n">
        <f aca="false">(M1429-AVERAGE(M$2:M$2001))/STDEV(M$2:M$2001)</f>
        <v>-0.45582548191559</v>
      </c>
      <c r="AF1429" s="13" t="n">
        <f aca="false">(N1429-AVERAGE(N$2:N$2001))/STDEV(N$2:N$2001)</f>
        <v>-1.02742016782409</v>
      </c>
      <c r="AG1429" s="13" t="n">
        <f aca="false">(O1429-AVERAGE(O$2:O$2001))/STDEV(O$2:O$2001)</f>
        <v>-1.07792324231554</v>
      </c>
      <c r="AH1429" s="0" t="str">
        <f aca="false">IF(B1429="Company","C3 - Corporate Buyers",IF(AND(H1429="Investment",M1429&gt;'Segmentation Summary'!$C$1),"C1 - Global Investors",IF(AND(I1429&gt;=4,M1429&gt;'Segmentation Summary'!$C$1),"C4 - Luxury Investors",IF(AND(D1429&lt;'Segmentation Summary'!$C$2,J1429=1),"C2 - First-Time Buyers","C5 - Other Individual Buyers"))))</f>
        <v>C5 - Other Individual Buyers</v>
      </c>
    </row>
    <row r="1430" customFormat="false" ht="15" hidden="false" customHeight="true" outlineLevel="0" collapsed="false">
      <c r="A1430" s="13" t="s">
        <v>2862</v>
      </c>
      <c r="B1430" s="13" t="s">
        <v>34</v>
      </c>
      <c r="C1430" s="13" t="s">
        <v>2863</v>
      </c>
      <c r="D1430" s="13" t="n">
        <v>32</v>
      </c>
      <c r="E1430" s="13" t="s">
        <v>83</v>
      </c>
      <c r="F1430" s="13" t="s">
        <v>44</v>
      </c>
      <c r="G1430" s="13" t="s">
        <v>318</v>
      </c>
      <c r="H1430" s="13" t="s">
        <v>41</v>
      </c>
      <c r="I1430" s="13" t="n">
        <v>3</v>
      </c>
      <c r="J1430" s="13" t="n">
        <v>0</v>
      </c>
      <c r="K1430" s="13" t="s">
        <v>85</v>
      </c>
      <c r="L1430" s="13" t="n">
        <v>4</v>
      </c>
      <c r="M1430" s="13" t="n">
        <v>1555297.37</v>
      </c>
      <c r="N1430" s="13" t="n">
        <v>388824.3425</v>
      </c>
      <c r="O1430" s="13" t="n">
        <v>1258.5825</v>
      </c>
      <c r="P1430" s="13" t="n">
        <v>0</v>
      </c>
      <c r="Q1430" s="13" t="n">
        <v>4</v>
      </c>
      <c r="R1430" s="13" t="s">
        <v>121</v>
      </c>
      <c r="S1430" s="13" t="s">
        <v>103</v>
      </c>
      <c r="T1430" s="13" t="n">
        <v>1</v>
      </c>
      <c r="U1430" s="13" t="n">
        <f aca="false">IF(B1430="Individual",1,0)</f>
        <v>1</v>
      </c>
      <c r="V1430" s="13" t="n">
        <f aca="false">IF(B1430="Company",1,0)</f>
        <v>0</v>
      </c>
      <c r="W1430" s="13" t="n">
        <f aca="false">IF(H1430="Home",1,0)</f>
        <v>1</v>
      </c>
      <c r="X1430" s="13" t="n">
        <f aca="false">IF(H1430="Investment",1,0)</f>
        <v>0</v>
      </c>
      <c r="Y1430" s="13" t="n">
        <f aca="false">IF(K1430="Website",1,0)</f>
        <v>1</v>
      </c>
      <c r="Z1430" s="13" t="n">
        <f aca="false">IF(K1430="Agency",1,0)</f>
        <v>0</v>
      </c>
      <c r="AA1430" s="13" t="n">
        <f aca="false">IF(K1430="Client",1,0)</f>
        <v>0</v>
      </c>
      <c r="AB1430" s="13" t="n">
        <f aca="false">(D1430-AVERAGE(D$2:D$2001))/STDEV(D$2:D$2001)</f>
        <v>-1.2764737771412</v>
      </c>
      <c r="AC1430" s="13" t="n">
        <f aca="false">(I1430-AVERAGE(I$2:I$2001))/STDEV(I$2:I$2001)</f>
        <v>-0.0205155458339628</v>
      </c>
      <c r="AD1430" s="13" t="n">
        <f aca="false">(L1430-AVERAGE(L$2:L$2001))/STDEV(L$2:L$2001)</f>
        <v>0.413838214490712</v>
      </c>
      <c r="AE1430" s="13" t="n">
        <f aca="false">(M1430-AVERAGE(M$2:M$2001))/STDEV(M$2:M$2001)</f>
        <v>0.847889273150454</v>
      </c>
      <c r="AF1430" s="13" t="n">
        <f aca="false">(N1430-AVERAGE(N$2:N$2001))/STDEV(N$2:N$2001)</f>
        <v>0.598584281721919</v>
      </c>
      <c r="AG1430" s="13" t="n">
        <f aca="false">(O1430-AVERAGE(O$2:O$2001))/STDEV(O$2:O$2001)</f>
        <v>0.505190637948944</v>
      </c>
      <c r="AH1430" s="0" t="str">
        <f aca="false">IF(B1430="Company","C3 - Corporate Buyers",IF(AND(H1430="Investment",M1430&gt;'Segmentation Summary'!$C$1),"C1 - Global Investors",IF(AND(I1430&gt;=4,M1430&gt;'Segmentation Summary'!$C$1),"C4 - Luxury Investors",IF(AND(D1430&lt;'Segmentation Summary'!$C$2,J1430=1),"C2 - First-Time Buyers","C5 - Other Individual Buyers"))))</f>
        <v>C5 - Other Individual Buyers</v>
      </c>
    </row>
    <row r="1431" customFormat="false" ht="15" hidden="false" customHeight="true" outlineLevel="0" collapsed="false">
      <c r="A1431" s="13" t="s">
        <v>2864</v>
      </c>
      <c r="B1431" s="13" t="s">
        <v>34</v>
      </c>
      <c r="C1431" s="13" t="s">
        <v>2865</v>
      </c>
      <c r="D1431" s="13" t="n">
        <v>48</v>
      </c>
      <c r="E1431" s="13" t="s">
        <v>83</v>
      </c>
      <c r="F1431" s="13" t="s">
        <v>33</v>
      </c>
      <c r="G1431" s="13" t="s">
        <v>95</v>
      </c>
      <c r="H1431" s="13" t="s">
        <v>41</v>
      </c>
      <c r="I1431" s="13" t="n">
        <v>3</v>
      </c>
      <c r="J1431" s="13" t="n">
        <v>1</v>
      </c>
      <c r="K1431" s="13" t="s">
        <v>85</v>
      </c>
      <c r="L1431" s="13" t="n">
        <v>4</v>
      </c>
      <c r="M1431" s="13" t="n">
        <v>1417221.48</v>
      </c>
      <c r="N1431" s="13" t="n">
        <v>354305.37</v>
      </c>
      <c r="O1431" s="13" t="n">
        <v>1128.9675</v>
      </c>
      <c r="P1431" s="13" t="n">
        <v>0</v>
      </c>
      <c r="Q1431" s="13" t="n">
        <v>4</v>
      </c>
      <c r="R1431" s="13" t="s">
        <v>92</v>
      </c>
      <c r="S1431" s="13" t="s">
        <v>150</v>
      </c>
      <c r="T1431" s="13" t="n">
        <v>1</v>
      </c>
      <c r="U1431" s="13" t="n">
        <f aca="false">IF(B1431="Individual",1,0)</f>
        <v>1</v>
      </c>
      <c r="V1431" s="13" t="n">
        <f aca="false">IF(B1431="Company",1,0)</f>
        <v>0</v>
      </c>
      <c r="W1431" s="13" t="n">
        <f aca="false">IF(H1431="Home",1,0)</f>
        <v>1</v>
      </c>
      <c r="X1431" s="13" t="n">
        <f aca="false">IF(H1431="Investment",1,0)</f>
        <v>0</v>
      </c>
      <c r="Y1431" s="13" t="n">
        <f aca="false">IF(K1431="Website",1,0)</f>
        <v>1</v>
      </c>
      <c r="Z1431" s="13" t="n">
        <f aca="false">IF(K1431="Agency",1,0)</f>
        <v>0</v>
      </c>
      <c r="AA1431" s="13" t="n">
        <f aca="false">IF(K1431="Client",1,0)</f>
        <v>0</v>
      </c>
      <c r="AB1431" s="13" t="n">
        <f aca="false">(D1431-AVERAGE(D$2:D$2001))/STDEV(D$2:D$2001)</f>
        <v>-0.353874489330784</v>
      </c>
      <c r="AC1431" s="13" t="n">
        <f aca="false">(I1431-AVERAGE(I$2:I$2001))/STDEV(I$2:I$2001)</f>
        <v>-0.0205155458339628</v>
      </c>
      <c r="AD1431" s="13" t="n">
        <f aca="false">(L1431-AVERAGE(L$2:L$2001))/STDEV(L$2:L$2001)</f>
        <v>0.413838214490712</v>
      </c>
      <c r="AE1431" s="13" t="n">
        <f aca="false">(M1431-AVERAGE(M$2:M$2001))/STDEV(M$2:M$2001)</f>
        <v>0.450926313980395</v>
      </c>
      <c r="AF1431" s="13" t="n">
        <f aca="false">(N1431-AVERAGE(N$2:N$2001))/STDEV(N$2:N$2001)</f>
        <v>0.103488605764206</v>
      </c>
      <c r="AG1431" s="13" t="n">
        <f aca="false">(O1431-AVERAGE(O$2:O$2001))/STDEV(O$2:O$2001)</f>
        <v>-0.0841758377354879</v>
      </c>
      <c r="AH1431" s="0" t="str">
        <f aca="false">IF(B1431="Company","C3 - Corporate Buyers",IF(AND(H1431="Investment",M1431&gt;'Segmentation Summary'!$C$1),"C1 - Global Investors",IF(AND(I1431&gt;=4,M1431&gt;'Segmentation Summary'!$C$1),"C4 - Luxury Investors",IF(AND(D1431&lt;'Segmentation Summary'!$C$2,J1431=1),"C2 - First-Time Buyers","C5 - Other Individual Buyers"))))</f>
        <v>C2 - First-Time Buyers</v>
      </c>
    </row>
    <row r="1432" customFormat="false" ht="15" hidden="false" customHeight="true" outlineLevel="0" collapsed="false">
      <c r="A1432" s="13" t="s">
        <v>2866</v>
      </c>
      <c r="B1432" s="13" t="s">
        <v>34</v>
      </c>
      <c r="C1432" s="13" t="s">
        <v>2867</v>
      </c>
      <c r="D1432" s="13" t="n">
        <v>60</v>
      </c>
      <c r="E1432" s="13" t="s">
        <v>83</v>
      </c>
      <c r="F1432" s="13" t="s">
        <v>42</v>
      </c>
      <c r="G1432" s="13" t="s">
        <v>143</v>
      </c>
      <c r="H1432" s="13" t="s">
        <v>41</v>
      </c>
      <c r="I1432" s="13" t="n">
        <v>5</v>
      </c>
      <c r="J1432" s="13" t="n">
        <v>0</v>
      </c>
      <c r="K1432" s="13" t="s">
        <v>85</v>
      </c>
      <c r="L1432" s="13" t="n">
        <v>4</v>
      </c>
      <c r="M1432" s="13" t="n">
        <v>1037914.43</v>
      </c>
      <c r="N1432" s="13" t="n">
        <v>259478.6075</v>
      </c>
      <c r="O1432" s="13" t="n">
        <v>868.5725</v>
      </c>
      <c r="P1432" s="13" t="n">
        <v>0</v>
      </c>
      <c r="Q1432" s="13" t="n">
        <v>4</v>
      </c>
      <c r="R1432" s="13" t="s">
        <v>92</v>
      </c>
      <c r="S1432" s="13" t="s">
        <v>107</v>
      </c>
      <c r="T1432" s="13" t="n">
        <v>1</v>
      </c>
      <c r="U1432" s="13" t="n">
        <f aca="false">IF(B1432="Individual",1,0)</f>
        <v>1</v>
      </c>
      <c r="V1432" s="13" t="n">
        <f aca="false">IF(B1432="Company",1,0)</f>
        <v>0</v>
      </c>
      <c r="W1432" s="13" t="n">
        <f aca="false">IF(H1432="Home",1,0)</f>
        <v>1</v>
      </c>
      <c r="X1432" s="13" t="n">
        <f aca="false">IF(H1432="Investment",1,0)</f>
        <v>0</v>
      </c>
      <c r="Y1432" s="13" t="n">
        <f aca="false">IF(K1432="Website",1,0)</f>
        <v>1</v>
      </c>
      <c r="Z1432" s="13" t="n">
        <f aca="false">IF(K1432="Agency",1,0)</f>
        <v>0</v>
      </c>
      <c r="AA1432" s="13" t="n">
        <f aca="false">IF(K1432="Client",1,0)</f>
        <v>0</v>
      </c>
      <c r="AB1432" s="13" t="n">
        <f aca="false">(D1432-AVERAGE(D$2:D$2001))/STDEV(D$2:D$2001)</f>
        <v>0.338074976527031</v>
      </c>
      <c r="AC1432" s="13" t="n">
        <f aca="false">(I1432-AVERAGE(I$2:I$2001))/STDEV(I$2:I$2001)</f>
        <v>1.39434968409451</v>
      </c>
      <c r="AD1432" s="13" t="n">
        <f aca="false">(L1432-AVERAGE(L$2:L$2001))/STDEV(L$2:L$2001)</f>
        <v>0.413838214490712</v>
      </c>
      <c r="AE1432" s="13" t="n">
        <f aca="false">(M1432-AVERAGE(M$2:M$2001))/STDEV(M$2:M$2001)</f>
        <v>-0.639567102372491</v>
      </c>
      <c r="AF1432" s="13" t="n">
        <f aca="false">(N1432-AVERAGE(N$2:N$2001))/STDEV(N$2:N$2001)</f>
        <v>-1.25658432452997</v>
      </c>
      <c r="AG1432" s="13" t="n">
        <f aca="false">(O1432-AVERAGE(O$2:O$2001))/STDEV(O$2:O$2001)</f>
        <v>-1.26820610765678</v>
      </c>
      <c r="AH1432" s="0" t="str">
        <f aca="false">IF(B1432="Company","C3 - Corporate Buyers",IF(AND(H1432="Investment",M1432&gt;'Segmentation Summary'!$C$1),"C1 - Global Investors",IF(AND(I1432&gt;=4,M1432&gt;'Segmentation Summary'!$C$1),"C4 - Luxury Investors",IF(AND(D1432&lt;'Segmentation Summary'!$C$2,J1432=1),"C2 - First-Time Buyers","C5 - Other Individual Buyers"))))</f>
        <v>C5 - Other Individual Buyers</v>
      </c>
    </row>
    <row r="1433" customFormat="false" ht="15" hidden="false" customHeight="true" outlineLevel="0" collapsed="false">
      <c r="A1433" s="13" t="s">
        <v>2868</v>
      </c>
      <c r="B1433" s="13" t="s">
        <v>34</v>
      </c>
      <c r="C1433" s="13" t="s">
        <v>2869</v>
      </c>
      <c r="D1433" s="13" t="n">
        <v>30</v>
      </c>
      <c r="E1433" s="13" t="s">
        <v>83</v>
      </c>
      <c r="F1433" s="13" t="s">
        <v>38</v>
      </c>
      <c r="G1433" s="13" t="s">
        <v>475</v>
      </c>
      <c r="H1433" s="13" t="s">
        <v>43</v>
      </c>
      <c r="I1433" s="13" t="n">
        <v>4</v>
      </c>
      <c r="J1433" s="13" t="n">
        <v>0</v>
      </c>
      <c r="K1433" s="13" t="s">
        <v>85</v>
      </c>
      <c r="L1433" s="13" t="n">
        <v>3</v>
      </c>
      <c r="M1433" s="13" t="n">
        <v>1082670.51</v>
      </c>
      <c r="N1433" s="13" t="n">
        <v>360890.17</v>
      </c>
      <c r="O1433" s="13" t="n">
        <v>1129.17666666667</v>
      </c>
      <c r="P1433" s="13" t="n">
        <v>2</v>
      </c>
      <c r="Q1433" s="13" t="n">
        <v>1</v>
      </c>
      <c r="R1433" s="13" t="s">
        <v>124</v>
      </c>
      <c r="S1433" s="13" t="s">
        <v>87</v>
      </c>
      <c r="T1433" s="13" t="n">
        <v>1</v>
      </c>
      <c r="U1433" s="13" t="n">
        <f aca="false">IF(B1433="Individual",1,0)</f>
        <v>1</v>
      </c>
      <c r="V1433" s="13" t="n">
        <f aca="false">IF(B1433="Company",1,0)</f>
        <v>0</v>
      </c>
      <c r="W1433" s="13" t="n">
        <f aca="false">IF(H1433="Home",1,0)</f>
        <v>0</v>
      </c>
      <c r="X1433" s="13" t="n">
        <f aca="false">IF(H1433="Investment",1,0)</f>
        <v>1</v>
      </c>
      <c r="Y1433" s="13" t="n">
        <f aca="false">IF(K1433="Website",1,0)</f>
        <v>1</v>
      </c>
      <c r="Z1433" s="13" t="n">
        <f aca="false">IF(K1433="Agency",1,0)</f>
        <v>0</v>
      </c>
      <c r="AA1433" s="13" t="n">
        <f aca="false">IF(K1433="Client",1,0)</f>
        <v>0</v>
      </c>
      <c r="AB1433" s="13" t="n">
        <f aca="false">(D1433-AVERAGE(D$2:D$2001))/STDEV(D$2:D$2001)</f>
        <v>-1.39179868811751</v>
      </c>
      <c r="AC1433" s="13" t="n">
        <f aca="false">(I1433-AVERAGE(I$2:I$2001))/STDEV(I$2:I$2001)</f>
        <v>0.686917069130275</v>
      </c>
      <c r="AD1433" s="13" t="n">
        <f aca="false">(L1433-AVERAGE(L$2:L$2001))/STDEV(L$2:L$2001)</f>
        <v>-0.777063122173208</v>
      </c>
      <c r="AE1433" s="13" t="n">
        <f aca="false">(M1433-AVERAGE(M$2:M$2001))/STDEV(M$2:M$2001)</f>
        <v>-0.510895065873926</v>
      </c>
      <c r="AF1433" s="13" t="n">
        <f aca="false">(N1433-AVERAGE(N$2:N$2001))/STDEV(N$2:N$2001)</f>
        <v>0.197932494760217</v>
      </c>
      <c r="AG1433" s="13" t="n">
        <f aca="false">(O1433-AVERAGE(O$2:O$2001))/STDEV(O$2:O$2001)</f>
        <v>-0.0832247454917976</v>
      </c>
      <c r="AH1433" s="0" t="str">
        <f aca="false">IF(B1433="Company","C3 - Corporate Buyers",IF(AND(H1433="Investment",M1433&gt;'Segmentation Summary'!$C$1),"C1 - Global Investors",IF(AND(I1433&gt;=4,M1433&gt;'Segmentation Summary'!$C$1),"C4 - Luxury Investors",IF(AND(D1433&lt;'Segmentation Summary'!$C$2,J1433=1),"C2 - First-Time Buyers","C5 - Other Individual Buyers"))))</f>
        <v>C5 - Other Individual Buyers</v>
      </c>
    </row>
    <row r="1434" customFormat="false" ht="15" hidden="false" customHeight="true" outlineLevel="0" collapsed="false">
      <c r="A1434" s="13" t="s">
        <v>2870</v>
      </c>
      <c r="B1434" s="13" t="s">
        <v>34</v>
      </c>
      <c r="C1434" s="13" t="s">
        <v>2871</v>
      </c>
      <c r="D1434" s="13" t="n">
        <v>38</v>
      </c>
      <c r="E1434" s="13" t="s">
        <v>83</v>
      </c>
      <c r="F1434" s="13" t="s">
        <v>33</v>
      </c>
      <c r="G1434" s="13" t="s">
        <v>120</v>
      </c>
      <c r="H1434" s="13" t="s">
        <v>41</v>
      </c>
      <c r="I1434" s="13" t="n">
        <v>5</v>
      </c>
      <c r="J1434" s="13" t="n">
        <v>0</v>
      </c>
      <c r="K1434" s="13" t="s">
        <v>85</v>
      </c>
      <c r="L1434" s="13" t="n">
        <v>4</v>
      </c>
      <c r="M1434" s="13" t="n">
        <v>1436152.54</v>
      </c>
      <c r="N1434" s="13" t="n">
        <v>359038.135</v>
      </c>
      <c r="O1434" s="13" t="n">
        <v>1196.7975</v>
      </c>
      <c r="P1434" s="13" t="n">
        <v>0</v>
      </c>
      <c r="Q1434" s="13" t="n">
        <v>4</v>
      </c>
      <c r="R1434" s="13" t="s">
        <v>124</v>
      </c>
      <c r="S1434" s="13" t="s">
        <v>154</v>
      </c>
      <c r="T1434" s="13" t="n">
        <v>1</v>
      </c>
      <c r="U1434" s="13" t="n">
        <f aca="false">IF(B1434="Individual",1,0)</f>
        <v>1</v>
      </c>
      <c r="V1434" s="13" t="n">
        <f aca="false">IF(B1434="Company",1,0)</f>
        <v>0</v>
      </c>
      <c r="W1434" s="13" t="n">
        <f aca="false">IF(H1434="Home",1,0)</f>
        <v>1</v>
      </c>
      <c r="X1434" s="13" t="n">
        <f aca="false">IF(H1434="Investment",1,0)</f>
        <v>0</v>
      </c>
      <c r="Y1434" s="13" t="n">
        <f aca="false">IF(K1434="Website",1,0)</f>
        <v>1</v>
      </c>
      <c r="Z1434" s="13" t="n">
        <f aca="false">IF(K1434="Agency",1,0)</f>
        <v>0</v>
      </c>
      <c r="AA1434" s="13" t="n">
        <f aca="false">IF(K1434="Client",1,0)</f>
        <v>0</v>
      </c>
      <c r="AB1434" s="13" t="n">
        <f aca="false">(D1434-AVERAGE(D$2:D$2001))/STDEV(D$2:D$2001)</f>
        <v>-0.930499044212296</v>
      </c>
      <c r="AC1434" s="13" t="n">
        <f aca="false">(I1434-AVERAGE(I$2:I$2001))/STDEV(I$2:I$2001)</f>
        <v>1.39434968409451</v>
      </c>
      <c r="AD1434" s="13" t="n">
        <f aca="false">(L1434-AVERAGE(L$2:L$2001))/STDEV(L$2:L$2001)</f>
        <v>0.413838214490712</v>
      </c>
      <c r="AE1434" s="13" t="n">
        <f aca="false">(M1434-AVERAGE(M$2:M$2001))/STDEV(M$2:M$2001)</f>
        <v>0.505352395158115</v>
      </c>
      <c r="AF1434" s="13" t="n">
        <f aca="false">(N1434-AVERAGE(N$2:N$2001))/STDEV(N$2:N$2001)</f>
        <v>0.171369290417378</v>
      </c>
      <c r="AG1434" s="13" t="n">
        <f aca="false">(O1434-AVERAGE(O$2:O$2001))/STDEV(O$2:O$2001)</f>
        <v>0.224250872488444</v>
      </c>
      <c r="AH1434" s="0" t="str">
        <f aca="false">IF(B1434="Company","C3 - Corporate Buyers",IF(AND(H1434="Investment",M1434&gt;'Segmentation Summary'!$C$1),"C1 - Global Investors",IF(AND(I1434&gt;=4,M1434&gt;'Segmentation Summary'!$C$1),"C4 - Luxury Investors",IF(AND(D1434&lt;'Segmentation Summary'!$C$2,J1434=1),"C2 - First-Time Buyers","C5 - Other Individual Buyers"))))</f>
        <v>C4 - Luxury Investors</v>
      </c>
    </row>
    <row r="1435" customFormat="false" ht="15" hidden="false" customHeight="true" outlineLevel="0" collapsed="false">
      <c r="A1435" s="13" t="s">
        <v>2872</v>
      </c>
      <c r="B1435" s="13" t="s">
        <v>34</v>
      </c>
      <c r="C1435" s="13" t="s">
        <v>2873</v>
      </c>
      <c r="D1435" s="13" t="n">
        <v>40</v>
      </c>
      <c r="E1435" s="13" t="s">
        <v>83</v>
      </c>
      <c r="F1435" s="13" t="s">
        <v>33</v>
      </c>
      <c r="G1435" s="13" t="s">
        <v>162</v>
      </c>
      <c r="H1435" s="13" t="s">
        <v>41</v>
      </c>
      <c r="I1435" s="13" t="n">
        <v>3</v>
      </c>
      <c r="J1435" s="13" t="n">
        <v>0</v>
      </c>
      <c r="K1435" s="13" t="s">
        <v>85</v>
      </c>
      <c r="L1435" s="13" t="n">
        <v>4</v>
      </c>
      <c r="M1435" s="13" t="n">
        <v>1878433.21</v>
      </c>
      <c r="N1435" s="13" t="n">
        <v>469608.3025</v>
      </c>
      <c r="O1435" s="13" t="n">
        <v>1575.1075</v>
      </c>
      <c r="P1435" s="13" t="n">
        <v>0</v>
      </c>
      <c r="Q1435" s="13" t="n">
        <v>4</v>
      </c>
      <c r="R1435" s="13" t="s">
        <v>128</v>
      </c>
      <c r="S1435" s="13" t="s">
        <v>87</v>
      </c>
      <c r="T1435" s="13" t="n">
        <v>1</v>
      </c>
      <c r="U1435" s="13" t="n">
        <f aca="false">IF(B1435="Individual",1,0)</f>
        <v>1</v>
      </c>
      <c r="V1435" s="13" t="n">
        <f aca="false">IF(B1435="Company",1,0)</f>
        <v>0</v>
      </c>
      <c r="W1435" s="13" t="n">
        <f aca="false">IF(H1435="Home",1,0)</f>
        <v>1</v>
      </c>
      <c r="X1435" s="13" t="n">
        <f aca="false">IF(H1435="Investment",1,0)</f>
        <v>0</v>
      </c>
      <c r="Y1435" s="13" t="n">
        <f aca="false">IF(K1435="Website",1,0)</f>
        <v>1</v>
      </c>
      <c r="Z1435" s="13" t="n">
        <f aca="false">IF(K1435="Agency",1,0)</f>
        <v>0</v>
      </c>
      <c r="AA1435" s="13" t="n">
        <f aca="false">IF(K1435="Client",1,0)</f>
        <v>0</v>
      </c>
      <c r="AB1435" s="13" t="n">
        <f aca="false">(D1435-AVERAGE(D$2:D$2001))/STDEV(D$2:D$2001)</f>
        <v>-0.815174133235994</v>
      </c>
      <c r="AC1435" s="13" t="n">
        <f aca="false">(I1435-AVERAGE(I$2:I$2001))/STDEV(I$2:I$2001)</f>
        <v>-0.0205155458339628</v>
      </c>
      <c r="AD1435" s="13" t="n">
        <f aca="false">(L1435-AVERAGE(L$2:L$2001))/STDEV(L$2:L$2001)</f>
        <v>0.413838214490712</v>
      </c>
      <c r="AE1435" s="13" t="n">
        <f aca="false">(M1435-AVERAGE(M$2:M$2001))/STDEV(M$2:M$2001)</f>
        <v>1.77689258618579</v>
      </c>
      <c r="AF1435" s="13" t="n">
        <f aca="false">(N1435-AVERAGE(N$2:N$2001))/STDEV(N$2:N$2001)</f>
        <v>1.75724534217906</v>
      </c>
      <c r="AG1435" s="13" t="n">
        <f aca="false">(O1435-AVERAGE(O$2:O$2001))/STDEV(O$2:O$2001)</f>
        <v>1.94444707984236</v>
      </c>
      <c r="AH1435" s="0" t="str">
        <f aca="false">IF(B1435="Company","C3 - Corporate Buyers",IF(AND(H1435="Investment",M1435&gt;'Segmentation Summary'!$C$1),"C1 - Global Investors",IF(AND(I1435&gt;=4,M1435&gt;'Segmentation Summary'!$C$1),"C4 - Luxury Investors",IF(AND(D1435&lt;'Segmentation Summary'!$C$2,J1435=1),"C2 - First-Time Buyers","C5 - Other Individual Buyers"))))</f>
        <v>C5 - Other Individual Buyers</v>
      </c>
    </row>
    <row r="1436" customFormat="false" ht="15" hidden="false" customHeight="true" outlineLevel="0" collapsed="false">
      <c r="A1436" s="13" t="s">
        <v>2874</v>
      </c>
      <c r="B1436" s="13" t="s">
        <v>34</v>
      </c>
      <c r="C1436" s="13" t="s">
        <v>2875</v>
      </c>
      <c r="D1436" s="13" t="n">
        <v>37</v>
      </c>
      <c r="E1436" s="13" t="s">
        <v>83</v>
      </c>
      <c r="F1436" s="13" t="s">
        <v>33</v>
      </c>
      <c r="G1436" s="13" t="s">
        <v>95</v>
      </c>
      <c r="H1436" s="13" t="s">
        <v>41</v>
      </c>
      <c r="I1436" s="13" t="n">
        <v>4</v>
      </c>
      <c r="J1436" s="13" t="n">
        <v>1</v>
      </c>
      <c r="K1436" s="13" t="s">
        <v>85</v>
      </c>
      <c r="L1436" s="13" t="n">
        <v>3</v>
      </c>
      <c r="M1436" s="13" t="n">
        <v>1193609.3</v>
      </c>
      <c r="N1436" s="13" t="n">
        <v>397869.766666667</v>
      </c>
      <c r="O1436" s="13" t="n">
        <v>1205.96333333333</v>
      </c>
      <c r="P1436" s="13" t="n">
        <v>1</v>
      </c>
      <c r="Q1436" s="13" t="n">
        <v>2</v>
      </c>
      <c r="R1436" s="13" t="s">
        <v>98</v>
      </c>
      <c r="S1436" s="13" t="s">
        <v>93</v>
      </c>
      <c r="T1436" s="13" t="n">
        <v>1</v>
      </c>
      <c r="U1436" s="13" t="n">
        <f aca="false">IF(B1436="Individual",1,0)</f>
        <v>1</v>
      </c>
      <c r="V1436" s="13" t="n">
        <f aca="false">IF(B1436="Company",1,0)</f>
        <v>0</v>
      </c>
      <c r="W1436" s="13" t="n">
        <f aca="false">IF(H1436="Home",1,0)</f>
        <v>1</v>
      </c>
      <c r="X1436" s="13" t="n">
        <f aca="false">IF(H1436="Investment",1,0)</f>
        <v>0</v>
      </c>
      <c r="Y1436" s="13" t="n">
        <f aca="false">IF(K1436="Website",1,0)</f>
        <v>1</v>
      </c>
      <c r="Z1436" s="13" t="n">
        <f aca="false">IF(K1436="Agency",1,0)</f>
        <v>0</v>
      </c>
      <c r="AA1436" s="13" t="n">
        <f aca="false">IF(K1436="Client",1,0)</f>
        <v>0</v>
      </c>
      <c r="AB1436" s="13" t="n">
        <f aca="false">(D1436-AVERAGE(D$2:D$2001))/STDEV(D$2:D$2001)</f>
        <v>-0.988161499700447</v>
      </c>
      <c r="AC1436" s="13" t="n">
        <f aca="false">(I1436-AVERAGE(I$2:I$2001))/STDEV(I$2:I$2001)</f>
        <v>0.686917069130275</v>
      </c>
      <c r="AD1436" s="13" t="n">
        <f aca="false">(L1436-AVERAGE(L$2:L$2001))/STDEV(L$2:L$2001)</f>
        <v>-0.777063122173208</v>
      </c>
      <c r="AE1436" s="13" t="n">
        <f aca="false">(M1436-AVERAGE(M$2:M$2001))/STDEV(M$2:M$2001)</f>
        <v>-0.191950242377618</v>
      </c>
      <c r="AF1436" s="13" t="n">
        <f aca="false">(N1436-AVERAGE(N$2:N$2001))/STDEV(N$2:N$2001)</f>
        <v>0.728320194113871</v>
      </c>
      <c r="AG1436" s="13" t="n">
        <f aca="false">(O1436-AVERAGE(O$2:O$2001))/STDEV(O$2:O$2001)</f>
        <v>0.265928416664471</v>
      </c>
      <c r="AH1436" s="0" t="str">
        <f aca="false">IF(B1436="Company","C3 - Corporate Buyers",IF(AND(H1436="Investment",M1436&gt;'Segmentation Summary'!$C$1),"C1 - Global Investors",IF(AND(I1436&gt;=4,M1436&gt;'Segmentation Summary'!$C$1),"C4 - Luxury Investors",IF(AND(D1436&lt;'Segmentation Summary'!$C$2,J1436=1),"C2 - First-Time Buyers","C5 - Other Individual Buyers"))))</f>
        <v>C2 - First-Time Buyers</v>
      </c>
    </row>
    <row r="1437" customFormat="false" ht="15" hidden="false" customHeight="true" outlineLevel="0" collapsed="false">
      <c r="A1437" s="13" t="s">
        <v>2876</v>
      </c>
      <c r="B1437" s="13" t="s">
        <v>34</v>
      </c>
      <c r="C1437" s="13" t="s">
        <v>2877</v>
      </c>
      <c r="D1437" s="13" t="n">
        <v>80</v>
      </c>
      <c r="E1437" s="13" t="s">
        <v>83</v>
      </c>
      <c r="F1437" s="13" t="s">
        <v>40</v>
      </c>
      <c r="G1437" s="13" t="s">
        <v>219</v>
      </c>
      <c r="H1437" s="13" t="s">
        <v>43</v>
      </c>
      <c r="I1437" s="13" t="n">
        <v>4</v>
      </c>
      <c r="J1437" s="13" t="n">
        <v>0</v>
      </c>
      <c r="K1437" s="13" t="s">
        <v>85</v>
      </c>
      <c r="L1437" s="13" t="n">
        <v>4</v>
      </c>
      <c r="M1437" s="13" t="n">
        <v>1799447.01</v>
      </c>
      <c r="N1437" s="13" t="n">
        <v>449861.7525</v>
      </c>
      <c r="O1437" s="13" t="n">
        <v>1482.5875</v>
      </c>
      <c r="P1437" s="13" t="n">
        <v>1</v>
      </c>
      <c r="Q1437" s="13" t="n">
        <v>3</v>
      </c>
      <c r="R1437" s="13" t="s">
        <v>86</v>
      </c>
      <c r="S1437" s="13" t="s">
        <v>112</v>
      </c>
      <c r="T1437" s="13" t="n">
        <v>1</v>
      </c>
      <c r="U1437" s="13" t="n">
        <f aca="false">IF(B1437="Individual",1,0)</f>
        <v>1</v>
      </c>
      <c r="V1437" s="13" t="n">
        <f aca="false">IF(B1437="Company",1,0)</f>
        <v>0</v>
      </c>
      <c r="W1437" s="13" t="n">
        <f aca="false">IF(H1437="Home",1,0)</f>
        <v>0</v>
      </c>
      <c r="X1437" s="13" t="n">
        <f aca="false">IF(H1437="Investment",1,0)</f>
        <v>1</v>
      </c>
      <c r="Y1437" s="13" t="n">
        <f aca="false">IF(K1437="Website",1,0)</f>
        <v>1</v>
      </c>
      <c r="Z1437" s="13" t="n">
        <f aca="false">IF(K1437="Agency",1,0)</f>
        <v>0</v>
      </c>
      <c r="AA1437" s="13" t="n">
        <f aca="false">IF(K1437="Client",1,0)</f>
        <v>0</v>
      </c>
      <c r="AB1437" s="13" t="n">
        <f aca="false">(D1437-AVERAGE(D$2:D$2001))/STDEV(D$2:D$2001)</f>
        <v>1.49132408629005</v>
      </c>
      <c r="AC1437" s="13" t="n">
        <f aca="false">(I1437-AVERAGE(I$2:I$2001))/STDEV(I$2:I$2001)</f>
        <v>0.686917069130275</v>
      </c>
      <c r="AD1437" s="13" t="n">
        <f aca="false">(L1437-AVERAGE(L$2:L$2001))/STDEV(L$2:L$2001)</f>
        <v>0.413838214490712</v>
      </c>
      <c r="AE1437" s="13" t="n">
        <f aca="false">(M1437-AVERAGE(M$2:M$2001))/STDEV(M$2:M$2001)</f>
        <v>1.54981024990247</v>
      </c>
      <c r="AF1437" s="13" t="n">
        <f aca="false">(N1437-AVERAGE(N$2:N$2001))/STDEV(N$2:N$2001)</f>
        <v>1.47402626547905</v>
      </c>
      <c r="AG1437" s="13" t="n">
        <f aca="false">(O1437-AVERAGE(O$2:O$2001))/STDEV(O$2:O$2001)</f>
        <v>1.52375359274346</v>
      </c>
      <c r="AH1437" s="0" t="str">
        <f aca="false">IF(B1437="Company","C3 - Corporate Buyers",IF(AND(H1437="Investment",M1437&gt;'Segmentation Summary'!$C$1),"C1 - Global Investors",IF(AND(I1437&gt;=4,M1437&gt;'Segmentation Summary'!$C$1),"C4 - Luxury Investors",IF(AND(D1437&lt;'Segmentation Summary'!$C$2,J1437=1),"C2 - First-Time Buyers","C5 - Other Individual Buyers"))))</f>
        <v>C1 - Global Investors</v>
      </c>
    </row>
    <row r="1438" customFormat="false" ht="15" hidden="false" customHeight="true" outlineLevel="0" collapsed="false">
      <c r="A1438" s="13" t="s">
        <v>2878</v>
      </c>
      <c r="B1438" s="13" t="s">
        <v>34</v>
      </c>
      <c r="C1438" s="13" t="s">
        <v>2879</v>
      </c>
      <c r="D1438" s="13" t="n">
        <v>32</v>
      </c>
      <c r="E1438" s="13" t="s">
        <v>83</v>
      </c>
      <c r="F1438" s="13" t="s">
        <v>47</v>
      </c>
      <c r="G1438" s="13" t="s">
        <v>2880</v>
      </c>
      <c r="H1438" s="13" t="s">
        <v>43</v>
      </c>
      <c r="I1438" s="13" t="n">
        <v>5</v>
      </c>
      <c r="J1438" s="13" t="n">
        <v>1</v>
      </c>
      <c r="K1438" s="13" t="s">
        <v>85</v>
      </c>
      <c r="L1438" s="13" t="n">
        <v>3</v>
      </c>
      <c r="M1438" s="13" t="n">
        <v>1048127.47</v>
      </c>
      <c r="N1438" s="13" t="n">
        <v>349375.823333333</v>
      </c>
      <c r="O1438" s="13" t="n">
        <v>1163.88666666667</v>
      </c>
      <c r="P1438" s="13" t="n">
        <v>2</v>
      </c>
      <c r="Q1438" s="13" t="n">
        <v>1</v>
      </c>
      <c r="R1438" s="13" t="s">
        <v>86</v>
      </c>
      <c r="S1438" s="13" t="s">
        <v>112</v>
      </c>
      <c r="T1438" s="13" t="n">
        <v>1</v>
      </c>
      <c r="U1438" s="13" t="n">
        <f aca="false">IF(B1438="Individual",1,0)</f>
        <v>1</v>
      </c>
      <c r="V1438" s="13" t="n">
        <f aca="false">IF(B1438="Company",1,0)</f>
        <v>0</v>
      </c>
      <c r="W1438" s="13" t="n">
        <f aca="false">IF(H1438="Home",1,0)</f>
        <v>0</v>
      </c>
      <c r="X1438" s="13" t="n">
        <f aca="false">IF(H1438="Investment",1,0)</f>
        <v>1</v>
      </c>
      <c r="Y1438" s="13" t="n">
        <f aca="false">IF(K1438="Website",1,0)</f>
        <v>1</v>
      </c>
      <c r="Z1438" s="13" t="n">
        <f aca="false">IF(K1438="Agency",1,0)</f>
        <v>0</v>
      </c>
      <c r="AA1438" s="13" t="n">
        <f aca="false">IF(K1438="Client",1,0)</f>
        <v>0</v>
      </c>
      <c r="AB1438" s="13" t="n">
        <f aca="false">(D1438-AVERAGE(D$2:D$2001))/STDEV(D$2:D$2001)</f>
        <v>-1.2764737771412</v>
      </c>
      <c r="AC1438" s="13" t="n">
        <f aca="false">(I1438-AVERAGE(I$2:I$2001))/STDEV(I$2:I$2001)</f>
        <v>1.39434968409451</v>
      </c>
      <c r="AD1438" s="13" t="n">
        <f aca="false">(L1438-AVERAGE(L$2:L$2001))/STDEV(L$2:L$2001)</f>
        <v>-0.777063122173208</v>
      </c>
      <c r="AE1438" s="13" t="n">
        <f aca="false">(M1438-AVERAGE(M$2:M$2001))/STDEV(M$2:M$2001)</f>
        <v>-0.610204998818264</v>
      </c>
      <c r="AF1438" s="13" t="n">
        <f aca="false">(N1438-AVERAGE(N$2:N$2001))/STDEV(N$2:N$2001)</f>
        <v>0.0327855383684842</v>
      </c>
      <c r="AG1438" s="13" t="n">
        <f aca="false">(O1438-AVERAGE(O$2:O$2001))/STDEV(O$2:O$2001)</f>
        <v>0.0746035179885609</v>
      </c>
      <c r="AH1438" s="0" t="str">
        <f aca="false">IF(B1438="Company","C3 - Corporate Buyers",IF(AND(H1438="Investment",M1438&gt;'Segmentation Summary'!$C$1),"C1 - Global Investors",IF(AND(I1438&gt;=4,M1438&gt;'Segmentation Summary'!$C$1),"C4 - Luxury Investors",IF(AND(D1438&lt;'Segmentation Summary'!$C$2,J1438=1),"C2 - First-Time Buyers","C5 - Other Individual Buyers"))))</f>
        <v>C2 - First-Time Buyers</v>
      </c>
    </row>
    <row r="1439" customFormat="false" ht="15" hidden="false" customHeight="true" outlineLevel="0" collapsed="false">
      <c r="A1439" s="13" t="s">
        <v>2881</v>
      </c>
      <c r="B1439" s="13" t="s">
        <v>34</v>
      </c>
      <c r="C1439" s="13" t="s">
        <v>2882</v>
      </c>
      <c r="D1439" s="13" t="n">
        <v>30</v>
      </c>
      <c r="E1439" s="13" t="s">
        <v>83</v>
      </c>
      <c r="F1439" s="13" t="s">
        <v>37</v>
      </c>
      <c r="G1439" s="13" t="s">
        <v>169</v>
      </c>
      <c r="H1439" s="13" t="s">
        <v>41</v>
      </c>
      <c r="I1439" s="13" t="n">
        <v>1</v>
      </c>
      <c r="J1439" s="13" t="n">
        <v>0</v>
      </c>
      <c r="K1439" s="13" t="s">
        <v>116</v>
      </c>
      <c r="L1439" s="13" t="n">
        <v>4</v>
      </c>
      <c r="M1439" s="13" t="n">
        <v>1437535.25</v>
      </c>
      <c r="N1439" s="13" t="n">
        <v>359383.8125</v>
      </c>
      <c r="O1439" s="13" t="n">
        <v>1190.4075</v>
      </c>
      <c r="P1439" s="13" t="n">
        <v>2</v>
      </c>
      <c r="Q1439" s="13" t="n">
        <v>2</v>
      </c>
      <c r="R1439" s="13" t="s">
        <v>101</v>
      </c>
      <c r="S1439" s="13" t="s">
        <v>125</v>
      </c>
      <c r="T1439" s="13" t="n">
        <v>1</v>
      </c>
      <c r="U1439" s="13" t="n">
        <f aca="false">IF(B1439="Individual",1,0)</f>
        <v>1</v>
      </c>
      <c r="V1439" s="13" t="n">
        <f aca="false">IF(B1439="Company",1,0)</f>
        <v>0</v>
      </c>
      <c r="W1439" s="13" t="n">
        <f aca="false">IF(H1439="Home",1,0)</f>
        <v>1</v>
      </c>
      <c r="X1439" s="13" t="n">
        <f aca="false">IF(H1439="Investment",1,0)</f>
        <v>0</v>
      </c>
      <c r="Y1439" s="13" t="n">
        <f aca="false">IF(K1439="Website",1,0)</f>
        <v>0</v>
      </c>
      <c r="Z1439" s="13" t="n">
        <f aca="false">IF(K1439="Agency",1,0)</f>
        <v>0</v>
      </c>
      <c r="AA1439" s="13" t="n">
        <f aca="false">IF(K1439="Client",1,0)</f>
        <v>1</v>
      </c>
      <c r="AB1439" s="13" t="n">
        <f aca="false">(D1439-AVERAGE(D$2:D$2001))/STDEV(D$2:D$2001)</f>
        <v>-1.39179868811751</v>
      </c>
      <c r="AC1439" s="13" t="n">
        <f aca="false">(I1439-AVERAGE(I$2:I$2001))/STDEV(I$2:I$2001)</f>
        <v>-1.43538077576244</v>
      </c>
      <c r="AD1439" s="13" t="n">
        <f aca="false">(L1439-AVERAGE(L$2:L$2001))/STDEV(L$2:L$2001)</f>
        <v>0.413838214490712</v>
      </c>
      <c r="AE1439" s="13" t="n">
        <f aca="false">(M1439-AVERAGE(M$2:M$2001))/STDEV(M$2:M$2001)</f>
        <v>0.509327634088489</v>
      </c>
      <c r="AF1439" s="13" t="n">
        <f aca="false">(N1439-AVERAGE(N$2:N$2001))/STDEV(N$2:N$2001)</f>
        <v>0.176327243193228</v>
      </c>
      <c r="AG1439" s="13" t="n">
        <f aca="false">(O1439-AVERAGE(O$2:O$2001))/STDEV(O$2:O$2001)</f>
        <v>0.195195193904766</v>
      </c>
      <c r="AH1439" s="0" t="str">
        <f aca="false">IF(B1439="Company","C3 - Corporate Buyers",IF(AND(H1439="Investment",M1439&gt;'Segmentation Summary'!$C$1),"C1 - Global Investors",IF(AND(I1439&gt;=4,M1439&gt;'Segmentation Summary'!$C$1),"C4 - Luxury Investors",IF(AND(D1439&lt;'Segmentation Summary'!$C$2,J1439=1),"C2 - First-Time Buyers","C5 - Other Individual Buyers"))))</f>
        <v>C5 - Other Individual Buyers</v>
      </c>
    </row>
    <row r="1440" customFormat="false" ht="15" hidden="false" customHeight="true" outlineLevel="0" collapsed="false">
      <c r="A1440" s="13" t="s">
        <v>2883</v>
      </c>
      <c r="B1440" s="13" t="s">
        <v>34</v>
      </c>
      <c r="C1440" s="13" t="s">
        <v>2884</v>
      </c>
      <c r="D1440" s="13" t="n">
        <v>54</v>
      </c>
      <c r="E1440" s="13" t="s">
        <v>83</v>
      </c>
      <c r="F1440" s="13" t="s">
        <v>33</v>
      </c>
      <c r="G1440" s="13" t="s">
        <v>100</v>
      </c>
      <c r="H1440" s="13" t="s">
        <v>41</v>
      </c>
      <c r="I1440" s="13" t="n">
        <v>5</v>
      </c>
      <c r="J1440" s="13" t="n">
        <v>0</v>
      </c>
      <c r="K1440" s="13" t="s">
        <v>91</v>
      </c>
      <c r="L1440" s="13" t="n">
        <v>3</v>
      </c>
      <c r="M1440" s="13" t="n">
        <v>1074480.81</v>
      </c>
      <c r="N1440" s="13" t="n">
        <v>358160.27</v>
      </c>
      <c r="O1440" s="13" t="n">
        <v>1217.58</v>
      </c>
      <c r="P1440" s="13" t="n">
        <v>0</v>
      </c>
      <c r="Q1440" s="13" t="n">
        <v>3</v>
      </c>
      <c r="R1440" s="13" t="s">
        <v>150</v>
      </c>
      <c r="S1440" s="13" t="s">
        <v>125</v>
      </c>
      <c r="T1440" s="13" t="n">
        <v>1</v>
      </c>
      <c r="U1440" s="13" t="n">
        <f aca="false">IF(B1440="Individual",1,0)</f>
        <v>1</v>
      </c>
      <c r="V1440" s="13" t="n">
        <f aca="false">IF(B1440="Company",1,0)</f>
        <v>0</v>
      </c>
      <c r="W1440" s="13" t="n">
        <f aca="false">IF(H1440="Home",1,0)</f>
        <v>1</v>
      </c>
      <c r="X1440" s="13" t="n">
        <f aca="false">IF(H1440="Investment",1,0)</f>
        <v>0</v>
      </c>
      <c r="Y1440" s="13" t="n">
        <f aca="false">IF(K1440="Website",1,0)</f>
        <v>0</v>
      </c>
      <c r="Z1440" s="13" t="n">
        <f aca="false">IF(K1440="Agency",1,0)</f>
        <v>1</v>
      </c>
      <c r="AA1440" s="13" t="n">
        <f aca="false">IF(K1440="Client",1,0)</f>
        <v>0</v>
      </c>
      <c r="AB1440" s="13" t="n">
        <f aca="false">(D1440-AVERAGE(D$2:D$2001))/STDEV(D$2:D$2001)</f>
        <v>-0.00789975640187674</v>
      </c>
      <c r="AC1440" s="13" t="n">
        <f aca="false">(I1440-AVERAGE(I$2:I$2001))/STDEV(I$2:I$2001)</f>
        <v>1.39434968409451</v>
      </c>
      <c r="AD1440" s="13" t="n">
        <f aca="false">(L1440-AVERAGE(L$2:L$2001))/STDEV(L$2:L$2001)</f>
        <v>-0.777063122173208</v>
      </c>
      <c r="AE1440" s="13" t="n">
        <f aca="false">(M1440-AVERAGE(M$2:M$2001))/STDEV(M$2:M$2001)</f>
        <v>-0.534440143488237</v>
      </c>
      <c r="AF1440" s="13" t="n">
        <f aca="false">(N1440-AVERAGE(N$2:N$2001))/STDEV(N$2:N$2001)</f>
        <v>0.158778325678361</v>
      </c>
      <c r="AG1440" s="13" t="n">
        <f aca="false">(O1440-AVERAGE(O$2:O$2001))/STDEV(O$2:O$2001)</f>
        <v>0.318750033703672</v>
      </c>
      <c r="AH1440" s="0" t="str">
        <f aca="false">IF(B1440="Company","C3 - Corporate Buyers",IF(AND(H1440="Investment",M1440&gt;'Segmentation Summary'!$C$1),"C1 - Global Investors",IF(AND(I1440&gt;=4,M1440&gt;'Segmentation Summary'!$C$1),"C4 - Luxury Investors",IF(AND(D1440&lt;'Segmentation Summary'!$C$2,J1440=1),"C2 - First-Time Buyers","C5 - Other Individual Buyers"))))</f>
        <v>C5 - Other Individual Buyers</v>
      </c>
    </row>
    <row r="1441" customFormat="false" ht="15" hidden="false" customHeight="true" outlineLevel="0" collapsed="false">
      <c r="A1441" s="13" t="s">
        <v>2885</v>
      </c>
      <c r="B1441" s="13" t="s">
        <v>34</v>
      </c>
      <c r="C1441" s="13" t="s">
        <v>2886</v>
      </c>
      <c r="D1441" s="13" t="n">
        <v>80</v>
      </c>
      <c r="E1441" s="13" t="s">
        <v>90</v>
      </c>
      <c r="F1441" s="13" t="s">
        <v>33</v>
      </c>
      <c r="G1441" s="13" t="s">
        <v>145</v>
      </c>
      <c r="H1441" s="13" t="s">
        <v>41</v>
      </c>
      <c r="I1441" s="13" t="n">
        <v>5</v>
      </c>
      <c r="J1441" s="13" t="n">
        <v>0</v>
      </c>
      <c r="K1441" s="13" t="s">
        <v>85</v>
      </c>
      <c r="L1441" s="13" t="n">
        <v>3</v>
      </c>
      <c r="M1441" s="13" t="n">
        <v>924009.9</v>
      </c>
      <c r="N1441" s="13" t="n">
        <v>308003.3</v>
      </c>
      <c r="O1441" s="13" t="n">
        <v>983.426666666667</v>
      </c>
      <c r="P1441" s="13" t="n">
        <v>1</v>
      </c>
      <c r="Q1441" s="13" t="n">
        <v>2</v>
      </c>
      <c r="R1441" s="13" t="s">
        <v>93</v>
      </c>
      <c r="S1441" s="13" t="s">
        <v>133</v>
      </c>
      <c r="T1441" s="13" t="n">
        <v>1</v>
      </c>
      <c r="U1441" s="13" t="n">
        <f aca="false">IF(B1441="Individual",1,0)</f>
        <v>1</v>
      </c>
      <c r="V1441" s="13" t="n">
        <f aca="false">IF(B1441="Company",1,0)</f>
        <v>0</v>
      </c>
      <c r="W1441" s="13" t="n">
        <f aca="false">IF(H1441="Home",1,0)</f>
        <v>1</v>
      </c>
      <c r="X1441" s="13" t="n">
        <f aca="false">IF(H1441="Investment",1,0)</f>
        <v>0</v>
      </c>
      <c r="Y1441" s="13" t="n">
        <f aca="false">IF(K1441="Website",1,0)</f>
        <v>1</v>
      </c>
      <c r="Z1441" s="13" t="n">
        <f aca="false">IF(K1441="Agency",1,0)</f>
        <v>0</v>
      </c>
      <c r="AA1441" s="13" t="n">
        <f aca="false">IF(K1441="Client",1,0)</f>
        <v>0</v>
      </c>
      <c r="AB1441" s="13" t="n">
        <f aca="false">(D1441-AVERAGE(D$2:D$2001))/STDEV(D$2:D$2001)</f>
        <v>1.49132408629005</v>
      </c>
      <c r="AC1441" s="13" t="n">
        <f aca="false">(I1441-AVERAGE(I$2:I$2001))/STDEV(I$2:I$2001)</f>
        <v>1.39434968409451</v>
      </c>
      <c r="AD1441" s="13" t="n">
        <f aca="false">(L1441-AVERAGE(L$2:L$2001))/STDEV(L$2:L$2001)</f>
        <v>-0.777063122173208</v>
      </c>
      <c r="AE1441" s="13" t="n">
        <f aca="false">(M1441-AVERAGE(M$2:M$2001))/STDEV(M$2:M$2001)</f>
        <v>-0.967038316149746</v>
      </c>
      <c r="AF1441" s="13" t="n">
        <f aca="false">(N1441-AVERAGE(N$2:N$2001))/STDEV(N$2:N$2001)</f>
        <v>-0.560608642347432</v>
      </c>
      <c r="AG1441" s="13" t="n">
        <f aca="false">(O1441-AVERAGE(O$2:O$2001))/STDEV(O$2:O$2001)</f>
        <v>-0.74595794636367</v>
      </c>
      <c r="AH1441" s="0" t="str">
        <f aca="false">IF(B1441="Company","C3 - Corporate Buyers",IF(AND(H1441="Investment",M1441&gt;'Segmentation Summary'!$C$1),"C1 - Global Investors",IF(AND(I1441&gt;=4,M1441&gt;'Segmentation Summary'!$C$1),"C4 - Luxury Investors",IF(AND(D1441&lt;'Segmentation Summary'!$C$2,J1441=1),"C2 - First-Time Buyers","C5 - Other Individual Buyers"))))</f>
        <v>C5 - Other Individual Buyers</v>
      </c>
    </row>
    <row r="1442" customFormat="false" ht="15" hidden="false" customHeight="true" outlineLevel="0" collapsed="false">
      <c r="A1442" s="13" t="s">
        <v>2887</v>
      </c>
      <c r="B1442" s="13" t="s">
        <v>34</v>
      </c>
      <c r="C1442" s="13" t="s">
        <v>2888</v>
      </c>
      <c r="D1442" s="13" t="n">
        <v>82</v>
      </c>
      <c r="E1442" s="13" t="s">
        <v>90</v>
      </c>
      <c r="F1442" s="13" t="s">
        <v>33</v>
      </c>
      <c r="G1442" s="13" t="s">
        <v>95</v>
      </c>
      <c r="H1442" s="13" t="s">
        <v>41</v>
      </c>
      <c r="I1442" s="13" t="n">
        <v>2</v>
      </c>
      <c r="J1442" s="13" t="n">
        <v>1</v>
      </c>
      <c r="K1442" s="13" t="s">
        <v>91</v>
      </c>
      <c r="L1442" s="13" t="n">
        <v>4</v>
      </c>
      <c r="M1442" s="13" t="n">
        <v>1440623.89</v>
      </c>
      <c r="N1442" s="13" t="n">
        <v>360155.9725</v>
      </c>
      <c r="O1442" s="13" t="n">
        <v>1154.105</v>
      </c>
      <c r="P1442" s="13" t="n">
        <v>0</v>
      </c>
      <c r="Q1442" s="13" t="n">
        <v>4</v>
      </c>
      <c r="R1442" s="13" t="s">
        <v>92</v>
      </c>
      <c r="S1442" s="13" t="s">
        <v>114</v>
      </c>
      <c r="T1442" s="13" t="n">
        <v>1</v>
      </c>
      <c r="U1442" s="13" t="n">
        <f aca="false">IF(B1442="Individual",1,0)</f>
        <v>1</v>
      </c>
      <c r="V1442" s="13" t="n">
        <f aca="false">IF(B1442="Company",1,0)</f>
        <v>0</v>
      </c>
      <c r="W1442" s="13" t="n">
        <f aca="false">IF(H1442="Home",1,0)</f>
        <v>1</v>
      </c>
      <c r="X1442" s="13" t="n">
        <f aca="false">IF(H1442="Investment",1,0)</f>
        <v>0</v>
      </c>
      <c r="Y1442" s="13" t="n">
        <f aca="false">IF(K1442="Website",1,0)</f>
        <v>0</v>
      </c>
      <c r="Z1442" s="13" t="n">
        <f aca="false">IF(K1442="Agency",1,0)</f>
        <v>1</v>
      </c>
      <c r="AA1442" s="13" t="n">
        <f aca="false">IF(K1442="Client",1,0)</f>
        <v>0</v>
      </c>
      <c r="AB1442" s="13" t="n">
        <f aca="false">(D1442-AVERAGE(D$2:D$2001))/STDEV(D$2:D$2001)</f>
        <v>1.60664899726636</v>
      </c>
      <c r="AC1442" s="13" t="n">
        <f aca="false">(I1442-AVERAGE(I$2:I$2001))/STDEV(I$2:I$2001)</f>
        <v>-0.727948160798201</v>
      </c>
      <c r="AD1442" s="13" t="n">
        <f aca="false">(L1442-AVERAGE(L$2:L$2001))/STDEV(L$2:L$2001)</f>
        <v>0.413838214490712</v>
      </c>
      <c r="AE1442" s="13" t="n">
        <f aca="false">(M1442-AVERAGE(M$2:M$2001))/STDEV(M$2:M$2001)</f>
        <v>0.518207357219088</v>
      </c>
      <c r="AF1442" s="13" t="n">
        <f aca="false">(N1442-AVERAGE(N$2:N$2001))/STDEV(N$2:N$2001)</f>
        <v>0.187402111576043</v>
      </c>
      <c r="AG1442" s="13" t="n">
        <f aca="false">(O1442-AVERAGE(O$2:O$2001))/STDEV(O$2:O$2001)</f>
        <v>0.0301257460512454</v>
      </c>
      <c r="AH1442" s="0" t="str">
        <f aca="false">IF(B1442="Company","C3 - Corporate Buyers",IF(AND(H1442="Investment",M1442&gt;'Segmentation Summary'!$C$1),"C1 - Global Investors",IF(AND(I1442&gt;=4,M1442&gt;'Segmentation Summary'!$C$1),"C4 - Luxury Investors",IF(AND(D1442&lt;'Segmentation Summary'!$C$2,J1442=1),"C2 - First-Time Buyers","C5 - Other Individual Buyers"))))</f>
        <v>C5 - Other Individual Buyers</v>
      </c>
    </row>
    <row r="1443" customFormat="false" ht="15" hidden="false" customHeight="true" outlineLevel="0" collapsed="false">
      <c r="A1443" s="13" t="s">
        <v>2889</v>
      </c>
      <c r="B1443" s="13" t="s">
        <v>34</v>
      </c>
      <c r="C1443" s="13" t="s">
        <v>2890</v>
      </c>
      <c r="D1443" s="13" t="n">
        <v>56</v>
      </c>
      <c r="E1443" s="13" t="s">
        <v>90</v>
      </c>
      <c r="F1443" s="13" t="s">
        <v>33</v>
      </c>
      <c r="G1443" s="13" t="s">
        <v>95</v>
      </c>
      <c r="H1443" s="13" t="s">
        <v>41</v>
      </c>
      <c r="I1443" s="13" t="n">
        <v>1</v>
      </c>
      <c r="J1443" s="13" t="n">
        <v>1</v>
      </c>
      <c r="K1443" s="13" t="s">
        <v>91</v>
      </c>
      <c r="L1443" s="13" t="n">
        <v>4</v>
      </c>
      <c r="M1443" s="13" t="n">
        <v>1116371.43</v>
      </c>
      <c r="N1443" s="13" t="n">
        <v>279092.8575</v>
      </c>
      <c r="O1443" s="13" t="n">
        <v>928.745</v>
      </c>
      <c r="P1443" s="13" t="n">
        <v>1</v>
      </c>
      <c r="Q1443" s="13" t="n">
        <v>3</v>
      </c>
      <c r="R1443" s="13" t="s">
        <v>117</v>
      </c>
      <c r="S1443" s="13" t="s">
        <v>215</v>
      </c>
      <c r="T1443" s="13" t="n">
        <v>1</v>
      </c>
      <c r="U1443" s="13" t="n">
        <f aca="false">IF(B1443="Individual",1,0)</f>
        <v>1</v>
      </c>
      <c r="V1443" s="13" t="n">
        <f aca="false">IF(B1443="Company",1,0)</f>
        <v>0</v>
      </c>
      <c r="W1443" s="13" t="n">
        <f aca="false">IF(H1443="Home",1,0)</f>
        <v>1</v>
      </c>
      <c r="X1443" s="13" t="n">
        <f aca="false">IF(H1443="Investment",1,0)</f>
        <v>0</v>
      </c>
      <c r="Y1443" s="13" t="n">
        <f aca="false">IF(K1443="Website",1,0)</f>
        <v>0</v>
      </c>
      <c r="Z1443" s="13" t="n">
        <f aca="false">IF(K1443="Agency",1,0)</f>
        <v>1</v>
      </c>
      <c r="AA1443" s="13" t="n">
        <f aca="false">IF(K1443="Client",1,0)</f>
        <v>0</v>
      </c>
      <c r="AB1443" s="13" t="n">
        <f aca="false">(D1443-AVERAGE(D$2:D$2001))/STDEV(D$2:D$2001)</f>
        <v>0.107425154574426</v>
      </c>
      <c r="AC1443" s="13" t="n">
        <f aca="false">(I1443-AVERAGE(I$2:I$2001))/STDEV(I$2:I$2001)</f>
        <v>-1.43538077576244</v>
      </c>
      <c r="AD1443" s="13" t="n">
        <f aca="false">(L1443-AVERAGE(L$2:L$2001))/STDEV(L$2:L$2001)</f>
        <v>0.413838214490712</v>
      </c>
      <c r="AE1443" s="13" t="n">
        <f aca="false">(M1443-AVERAGE(M$2:M$2001))/STDEV(M$2:M$2001)</f>
        <v>-0.41400619606506</v>
      </c>
      <c r="AF1443" s="13" t="n">
        <f aca="false">(N1443-AVERAGE(N$2:N$2001))/STDEV(N$2:N$2001)</f>
        <v>-0.975262788607842</v>
      </c>
      <c r="AG1443" s="13" t="n">
        <f aca="false">(O1443-AVERAGE(O$2:O$2001))/STDEV(O$2:O$2001)</f>
        <v>-0.994598467660467</v>
      </c>
      <c r="AH1443" s="0" t="str">
        <f aca="false">IF(B1443="Company","C3 - Corporate Buyers",IF(AND(H1443="Investment",M1443&gt;'Segmentation Summary'!$C$1),"C1 - Global Investors",IF(AND(I1443&gt;=4,M1443&gt;'Segmentation Summary'!$C$1),"C4 - Luxury Investors",IF(AND(D1443&lt;'Segmentation Summary'!$C$2,J1443=1),"C2 - First-Time Buyers","C5 - Other Individual Buyers"))))</f>
        <v>C5 - Other Individual Buyers</v>
      </c>
    </row>
    <row r="1444" customFormat="false" ht="15" hidden="false" customHeight="true" outlineLevel="0" collapsed="false">
      <c r="A1444" s="13" t="s">
        <v>2891</v>
      </c>
      <c r="B1444" s="13" t="s">
        <v>34</v>
      </c>
      <c r="C1444" s="13" t="s">
        <v>2890</v>
      </c>
      <c r="D1444" s="13" t="n">
        <v>51</v>
      </c>
      <c r="E1444" s="13" t="s">
        <v>90</v>
      </c>
      <c r="F1444" s="13" t="s">
        <v>33</v>
      </c>
      <c r="G1444" s="13" t="s">
        <v>157</v>
      </c>
      <c r="H1444" s="13" t="s">
        <v>41</v>
      </c>
      <c r="I1444" s="13" t="n">
        <v>3</v>
      </c>
      <c r="J1444" s="13" t="n">
        <v>1</v>
      </c>
      <c r="K1444" s="13" t="s">
        <v>85</v>
      </c>
      <c r="L1444" s="13" t="n">
        <v>4</v>
      </c>
      <c r="M1444" s="13" t="n">
        <v>1352763.67</v>
      </c>
      <c r="N1444" s="13" t="n">
        <v>338190.9175</v>
      </c>
      <c r="O1444" s="13" t="n">
        <v>1011.58</v>
      </c>
      <c r="P1444" s="13" t="n">
        <v>2</v>
      </c>
      <c r="Q1444" s="13" t="n">
        <v>2</v>
      </c>
      <c r="R1444" s="13" t="s">
        <v>128</v>
      </c>
      <c r="S1444" s="13" t="s">
        <v>133</v>
      </c>
      <c r="T1444" s="13" t="n">
        <v>1</v>
      </c>
      <c r="U1444" s="13" t="n">
        <f aca="false">IF(B1444="Individual",1,0)</f>
        <v>1</v>
      </c>
      <c r="V1444" s="13" t="n">
        <f aca="false">IF(B1444="Company",1,0)</f>
        <v>0</v>
      </c>
      <c r="W1444" s="13" t="n">
        <f aca="false">IF(H1444="Home",1,0)</f>
        <v>1</v>
      </c>
      <c r="X1444" s="13" t="n">
        <f aca="false">IF(H1444="Investment",1,0)</f>
        <v>0</v>
      </c>
      <c r="Y1444" s="13" t="n">
        <f aca="false">IF(K1444="Website",1,0)</f>
        <v>1</v>
      </c>
      <c r="Z1444" s="13" t="n">
        <f aca="false">IF(K1444="Agency",1,0)</f>
        <v>0</v>
      </c>
      <c r="AA1444" s="13" t="n">
        <f aca="false">IF(K1444="Client",1,0)</f>
        <v>0</v>
      </c>
      <c r="AB1444" s="13" t="n">
        <f aca="false">(D1444-AVERAGE(D$2:D$2001))/STDEV(D$2:D$2001)</f>
        <v>-0.18088712286633</v>
      </c>
      <c r="AC1444" s="13" t="n">
        <f aca="false">(I1444-AVERAGE(I$2:I$2001))/STDEV(I$2:I$2001)</f>
        <v>-0.0205155458339628</v>
      </c>
      <c r="AD1444" s="13" t="n">
        <f aca="false">(L1444-AVERAGE(L$2:L$2001))/STDEV(L$2:L$2001)</f>
        <v>0.413838214490712</v>
      </c>
      <c r="AE1444" s="13" t="n">
        <f aca="false">(M1444-AVERAGE(M$2:M$2001))/STDEV(M$2:M$2001)</f>
        <v>0.265612549215081</v>
      </c>
      <c r="AF1444" s="13" t="n">
        <f aca="false">(N1444-AVERAGE(N$2:N$2001))/STDEV(N$2:N$2001)</f>
        <v>-0.127636343078809</v>
      </c>
      <c r="AG1444" s="13" t="n">
        <f aca="false">(O1444-AVERAGE(O$2:O$2001))/STDEV(O$2:O$2001)</f>
        <v>-0.617943203892231</v>
      </c>
      <c r="AH1444" s="0" t="str">
        <f aca="false">IF(B1444="Company","C3 - Corporate Buyers",IF(AND(H1444="Investment",M1444&gt;'Segmentation Summary'!$C$1),"C1 - Global Investors",IF(AND(I1444&gt;=4,M1444&gt;'Segmentation Summary'!$C$1),"C4 - Luxury Investors",IF(AND(D1444&lt;'Segmentation Summary'!$C$2,J1444=1),"C2 - First-Time Buyers","C5 - Other Individual Buyers"))))</f>
        <v>C2 - First-Time Buyers</v>
      </c>
    </row>
    <row r="1445" customFormat="false" ht="15" hidden="false" customHeight="true" outlineLevel="0" collapsed="false">
      <c r="A1445" s="13" t="s">
        <v>2892</v>
      </c>
      <c r="B1445" s="13" t="s">
        <v>34</v>
      </c>
      <c r="C1445" s="13" t="s">
        <v>2893</v>
      </c>
      <c r="D1445" s="13" t="n">
        <v>36</v>
      </c>
      <c r="E1445" s="13" t="s">
        <v>90</v>
      </c>
      <c r="F1445" s="13" t="s">
        <v>37</v>
      </c>
      <c r="G1445" s="13" t="s">
        <v>169</v>
      </c>
      <c r="H1445" s="13" t="s">
        <v>43</v>
      </c>
      <c r="I1445" s="13" t="n">
        <v>4</v>
      </c>
      <c r="J1445" s="13" t="n">
        <v>0</v>
      </c>
      <c r="K1445" s="13" t="s">
        <v>85</v>
      </c>
      <c r="L1445" s="13" t="n">
        <v>4</v>
      </c>
      <c r="M1445" s="13" t="n">
        <v>1497964.92</v>
      </c>
      <c r="N1445" s="13" t="n">
        <v>374491.23</v>
      </c>
      <c r="O1445" s="13" t="n">
        <v>1278.045</v>
      </c>
      <c r="P1445" s="13" t="n">
        <v>1</v>
      </c>
      <c r="Q1445" s="13" t="n">
        <v>3</v>
      </c>
      <c r="R1445" s="13" t="s">
        <v>124</v>
      </c>
      <c r="S1445" s="13" t="s">
        <v>164</v>
      </c>
      <c r="T1445" s="13" t="n">
        <v>1</v>
      </c>
      <c r="U1445" s="13" t="n">
        <f aca="false">IF(B1445="Individual",1,0)</f>
        <v>1</v>
      </c>
      <c r="V1445" s="13" t="n">
        <f aca="false">IF(B1445="Company",1,0)</f>
        <v>0</v>
      </c>
      <c r="W1445" s="13" t="n">
        <f aca="false">IF(H1445="Home",1,0)</f>
        <v>0</v>
      </c>
      <c r="X1445" s="13" t="n">
        <f aca="false">IF(H1445="Investment",1,0)</f>
        <v>1</v>
      </c>
      <c r="Y1445" s="13" t="n">
        <f aca="false">IF(K1445="Website",1,0)</f>
        <v>1</v>
      </c>
      <c r="Z1445" s="13" t="n">
        <f aca="false">IF(K1445="Agency",1,0)</f>
        <v>0</v>
      </c>
      <c r="AA1445" s="13" t="n">
        <f aca="false">IF(K1445="Client",1,0)</f>
        <v>0</v>
      </c>
      <c r="AB1445" s="13" t="n">
        <f aca="false">(D1445-AVERAGE(D$2:D$2001))/STDEV(D$2:D$2001)</f>
        <v>-1.0458239551886</v>
      </c>
      <c r="AC1445" s="13" t="n">
        <f aca="false">(I1445-AVERAGE(I$2:I$2001))/STDEV(I$2:I$2001)</f>
        <v>0.686917069130275</v>
      </c>
      <c r="AD1445" s="13" t="n">
        <f aca="false">(L1445-AVERAGE(L$2:L$2001))/STDEV(L$2:L$2001)</f>
        <v>0.413838214490712</v>
      </c>
      <c r="AE1445" s="13" t="n">
        <f aca="false">(M1445-AVERAGE(M$2:M$2001))/STDEV(M$2:M$2001)</f>
        <v>0.683060648772444</v>
      </c>
      <c r="AF1445" s="13" t="n">
        <f aca="false">(N1445-AVERAGE(N$2:N$2001))/STDEV(N$2:N$2001)</f>
        <v>0.393008579207441</v>
      </c>
      <c r="AG1445" s="13" t="n">
        <f aca="false">(O1445-AVERAGE(O$2:O$2001))/STDEV(O$2:O$2001)</f>
        <v>0.593687687156276</v>
      </c>
      <c r="AH1445" s="0" t="str">
        <f aca="false">IF(B1445="Company","C3 - Corporate Buyers",IF(AND(H1445="Investment",M1445&gt;'Segmentation Summary'!$C$1),"C1 - Global Investors",IF(AND(I1445&gt;=4,M1445&gt;'Segmentation Summary'!$C$1),"C4 - Luxury Investors",IF(AND(D1445&lt;'Segmentation Summary'!$C$2,J1445=1),"C2 - First-Time Buyers","C5 - Other Individual Buyers"))))</f>
        <v>C1 - Global Investors</v>
      </c>
    </row>
    <row r="1446" customFormat="false" ht="15" hidden="false" customHeight="true" outlineLevel="0" collapsed="false">
      <c r="A1446" s="13" t="s">
        <v>2894</v>
      </c>
      <c r="B1446" s="13" t="s">
        <v>34</v>
      </c>
      <c r="C1446" s="13" t="s">
        <v>2895</v>
      </c>
      <c r="D1446" s="13" t="n">
        <v>71</v>
      </c>
      <c r="E1446" s="13" t="s">
        <v>90</v>
      </c>
      <c r="F1446" s="13" t="s">
        <v>46</v>
      </c>
      <c r="G1446" s="13" t="s">
        <v>1065</v>
      </c>
      <c r="H1446" s="13" t="s">
        <v>43</v>
      </c>
      <c r="I1446" s="13" t="n">
        <v>2</v>
      </c>
      <c r="J1446" s="13" t="n">
        <v>1</v>
      </c>
      <c r="K1446" s="13" t="s">
        <v>91</v>
      </c>
      <c r="L1446" s="13" t="n">
        <v>4</v>
      </c>
      <c r="M1446" s="13" t="n">
        <v>1869286.1</v>
      </c>
      <c r="N1446" s="13" t="n">
        <v>467321.525</v>
      </c>
      <c r="O1446" s="13" t="n">
        <v>1546.3875</v>
      </c>
      <c r="P1446" s="13" t="n">
        <v>1</v>
      </c>
      <c r="Q1446" s="13" t="n">
        <v>3</v>
      </c>
      <c r="R1446" s="13" t="s">
        <v>117</v>
      </c>
      <c r="S1446" s="13" t="s">
        <v>114</v>
      </c>
      <c r="T1446" s="13" t="n">
        <v>1</v>
      </c>
      <c r="U1446" s="13" t="n">
        <f aca="false">IF(B1446="Individual",1,0)</f>
        <v>1</v>
      </c>
      <c r="V1446" s="13" t="n">
        <f aca="false">IF(B1446="Company",1,0)</f>
        <v>0</v>
      </c>
      <c r="W1446" s="13" t="n">
        <f aca="false">IF(H1446="Home",1,0)</f>
        <v>0</v>
      </c>
      <c r="X1446" s="13" t="n">
        <f aca="false">IF(H1446="Investment",1,0)</f>
        <v>1</v>
      </c>
      <c r="Y1446" s="13" t="n">
        <f aca="false">IF(K1446="Website",1,0)</f>
        <v>0</v>
      </c>
      <c r="Z1446" s="13" t="n">
        <f aca="false">IF(K1446="Agency",1,0)</f>
        <v>1</v>
      </c>
      <c r="AA1446" s="13" t="n">
        <f aca="false">IF(K1446="Client",1,0)</f>
        <v>0</v>
      </c>
      <c r="AB1446" s="13" t="n">
        <f aca="false">(D1446-AVERAGE(D$2:D$2001))/STDEV(D$2:D$2001)</f>
        <v>0.972361986896694</v>
      </c>
      <c r="AC1446" s="13" t="n">
        <f aca="false">(I1446-AVERAGE(I$2:I$2001))/STDEV(I$2:I$2001)</f>
        <v>-0.727948160798201</v>
      </c>
      <c r="AD1446" s="13" t="n">
        <f aca="false">(L1446-AVERAGE(L$2:L$2001))/STDEV(L$2:L$2001)</f>
        <v>0.413838214490712</v>
      </c>
      <c r="AE1446" s="13" t="n">
        <f aca="false">(M1446-AVERAGE(M$2:M$2001))/STDEV(M$2:M$2001)</f>
        <v>1.75059499104841</v>
      </c>
      <c r="AF1446" s="13" t="n">
        <f aca="false">(N1446-AVERAGE(N$2:N$2001))/STDEV(N$2:N$2001)</f>
        <v>1.72444675142936</v>
      </c>
      <c r="AG1446" s="13" t="n">
        <f aca="false">(O1446-AVERAGE(O$2:O$2001))/STDEV(O$2:O$2001)</f>
        <v>1.8138556731251</v>
      </c>
      <c r="AH1446" s="0" t="str">
        <f aca="false">IF(B1446="Company","C3 - Corporate Buyers",IF(AND(H1446="Investment",M1446&gt;'Segmentation Summary'!$C$1),"C1 - Global Investors",IF(AND(I1446&gt;=4,M1446&gt;'Segmentation Summary'!$C$1),"C4 - Luxury Investors",IF(AND(D1446&lt;'Segmentation Summary'!$C$2,J1446=1),"C2 - First-Time Buyers","C5 - Other Individual Buyers"))))</f>
        <v>C1 - Global Investors</v>
      </c>
    </row>
    <row r="1447" customFormat="false" ht="15" hidden="false" customHeight="true" outlineLevel="0" collapsed="false">
      <c r="A1447" s="13" t="s">
        <v>2896</v>
      </c>
      <c r="B1447" s="13" t="s">
        <v>34</v>
      </c>
      <c r="C1447" s="13" t="s">
        <v>2897</v>
      </c>
      <c r="D1447" s="13" t="n">
        <v>80</v>
      </c>
      <c r="E1447" s="13" t="s">
        <v>90</v>
      </c>
      <c r="F1447" s="13" t="s">
        <v>33</v>
      </c>
      <c r="G1447" s="13" t="s">
        <v>95</v>
      </c>
      <c r="H1447" s="13" t="s">
        <v>41</v>
      </c>
      <c r="I1447" s="13" t="n">
        <v>1</v>
      </c>
      <c r="J1447" s="13" t="n">
        <v>0</v>
      </c>
      <c r="K1447" s="13" t="s">
        <v>116</v>
      </c>
      <c r="L1447" s="13" t="n">
        <v>4</v>
      </c>
      <c r="M1447" s="13" t="n">
        <v>1312822.17</v>
      </c>
      <c r="N1447" s="13" t="n">
        <v>328205.5425</v>
      </c>
      <c r="O1447" s="13" t="n">
        <v>1024.3375</v>
      </c>
      <c r="P1447" s="13" t="n">
        <v>0</v>
      </c>
      <c r="Q1447" s="13" t="n">
        <v>4</v>
      </c>
      <c r="R1447" s="13" t="s">
        <v>101</v>
      </c>
      <c r="S1447" s="13" t="s">
        <v>128</v>
      </c>
      <c r="T1447" s="13" t="n">
        <v>1</v>
      </c>
      <c r="U1447" s="13" t="n">
        <f aca="false">IF(B1447="Individual",1,0)</f>
        <v>1</v>
      </c>
      <c r="V1447" s="13" t="n">
        <f aca="false">IF(B1447="Company",1,0)</f>
        <v>0</v>
      </c>
      <c r="W1447" s="13" t="n">
        <f aca="false">IF(H1447="Home",1,0)</f>
        <v>1</v>
      </c>
      <c r="X1447" s="13" t="n">
        <f aca="false">IF(H1447="Investment",1,0)</f>
        <v>0</v>
      </c>
      <c r="Y1447" s="13" t="n">
        <f aca="false">IF(K1447="Website",1,0)</f>
        <v>0</v>
      </c>
      <c r="Z1447" s="13" t="n">
        <f aca="false">IF(K1447="Agency",1,0)</f>
        <v>0</v>
      </c>
      <c r="AA1447" s="13" t="n">
        <f aca="false">IF(K1447="Client",1,0)</f>
        <v>1</v>
      </c>
      <c r="AB1447" s="13" t="n">
        <f aca="false">(D1447-AVERAGE(D$2:D$2001))/STDEV(D$2:D$2001)</f>
        <v>1.49132408629005</v>
      </c>
      <c r="AC1447" s="13" t="n">
        <f aca="false">(I1447-AVERAGE(I$2:I$2001))/STDEV(I$2:I$2001)</f>
        <v>-1.43538077576244</v>
      </c>
      <c r="AD1447" s="13" t="n">
        <f aca="false">(L1447-AVERAGE(L$2:L$2001))/STDEV(L$2:L$2001)</f>
        <v>0.413838214490712</v>
      </c>
      <c r="AE1447" s="13" t="n">
        <f aca="false">(M1447-AVERAGE(M$2:M$2001))/STDEV(M$2:M$2001)</f>
        <v>0.150782248040191</v>
      </c>
      <c r="AF1447" s="13" t="n">
        <f aca="false">(N1447-AVERAGE(N$2:N$2001))/STDEV(N$2:N$2001)</f>
        <v>-0.270853699427299</v>
      </c>
      <c r="AG1447" s="13" t="n">
        <f aca="false">(O1447-AVERAGE(O$2:O$2001))/STDEV(O$2:O$2001)</f>
        <v>-0.55993415545228</v>
      </c>
      <c r="AH1447" s="0" t="str">
        <f aca="false">IF(B1447="Company","C3 - Corporate Buyers",IF(AND(H1447="Investment",M1447&gt;'Segmentation Summary'!$C$1),"C1 - Global Investors",IF(AND(I1447&gt;=4,M1447&gt;'Segmentation Summary'!$C$1),"C4 - Luxury Investors",IF(AND(D1447&lt;'Segmentation Summary'!$C$2,J1447=1),"C2 - First-Time Buyers","C5 - Other Individual Buyers"))))</f>
        <v>C5 - Other Individual Buyers</v>
      </c>
    </row>
    <row r="1448" customFormat="false" ht="15" hidden="false" customHeight="true" outlineLevel="0" collapsed="false">
      <c r="A1448" s="13" t="s">
        <v>2898</v>
      </c>
      <c r="B1448" s="13" t="s">
        <v>34</v>
      </c>
      <c r="C1448" s="13" t="s">
        <v>2899</v>
      </c>
      <c r="D1448" s="13" t="n">
        <v>55</v>
      </c>
      <c r="E1448" s="13" t="s">
        <v>90</v>
      </c>
      <c r="F1448" s="13" t="s">
        <v>33</v>
      </c>
      <c r="G1448" s="13" t="s">
        <v>95</v>
      </c>
      <c r="H1448" s="13" t="s">
        <v>41</v>
      </c>
      <c r="I1448" s="13" t="n">
        <v>1</v>
      </c>
      <c r="J1448" s="13" t="n">
        <v>0</v>
      </c>
      <c r="K1448" s="13" t="s">
        <v>85</v>
      </c>
      <c r="L1448" s="13" t="n">
        <v>3</v>
      </c>
      <c r="M1448" s="13" t="n">
        <v>1098111.78</v>
      </c>
      <c r="N1448" s="13" t="n">
        <v>366037.26</v>
      </c>
      <c r="O1448" s="13" t="n">
        <v>1205.96333333333</v>
      </c>
      <c r="P1448" s="13" t="n">
        <v>0</v>
      </c>
      <c r="Q1448" s="13" t="n">
        <v>3</v>
      </c>
      <c r="R1448" s="13" t="s">
        <v>98</v>
      </c>
      <c r="S1448" s="13" t="s">
        <v>154</v>
      </c>
      <c r="T1448" s="13" t="n">
        <v>1</v>
      </c>
      <c r="U1448" s="13" t="n">
        <f aca="false">IF(B1448="Individual",1,0)</f>
        <v>1</v>
      </c>
      <c r="V1448" s="13" t="n">
        <f aca="false">IF(B1448="Company",1,0)</f>
        <v>0</v>
      </c>
      <c r="W1448" s="13" t="n">
        <f aca="false">IF(H1448="Home",1,0)</f>
        <v>1</v>
      </c>
      <c r="X1448" s="13" t="n">
        <f aca="false">IF(H1448="Investment",1,0)</f>
        <v>0</v>
      </c>
      <c r="Y1448" s="13" t="n">
        <f aca="false">IF(K1448="Website",1,0)</f>
        <v>1</v>
      </c>
      <c r="Z1448" s="13" t="n">
        <f aca="false">IF(K1448="Agency",1,0)</f>
        <v>0</v>
      </c>
      <c r="AA1448" s="13" t="n">
        <f aca="false">IF(K1448="Client",1,0)</f>
        <v>0</v>
      </c>
      <c r="AB1448" s="13" t="n">
        <f aca="false">(D1448-AVERAGE(D$2:D$2001))/STDEV(D$2:D$2001)</f>
        <v>0.0497626990862745</v>
      </c>
      <c r="AC1448" s="13" t="n">
        <f aca="false">(I1448-AVERAGE(I$2:I$2001))/STDEV(I$2:I$2001)</f>
        <v>-1.43538077576244</v>
      </c>
      <c r="AD1448" s="13" t="n">
        <f aca="false">(L1448-AVERAGE(L$2:L$2001))/STDEV(L$2:L$2001)</f>
        <v>-0.777063122173208</v>
      </c>
      <c r="AE1448" s="13" t="n">
        <f aca="false">(M1448-AVERAGE(M$2:M$2001))/STDEV(M$2:M$2001)</f>
        <v>-0.466501998897904</v>
      </c>
      <c r="AF1448" s="13" t="n">
        <f aca="false">(N1448-AVERAGE(N$2:N$2001))/STDEV(N$2:N$2001)</f>
        <v>0.271755723501026</v>
      </c>
      <c r="AG1448" s="13" t="n">
        <f aca="false">(O1448-AVERAGE(O$2:O$2001))/STDEV(O$2:O$2001)</f>
        <v>0.265928416664471</v>
      </c>
      <c r="AH1448" s="0" t="str">
        <f aca="false">IF(B1448="Company","C3 - Corporate Buyers",IF(AND(H1448="Investment",M1448&gt;'Segmentation Summary'!$C$1),"C1 - Global Investors",IF(AND(I1448&gt;=4,M1448&gt;'Segmentation Summary'!$C$1),"C4 - Luxury Investors",IF(AND(D1448&lt;'Segmentation Summary'!$C$2,J1448=1),"C2 - First-Time Buyers","C5 - Other Individual Buyers"))))</f>
        <v>C5 - Other Individual Buyers</v>
      </c>
    </row>
    <row r="1449" customFormat="false" ht="15" hidden="false" customHeight="true" outlineLevel="0" collapsed="false">
      <c r="A1449" s="13" t="s">
        <v>2900</v>
      </c>
      <c r="B1449" s="13" t="s">
        <v>34</v>
      </c>
      <c r="C1449" s="13" t="s">
        <v>2901</v>
      </c>
      <c r="D1449" s="13" t="n">
        <v>76</v>
      </c>
      <c r="E1449" s="13" t="s">
        <v>90</v>
      </c>
      <c r="F1449" s="13" t="s">
        <v>35</v>
      </c>
      <c r="G1449" s="13" t="s">
        <v>137</v>
      </c>
      <c r="H1449" s="13" t="s">
        <v>41</v>
      </c>
      <c r="I1449" s="13" t="n">
        <v>3</v>
      </c>
      <c r="J1449" s="13" t="n">
        <v>0</v>
      </c>
      <c r="K1449" s="13" t="s">
        <v>85</v>
      </c>
      <c r="L1449" s="13" t="n">
        <v>4</v>
      </c>
      <c r="M1449" s="13" t="n">
        <v>1281313.02</v>
      </c>
      <c r="N1449" s="13" t="n">
        <v>320328.255</v>
      </c>
      <c r="O1449" s="13" t="n">
        <v>1039.19</v>
      </c>
      <c r="P1449" s="13" t="n">
        <v>0</v>
      </c>
      <c r="Q1449" s="13" t="n">
        <v>4</v>
      </c>
      <c r="R1449" s="13" t="s">
        <v>150</v>
      </c>
      <c r="S1449" s="13" t="s">
        <v>107</v>
      </c>
      <c r="T1449" s="13" t="n">
        <v>1</v>
      </c>
      <c r="U1449" s="13" t="n">
        <f aca="false">IF(B1449="Individual",1,0)</f>
        <v>1</v>
      </c>
      <c r="V1449" s="13" t="n">
        <f aca="false">IF(B1449="Company",1,0)</f>
        <v>0</v>
      </c>
      <c r="W1449" s="13" t="n">
        <f aca="false">IF(H1449="Home",1,0)</f>
        <v>1</v>
      </c>
      <c r="X1449" s="13" t="n">
        <f aca="false">IF(H1449="Investment",1,0)</f>
        <v>0</v>
      </c>
      <c r="Y1449" s="13" t="n">
        <f aca="false">IF(K1449="Website",1,0)</f>
        <v>1</v>
      </c>
      <c r="Z1449" s="13" t="n">
        <f aca="false">IF(K1449="Agency",1,0)</f>
        <v>0</v>
      </c>
      <c r="AA1449" s="13" t="n">
        <f aca="false">IF(K1449="Client",1,0)</f>
        <v>0</v>
      </c>
      <c r="AB1449" s="13" t="n">
        <f aca="false">(D1449-AVERAGE(D$2:D$2001))/STDEV(D$2:D$2001)</f>
        <v>1.26067426433745</v>
      </c>
      <c r="AC1449" s="13" t="n">
        <f aca="false">(I1449-AVERAGE(I$2:I$2001))/STDEV(I$2:I$2001)</f>
        <v>-0.0205155458339628</v>
      </c>
      <c r="AD1449" s="13" t="n">
        <f aca="false">(L1449-AVERAGE(L$2:L$2001))/STDEV(L$2:L$2001)</f>
        <v>0.413838214490712</v>
      </c>
      <c r="AE1449" s="13" t="n">
        <f aca="false">(M1449-AVERAGE(M$2:M$2001))/STDEV(M$2:M$2001)</f>
        <v>0.0601946340481091</v>
      </c>
      <c r="AF1449" s="13" t="n">
        <f aca="false">(N1449-AVERAGE(N$2:N$2001))/STDEV(N$2:N$2001)</f>
        <v>-0.38383536420674</v>
      </c>
      <c r="AG1449" s="13" t="n">
        <f aca="false">(O1449-AVERAGE(O$2:O$2001))/STDEV(O$2:O$2001)</f>
        <v>-0.492399027727071</v>
      </c>
      <c r="AH1449" s="0" t="str">
        <f aca="false">IF(B1449="Company","C3 - Corporate Buyers",IF(AND(H1449="Investment",M1449&gt;'Segmentation Summary'!$C$1),"C1 - Global Investors",IF(AND(I1449&gt;=4,M1449&gt;'Segmentation Summary'!$C$1),"C4 - Luxury Investors",IF(AND(D1449&lt;'Segmentation Summary'!$C$2,J1449=1),"C2 - First-Time Buyers","C5 - Other Individual Buyers"))))</f>
        <v>C5 - Other Individual Buyers</v>
      </c>
    </row>
    <row r="1450" customFormat="false" ht="15" hidden="false" customHeight="true" outlineLevel="0" collapsed="false">
      <c r="A1450" s="13" t="s">
        <v>2902</v>
      </c>
      <c r="B1450" s="13" t="s">
        <v>34</v>
      </c>
      <c r="C1450" s="13" t="s">
        <v>2903</v>
      </c>
      <c r="D1450" s="13" t="n">
        <v>45</v>
      </c>
      <c r="E1450" s="13" t="s">
        <v>90</v>
      </c>
      <c r="F1450" s="13" t="s">
        <v>33</v>
      </c>
      <c r="G1450" s="13" t="s">
        <v>95</v>
      </c>
      <c r="H1450" s="13" t="s">
        <v>43</v>
      </c>
      <c r="I1450" s="13" t="n">
        <v>4</v>
      </c>
      <c r="J1450" s="13" t="n">
        <v>0</v>
      </c>
      <c r="K1450" s="13" t="s">
        <v>91</v>
      </c>
      <c r="L1450" s="13" t="n">
        <v>4</v>
      </c>
      <c r="M1450" s="13" t="n">
        <v>1218265.36</v>
      </c>
      <c r="N1450" s="13" t="n">
        <v>304566.34</v>
      </c>
      <c r="O1450" s="13" t="n">
        <v>990.9875</v>
      </c>
      <c r="P1450" s="13" t="n">
        <v>1</v>
      </c>
      <c r="Q1450" s="13" t="n">
        <v>3</v>
      </c>
      <c r="R1450" s="13" t="s">
        <v>98</v>
      </c>
      <c r="S1450" s="13" t="s">
        <v>215</v>
      </c>
      <c r="T1450" s="13" t="n">
        <v>1</v>
      </c>
      <c r="U1450" s="13" t="n">
        <f aca="false">IF(B1450="Individual",1,0)</f>
        <v>1</v>
      </c>
      <c r="V1450" s="13" t="n">
        <f aca="false">IF(B1450="Company",1,0)</f>
        <v>0</v>
      </c>
      <c r="W1450" s="13" t="n">
        <f aca="false">IF(H1450="Home",1,0)</f>
        <v>0</v>
      </c>
      <c r="X1450" s="13" t="n">
        <f aca="false">IF(H1450="Investment",1,0)</f>
        <v>1</v>
      </c>
      <c r="Y1450" s="13" t="n">
        <f aca="false">IF(K1450="Website",1,0)</f>
        <v>0</v>
      </c>
      <c r="Z1450" s="13" t="n">
        <f aca="false">IF(K1450="Agency",1,0)</f>
        <v>1</v>
      </c>
      <c r="AA1450" s="13" t="n">
        <f aca="false">IF(K1450="Client",1,0)</f>
        <v>0</v>
      </c>
      <c r="AB1450" s="13" t="n">
        <f aca="false">(D1450-AVERAGE(D$2:D$2001))/STDEV(D$2:D$2001)</f>
        <v>-0.526861855795238</v>
      </c>
      <c r="AC1450" s="13" t="n">
        <f aca="false">(I1450-AVERAGE(I$2:I$2001))/STDEV(I$2:I$2001)</f>
        <v>0.686917069130275</v>
      </c>
      <c r="AD1450" s="13" t="n">
        <f aca="false">(L1450-AVERAGE(L$2:L$2001))/STDEV(L$2:L$2001)</f>
        <v>0.413838214490712</v>
      </c>
      <c r="AE1450" s="13" t="n">
        <f aca="false">(M1450-AVERAGE(M$2:M$2001))/STDEV(M$2:M$2001)</f>
        <v>-0.121065002825118</v>
      </c>
      <c r="AF1450" s="13" t="n">
        <f aca="false">(N1450-AVERAGE(N$2:N$2001))/STDEV(N$2:N$2001)</f>
        <v>-0.609903969270607</v>
      </c>
      <c r="AG1450" s="13" t="n">
        <f aca="false">(O1450-AVERAGE(O$2:O$2001))/STDEV(O$2:O$2001)</f>
        <v>-0.711578424742686</v>
      </c>
      <c r="AH1450" s="0" t="str">
        <f aca="false">IF(B1450="Company","C3 - Corporate Buyers",IF(AND(H1450="Investment",M1450&gt;'Segmentation Summary'!$C$1),"C1 - Global Investors",IF(AND(I1450&gt;=4,M1450&gt;'Segmentation Summary'!$C$1),"C4 - Luxury Investors",IF(AND(D1450&lt;'Segmentation Summary'!$C$2,J1450=1),"C2 - First-Time Buyers","C5 - Other Individual Buyers"))))</f>
        <v>C5 - Other Individual Buyers</v>
      </c>
    </row>
    <row r="1451" customFormat="false" ht="15" hidden="false" customHeight="true" outlineLevel="0" collapsed="false">
      <c r="A1451" s="13" t="s">
        <v>2904</v>
      </c>
      <c r="B1451" s="13" t="s">
        <v>34</v>
      </c>
      <c r="C1451" s="13" t="s">
        <v>2905</v>
      </c>
      <c r="D1451" s="13" t="n">
        <v>62</v>
      </c>
      <c r="E1451" s="13" t="s">
        <v>90</v>
      </c>
      <c r="F1451" s="13" t="s">
        <v>33</v>
      </c>
      <c r="G1451" s="13" t="s">
        <v>95</v>
      </c>
      <c r="H1451" s="13" t="s">
        <v>41</v>
      </c>
      <c r="I1451" s="13" t="n">
        <v>3</v>
      </c>
      <c r="J1451" s="13" t="n">
        <v>1</v>
      </c>
      <c r="K1451" s="13" t="s">
        <v>85</v>
      </c>
      <c r="L1451" s="13" t="n">
        <v>4</v>
      </c>
      <c r="M1451" s="13" t="n">
        <v>1276710.49</v>
      </c>
      <c r="N1451" s="13" t="n">
        <v>319177.6225</v>
      </c>
      <c r="O1451" s="13" t="n">
        <v>1036.6525</v>
      </c>
      <c r="P1451" s="13" t="n">
        <v>0</v>
      </c>
      <c r="Q1451" s="13" t="n">
        <v>4</v>
      </c>
      <c r="R1451" s="13" t="s">
        <v>92</v>
      </c>
      <c r="S1451" s="13" t="s">
        <v>135</v>
      </c>
      <c r="T1451" s="13" t="n">
        <v>1</v>
      </c>
      <c r="U1451" s="13" t="n">
        <f aca="false">IF(B1451="Individual",1,0)</f>
        <v>1</v>
      </c>
      <c r="V1451" s="13" t="n">
        <f aca="false">IF(B1451="Company",1,0)</f>
        <v>0</v>
      </c>
      <c r="W1451" s="13" t="n">
        <f aca="false">IF(H1451="Home",1,0)</f>
        <v>1</v>
      </c>
      <c r="X1451" s="13" t="n">
        <f aca="false">IF(H1451="Investment",1,0)</f>
        <v>0</v>
      </c>
      <c r="Y1451" s="13" t="n">
        <f aca="false">IF(K1451="Website",1,0)</f>
        <v>1</v>
      </c>
      <c r="Z1451" s="13" t="n">
        <f aca="false">IF(K1451="Agency",1,0)</f>
        <v>0</v>
      </c>
      <c r="AA1451" s="13" t="n">
        <f aca="false">IF(K1451="Client",1,0)</f>
        <v>0</v>
      </c>
      <c r="AB1451" s="13" t="n">
        <f aca="false">(D1451-AVERAGE(D$2:D$2001))/STDEV(D$2:D$2001)</f>
        <v>0.453399887503333</v>
      </c>
      <c r="AC1451" s="13" t="n">
        <f aca="false">(I1451-AVERAGE(I$2:I$2001))/STDEV(I$2:I$2001)</f>
        <v>-0.0205155458339628</v>
      </c>
      <c r="AD1451" s="13" t="n">
        <f aca="false">(L1451-AVERAGE(L$2:L$2001))/STDEV(L$2:L$2001)</f>
        <v>0.413838214490712</v>
      </c>
      <c r="AE1451" s="13" t="n">
        <f aca="false">(M1451-AVERAGE(M$2:M$2001))/STDEV(M$2:M$2001)</f>
        <v>0.0469625344507864</v>
      </c>
      <c r="AF1451" s="13" t="n">
        <f aca="false">(N1451-AVERAGE(N$2:N$2001))/STDEV(N$2:N$2001)</f>
        <v>-0.400338554600556</v>
      </c>
      <c r="AG1451" s="13" t="n">
        <f aca="false">(O1451-AVERAGE(O$2:O$2001))/STDEV(O$2:O$2001)</f>
        <v>-0.503937178651342</v>
      </c>
      <c r="AH1451" s="0" t="str">
        <f aca="false">IF(B1451="Company","C3 - Corporate Buyers",IF(AND(H1451="Investment",M1451&gt;'Segmentation Summary'!$C$1),"C1 - Global Investors",IF(AND(I1451&gt;=4,M1451&gt;'Segmentation Summary'!$C$1),"C4 - Luxury Investors",IF(AND(D1451&lt;'Segmentation Summary'!$C$2,J1451=1),"C2 - First-Time Buyers","C5 - Other Individual Buyers"))))</f>
        <v>C5 - Other Individual Buyers</v>
      </c>
    </row>
    <row r="1452" customFormat="false" ht="15" hidden="false" customHeight="true" outlineLevel="0" collapsed="false">
      <c r="A1452" s="13" t="s">
        <v>2906</v>
      </c>
      <c r="B1452" s="13" t="s">
        <v>34</v>
      </c>
      <c r="C1452" s="13" t="s">
        <v>2907</v>
      </c>
      <c r="D1452" s="13" t="n">
        <v>29</v>
      </c>
      <c r="E1452" s="13" t="s">
        <v>90</v>
      </c>
      <c r="F1452" s="13" t="s">
        <v>37</v>
      </c>
      <c r="G1452" s="13" t="s">
        <v>940</v>
      </c>
      <c r="H1452" s="13" t="s">
        <v>41</v>
      </c>
      <c r="I1452" s="13" t="n">
        <v>5</v>
      </c>
      <c r="J1452" s="13" t="n">
        <v>0</v>
      </c>
      <c r="K1452" s="13" t="s">
        <v>91</v>
      </c>
      <c r="L1452" s="13" t="n">
        <v>3</v>
      </c>
      <c r="M1452" s="13" t="n">
        <v>1005148.64</v>
      </c>
      <c r="N1452" s="13" t="n">
        <v>335049.546666667</v>
      </c>
      <c r="O1452" s="13" t="n">
        <v>1161.54333333333</v>
      </c>
      <c r="P1452" s="13" t="n">
        <v>0</v>
      </c>
      <c r="Q1452" s="13" t="n">
        <v>3</v>
      </c>
      <c r="R1452" s="13" t="s">
        <v>121</v>
      </c>
      <c r="S1452" s="13" t="s">
        <v>114</v>
      </c>
      <c r="T1452" s="13" t="n">
        <v>1</v>
      </c>
      <c r="U1452" s="13" t="n">
        <f aca="false">IF(B1452="Individual",1,0)</f>
        <v>1</v>
      </c>
      <c r="V1452" s="13" t="n">
        <f aca="false">IF(B1452="Company",1,0)</f>
        <v>0</v>
      </c>
      <c r="W1452" s="13" t="n">
        <f aca="false">IF(H1452="Home",1,0)</f>
        <v>1</v>
      </c>
      <c r="X1452" s="13" t="n">
        <f aca="false">IF(H1452="Investment",1,0)</f>
        <v>0</v>
      </c>
      <c r="Y1452" s="13" t="n">
        <f aca="false">IF(K1452="Website",1,0)</f>
        <v>0</v>
      </c>
      <c r="Z1452" s="13" t="n">
        <f aca="false">IF(K1452="Agency",1,0)</f>
        <v>1</v>
      </c>
      <c r="AA1452" s="13" t="n">
        <f aca="false">IF(K1452="Client",1,0)</f>
        <v>0</v>
      </c>
      <c r="AB1452" s="13" t="n">
        <f aca="false">(D1452-AVERAGE(D$2:D$2001))/STDEV(D$2:D$2001)</f>
        <v>-1.44946114360566</v>
      </c>
      <c r="AC1452" s="13" t="n">
        <f aca="false">(I1452-AVERAGE(I$2:I$2001))/STDEV(I$2:I$2001)</f>
        <v>1.39434968409451</v>
      </c>
      <c r="AD1452" s="13" t="n">
        <f aca="false">(L1452-AVERAGE(L$2:L$2001))/STDEV(L$2:L$2001)</f>
        <v>-0.777063122173208</v>
      </c>
      <c r="AE1452" s="13" t="n">
        <f aca="false">(M1452-AVERAGE(M$2:M$2001))/STDEV(M$2:M$2001)</f>
        <v>-0.733767508815243</v>
      </c>
      <c r="AF1452" s="13" t="n">
        <f aca="false">(N1452-AVERAGE(N$2:N$2001))/STDEV(N$2:N$2001)</f>
        <v>-0.172692119758223</v>
      </c>
      <c r="AG1452" s="13" t="n">
        <f aca="false">(O1452-AVERAGE(O$2:O$2001))/STDEV(O$2:O$2001)</f>
        <v>0.0639482534896653</v>
      </c>
      <c r="AH1452" s="0" t="str">
        <f aca="false">IF(B1452="Company","C3 - Corporate Buyers",IF(AND(H1452="Investment",M1452&gt;'Segmentation Summary'!$C$1),"C1 - Global Investors",IF(AND(I1452&gt;=4,M1452&gt;'Segmentation Summary'!$C$1),"C4 - Luxury Investors",IF(AND(D1452&lt;'Segmentation Summary'!$C$2,J1452=1),"C2 - First-Time Buyers","C5 - Other Individual Buyers"))))</f>
        <v>C5 - Other Individual Buyers</v>
      </c>
    </row>
    <row r="1453" customFormat="false" ht="15" hidden="false" customHeight="true" outlineLevel="0" collapsed="false">
      <c r="A1453" s="13" t="s">
        <v>2908</v>
      </c>
      <c r="B1453" s="13" t="s">
        <v>34</v>
      </c>
      <c r="C1453" s="13" t="s">
        <v>2909</v>
      </c>
      <c r="D1453" s="13" t="n">
        <v>54</v>
      </c>
      <c r="E1453" s="13" t="s">
        <v>90</v>
      </c>
      <c r="F1453" s="13" t="s">
        <v>37</v>
      </c>
      <c r="G1453" s="13" t="s">
        <v>169</v>
      </c>
      <c r="H1453" s="13" t="s">
        <v>43</v>
      </c>
      <c r="I1453" s="13" t="n">
        <v>2</v>
      </c>
      <c r="J1453" s="13" t="n">
        <v>0</v>
      </c>
      <c r="K1453" s="13" t="s">
        <v>91</v>
      </c>
      <c r="L1453" s="13" t="n">
        <v>3</v>
      </c>
      <c r="M1453" s="13" t="n">
        <v>1551003.84</v>
      </c>
      <c r="N1453" s="13" t="n">
        <v>517001.28</v>
      </c>
      <c r="O1453" s="13" t="n">
        <v>1654.47333333333</v>
      </c>
      <c r="P1453" s="13" t="n">
        <v>0</v>
      </c>
      <c r="Q1453" s="13" t="n">
        <v>3</v>
      </c>
      <c r="R1453" s="13" t="s">
        <v>101</v>
      </c>
      <c r="S1453" s="13" t="s">
        <v>141</v>
      </c>
      <c r="T1453" s="13" t="n">
        <v>1</v>
      </c>
      <c r="U1453" s="13" t="n">
        <f aca="false">IF(B1453="Individual",1,0)</f>
        <v>1</v>
      </c>
      <c r="V1453" s="13" t="n">
        <f aca="false">IF(B1453="Company",1,0)</f>
        <v>0</v>
      </c>
      <c r="W1453" s="13" t="n">
        <f aca="false">IF(H1453="Home",1,0)</f>
        <v>0</v>
      </c>
      <c r="X1453" s="13" t="n">
        <f aca="false">IF(H1453="Investment",1,0)</f>
        <v>1</v>
      </c>
      <c r="Y1453" s="13" t="n">
        <f aca="false">IF(K1453="Website",1,0)</f>
        <v>0</v>
      </c>
      <c r="Z1453" s="13" t="n">
        <f aca="false">IF(K1453="Agency",1,0)</f>
        <v>1</v>
      </c>
      <c r="AA1453" s="13" t="n">
        <f aca="false">IF(K1453="Client",1,0)</f>
        <v>0</v>
      </c>
      <c r="AB1453" s="13" t="n">
        <f aca="false">(D1453-AVERAGE(D$2:D$2001))/STDEV(D$2:D$2001)</f>
        <v>-0.00789975640187674</v>
      </c>
      <c r="AC1453" s="13" t="n">
        <f aca="false">(I1453-AVERAGE(I$2:I$2001))/STDEV(I$2:I$2001)</f>
        <v>-0.727948160798201</v>
      </c>
      <c r="AD1453" s="13" t="n">
        <f aca="false">(L1453-AVERAGE(L$2:L$2001))/STDEV(L$2:L$2001)</f>
        <v>-0.777063122173208</v>
      </c>
      <c r="AE1453" s="13" t="n">
        <f aca="false">(M1453-AVERAGE(M$2:M$2001))/STDEV(M$2:M$2001)</f>
        <v>0.835545536861045</v>
      </c>
      <c r="AF1453" s="13" t="n">
        <f aca="false">(N1453-AVERAGE(N$2:N$2001))/STDEV(N$2:N$2001)</f>
        <v>2.43698916221921</v>
      </c>
      <c r="AG1453" s="13" t="n">
        <f aca="false">(O1453-AVERAGE(O$2:O$2001))/STDEV(O$2:O$2001)</f>
        <v>2.30532785352922</v>
      </c>
      <c r="AH1453" s="0" t="str">
        <f aca="false">IF(B1453="Company","C3 - Corporate Buyers",IF(AND(H1453="Investment",M1453&gt;'Segmentation Summary'!$C$1),"C1 - Global Investors",IF(AND(I1453&gt;=4,M1453&gt;'Segmentation Summary'!$C$1),"C4 - Luxury Investors",IF(AND(D1453&lt;'Segmentation Summary'!$C$2,J1453=1),"C2 - First-Time Buyers","C5 - Other Individual Buyers"))))</f>
        <v>C1 - Global Investors</v>
      </c>
    </row>
    <row r="1454" customFormat="false" ht="15" hidden="false" customHeight="true" outlineLevel="0" collapsed="false">
      <c r="A1454" s="13" t="s">
        <v>2910</v>
      </c>
      <c r="B1454" s="13" t="s">
        <v>34</v>
      </c>
      <c r="C1454" s="13" t="s">
        <v>2911</v>
      </c>
      <c r="D1454" s="13" t="n">
        <v>50</v>
      </c>
      <c r="E1454" s="13" t="s">
        <v>90</v>
      </c>
      <c r="F1454" s="13" t="s">
        <v>33</v>
      </c>
      <c r="G1454" s="13" t="s">
        <v>95</v>
      </c>
      <c r="H1454" s="13" t="s">
        <v>43</v>
      </c>
      <c r="I1454" s="13" t="n">
        <v>3</v>
      </c>
      <c r="J1454" s="13" t="n">
        <v>0</v>
      </c>
      <c r="K1454" s="13" t="s">
        <v>116</v>
      </c>
      <c r="L1454" s="13" t="n">
        <v>4</v>
      </c>
      <c r="M1454" s="13" t="n">
        <v>1107164.17</v>
      </c>
      <c r="N1454" s="13" t="n">
        <v>276791.0425</v>
      </c>
      <c r="O1454" s="13" t="n">
        <v>932.755</v>
      </c>
      <c r="P1454" s="13" t="n">
        <v>1</v>
      </c>
      <c r="Q1454" s="13" t="n">
        <v>3</v>
      </c>
      <c r="R1454" s="13" t="s">
        <v>117</v>
      </c>
      <c r="S1454" s="13" t="s">
        <v>87</v>
      </c>
      <c r="T1454" s="13" t="n">
        <v>1</v>
      </c>
      <c r="U1454" s="13" t="n">
        <f aca="false">IF(B1454="Individual",1,0)</f>
        <v>1</v>
      </c>
      <c r="V1454" s="13" t="n">
        <f aca="false">IF(B1454="Company",1,0)</f>
        <v>0</v>
      </c>
      <c r="W1454" s="13" t="n">
        <f aca="false">IF(H1454="Home",1,0)</f>
        <v>0</v>
      </c>
      <c r="X1454" s="13" t="n">
        <f aca="false">IF(H1454="Investment",1,0)</f>
        <v>1</v>
      </c>
      <c r="Y1454" s="13" t="n">
        <f aca="false">IF(K1454="Website",1,0)</f>
        <v>0</v>
      </c>
      <c r="Z1454" s="13" t="n">
        <f aca="false">IF(K1454="Agency",1,0)</f>
        <v>0</v>
      </c>
      <c r="AA1454" s="13" t="n">
        <f aca="false">IF(K1454="Client",1,0)</f>
        <v>1</v>
      </c>
      <c r="AB1454" s="13" t="n">
        <f aca="false">(D1454-AVERAGE(D$2:D$2001))/STDEV(D$2:D$2001)</f>
        <v>-0.238549578354482</v>
      </c>
      <c r="AC1454" s="13" t="n">
        <f aca="false">(I1454-AVERAGE(I$2:I$2001))/STDEV(I$2:I$2001)</f>
        <v>-0.0205155458339628</v>
      </c>
      <c r="AD1454" s="13" t="n">
        <f aca="false">(L1454-AVERAGE(L$2:L$2001))/STDEV(L$2:L$2001)</f>
        <v>0.413838214490712</v>
      </c>
      <c r="AE1454" s="13" t="n">
        <f aca="false">(M1454-AVERAGE(M$2:M$2001))/STDEV(M$2:M$2001)</f>
        <v>-0.44047672017646</v>
      </c>
      <c r="AF1454" s="13" t="n">
        <f aca="false">(N1454-AVERAGE(N$2:N$2001))/STDEV(N$2:N$2001)</f>
        <v>-1.00827705788699</v>
      </c>
      <c r="AG1454" s="13" t="n">
        <f aca="false">(O1454-AVERAGE(O$2:O$2001))/STDEV(O$2:O$2001)</f>
        <v>-0.976364778909207</v>
      </c>
      <c r="AH1454" s="0" t="str">
        <f aca="false">IF(B1454="Company","C3 - Corporate Buyers",IF(AND(H1454="Investment",M1454&gt;'Segmentation Summary'!$C$1),"C1 - Global Investors",IF(AND(I1454&gt;=4,M1454&gt;'Segmentation Summary'!$C$1),"C4 - Luxury Investors",IF(AND(D1454&lt;'Segmentation Summary'!$C$2,J1454=1),"C2 - First-Time Buyers","C5 - Other Individual Buyers"))))</f>
        <v>C5 - Other Individual Buyers</v>
      </c>
    </row>
    <row r="1455" customFormat="false" ht="15" hidden="false" customHeight="true" outlineLevel="0" collapsed="false">
      <c r="A1455" s="13" t="s">
        <v>2912</v>
      </c>
      <c r="B1455" s="13" t="s">
        <v>34</v>
      </c>
      <c r="C1455" s="13" t="s">
        <v>2913</v>
      </c>
      <c r="D1455" s="13" t="n">
        <v>65</v>
      </c>
      <c r="E1455" s="13" t="s">
        <v>90</v>
      </c>
      <c r="F1455" s="13" t="s">
        <v>33</v>
      </c>
      <c r="G1455" s="13" t="s">
        <v>95</v>
      </c>
      <c r="H1455" s="13" t="s">
        <v>43</v>
      </c>
      <c r="I1455" s="13" t="n">
        <v>1</v>
      </c>
      <c r="J1455" s="13" t="n">
        <v>1</v>
      </c>
      <c r="K1455" s="13" t="s">
        <v>91</v>
      </c>
      <c r="L1455" s="13" t="n">
        <v>5</v>
      </c>
      <c r="M1455" s="13" t="n">
        <v>1775142.2</v>
      </c>
      <c r="N1455" s="13" t="n">
        <v>355028.44</v>
      </c>
      <c r="O1455" s="13" t="n">
        <v>1115.986</v>
      </c>
      <c r="P1455" s="13" t="n">
        <v>0</v>
      </c>
      <c r="Q1455" s="13" t="n">
        <v>5</v>
      </c>
      <c r="R1455" s="13" t="s">
        <v>86</v>
      </c>
      <c r="S1455" s="13" t="s">
        <v>87</v>
      </c>
      <c r="T1455" s="13" t="n">
        <v>1</v>
      </c>
      <c r="U1455" s="13" t="n">
        <f aca="false">IF(B1455="Individual",1,0)</f>
        <v>1</v>
      </c>
      <c r="V1455" s="13" t="n">
        <f aca="false">IF(B1455="Company",1,0)</f>
        <v>0</v>
      </c>
      <c r="W1455" s="13" t="n">
        <f aca="false">IF(H1455="Home",1,0)</f>
        <v>0</v>
      </c>
      <c r="X1455" s="13" t="n">
        <f aca="false">IF(H1455="Investment",1,0)</f>
        <v>1</v>
      </c>
      <c r="Y1455" s="13" t="n">
        <f aca="false">IF(K1455="Website",1,0)</f>
        <v>0</v>
      </c>
      <c r="Z1455" s="13" t="n">
        <f aca="false">IF(K1455="Agency",1,0)</f>
        <v>1</v>
      </c>
      <c r="AA1455" s="13" t="n">
        <f aca="false">IF(K1455="Client",1,0)</f>
        <v>0</v>
      </c>
      <c r="AB1455" s="13" t="n">
        <f aca="false">(D1455-AVERAGE(D$2:D$2001))/STDEV(D$2:D$2001)</f>
        <v>0.626387253967787</v>
      </c>
      <c r="AC1455" s="13" t="n">
        <f aca="false">(I1455-AVERAGE(I$2:I$2001))/STDEV(I$2:I$2001)</f>
        <v>-1.43538077576244</v>
      </c>
      <c r="AD1455" s="13" t="n">
        <f aca="false">(L1455-AVERAGE(L$2:L$2001))/STDEV(L$2:L$2001)</f>
        <v>1.60473955115463</v>
      </c>
      <c r="AE1455" s="13" t="n">
        <f aca="false">(M1455-AVERAGE(M$2:M$2001))/STDEV(M$2:M$2001)</f>
        <v>1.47993484080921</v>
      </c>
      <c r="AF1455" s="13" t="n">
        <f aca="false">(N1455-AVERAGE(N$2:N$2001))/STDEV(N$2:N$2001)</f>
        <v>0.113859390422259</v>
      </c>
      <c r="AG1455" s="13" t="n">
        <f aca="false">(O1455-AVERAGE(O$2:O$2001))/STDEV(O$2:O$2001)</f>
        <v>-0.143203426394959</v>
      </c>
      <c r="AH1455" s="0" t="str">
        <f aca="false">IF(B1455="Company","C3 - Corporate Buyers",IF(AND(H1455="Investment",M1455&gt;'Segmentation Summary'!$C$1),"C1 - Global Investors",IF(AND(I1455&gt;=4,M1455&gt;'Segmentation Summary'!$C$1),"C4 - Luxury Investors",IF(AND(D1455&lt;'Segmentation Summary'!$C$2,J1455=1),"C2 - First-Time Buyers","C5 - Other Individual Buyers"))))</f>
        <v>C1 - Global Investors</v>
      </c>
    </row>
    <row r="1456" customFormat="false" ht="15" hidden="false" customHeight="true" outlineLevel="0" collapsed="false">
      <c r="A1456" s="13" t="s">
        <v>2914</v>
      </c>
      <c r="B1456" s="13" t="s">
        <v>34</v>
      </c>
      <c r="C1456" s="13" t="s">
        <v>2915</v>
      </c>
      <c r="D1456" s="13" t="n">
        <v>33</v>
      </c>
      <c r="E1456" s="13" t="s">
        <v>90</v>
      </c>
      <c r="F1456" s="13" t="s">
        <v>33</v>
      </c>
      <c r="G1456" s="13" t="s">
        <v>95</v>
      </c>
      <c r="H1456" s="13" t="s">
        <v>41</v>
      </c>
      <c r="I1456" s="13" t="n">
        <v>4</v>
      </c>
      <c r="J1456" s="13" t="n">
        <v>0</v>
      </c>
      <c r="K1456" s="13" t="s">
        <v>91</v>
      </c>
      <c r="L1456" s="13" t="n">
        <v>3</v>
      </c>
      <c r="M1456" s="13" t="n">
        <v>848152.02</v>
      </c>
      <c r="N1456" s="13" t="n">
        <v>282717.34</v>
      </c>
      <c r="O1456" s="13" t="n">
        <v>1045.86666666667</v>
      </c>
      <c r="P1456" s="13" t="n">
        <v>0</v>
      </c>
      <c r="Q1456" s="13" t="n">
        <v>3</v>
      </c>
      <c r="R1456" s="13" t="s">
        <v>111</v>
      </c>
      <c r="S1456" s="13" t="s">
        <v>93</v>
      </c>
      <c r="T1456" s="13" t="n">
        <v>1</v>
      </c>
      <c r="U1456" s="13" t="n">
        <f aca="false">IF(B1456="Individual",1,0)</f>
        <v>1</v>
      </c>
      <c r="V1456" s="13" t="n">
        <f aca="false">IF(B1456="Company",1,0)</f>
        <v>0</v>
      </c>
      <c r="W1456" s="13" t="n">
        <f aca="false">IF(H1456="Home",1,0)</f>
        <v>1</v>
      </c>
      <c r="X1456" s="13" t="n">
        <f aca="false">IF(H1456="Investment",1,0)</f>
        <v>0</v>
      </c>
      <c r="Y1456" s="13" t="n">
        <f aca="false">IF(K1456="Website",1,0)</f>
        <v>0</v>
      </c>
      <c r="Z1456" s="13" t="n">
        <f aca="false">IF(K1456="Agency",1,0)</f>
        <v>1</v>
      </c>
      <c r="AA1456" s="13" t="n">
        <f aca="false">IF(K1456="Client",1,0)</f>
        <v>0</v>
      </c>
      <c r="AB1456" s="13" t="n">
        <f aca="false">(D1456-AVERAGE(D$2:D$2001))/STDEV(D$2:D$2001)</f>
        <v>-1.21881132165305</v>
      </c>
      <c r="AC1456" s="13" t="n">
        <f aca="false">(I1456-AVERAGE(I$2:I$2001))/STDEV(I$2:I$2001)</f>
        <v>0.686917069130275</v>
      </c>
      <c r="AD1456" s="13" t="n">
        <f aca="false">(L1456-AVERAGE(L$2:L$2001))/STDEV(L$2:L$2001)</f>
        <v>-0.777063122173208</v>
      </c>
      <c r="AE1456" s="13" t="n">
        <f aca="false">(M1456-AVERAGE(M$2:M$2001))/STDEV(M$2:M$2001)</f>
        <v>-1.18512685080389</v>
      </c>
      <c r="AF1456" s="13" t="n">
        <f aca="false">(N1456-AVERAGE(N$2:N$2001))/STDEV(N$2:N$2001)</f>
        <v>-0.923277880501599</v>
      </c>
      <c r="AG1456" s="13" t="n">
        <f aca="false">(O1456-AVERAGE(O$2:O$2001))/STDEV(O$2:O$2001)</f>
        <v>-0.462039860171966</v>
      </c>
      <c r="AH1456" s="0" t="str">
        <f aca="false">IF(B1456="Company","C3 - Corporate Buyers",IF(AND(H1456="Investment",M1456&gt;'Segmentation Summary'!$C$1),"C1 - Global Investors",IF(AND(I1456&gt;=4,M1456&gt;'Segmentation Summary'!$C$1),"C4 - Luxury Investors",IF(AND(D1456&lt;'Segmentation Summary'!$C$2,J1456=1),"C2 - First-Time Buyers","C5 - Other Individual Buyers"))))</f>
        <v>C5 - Other Individual Buyers</v>
      </c>
    </row>
    <row r="1457" customFormat="false" ht="15" hidden="false" customHeight="true" outlineLevel="0" collapsed="false">
      <c r="A1457" s="13" t="s">
        <v>2916</v>
      </c>
      <c r="B1457" s="13" t="s">
        <v>34</v>
      </c>
      <c r="C1457" s="13" t="s">
        <v>2917</v>
      </c>
      <c r="D1457" s="13" t="n">
        <v>32</v>
      </c>
      <c r="E1457" s="13" t="s">
        <v>90</v>
      </c>
      <c r="F1457" s="13" t="s">
        <v>33</v>
      </c>
      <c r="G1457" s="13" t="s">
        <v>162</v>
      </c>
      <c r="H1457" s="13" t="s">
        <v>41</v>
      </c>
      <c r="I1457" s="13" t="n">
        <v>2</v>
      </c>
      <c r="J1457" s="13" t="n">
        <v>1</v>
      </c>
      <c r="K1457" s="13" t="s">
        <v>91</v>
      </c>
      <c r="L1457" s="13" t="n">
        <v>4</v>
      </c>
      <c r="M1457" s="13" t="n">
        <v>1127766.02</v>
      </c>
      <c r="N1457" s="13" t="n">
        <v>281941.505</v>
      </c>
      <c r="O1457" s="13" t="n">
        <v>972.245</v>
      </c>
      <c r="P1457" s="13" t="n">
        <v>1</v>
      </c>
      <c r="Q1457" s="13" t="n">
        <v>3</v>
      </c>
      <c r="R1457" s="13" t="s">
        <v>92</v>
      </c>
      <c r="S1457" s="13" t="s">
        <v>112</v>
      </c>
      <c r="T1457" s="13" t="n">
        <v>1</v>
      </c>
      <c r="U1457" s="13" t="n">
        <f aca="false">IF(B1457="Individual",1,0)</f>
        <v>1</v>
      </c>
      <c r="V1457" s="13" t="n">
        <f aca="false">IF(B1457="Company",1,0)</f>
        <v>0</v>
      </c>
      <c r="W1457" s="13" t="n">
        <f aca="false">IF(H1457="Home",1,0)</f>
        <v>1</v>
      </c>
      <c r="X1457" s="13" t="n">
        <f aca="false">IF(H1457="Investment",1,0)</f>
        <v>0</v>
      </c>
      <c r="Y1457" s="13" t="n">
        <f aca="false">IF(K1457="Website",1,0)</f>
        <v>0</v>
      </c>
      <c r="Z1457" s="13" t="n">
        <f aca="false">IF(K1457="Agency",1,0)</f>
        <v>1</v>
      </c>
      <c r="AA1457" s="13" t="n">
        <f aca="false">IF(K1457="Client",1,0)</f>
        <v>0</v>
      </c>
      <c r="AB1457" s="13" t="n">
        <f aca="false">(D1457-AVERAGE(D$2:D$2001))/STDEV(D$2:D$2001)</f>
        <v>-1.2764737771412</v>
      </c>
      <c r="AC1457" s="13" t="n">
        <f aca="false">(I1457-AVERAGE(I$2:I$2001))/STDEV(I$2:I$2001)</f>
        <v>-0.727948160798201</v>
      </c>
      <c r="AD1457" s="13" t="n">
        <f aca="false">(L1457-AVERAGE(L$2:L$2001))/STDEV(L$2:L$2001)</f>
        <v>0.413838214490712</v>
      </c>
      <c r="AE1457" s="13" t="n">
        <f aca="false">(M1457-AVERAGE(M$2:M$2001))/STDEV(M$2:M$2001)</f>
        <v>-0.381247180968872</v>
      </c>
      <c r="AF1457" s="13" t="n">
        <f aca="false">(N1457-AVERAGE(N$2:N$2001))/STDEV(N$2:N$2001)</f>
        <v>-0.934405458350466</v>
      </c>
      <c r="AG1457" s="13" t="n">
        <f aca="false">(O1457-AVERAGE(O$2:O$2001))/STDEV(O$2:O$2001)</f>
        <v>-0.796801594672983</v>
      </c>
      <c r="AH1457" s="0" t="str">
        <f aca="false">IF(B1457="Company","C3 - Corporate Buyers",IF(AND(H1457="Investment",M1457&gt;'Segmentation Summary'!$C$1),"C1 - Global Investors",IF(AND(I1457&gt;=4,M1457&gt;'Segmentation Summary'!$C$1),"C4 - Luxury Investors",IF(AND(D1457&lt;'Segmentation Summary'!$C$2,J1457=1),"C2 - First-Time Buyers","C5 - Other Individual Buyers"))))</f>
        <v>C2 - First-Time Buyers</v>
      </c>
    </row>
    <row r="1458" customFormat="false" ht="15" hidden="false" customHeight="true" outlineLevel="0" collapsed="false">
      <c r="A1458" s="13" t="s">
        <v>2918</v>
      </c>
      <c r="B1458" s="13" t="s">
        <v>34</v>
      </c>
      <c r="C1458" s="13" t="s">
        <v>2917</v>
      </c>
      <c r="D1458" s="13" t="n">
        <v>67</v>
      </c>
      <c r="E1458" s="13" t="s">
        <v>90</v>
      </c>
      <c r="F1458" s="13" t="s">
        <v>33</v>
      </c>
      <c r="G1458" s="13" t="s">
        <v>95</v>
      </c>
      <c r="H1458" s="13" t="s">
        <v>43</v>
      </c>
      <c r="I1458" s="13" t="n">
        <v>5</v>
      </c>
      <c r="J1458" s="13" t="n">
        <v>0</v>
      </c>
      <c r="K1458" s="13" t="s">
        <v>85</v>
      </c>
      <c r="L1458" s="13" t="n">
        <v>3</v>
      </c>
      <c r="M1458" s="13" t="n">
        <v>941726.19</v>
      </c>
      <c r="N1458" s="13" t="n">
        <v>313908.73</v>
      </c>
      <c r="O1458" s="13" t="n">
        <v>1140.4</v>
      </c>
      <c r="P1458" s="13" t="n">
        <v>0</v>
      </c>
      <c r="Q1458" s="13" t="n">
        <v>3</v>
      </c>
      <c r="R1458" s="13" t="s">
        <v>86</v>
      </c>
      <c r="S1458" s="13" t="s">
        <v>114</v>
      </c>
      <c r="T1458" s="13" t="n">
        <v>1</v>
      </c>
      <c r="U1458" s="13" t="n">
        <f aca="false">IF(B1458="Individual",1,0)</f>
        <v>1</v>
      </c>
      <c r="V1458" s="13" t="n">
        <f aca="false">IF(B1458="Company",1,0)</f>
        <v>0</v>
      </c>
      <c r="W1458" s="13" t="n">
        <f aca="false">IF(H1458="Home",1,0)</f>
        <v>0</v>
      </c>
      <c r="X1458" s="13" t="n">
        <f aca="false">IF(H1458="Investment",1,0)</f>
        <v>1</v>
      </c>
      <c r="Y1458" s="13" t="n">
        <f aca="false">IF(K1458="Website",1,0)</f>
        <v>1</v>
      </c>
      <c r="Z1458" s="13" t="n">
        <f aca="false">IF(K1458="Agency",1,0)</f>
        <v>0</v>
      </c>
      <c r="AA1458" s="13" t="n">
        <f aca="false">IF(K1458="Client",1,0)</f>
        <v>0</v>
      </c>
      <c r="AB1458" s="13" t="n">
        <f aca="false">(D1458-AVERAGE(D$2:D$2001))/STDEV(D$2:D$2001)</f>
        <v>0.741712164944089</v>
      </c>
      <c r="AC1458" s="13" t="n">
        <f aca="false">(I1458-AVERAGE(I$2:I$2001))/STDEV(I$2:I$2001)</f>
        <v>1.39434968409451</v>
      </c>
      <c r="AD1458" s="13" t="n">
        <f aca="false">(L1458-AVERAGE(L$2:L$2001))/STDEV(L$2:L$2001)</f>
        <v>-0.777063122173208</v>
      </c>
      <c r="AE1458" s="13" t="n">
        <f aca="false">(M1458-AVERAGE(M$2:M$2001))/STDEV(M$2:M$2001)</f>
        <v>-0.916104652756992</v>
      </c>
      <c r="AF1458" s="13" t="n">
        <f aca="false">(N1458-AVERAGE(N$2:N$2001))/STDEV(N$2:N$2001)</f>
        <v>-0.475908761501588</v>
      </c>
      <c r="AG1458" s="13" t="n">
        <f aca="false">(O1458-AVERAGE(O$2:O$2001))/STDEV(O$2:O$2001)</f>
        <v>-0.0321916365761905</v>
      </c>
      <c r="AH1458" s="0" t="str">
        <f aca="false">IF(B1458="Company","C3 - Corporate Buyers",IF(AND(H1458="Investment",M1458&gt;'Segmentation Summary'!$C$1),"C1 - Global Investors",IF(AND(I1458&gt;=4,M1458&gt;'Segmentation Summary'!$C$1),"C4 - Luxury Investors",IF(AND(D1458&lt;'Segmentation Summary'!$C$2,J1458=1),"C2 - First-Time Buyers","C5 - Other Individual Buyers"))))</f>
        <v>C5 - Other Individual Buyers</v>
      </c>
    </row>
    <row r="1459" customFormat="false" ht="15" hidden="false" customHeight="true" outlineLevel="0" collapsed="false">
      <c r="A1459" s="13" t="s">
        <v>2919</v>
      </c>
      <c r="B1459" s="13" t="s">
        <v>34</v>
      </c>
      <c r="C1459" s="13" t="s">
        <v>2920</v>
      </c>
      <c r="D1459" s="13" t="n">
        <v>81</v>
      </c>
      <c r="E1459" s="13" t="s">
        <v>90</v>
      </c>
      <c r="F1459" s="13" t="s">
        <v>33</v>
      </c>
      <c r="G1459" s="13" t="s">
        <v>162</v>
      </c>
      <c r="H1459" s="13" t="s">
        <v>41</v>
      </c>
      <c r="I1459" s="13" t="n">
        <v>1</v>
      </c>
      <c r="J1459" s="13" t="n">
        <v>0</v>
      </c>
      <c r="K1459" s="13" t="s">
        <v>85</v>
      </c>
      <c r="L1459" s="13" t="n">
        <v>3</v>
      </c>
      <c r="M1459" s="13" t="n">
        <v>1084957.53</v>
      </c>
      <c r="N1459" s="13" t="n">
        <v>361652.51</v>
      </c>
      <c r="O1459" s="13" t="n">
        <v>1263.86333333333</v>
      </c>
      <c r="P1459" s="13" t="n">
        <v>1</v>
      </c>
      <c r="Q1459" s="13" t="n">
        <v>2</v>
      </c>
      <c r="R1459" s="13" t="s">
        <v>93</v>
      </c>
      <c r="S1459" s="13" t="s">
        <v>87</v>
      </c>
      <c r="T1459" s="13" t="n">
        <v>1</v>
      </c>
      <c r="U1459" s="13" t="n">
        <f aca="false">IF(B1459="Individual",1,0)</f>
        <v>1</v>
      </c>
      <c r="V1459" s="13" t="n">
        <f aca="false">IF(B1459="Company",1,0)</f>
        <v>0</v>
      </c>
      <c r="W1459" s="13" t="n">
        <f aca="false">IF(H1459="Home",1,0)</f>
        <v>1</v>
      </c>
      <c r="X1459" s="13" t="n">
        <f aca="false">IF(H1459="Investment",1,0)</f>
        <v>0</v>
      </c>
      <c r="Y1459" s="13" t="n">
        <f aca="false">IF(K1459="Website",1,0)</f>
        <v>1</v>
      </c>
      <c r="Z1459" s="13" t="n">
        <f aca="false">IF(K1459="Agency",1,0)</f>
        <v>0</v>
      </c>
      <c r="AA1459" s="13" t="n">
        <f aca="false">IF(K1459="Client",1,0)</f>
        <v>0</v>
      </c>
      <c r="AB1459" s="13" t="n">
        <f aca="false">(D1459-AVERAGE(D$2:D$2001))/STDEV(D$2:D$2001)</f>
        <v>1.54898654177821</v>
      </c>
      <c r="AC1459" s="13" t="n">
        <f aca="false">(I1459-AVERAGE(I$2:I$2001))/STDEV(I$2:I$2001)</f>
        <v>-1.43538077576244</v>
      </c>
      <c r="AD1459" s="13" t="n">
        <f aca="false">(L1459-AVERAGE(L$2:L$2001))/STDEV(L$2:L$2001)</f>
        <v>-0.777063122173208</v>
      </c>
      <c r="AE1459" s="13" t="n">
        <f aca="false">(M1459-AVERAGE(M$2:M$2001))/STDEV(M$2:M$2001)</f>
        <v>-0.504319969911256</v>
      </c>
      <c r="AF1459" s="13" t="n">
        <f aca="false">(N1459-AVERAGE(N$2:N$2001))/STDEV(N$2:N$2001)</f>
        <v>0.208866517712656</v>
      </c>
      <c r="AG1459" s="13" t="n">
        <f aca="false">(O1459-AVERAGE(O$2:O$2001))/STDEV(O$2:O$2001)</f>
        <v>0.52920287519264</v>
      </c>
      <c r="AH1459" s="0" t="str">
        <f aca="false">IF(B1459="Company","C3 - Corporate Buyers",IF(AND(H1459="Investment",M1459&gt;'Segmentation Summary'!$C$1),"C1 - Global Investors",IF(AND(I1459&gt;=4,M1459&gt;'Segmentation Summary'!$C$1),"C4 - Luxury Investors",IF(AND(D1459&lt;'Segmentation Summary'!$C$2,J1459=1),"C2 - First-Time Buyers","C5 - Other Individual Buyers"))))</f>
        <v>C5 - Other Individual Buyers</v>
      </c>
    </row>
    <row r="1460" customFormat="false" ht="15" hidden="false" customHeight="true" outlineLevel="0" collapsed="false">
      <c r="A1460" s="13" t="s">
        <v>2921</v>
      </c>
      <c r="B1460" s="13" t="s">
        <v>34</v>
      </c>
      <c r="C1460" s="13" t="s">
        <v>2922</v>
      </c>
      <c r="D1460" s="13" t="n">
        <v>32</v>
      </c>
      <c r="E1460" s="13" t="s">
        <v>90</v>
      </c>
      <c r="F1460" s="13" t="s">
        <v>33</v>
      </c>
      <c r="G1460" s="13" t="s">
        <v>95</v>
      </c>
      <c r="H1460" s="13" t="s">
        <v>41</v>
      </c>
      <c r="I1460" s="13" t="n">
        <v>3</v>
      </c>
      <c r="J1460" s="13" t="n">
        <v>1</v>
      </c>
      <c r="K1460" s="13" t="s">
        <v>85</v>
      </c>
      <c r="L1460" s="13" t="n">
        <v>3</v>
      </c>
      <c r="M1460" s="13" t="n">
        <v>1275663.27</v>
      </c>
      <c r="N1460" s="13" t="n">
        <v>425221.09</v>
      </c>
      <c r="O1460" s="13" t="n">
        <v>1221.67666666667</v>
      </c>
      <c r="P1460" s="13" t="n">
        <v>0</v>
      </c>
      <c r="Q1460" s="13" t="n">
        <v>3</v>
      </c>
      <c r="R1460" s="13" t="s">
        <v>117</v>
      </c>
      <c r="S1460" s="13" t="s">
        <v>112</v>
      </c>
      <c r="T1460" s="13" t="n">
        <v>1</v>
      </c>
      <c r="U1460" s="13" t="n">
        <f aca="false">IF(B1460="Individual",1,0)</f>
        <v>1</v>
      </c>
      <c r="V1460" s="13" t="n">
        <f aca="false">IF(B1460="Company",1,0)</f>
        <v>0</v>
      </c>
      <c r="W1460" s="13" t="n">
        <f aca="false">IF(H1460="Home",1,0)</f>
        <v>1</v>
      </c>
      <c r="X1460" s="13" t="n">
        <f aca="false">IF(H1460="Investment",1,0)</f>
        <v>0</v>
      </c>
      <c r="Y1460" s="13" t="n">
        <f aca="false">IF(K1460="Website",1,0)</f>
        <v>1</v>
      </c>
      <c r="Z1460" s="13" t="n">
        <f aca="false">IF(K1460="Agency",1,0)</f>
        <v>0</v>
      </c>
      <c r="AA1460" s="13" t="n">
        <f aca="false">IF(K1460="Client",1,0)</f>
        <v>0</v>
      </c>
      <c r="AB1460" s="13" t="n">
        <f aca="false">(D1460-AVERAGE(D$2:D$2001))/STDEV(D$2:D$2001)</f>
        <v>-1.2764737771412</v>
      </c>
      <c r="AC1460" s="13" t="n">
        <f aca="false">(I1460-AVERAGE(I$2:I$2001))/STDEV(I$2:I$2001)</f>
        <v>-0.0205155458339628</v>
      </c>
      <c r="AD1460" s="13" t="n">
        <f aca="false">(L1460-AVERAGE(L$2:L$2001))/STDEV(L$2:L$2001)</f>
        <v>-0.777063122173208</v>
      </c>
      <c r="AE1460" s="13" t="n">
        <f aca="false">(M1460-AVERAGE(M$2:M$2001))/STDEV(M$2:M$2001)</f>
        <v>0.0439518165759854</v>
      </c>
      <c r="AF1460" s="13" t="n">
        <f aca="false">(N1460-AVERAGE(N$2:N$2001))/STDEV(N$2:N$2001)</f>
        <v>1.12061234342551</v>
      </c>
      <c r="AG1460" s="13" t="n">
        <f aca="false">(O1460-AVERAGE(O$2:O$2001))/STDEV(O$2:O$2001)</f>
        <v>0.337377800516072</v>
      </c>
      <c r="AH1460" s="0" t="str">
        <f aca="false">IF(B1460="Company","C3 - Corporate Buyers",IF(AND(H1460="Investment",M1460&gt;'Segmentation Summary'!$C$1),"C1 - Global Investors",IF(AND(I1460&gt;=4,M1460&gt;'Segmentation Summary'!$C$1),"C4 - Luxury Investors",IF(AND(D1460&lt;'Segmentation Summary'!$C$2,J1460=1),"C2 - First-Time Buyers","C5 - Other Individual Buyers"))))</f>
        <v>C2 - First-Time Buyers</v>
      </c>
    </row>
    <row r="1461" customFormat="false" ht="15" hidden="false" customHeight="true" outlineLevel="0" collapsed="false">
      <c r="A1461" s="13" t="s">
        <v>2923</v>
      </c>
      <c r="B1461" s="13" t="s">
        <v>34</v>
      </c>
      <c r="C1461" s="13" t="s">
        <v>2924</v>
      </c>
      <c r="D1461" s="13" t="n">
        <v>82</v>
      </c>
      <c r="E1461" s="13" t="s">
        <v>90</v>
      </c>
      <c r="F1461" s="13" t="s">
        <v>38</v>
      </c>
      <c r="G1461" s="13" t="s">
        <v>475</v>
      </c>
      <c r="H1461" s="13" t="s">
        <v>41</v>
      </c>
      <c r="I1461" s="13" t="n">
        <v>3</v>
      </c>
      <c r="J1461" s="13" t="n">
        <v>1</v>
      </c>
      <c r="K1461" s="13" t="s">
        <v>85</v>
      </c>
      <c r="L1461" s="13" t="n">
        <v>4</v>
      </c>
      <c r="M1461" s="13" t="n">
        <v>1620159.73</v>
      </c>
      <c r="N1461" s="13" t="n">
        <v>405039.9325</v>
      </c>
      <c r="O1461" s="13" t="n">
        <v>1365.945</v>
      </c>
      <c r="P1461" s="13" t="n">
        <v>1</v>
      </c>
      <c r="Q1461" s="13" t="n">
        <v>3</v>
      </c>
      <c r="R1461" s="13" t="s">
        <v>121</v>
      </c>
      <c r="S1461" s="13" t="s">
        <v>114</v>
      </c>
      <c r="T1461" s="13" t="n">
        <v>1</v>
      </c>
      <c r="U1461" s="13" t="n">
        <f aca="false">IF(B1461="Individual",1,0)</f>
        <v>1</v>
      </c>
      <c r="V1461" s="13" t="n">
        <f aca="false">IF(B1461="Company",1,0)</f>
        <v>0</v>
      </c>
      <c r="W1461" s="13" t="n">
        <f aca="false">IF(H1461="Home",1,0)</f>
        <v>1</v>
      </c>
      <c r="X1461" s="13" t="n">
        <f aca="false">IF(H1461="Investment",1,0)</f>
        <v>0</v>
      </c>
      <c r="Y1461" s="13" t="n">
        <f aca="false">IF(K1461="Website",1,0)</f>
        <v>1</v>
      </c>
      <c r="Z1461" s="13" t="n">
        <f aca="false">IF(K1461="Agency",1,0)</f>
        <v>0</v>
      </c>
      <c r="AA1461" s="13" t="n">
        <f aca="false">IF(K1461="Client",1,0)</f>
        <v>0</v>
      </c>
      <c r="AB1461" s="13" t="n">
        <f aca="false">(D1461-AVERAGE(D$2:D$2001))/STDEV(D$2:D$2001)</f>
        <v>1.60664899726636</v>
      </c>
      <c r="AC1461" s="13" t="n">
        <f aca="false">(I1461-AVERAGE(I$2:I$2001))/STDEV(I$2:I$2001)</f>
        <v>-0.0205155458339628</v>
      </c>
      <c r="AD1461" s="13" t="n">
        <f aca="false">(L1461-AVERAGE(L$2:L$2001))/STDEV(L$2:L$2001)</f>
        <v>0.413838214490712</v>
      </c>
      <c r="AE1461" s="13" t="n">
        <f aca="false">(M1461-AVERAGE(M$2:M$2001))/STDEV(M$2:M$2001)</f>
        <v>1.03436610385822</v>
      </c>
      <c r="AF1461" s="13" t="n">
        <f aca="false">(N1461-AVERAGE(N$2:N$2001))/STDEV(N$2:N$2001)</f>
        <v>0.831159816584757</v>
      </c>
      <c r="AG1461" s="13" t="n">
        <f aca="false">(O1461-AVERAGE(O$2:O$2001))/STDEV(O$2:O$2001)</f>
        <v>0.993373782227537</v>
      </c>
      <c r="AH1461" s="0" t="str">
        <f aca="false">IF(B1461="Company","C3 - Corporate Buyers",IF(AND(H1461="Investment",M1461&gt;'Segmentation Summary'!$C$1),"C1 - Global Investors",IF(AND(I1461&gt;=4,M1461&gt;'Segmentation Summary'!$C$1),"C4 - Luxury Investors",IF(AND(D1461&lt;'Segmentation Summary'!$C$2,J1461=1),"C2 - First-Time Buyers","C5 - Other Individual Buyers"))))</f>
        <v>C5 - Other Individual Buyers</v>
      </c>
    </row>
    <row r="1462" customFormat="false" ht="15" hidden="false" customHeight="true" outlineLevel="0" collapsed="false">
      <c r="A1462" s="13" t="s">
        <v>2925</v>
      </c>
      <c r="B1462" s="13" t="s">
        <v>34</v>
      </c>
      <c r="C1462" s="13" t="s">
        <v>2926</v>
      </c>
      <c r="D1462" s="13" t="n">
        <v>70</v>
      </c>
      <c r="E1462" s="13" t="s">
        <v>90</v>
      </c>
      <c r="F1462" s="13" t="s">
        <v>33</v>
      </c>
      <c r="G1462" s="13" t="s">
        <v>120</v>
      </c>
      <c r="H1462" s="13" t="s">
        <v>41</v>
      </c>
      <c r="I1462" s="13" t="n">
        <v>2</v>
      </c>
      <c r="J1462" s="13" t="n">
        <v>0</v>
      </c>
      <c r="K1462" s="13" t="s">
        <v>91</v>
      </c>
      <c r="L1462" s="13" t="n">
        <v>3</v>
      </c>
      <c r="M1462" s="13" t="n">
        <v>1530233</v>
      </c>
      <c r="N1462" s="13" t="n">
        <v>510077.666666667</v>
      </c>
      <c r="O1462" s="13" t="n">
        <v>1527.86333333333</v>
      </c>
      <c r="P1462" s="13" t="n">
        <v>0</v>
      </c>
      <c r="Q1462" s="13" t="n">
        <v>3</v>
      </c>
      <c r="R1462" s="13" t="s">
        <v>101</v>
      </c>
      <c r="S1462" s="13" t="s">
        <v>164</v>
      </c>
      <c r="T1462" s="13" t="n">
        <v>1</v>
      </c>
      <c r="U1462" s="13" t="n">
        <f aca="false">IF(B1462="Individual",1,0)</f>
        <v>1</v>
      </c>
      <c r="V1462" s="13" t="n">
        <f aca="false">IF(B1462="Company",1,0)</f>
        <v>0</v>
      </c>
      <c r="W1462" s="13" t="n">
        <f aca="false">IF(H1462="Home",1,0)</f>
        <v>1</v>
      </c>
      <c r="X1462" s="13" t="n">
        <f aca="false">IF(H1462="Investment",1,0)</f>
        <v>0</v>
      </c>
      <c r="Y1462" s="13" t="n">
        <f aca="false">IF(K1462="Website",1,0)</f>
        <v>0</v>
      </c>
      <c r="Z1462" s="13" t="n">
        <f aca="false">IF(K1462="Agency",1,0)</f>
        <v>1</v>
      </c>
      <c r="AA1462" s="13" t="n">
        <f aca="false">IF(K1462="Client",1,0)</f>
        <v>0</v>
      </c>
      <c r="AB1462" s="13" t="n">
        <f aca="false">(D1462-AVERAGE(D$2:D$2001))/STDEV(D$2:D$2001)</f>
        <v>0.914699531408543</v>
      </c>
      <c r="AC1462" s="13" t="n">
        <f aca="false">(I1462-AVERAGE(I$2:I$2001))/STDEV(I$2:I$2001)</f>
        <v>-0.727948160798201</v>
      </c>
      <c r="AD1462" s="13" t="n">
        <f aca="false">(L1462-AVERAGE(L$2:L$2001))/STDEV(L$2:L$2001)</f>
        <v>-0.777063122173208</v>
      </c>
      <c r="AE1462" s="13" t="n">
        <f aca="false">(M1462-AVERAGE(M$2:M$2001))/STDEV(M$2:M$2001)</f>
        <v>0.775830157797779</v>
      </c>
      <c r="AF1462" s="13" t="n">
        <f aca="false">(N1462-AVERAGE(N$2:N$2001))/STDEV(N$2:N$2001)</f>
        <v>2.33768577121195</v>
      </c>
      <c r="AG1462" s="13" t="n">
        <f aca="false">(O1462-AVERAGE(O$2:O$2001))/STDEV(O$2:O$2001)</f>
        <v>1.72962527677186</v>
      </c>
      <c r="AH1462" s="0" t="str">
        <f aca="false">IF(B1462="Company","C3 - Corporate Buyers",IF(AND(H1462="Investment",M1462&gt;'Segmentation Summary'!$C$1),"C1 - Global Investors",IF(AND(I1462&gt;=4,M1462&gt;'Segmentation Summary'!$C$1),"C4 - Luxury Investors",IF(AND(D1462&lt;'Segmentation Summary'!$C$2,J1462=1),"C2 - First-Time Buyers","C5 - Other Individual Buyers"))))</f>
        <v>C5 - Other Individual Buyers</v>
      </c>
    </row>
    <row r="1463" customFormat="false" ht="15" hidden="false" customHeight="true" outlineLevel="0" collapsed="false">
      <c r="A1463" s="13" t="s">
        <v>2927</v>
      </c>
      <c r="B1463" s="13" t="s">
        <v>34</v>
      </c>
      <c r="C1463" s="13" t="s">
        <v>2926</v>
      </c>
      <c r="D1463" s="13" t="n">
        <v>47</v>
      </c>
      <c r="E1463" s="13" t="s">
        <v>90</v>
      </c>
      <c r="F1463" s="13" t="s">
        <v>33</v>
      </c>
      <c r="G1463" s="13" t="s">
        <v>97</v>
      </c>
      <c r="H1463" s="13" t="s">
        <v>41</v>
      </c>
      <c r="I1463" s="13" t="n">
        <v>4</v>
      </c>
      <c r="J1463" s="13" t="n">
        <v>0</v>
      </c>
      <c r="K1463" s="13" t="s">
        <v>85</v>
      </c>
      <c r="L1463" s="13" t="n">
        <v>4</v>
      </c>
      <c r="M1463" s="13" t="n">
        <v>1055406.17</v>
      </c>
      <c r="N1463" s="13" t="n">
        <v>263851.5425</v>
      </c>
      <c r="O1463" s="13" t="n">
        <v>901.245</v>
      </c>
      <c r="P1463" s="13" t="n">
        <v>1</v>
      </c>
      <c r="Q1463" s="13" t="n">
        <v>3</v>
      </c>
      <c r="R1463" s="13" t="s">
        <v>92</v>
      </c>
      <c r="S1463" s="13" t="s">
        <v>133</v>
      </c>
      <c r="T1463" s="13" t="n">
        <v>1</v>
      </c>
      <c r="U1463" s="13" t="n">
        <f aca="false">IF(B1463="Individual",1,0)</f>
        <v>1</v>
      </c>
      <c r="V1463" s="13" t="n">
        <f aca="false">IF(B1463="Company",1,0)</f>
        <v>0</v>
      </c>
      <c r="W1463" s="13" t="n">
        <f aca="false">IF(H1463="Home",1,0)</f>
        <v>1</v>
      </c>
      <c r="X1463" s="13" t="n">
        <f aca="false">IF(H1463="Investment",1,0)</f>
        <v>0</v>
      </c>
      <c r="Y1463" s="13" t="n">
        <f aca="false">IF(K1463="Website",1,0)</f>
        <v>1</v>
      </c>
      <c r="Z1463" s="13" t="n">
        <f aca="false">IF(K1463="Agency",1,0)</f>
        <v>0</v>
      </c>
      <c r="AA1463" s="13" t="n">
        <f aca="false">IF(K1463="Client",1,0)</f>
        <v>0</v>
      </c>
      <c r="AB1463" s="13" t="n">
        <f aca="false">(D1463-AVERAGE(D$2:D$2001))/STDEV(D$2:D$2001)</f>
        <v>-0.411536944818935</v>
      </c>
      <c r="AC1463" s="13" t="n">
        <f aca="false">(I1463-AVERAGE(I$2:I$2001))/STDEV(I$2:I$2001)</f>
        <v>0.686917069130275</v>
      </c>
      <c r="AD1463" s="13" t="n">
        <f aca="false">(L1463-AVERAGE(L$2:L$2001))/STDEV(L$2:L$2001)</f>
        <v>0.413838214490712</v>
      </c>
      <c r="AE1463" s="13" t="n">
        <f aca="false">(M1463-AVERAGE(M$2:M$2001))/STDEV(M$2:M$2001)</f>
        <v>-0.58927901173311</v>
      </c>
      <c r="AF1463" s="13" t="n">
        <f aca="false">(N1463-AVERAGE(N$2:N$2001))/STDEV(N$2:N$2001)</f>
        <v>-1.19386457788211</v>
      </c>
      <c r="AG1463" s="13" t="n">
        <f aca="false">(O1463-AVERAGE(O$2:O$2001))/STDEV(O$2:O$2001)</f>
        <v>-1.11964246782497</v>
      </c>
      <c r="AH1463" s="0" t="str">
        <f aca="false">IF(B1463="Company","C3 - Corporate Buyers",IF(AND(H1463="Investment",M1463&gt;'Segmentation Summary'!$C$1),"C1 - Global Investors",IF(AND(I1463&gt;=4,M1463&gt;'Segmentation Summary'!$C$1),"C4 - Luxury Investors",IF(AND(D1463&lt;'Segmentation Summary'!$C$2,J1463=1),"C2 - First-Time Buyers","C5 - Other Individual Buyers"))))</f>
        <v>C5 - Other Individual Buyers</v>
      </c>
    </row>
    <row r="1464" customFormat="false" ht="15" hidden="false" customHeight="true" outlineLevel="0" collapsed="false">
      <c r="A1464" s="13" t="s">
        <v>2928</v>
      </c>
      <c r="B1464" s="13" t="s">
        <v>34</v>
      </c>
      <c r="C1464" s="13" t="s">
        <v>2929</v>
      </c>
      <c r="D1464" s="13" t="n">
        <v>30</v>
      </c>
      <c r="E1464" s="13" t="s">
        <v>90</v>
      </c>
      <c r="F1464" s="13" t="s">
        <v>33</v>
      </c>
      <c r="G1464" s="13" t="s">
        <v>110</v>
      </c>
      <c r="H1464" s="13" t="s">
        <v>41</v>
      </c>
      <c r="I1464" s="13" t="n">
        <v>5</v>
      </c>
      <c r="J1464" s="13" t="n">
        <v>1</v>
      </c>
      <c r="K1464" s="13" t="s">
        <v>85</v>
      </c>
      <c r="L1464" s="13" t="n">
        <v>4</v>
      </c>
      <c r="M1464" s="13" t="n">
        <v>1323884.11</v>
      </c>
      <c r="N1464" s="13" t="n">
        <v>330971.0275</v>
      </c>
      <c r="O1464" s="13" t="n">
        <v>1047.99</v>
      </c>
      <c r="P1464" s="13" t="n">
        <v>0</v>
      </c>
      <c r="Q1464" s="13" t="n">
        <v>4</v>
      </c>
      <c r="R1464" s="13" t="s">
        <v>121</v>
      </c>
      <c r="S1464" s="13" t="s">
        <v>133</v>
      </c>
      <c r="T1464" s="13" t="n">
        <v>1</v>
      </c>
      <c r="U1464" s="13" t="n">
        <f aca="false">IF(B1464="Individual",1,0)</f>
        <v>1</v>
      </c>
      <c r="V1464" s="13" t="n">
        <f aca="false">IF(B1464="Company",1,0)</f>
        <v>0</v>
      </c>
      <c r="W1464" s="13" t="n">
        <f aca="false">IF(H1464="Home",1,0)</f>
        <v>1</v>
      </c>
      <c r="X1464" s="13" t="n">
        <f aca="false">IF(H1464="Investment",1,0)</f>
        <v>0</v>
      </c>
      <c r="Y1464" s="13" t="n">
        <f aca="false">IF(K1464="Website",1,0)</f>
        <v>1</v>
      </c>
      <c r="Z1464" s="13" t="n">
        <f aca="false">IF(K1464="Agency",1,0)</f>
        <v>0</v>
      </c>
      <c r="AA1464" s="13" t="n">
        <f aca="false">IF(K1464="Client",1,0)</f>
        <v>0</v>
      </c>
      <c r="AB1464" s="13" t="n">
        <f aca="false">(D1464-AVERAGE(D$2:D$2001))/STDEV(D$2:D$2001)</f>
        <v>-1.39179868811751</v>
      </c>
      <c r="AC1464" s="13" t="n">
        <f aca="false">(I1464-AVERAGE(I$2:I$2001))/STDEV(I$2:I$2001)</f>
        <v>1.39434968409451</v>
      </c>
      <c r="AD1464" s="13" t="n">
        <f aca="false">(L1464-AVERAGE(L$2:L$2001))/STDEV(L$2:L$2001)</f>
        <v>0.413838214490712</v>
      </c>
      <c r="AE1464" s="13" t="n">
        <f aca="false">(M1464-AVERAGE(M$2:M$2001))/STDEV(M$2:M$2001)</f>
        <v>0.182584906973346</v>
      </c>
      <c r="AF1464" s="13" t="n">
        <f aca="false">(N1464-AVERAGE(N$2:N$2001))/STDEV(N$2:N$2001)</f>
        <v>-0.231189144944227</v>
      </c>
      <c r="AG1464" s="13" t="n">
        <f aca="false">(O1464-AVERAGE(O$2:O$2001))/STDEV(O$2:O$2001)</f>
        <v>-0.452384947674431</v>
      </c>
      <c r="AH1464" s="0" t="str">
        <f aca="false">IF(B1464="Company","C3 - Corporate Buyers",IF(AND(H1464="Investment",M1464&gt;'Segmentation Summary'!$C$1),"C1 - Global Investors",IF(AND(I1464&gt;=4,M1464&gt;'Segmentation Summary'!$C$1),"C4 - Luxury Investors",IF(AND(D1464&lt;'Segmentation Summary'!$C$2,J1464=1),"C2 - First-Time Buyers","C5 - Other Individual Buyers"))))</f>
        <v>C4 - Luxury Investors</v>
      </c>
    </row>
    <row r="1465" customFormat="false" ht="15" hidden="false" customHeight="true" outlineLevel="0" collapsed="false">
      <c r="A1465" s="13" t="s">
        <v>2930</v>
      </c>
      <c r="B1465" s="13" t="s">
        <v>34</v>
      </c>
      <c r="C1465" s="13" t="s">
        <v>2931</v>
      </c>
      <c r="D1465" s="13" t="n">
        <v>61</v>
      </c>
      <c r="E1465" s="13" t="s">
        <v>90</v>
      </c>
      <c r="F1465" s="13" t="s">
        <v>33</v>
      </c>
      <c r="G1465" s="13" t="s">
        <v>95</v>
      </c>
      <c r="H1465" s="13" t="s">
        <v>41</v>
      </c>
      <c r="I1465" s="13" t="n">
        <v>1</v>
      </c>
      <c r="J1465" s="13" t="n">
        <v>1</v>
      </c>
      <c r="K1465" s="13" t="s">
        <v>85</v>
      </c>
      <c r="L1465" s="13" t="n">
        <v>4</v>
      </c>
      <c r="M1465" s="13" t="n">
        <v>1561824.93</v>
      </c>
      <c r="N1465" s="13" t="n">
        <v>390456.2325</v>
      </c>
      <c r="O1465" s="13" t="n">
        <v>1342.7925</v>
      </c>
      <c r="P1465" s="13" t="n">
        <v>0</v>
      </c>
      <c r="Q1465" s="13" t="n">
        <v>4</v>
      </c>
      <c r="R1465" s="13" t="s">
        <v>121</v>
      </c>
      <c r="S1465" s="13" t="s">
        <v>133</v>
      </c>
      <c r="T1465" s="13" t="n">
        <v>1</v>
      </c>
      <c r="U1465" s="13" t="n">
        <f aca="false">IF(B1465="Individual",1,0)</f>
        <v>1</v>
      </c>
      <c r="V1465" s="13" t="n">
        <f aca="false">IF(B1465="Company",1,0)</f>
        <v>0</v>
      </c>
      <c r="W1465" s="13" t="n">
        <f aca="false">IF(H1465="Home",1,0)</f>
        <v>1</v>
      </c>
      <c r="X1465" s="13" t="n">
        <f aca="false">IF(H1465="Investment",1,0)</f>
        <v>0</v>
      </c>
      <c r="Y1465" s="13" t="n">
        <f aca="false">IF(K1465="Website",1,0)</f>
        <v>1</v>
      </c>
      <c r="Z1465" s="13" t="n">
        <f aca="false">IF(K1465="Agency",1,0)</f>
        <v>0</v>
      </c>
      <c r="AA1465" s="13" t="n">
        <f aca="false">IF(K1465="Client",1,0)</f>
        <v>0</v>
      </c>
      <c r="AB1465" s="13" t="n">
        <f aca="false">(D1465-AVERAGE(D$2:D$2001))/STDEV(D$2:D$2001)</f>
        <v>0.395737432015182</v>
      </c>
      <c r="AC1465" s="13" t="n">
        <f aca="false">(I1465-AVERAGE(I$2:I$2001))/STDEV(I$2:I$2001)</f>
        <v>-1.43538077576244</v>
      </c>
      <c r="AD1465" s="13" t="n">
        <f aca="false">(L1465-AVERAGE(L$2:L$2001))/STDEV(L$2:L$2001)</f>
        <v>0.413838214490712</v>
      </c>
      <c r="AE1465" s="13" t="n">
        <f aca="false">(M1465-AVERAGE(M$2:M$2001))/STDEV(M$2:M$2001)</f>
        <v>0.866655761157593</v>
      </c>
      <c r="AF1465" s="13" t="n">
        <f aca="false">(N1465-AVERAGE(N$2:N$2001))/STDEV(N$2:N$2001)</f>
        <v>0.621990009764334</v>
      </c>
      <c r="AG1465" s="13" t="n">
        <f aca="false">(O1465-AVERAGE(O$2:O$2001))/STDEV(O$2:O$2001)</f>
        <v>0.888098101725406</v>
      </c>
      <c r="AH1465" s="0" t="str">
        <f aca="false">IF(B1465="Company","C3 - Corporate Buyers",IF(AND(H1465="Investment",M1465&gt;'Segmentation Summary'!$C$1),"C1 - Global Investors",IF(AND(I1465&gt;=4,M1465&gt;'Segmentation Summary'!$C$1),"C4 - Luxury Investors",IF(AND(D1465&lt;'Segmentation Summary'!$C$2,J1465=1),"C2 - First-Time Buyers","C5 - Other Individual Buyers"))))</f>
        <v>C5 - Other Individual Buyers</v>
      </c>
    </row>
    <row r="1466" customFormat="false" ht="15" hidden="false" customHeight="true" outlineLevel="0" collapsed="false">
      <c r="A1466" s="13" t="s">
        <v>2932</v>
      </c>
      <c r="B1466" s="13" t="s">
        <v>34</v>
      </c>
      <c r="C1466" s="13" t="s">
        <v>2933</v>
      </c>
      <c r="D1466" s="13" t="n">
        <v>25</v>
      </c>
      <c r="E1466" s="13" t="s">
        <v>90</v>
      </c>
      <c r="F1466" s="13" t="s">
        <v>46</v>
      </c>
      <c r="G1466" s="13" t="s">
        <v>2934</v>
      </c>
      <c r="H1466" s="13" t="s">
        <v>43</v>
      </c>
      <c r="I1466" s="13" t="n">
        <v>5</v>
      </c>
      <c r="J1466" s="13" t="n">
        <v>1</v>
      </c>
      <c r="K1466" s="13" t="s">
        <v>116</v>
      </c>
      <c r="L1466" s="13" t="n">
        <v>3</v>
      </c>
      <c r="M1466" s="13" t="n">
        <v>1186082.75</v>
      </c>
      <c r="N1466" s="13" t="n">
        <v>395360.916666667</v>
      </c>
      <c r="O1466" s="13" t="n">
        <v>1303.47333333333</v>
      </c>
      <c r="P1466" s="13" t="n">
        <v>0</v>
      </c>
      <c r="Q1466" s="13" t="n">
        <v>3</v>
      </c>
      <c r="R1466" s="13" t="s">
        <v>117</v>
      </c>
      <c r="S1466" s="13" t="s">
        <v>150</v>
      </c>
      <c r="T1466" s="13" t="n">
        <v>1</v>
      </c>
      <c r="U1466" s="13" t="n">
        <f aca="false">IF(B1466="Individual",1,0)</f>
        <v>1</v>
      </c>
      <c r="V1466" s="13" t="n">
        <f aca="false">IF(B1466="Company",1,0)</f>
        <v>0</v>
      </c>
      <c r="W1466" s="13" t="n">
        <f aca="false">IF(H1466="Home",1,0)</f>
        <v>0</v>
      </c>
      <c r="X1466" s="13" t="n">
        <f aca="false">IF(H1466="Investment",1,0)</f>
        <v>1</v>
      </c>
      <c r="Y1466" s="13" t="n">
        <f aca="false">IF(K1466="Website",1,0)</f>
        <v>0</v>
      </c>
      <c r="Z1466" s="13" t="n">
        <f aca="false">IF(K1466="Agency",1,0)</f>
        <v>0</v>
      </c>
      <c r="AA1466" s="13" t="n">
        <f aca="false">IF(K1466="Client",1,0)</f>
        <v>1</v>
      </c>
      <c r="AB1466" s="13" t="n">
        <f aca="false">(D1466-AVERAGE(D$2:D$2001))/STDEV(D$2:D$2001)</f>
        <v>-1.68011096555826</v>
      </c>
      <c r="AC1466" s="13" t="n">
        <f aca="false">(I1466-AVERAGE(I$2:I$2001))/STDEV(I$2:I$2001)</f>
        <v>1.39434968409451</v>
      </c>
      <c r="AD1466" s="13" t="n">
        <f aca="false">(L1466-AVERAGE(L$2:L$2001))/STDEV(L$2:L$2001)</f>
        <v>-0.777063122173208</v>
      </c>
      <c r="AE1466" s="13" t="n">
        <f aca="false">(M1466-AVERAGE(M$2:M$2001))/STDEV(M$2:M$2001)</f>
        <v>-0.213588788834508</v>
      </c>
      <c r="AF1466" s="13" t="n">
        <f aca="false">(N1466-AVERAGE(N$2:N$2001))/STDEV(N$2:N$2001)</f>
        <v>0.692336481486663</v>
      </c>
      <c r="AG1466" s="13" t="n">
        <f aca="false">(O1466-AVERAGE(O$2:O$2001))/STDEV(O$2:O$2001)</f>
        <v>0.709311705975036</v>
      </c>
      <c r="AH1466" s="0" t="str">
        <f aca="false">IF(B1466="Company","C3 - Corporate Buyers",IF(AND(H1466="Investment",M1466&gt;'Segmentation Summary'!$C$1),"C1 - Global Investors",IF(AND(I1466&gt;=4,M1466&gt;'Segmentation Summary'!$C$1),"C4 - Luxury Investors",IF(AND(D1466&lt;'Segmentation Summary'!$C$2,J1466=1),"C2 - First-Time Buyers","C5 - Other Individual Buyers"))))</f>
        <v>C2 - First-Time Buyers</v>
      </c>
    </row>
    <row r="1467" customFormat="false" ht="15" hidden="false" customHeight="true" outlineLevel="0" collapsed="false">
      <c r="A1467" s="13" t="s">
        <v>2935</v>
      </c>
      <c r="B1467" s="13" t="s">
        <v>34</v>
      </c>
      <c r="C1467" s="13" t="s">
        <v>2936</v>
      </c>
      <c r="D1467" s="13" t="n">
        <v>62</v>
      </c>
      <c r="E1467" s="13" t="s">
        <v>90</v>
      </c>
      <c r="F1467" s="13" t="s">
        <v>33</v>
      </c>
      <c r="G1467" s="13" t="s">
        <v>84</v>
      </c>
      <c r="H1467" s="13" t="s">
        <v>41</v>
      </c>
      <c r="I1467" s="13" t="n">
        <v>4</v>
      </c>
      <c r="J1467" s="13" t="n">
        <v>0</v>
      </c>
      <c r="K1467" s="13" t="s">
        <v>85</v>
      </c>
      <c r="L1467" s="13" t="n">
        <v>3</v>
      </c>
      <c r="M1467" s="13" t="n">
        <v>1097539.23</v>
      </c>
      <c r="N1467" s="13" t="n">
        <v>365846.41</v>
      </c>
      <c r="O1467" s="13" t="n">
        <v>1092.50666666667</v>
      </c>
      <c r="P1467" s="13" t="n">
        <v>0</v>
      </c>
      <c r="Q1467" s="13" t="n">
        <v>3</v>
      </c>
      <c r="R1467" s="13" t="s">
        <v>98</v>
      </c>
      <c r="S1467" s="13" t="s">
        <v>112</v>
      </c>
      <c r="T1467" s="13" t="n">
        <v>1</v>
      </c>
      <c r="U1467" s="13" t="n">
        <f aca="false">IF(B1467="Individual",1,0)</f>
        <v>1</v>
      </c>
      <c r="V1467" s="13" t="n">
        <f aca="false">IF(B1467="Company",1,0)</f>
        <v>0</v>
      </c>
      <c r="W1467" s="13" t="n">
        <f aca="false">IF(H1467="Home",1,0)</f>
        <v>1</v>
      </c>
      <c r="X1467" s="13" t="n">
        <f aca="false">IF(H1467="Investment",1,0)</f>
        <v>0</v>
      </c>
      <c r="Y1467" s="13" t="n">
        <f aca="false">IF(K1467="Website",1,0)</f>
        <v>1</v>
      </c>
      <c r="Z1467" s="13" t="n">
        <f aca="false">IF(K1467="Agency",1,0)</f>
        <v>0</v>
      </c>
      <c r="AA1467" s="13" t="n">
        <f aca="false">IF(K1467="Client",1,0)</f>
        <v>0</v>
      </c>
      <c r="AB1467" s="13" t="n">
        <f aca="false">(D1467-AVERAGE(D$2:D$2001))/STDEV(D$2:D$2001)</f>
        <v>0.453399887503333</v>
      </c>
      <c r="AC1467" s="13" t="n">
        <f aca="false">(I1467-AVERAGE(I$2:I$2001))/STDEV(I$2:I$2001)</f>
        <v>0.686917069130275</v>
      </c>
      <c r="AD1467" s="13" t="n">
        <f aca="false">(L1467-AVERAGE(L$2:L$2001))/STDEV(L$2:L$2001)</f>
        <v>-0.777063122173208</v>
      </c>
      <c r="AE1467" s="13" t="n">
        <f aca="false">(M1467-AVERAGE(M$2:M$2001))/STDEV(M$2:M$2001)</f>
        <v>-0.46814805848349</v>
      </c>
      <c r="AF1467" s="13" t="n">
        <f aca="false">(N1467-AVERAGE(N$2:N$2001))/STDEV(N$2:N$2001)</f>
        <v>0.269018416944275</v>
      </c>
      <c r="AG1467" s="13" t="n">
        <f aca="false">(O1467-AVERAGE(O$2:O$2001))/STDEV(O$2:O$2001)</f>
        <v>-0.249965235892971</v>
      </c>
      <c r="AH1467" s="0" t="str">
        <f aca="false">IF(B1467="Company","C3 - Corporate Buyers",IF(AND(H1467="Investment",M1467&gt;'Segmentation Summary'!$C$1),"C1 - Global Investors",IF(AND(I1467&gt;=4,M1467&gt;'Segmentation Summary'!$C$1),"C4 - Luxury Investors",IF(AND(D1467&lt;'Segmentation Summary'!$C$2,J1467=1),"C2 - First-Time Buyers","C5 - Other Individual Buyers"))))</f>
        <v>C5 - Other Individual Buyers</v>
      </c>
    </row>
    <row r="1468" customFormat="false" ht="15" hidden="false" customHeight="true" outlineLevel="0" collapsed="false">
      <c r="A1468" s="13" t="s">
        <v>2937</v>
      </c>
      <c r="B1468" s="13" t="s">
        <v>34</v>
      </c>
      <c r="C1468" s="13" t="s">
        <v>2938</v>
      </c>
      <c r="D1468" s="13" t="n">
        <v>42</v>
      </c>
      <c r="E1468" s="13" t="s">
        <v>90</v>
      </c>
      <c r="F1468" s="13" t="s">
        <v>33</v>
      </c>
      <c r="G1468" s="13" t="s">
        <v>157</v>
      </c>
      <c r="H1468" s="13" t="s">
        <v>41</v>
      </c>
      <c r="I1468" s="13" t="n">
        <v>4</v>
      </c>
      <c r="J1468" s="13" t="n">
        <v>1</v>
      </c>
      <c r="K1468" s="13" t="s">
        <v>91</v>
      </c>
      <c r="L1468" s="13" t="n">
        <v>4</v>
      </c>
      <c r="M1468" s="13" t="n">
        <v>1540887.81</v>
      </c>
      <c r="N1468" s="13" t="n">
        <v>385221.9525</v>
      </c>
      <c r="O1468" s="13" t="n">
        <v>1254.045</v>
      </c>
      <c r="P1468" s="13" t="n">
        <v>1</v>
      </c>
      <c r="Q1468" s="13" t="n">
        <v>3</v>
      </c>
      <c r="R1468" s="13" t="s">
        <v>101</v>
      </c>
      <c r="S1468" s="13" t="s">
        <v>164</v>
      </c>
      <c r="T1468" s="13" t="n">
        <v>1</v>
      </c>
      <c r="U1468" s="13" t="n">
        <f aca="false">IF(B1468="Individual",1,0)</f>
        <v>1</v>
      </c>
      <c r="V1468" s="13" t="n">
        <f aca="false">IF(B1468="Company",1,0)</f>
        <v>0</v>
      </c>
      <c r="W1468" s="13" t="n">
        <f aca="false">IF(H1468="Home",1,0)</f>
        <v>1</v>
      </c>
      <c r="X1468" s="13" t="n">
        <f aca="false">IF(H1468="Investment",1,0)</f>
        <v>0</v>
      </c>
      <c r="Y1468" s="13" t="n">
        <f aca="false">IF(K1468="Website",1,0)</f>
        <v>0</v>
      </c>
      <c r="Z1468" s="13" t="n">
        <f aca="false">IF(K1468="Agency",1,0)</f>
        <v>1</v>
      </c>
      <c r="AA1468" s="13" t="n">
        <f aca="false">IF(K1468="Client",1,0)</f>
        <v>0</v>
      </c>
      <c r="AB1468" s="13" t="n">
        <f aca="false">(D1468-AVERAGE(D$2:D$2001))/STDEV(D$2:D$2001)</f>
        <v>-0.699849222259691</v>
      </c>
      <c r="AC1468" s="13" t="n">
        <f aca="false">(I1468-AVERAGE(I$2:I$2001))/STDEV(I$2:I$2001)</f>
        <v>0.686917069130275</v>
      </c>
      <c r="AD1468" s="13" t="n">
        <f aca="false">(L1468-AVERAGE(L$2:L$2001))/STDEV(L$2:L$2001)</f>
        <v>0.413838214490712</v>
      </c>
      <c r="AE1468" s="13" t="n">
        <f aca="false">(M1468-AVERAGE(M$2:M$2001))/STDEV(M$2:M$2001)</f>
        <v>0.806462333386108</v>
      </c>
      <c r="AF1468" s="13" t="n">
        <f aca="false">(N1468-AVERAGE(N$2:N$2001))/STDEV(N$2:N$2001)</f>
        <v>0.546916239977243</v>
      </c>
      <c r="AG1468" s="13" t="n">
        <f aca="false">(O1468-AVERAGE(O$2:O$2001))/STDEV(O$2:O$2001)</f>
        <v>0.484558377921802</v>
      </c>
      <c r="AH1468" s="0" t="str">
        <f aca="false">IF(B1468="Company","C3 - Corporate Buyers",IF(AND(H1468="Investment",M1468&gt;'Segmentation Summary'!$C$1),"C1 - Global Investors",IF(AND(I1468&gt;=4,M1468&gt;'Segmentation Summary'!$C$1),"C4 - Luxury Investors",IF(AND(D1468&lt;'Segmentation Summary'!$C$2,J1468=1),"C2 - First-Time Buyers","C5 - Other Individual Buyers"))))</f>
        <v>C4 - Luxury Investors</v>
      </c>
    </row>
    <row r="1469" customFormat="false" ht="15" hidden="false" customHeight="true" outlineLevel="0" collapsed="false">
      <c r="A1469" s="13" t="s">
        <v>2939</v>
      </c>
      <c r="B1469" s="13" t="s">
        <v>34</v>
      </c>
      <c r="C1469" s="13" t="s">
        <v>2940</v>
      </c>
      <c r="D1469" s="13" t="n">
        <v>81</v>
      </c>
      <c r="E1469" s="13" t="s">
        <v>90</v>
      </c>
      <c r="F1469" s="13" t="s">
        <v>33</v>
      </c>
      <c r="G1469" s="13" t="s">
        <v>84</v>
      </c>
      <c r="H1469" s="13" t="s">
        <v>41</v>
      </c>
      <c r="I1469" s="13" t="n">
        <v>2</v>
      </c>
      <c r="J1469" s="13" t="n">
        <v>0</v>
      </c>
      <c r="K1469" s="13" t="s">
        <v>116</v>
      </c>
      <c r="L1469" s="13" t="n">
        <v>3</v>
      </c>
      <c r="M1469" s="13" t="n">
        <v>1220153.86</v>
      </c>
      <c r="N1469" s="13" t="n">
        <v>406717.953333333</v>
      </c>
      <c r="O1469" s="13" t="n">
        <v>1339.73</v>
      </c>
      <c r="P1469" s="13" t="n">
        <v>1</v>
      </c>
      <c r="Q1469" s="13" t="n">
        <v>2</v>
      </c>
      <c r="R1469" s="13" t="s">
        <v>128</v>
      </c>
      <c r="S1469" s="13" t="s">
        <v>107</v>
      </c>
      <c r="T1469" s="13" t="n">
        <v>1</v>
      </c>
      <c r="U1469" s="13" t="n">
        <f aca="false">IF(B1469="Individual",1,0)</f>
        <v>1</v>
      </c>
      <c r="V1469" s="13" t="n">
        <f aca="false">IF(B1469="Company",1,0)</f>
        <v>0</v>
      </c>
      <c r="W1469" s="13" t="n">
        <f aca="false">IF(H1469="Home",1,0)</f>
        <v>1</v>
      </c>
      <c r="X1469" s="13" t="n">
        <f aca="false">IF(H1469="Investment",1,0)</f>
        <v>0</v>
      </c>
      <c r="Y1469" s="13" t="n">
        <f aca="false">IF(K1469="Website",1,0)</f>
        <v>0</v>
      </c>
      <c r="Z1469" s="13" t="n">
        <f aca="false">IF(K1469="Agency",1,0)</f>
        <v>0</v>
      </c>
      <c r="AA1469" s="13" t="n">
        <f aca="false">IF(K1469="Client",1,0)</f>
        <v>1</v>
      </c>
      <c r="AB1469" s="13" t="n">
        <f aca="false">(D1469-AVERAGE(D$2:D$2001))/STDEV(D$2:D$2001)</f>
        <v>1.54898654177821</v>
      </c>
      <c r="AC1469" s="13" t="n">
        <f aca="false">(I1469-AVERAGE(I$2:I$2001))/STDEV(I$2:I$2001)</f>
        <v>-0.727948160798201</v>
      </c>
      <c r="AD1469" s="13" t="n">
        <f aca="false">(L1469-AVERAGE(L$2:L$2001))/STDEV(L$2:L$2001)</f>
        <v>-0.777063122173208</v>
      </c>
      <c r="AE1469" s="13" t="n">
        <f aca="false">(M1469-AVERAGE(M$2:M$2001))/STDEV(M$2:M$2001)</f>
        <v>-0.115635636783062</v>
      </c>
      <c r="AF1469" s="13" t="n">
        <f aca="false">(N1469-AVERAGE(N$2:N$2001))/STDEV(N$2:N$2001)</f>
        <v>0.855227185877112</v>
      </c>
      <c r="AG1469" s="13" t="n">
        <f aca="false">(O1469-AVERAGE(O$2:O$2001))/STDEV(O$2:O$2001)</f>
        <v>0.874172747161632</v>
      </c>
      <c r="AH1469" s="0" t="str">
        <f aca="false">IF(B1469="Company","C3 - Corporate Buyers",IF(AND(H1469="Investment",M1469&gt;'Segmentation Summary'!$C$1),"C1 - Global Investors",IF(AND(I1469&gt;=4,M1469&gt;'Segmentation Summary'!$C$1),"C4 - Luxury Investors",IF(AND(D1469&lt;'Segmentation Summary'!$C$2,J1469=1),"C2 - First-Time Buyers","C5 - Other Individual Buyers"))))</f>
        <v>C5 - Other Individual Buyers</v>
      </c>
    </row>
    <row r="1470" customFormat="false" ht="15" hidden="false" customHeight="true" outlineLevel="0" collapsed="false">
      <c r="A1470" s="13" t="s">
        <v>2941</v>
      </c>
      <c r="B1470" s="13" t="s">
        <v>34</v>
      </c>
      <c r="C1470" s="13" t="s">
        <v>2942</v>
      </c>
      <c r="D1470" s="13" t="n">
        <v>56</v>
      </c>
      <c r="E1470" s="13" t="s">
        <v>83</v>
      </c>
      <c r="F1470" s="13" t="s">
        <v>33</v>
      </c>
      <c r="G1470" s="13" t="s">
        <v>95</v>
      </c>
      <c r="H1470" s="13" t="s">
        <v>41</v>
      </c>
      <c r="I1470" s="13" t="n">
        <v>2</v>
      </c>
      <c r="J1470" s="13" t="n">
        <v>1</v>
      </c>
      <c r="K1470" s="13" t="s">
        <v>85</v>
      </c>
      <c r="L1470" s="13" t="n">
        <v>4</v>
      </c>
      <c r="M1470" s="13" t="n">
        <v>1846066.58</v>
      </c>
      <c r="N1470" s="13" t="n">
        <v>461516.645</v>
      </c>
      <c r="O1470" s="13" t="n">
        <v>1500.95</v>
      </c>
      <c r="P1470" s="13" t="n">
        <v>0</v>
      </c>
      <c r="Q1470" s="13" t="n">
        <v>4</v>
      </c>
      <c r="R1470" s="13" t="s">
        <v>98</v>
      </c>
      <c r="S1470" s="13" t="s">
        <v>141</v>
      </c>
      <c r="T1470" s="13" t="n">
        <v>1</v>
      </c>
      <c r="U1470" s="13" t="n">
        <f aca="false">IF(B1470="Individual",1,0)</f>
        <v>1</v>
      </c>
      <c r="V1470" s="13" t="n">
        <f aca="false">IF(B1470="Company",1,0)</f>
        <v>0</v>
      </c>
      <c r="W1470" s="13" t="n">
        <f aca="false">IF(H1470="Home",1,0)</f>
        <v>1</v>
      </c>
      <c r="X1470" s="13" t="n">
        <f aca="false">IF(H1470="Investment",1,0)</f>
        <v>0</v>
      </c>
      <c r="Y1470" s="13" t="n">
        <f aca="false">IF(K1470="Website",1,0)</f>
        <v>1</v>
      </c>
      <c r="Z1470" s="13" t="n">
        <f aca="false">IF(K1470="Agency",1,0)</f>
        <v>0</v>
      </c>
      <c r="AA1470" s="13" t="n">
        <f aca="false">IF(K1470="Client",1,0)</f>
        <v>0</v>
      </c>
      <c r="AB1470" s="13" t="n">
        <f aca="false">(D1470-AVERAGE(D$2:D$2001))/STDEV(D$2:D$2001)</f>
        <v>0.107425154574426</v>
      </c>
      <c r="AC1470" s="13" t="n">
        <f aca="false">(I1470-AVERAGE(I$2:I$2001))/STDEV(I$2:I$2001)</f>
        <v>-0.727948160798201</v>
      </c>
      <c r="AD1470" s="13" t="n">
        <f aca="false">(L1470-AVERAGE(L$2:L$2001))/STDEV(L$2:L$2001)</f>
        <v>0.413838214490712</v>
      </c>
      <c r="AE1470" s="13" t="n">
        <f aca="false">(M1470-AVERAGE(M$2:M$2001))/STDEV(M$2:M$2001)</f>
        <v>1.68383974963944</v>
      </c>
      <c r="AF1470" s="13" t="n">
        <f aca="false">(N1470-AVERAGE(N$2:N$2001))/STDEV(N$2:N$2001)</f>
        <v>1.64118903026013</v>
      </c>
      <c r="AG1470" s="13" t="n">
        <f aca="false">(O1470-AVERAGE(O$2:O$2001))/STDEV(O$2:O$2001)</f>
        <v>1.60724888194421</v>
      </c>
      <c r="AH1470" s="0" t="str">
        <f aca="false">IF(B1470="Company","C3 - Corporate Buyers",IF(AND(H1470="Investment",M1470&gt;'Segmentation Summary'!$C$1),"C1 - Global Investors",IF(AND(I1470&gt;=4,M1470&gt;'Segmentation Summary'!$C$1),"C4 - Luxury Investors",IF(AND(D1470&lt;'Segmentation Summary'!$C$2,J1470=1),"C2 - First-Time Buyers","C5 - Other Individual Buyers"))))</f>
        <v>C5 - Other Individual Buyers</v>
      </c>
    </row>
    <row r="1471" customFormat="false" ht="15" hidden="false" customHeight="true" outlineLevel="0" collapsed="false">
      <c r="A1471" s="13" t="s">
        <v>2943</v>
      </c>
      <c r="B1471" s="13" t="s">
        <v>34</v>
      </c>
      <c r="C1471" s="13" t="s">
        <v>2944</v>
      </c>
      <c r="D1471" s="13" t="n">
        <v>74</v>
      </c>
      <c r="E1471" s="13" t="s">
        <v>83</v>
      </c>
      <c r="F1471" s="13" t="s">
        <v>40</v>
      </c>
      <c r="G1471" s="13" t="s">
        <v>219</v>
      </c>
      <c r="H1471" s="13" t="s">
        <v>43</v>
      </c>
      <c r="I1471" s="13" t="n">
        <v>4</v>
      </c>
      <c r="J1471" s="13" t="n">
        <v>1</v>
      </c>
      <c r="K1471" s="13" t="s">
        <v>91</v>
      </c>
      <c r="L1471" s="13" t="n">
        <v>4</v>
      </c>
      <c r="M1471" s="13" t="n">
        <v>1493788</v>
      </c>
      <c r="N1471" s="13" t="n">
        <v>373447</v>
      </c>
      <c r="O1471" s="13" t="n">
        <v>1204.4975</v>
      </c>
      <c r="P1471" s="13" t="n">
        <v>1</v>
      </c>
      <c r="Q1471" s="13" t="n">
        <v>3</v>
      </c>
      <c r="R1471" s="13" t="s">
        <v>86</v>
      </c>
      <c r="S1471" s="13" t="s">
        <v>114</v>
      </c>
      <c r="T1471" s="13" t="n">
        <v>1</v>
      </c>
      <c r="U1471" s="13" t="n">
        <f aca="false">IF(B1471="Individual",1,0)</f>
        <v>1</v>
      </c>
      <c r="V1471" s="13" t="n">
        <f aca="false">IF(B1471="Company",1,0)</f>
        <v>0</v>
      </c>
      <c r="W1471" s="13" t="n">
        <f aca="false">IF(H1471="Home",1,0)</f>
        <v>0</v>
      </c>
      <c r="X1471" s="13" t="n">
        <f aca="false">IF(H1471="Investment",1,0)</f>
        <v>1</v>
      </c>
      <c r="Y1471" s="13" t="n">
        <f aca="false">IF(K1471="Website",1,0)</f>
        <v>0</v>
      </c>
      <c r="Z1471" s="13" t="n">
        <f aca="false">IF(K1471="Agency",1,0)</f>
        <v>1</v>
      </c>
      <c r="AA1471" s="13" t="n">
        <f aca="false">IF(K1471="Client",1,0)</f>
        <v>0</v>
      </c>
      <c r="AB1471" s="13" t="n">
        <f aca="false">(D1471-AVERAGE(D$2:D$2001))/STDEV(D$2:D$2001)</f>
        <v>1.14534935336115</v>
      </c>
      <c r="AC1471" s="13" t="n">
        <f aca="false">(I1471-AVERAGE(I$2:I$2001))/STDEV(I$2:I$2001)</f>
        <v>0.686917069130275</v>
      </c>
      <c r="AD1471" s="13" t="n">
        <f aca="false">(L1471-AVERAGE(L$2:L$2001))/STDEV(L$2:L$2001)</f>
        <v>0.413838214490712</v>
      </c>
      <c r="AE1471" s="13" t="n">
        <f aca="false">(M1471-AVERAGE(M$2:M$2001))/STDEV(M$2:M$2001)</f>
        <v>0.671052161820691</v>
      </c>
      <c r="AF1471" s="13" t="n">
        <f aca="false">(N1471-AVERAGE(N$2:N$2001))/STDEV(N$2:N$2001)</f>
        <v>0.378031489211343</v>
      </c>
      <c r="AG1471" s="13" t="n">
        <f aca="false">(O1471-AVERAGE(O$2:O$2001))/STDEV(O$2:O$2001)</f>
        <v>0.259263192534505</v>
      </c>
      <c r="AH1471" s="0" t="str">
        <f aca="false">IF(B1471="Company","C3 - Corporate Buyers",IF(AND(H1471="Investment",M1471&gt;'Segmentation Summary'!$C$1),"C1 - Global Investors",IF(AND(I1471&gt;=4,M1471&gt;'Segmentation Summary'!$C$1),"C4 - Luxury Investors",IF(AND(D1471&lt;'Segmentation Summary'!$C$2,J1471=1),"C2 - First-Time Buyers","C5 - Other Individual Buyers"))))</f>
        <v>C1 - Global Investors</v>
      </c>
    </row>
    <row r="1472" customFormat="false" ht="15" hidden="false" customHeight="true" outlineLevel="0" collapsed="false">
      <c r="A1472" s="13" t="s">
        <v>2945</v>
      </c>
      <c r="B1472" s="13" t="s">
        <v>34</v>
      </c>
      <c r="C1472" s="13" t="s">
        <v>2946</v>
      </c>
      <c r="D1472" s="13" t="n">
        <v>30</v>
      </c>
      <c r="E1472" s="13" t="s">
        <v>83</v>
      </c>
      <c r="F1472" s="13" t="s">
        <v>33</v>
      </c>
      <c r="G1472" s="13" t="s">
        <v>120</v>
      </c>
      <c r="H1472" s="13" t="s">
        <v>41</v>
      </c>
      <c r="I1472" s="13" t="n">
        <v>2</v>
      </c>
      <c r="J1472" s="13" t="n">
        <v>1</v>
      </c>
      <c r="K1472" s="13" t="s">
        <v>85</v>
      </c>
      <c r="L1472" s="13" t="n">
        <v>3</v>
      </c>
      <c r="M1472" s="13" t="n">
        <v>1108329.67</v>
      </c>
      <c r="N1472" s="13" t="n">
        <v>369443.223333333</v>
      </c>
      <c r="O1472" s="13" t="n">
        <v>1343.81666666667</v>
      </c>
      <c r="P1472" s="13" t="n">
        <v>1</v>
      </c>
      <c r="Q1472" s="13" t="n">
        <v>2</v>
      </c>
      <c r="R1472" s="13" t="s">
        <v>121</v>
      </c>
      <c r="S1472" s="13" t="s">
        <v>114</v>
      </c>
      <c r="T1472" s="13" t="n">
        <v>1</v>
      </c>
      <c r="U1472" s="13" t="n">
        <f aca="false">IF(B1472="Individual",1,0)</f>
        <v>1</v>
      </c>
      <c r="V1472" s="13" t="n">
        <f aca="false">IF(B1472="Company",1,0)</f>
        <v>0</v>
      </c>
      <c r="W1472" s="13" t="n">
        <f aca="false">IF(H1472="Home",1,0)</f>
        <v>1</v>
      </c>
      <c r="X1472" s="13" t="n">
        <f aca="false">IF(H1472="Investment",1,0)</f>
        <v>0</v>
      </c>
      <c r="Y1472" s="13" t="n">
        <f aca="false">IF(K1472="Website",1,0)</f>
        <v>1</v>
      </c>
      <c r="Z1472" s="13" t="n">
        <f aca="false">IF(K1472="Agency",1,0)</f>
        <v>0</v>
      </c>
      <c r="AA1472" s="13" t="n">
        <f aca="false">IF(K1472="Client",1,0)</f>
        <v>0</v>
      </c>
      <c r="AB1472" s="13" t="n">
        <f aca="false">(D1472-AVERAGE(D$2:D$2001))/STDEV(D$2:D$2001)</f>
        <v>-1.39179868811751</v>
      </c>
      <c r="AC1472" s="13" t="n">
        <f aca="false">(I1472-AVERAGE(I$2:I$2001))/STDEV(I$2:I$2001)</f>
        <v>-0.727948160798201</v>
      </c>
      <c r="AD1472" s="13" t="n">
        <f aca="false">(L1472-AVERAGE(L$2:L$2001))/STDEV(L$2:L$2001)</f>
        <v>-0.777063122173208</v>
      </c>
      <c r="AE1472" s="13" t="n">
        <f aca="false">(M1472-AVERAGE(M$2:M$2001))/STDEV(M$2:M$2001)</f>
        <v>-0.437125951777193</v>
      </c>
      <c r="AF1472" s="13" t="n">
        <f aca="false">(N1472-AVERAGE(N$2:N$2001))/STDEV(N$2:N$2001)</f>
        <v>0.320606474165857</v>
      </c>
      <c r="AG1472" s="13" t="n">
        <f aca="false">(O1472-AVERAGE(O$2:O$2001))/STDEV(O$2:O$2001)</f>
        <v>0.892755043428517</v>
      </c>
      <c r="AH1472" s="0" t="str">
        <f aca="false">IF(B1472="Company","C3 - Corporate Buyers",IF(AND(H1472="Investment",M1472&gt;'Segmentation Summary'!$C$1),"C1 - Global Investors",IF(AND(I1472&gt;=4,M1472&gt;'Segmentation Summary'!$C$1),"C4 - Luxury Investors",IF(AND(D1472&lt;'Segmentation Summary'!$C$2,J1472=1),"C2 - First-Time Buyers","C5 - Other Individual Buyers"))))</f>
        <v>C2 - First-Time Buyers</v>
      </c>
    </row>
    <row r="1473" customFormat="false" ht="15" hidden="false" customHeight="true" outlineLevel="0" collapsed="false">
      <c r="A1473" s="13" t="s">
        <v>2947</v>
      </c>
      <c r="B1473" s="13" t="s">
        <v>34</v>
      </c>
      <c r="C1473" s="13" t="s">
        <v>2948</v>
      </c>
      <c r="D1473" s="13" t="n">
        <v>63</v>
      </c>
      <c r="E1473" s="13" t="s">
        <v>83</v>
      </c>
      <c r="F1473" s="13" t="s">
        <v>33</v>
      </c>
      <c r="G1473" s="13" t="s">
        <v>207</v>
      </c>
      <c r="H1473" s="13" t="s">
        <v>41</v>
      </c>
      <c r="I1473" s="13" t="n">
        <v>1</v>
      </c>
      <c r="J1473" s="13" t="n">
        <v>0</v>
      </c>
      <c r="K1473" s="13" t="s">
        <v>91</v>
      </c>
      <c r="L1473" s="13" t="n">
        <v>4</v>
      </c>
      <c r="M1473" s="13" t="n">
        <v>1210990.11</v>
      </c>
      <c r="N1473" s="13" t="n">
        <v>302747.5275</v>
      </c>
      <c r="O1473" s="13" t="n">
        <v>1008.395</v>
      </c>
      <c r="P1473" s="13" t="n">
        <v>0</v>
      </c>
      <c r="Q1473" s="13" t="n">
        <v>4</v>
      </c>
      <c r="R1473" s="13" t="s">
        <v>92</v>
      </c>
      <c r="S1473" s="13" t="s">
        <v>112</v>
      </c>
      <c r="T1473" s="13" t="n">
        <v>1</v>
      </c>
      <c r="U1473" s="13" t="n">
        <f aca="false">IF(B1473="Individual",1,0)</f>
        <v>1</v>
      </c>
      <c r="V1473" s="13" t="n">
        <f aca="false">IF(B1473="Company",1,0)</f>
        <v>0</v>
      </c>
      <c r="W1473" s="13" t="n">
        <f aca="false">IF(H1473="Home",1,0)</f>
        <v>1</v>
      </c>
      <c r="X1473" s="13" t="n">
        <f aca="false">IF(H1473="Investment",1,0)</f>
        <v>0</v>
      </c>
      <c r="Y1473" s="13" t="n">
        <f aca="false">IF(K1473="Website",1,0)</f>
        <v>0</v>
      </c>
      <c r="Z1473" s="13" t="n">
        <f aca="false">IF(K1473="Agency",1,0)</f>
        <v>1</v>
      </c>
      <c r="AA1473" s="13" t="n">
        <f aca="false">IF(K1473="Client",1,0)</f>
        <v>0</v>
      </c>
      <c r="AB1473" s="13" t="n">
        <f aca="false">(D1473-AVERAGE(D$2:D$2001))/STDEV(D$2:D$2001)</f>
        <v>0.511062342991484</v>
      </c>
      <c r="AC1473" s="13" t="n">
        <f aca="false">(I1473-AVERAGE(I$2:I$2001))/STDEV(I$2:I$2001)</f>
        <v>-1.43538077576244</v>
      </c>
      <c r="AD1473" s="13" t="n">
        <f aca="false">(L1473-AVERAGE(L$2:L$2001))/STDEV(L$2:L$2001)</f>
        <v>0.413838214490712</v>
      </c>
      <c r="AE1473" s="13" t="n">
        <f aca="false">(M1473-AVERAGE(M$2:M$2001))/STDEV(M$2:M$2001)</f>
        <v>-0.141981071290815</v>
      </c>
      <c r="AF1473" s="13" t="n">
        <f aca="false">(N1473-AVERAGE(N$2:N$2001))/STDEV(N$2:N$2001)</f>
        <v>-0.635990672868979</v>
      </c>
      <c r="AG1473" s="13" t="n">
        <f aca="false">(O1473-AVERAGE(O$2:O$2001))/STDEV(O$2:O$2001)</f>
        <v>-0.632425572638556</v>
      </c>
      <c r="AH1473" s="0" t="str">
        <f aca="false">IF(B1473="Company","C3 - Corporate Buyers",IF(AND(H1473="Investment",M1473&gt;'Segmentation Summary'!$C$1),"C1 - Global Investors",IF(AND(I1473&gt;=4,M1473&gt;'Segmentation Summary'!$C$1),"C4 - Luxury Investors",IF(AND(D1473&lt;'Segmentation Summary'!$C$2,J1473=1),"C2 - First-Time Buyers","C5 - Other Individual Buyers"))))</f>
        <v>C5 - Other Individual Buyers</v>
      </c>
    </row>
    <row r="1474" customFormat="false" ht="15" hidden="false" customHeight="true" outlineLevel="0" collapsed="false">
      <c r="A1474" s="13" t="s">
        <v>2949</v>
      </c>
      <c r="B1474" s="13" t="s">
        <v>34</v>
      </c>
      <c r="C1474" s="13" t="s">
        <v>2950</v>
      </c>
      <c r="D1474" s="13" t="n">
        <v>61</v>
      </c>
      <c r="E1474" s="13" t="s">
        <v>83</v>
      </c>
      <c r="F1474" s="13" t="s">
        <v>33</v>
      </c>
      <c r="G1474" s="13" t="s">
        <v>95</v>
      </c>
      <c r="H1474" s="13" t="s">
        <v>41</v>
      </c>
      <c r="I1474" s="13" t="n">
        <v>1</v>
      </c>
      <c r="J1474" s="13" t="n">
        <v>1</v>
      </c>
      <c r="K1474" s="13" t="s">
        <v>85</v>
      </c>
      <c r="L1474" s="13" t="n">
        <v>3</v>
      </c>
      <c r="M1474" s="13" t="n">
        <v>1250166.33</v>
      </c>
      <c r="N1474" s="13" t="n">
        <v>416722.11</v>
      </c>
      <c r="O1474" s="13" t="n">
        <v>1369.73</v>
      </c>
      <c r="P1474" s="13" t="n">
        <v>0</v>
      </c>
      <c r="Q1474" s="13" t="n">
        <v>3</v>
      </c>
      <c r="R1474" s="13" t="s">
        <v>92</v>
      </c>
      <c r="S1474" s="13" t="s">
        <v>154</v>
      </c>
      <c r="T1474" s="13" t="n">
        <v>1</v>
      </c>
      <c r="U1474" s="13" t="n">
        <f aca="false">IF(B1474="Individual",1,0)</f>
        <v>1</v>
      </c>
      <c r="V1474" s="13" t="n">
        <f aca="false">IF(B1474="Company",1,0)</f>
        <v>0</v>
      </c>
      <c r="W1474" s="13" t="n">
        <f aca="false">IF(H1474="Home",1,0)</f>
        <v>1</v>
      </c>
      <c r="X1474" s="13" t="n">
        <f aca="false">IF(H1474="Investment",1,0)</f>
        <v>0</v>
      </c>
      <c r="Y1474" s="13" t="n">
        <f aca="false">IF(K1474="Website",1,0)</f>
        <v>1</v>
      </c>
      <c r="Z1474" s="13" t="n">
        <f aca="false">IF(K1474="Agency",1,0)</f>
        <v>0</v>
      </c>
      <c r="AA1474" s="13" t="n">
        <f aca="false">IF(K1474="Client",1,0)</f>
        <v>0</v>
      </c>
      <c r="AB1474" s="13" t="n">
        <f aca="false">(D1474-AVERAGE(D$2:D$2001))/STDEV(D$2:D$2001)</f>
        <v>0.395737432015182</v>
      </c>
      <c r="AC1474" s="13" t="n">
        <f aca="false">(I1474-AVERAGE(I$2:I$2001))/STDEV(I$2:I$2001)</f>
        <v>-1.43538077576244</v>
      </c>
      <c r="AD1474" s="13" t="n">
        <f aca="false">(L1474-AVERAGE(L$2:L$2001))/STDEV(L$2:L$2001)</f>
        <v>-0.777063122173208</v>
      </c>
      <c r="AE1474" s="13" t="n">
        <f aca="false">(M1474-AVERAGE(M$2:M$2001))/STDEV(M$2:M$2001)</f>
        <v>-0.0293509211589038</v>
      </c>
      <c r="AF1474" s="13" t="n">
        <f aca="false">(N1474-AVERAGE(N$2:N$2001))/STDEV(N$2:N$2001)</f>
        <v>0.998713922258687</v>
      </c>
      <c r="AG1474" s="13" t="n">
        <f aca="false">(O1474-AVERAGE(O$2:O$2001))/STDEV(O$2:O$2001)</f>
        <v>1.01058438370472</v>
      </c>
      <c r="AH1474" s="0" t="str">
        <f aca="false">IF(B1474="Company","C3 - Corporate Buyers",IF(AND(H1474="Investment",M1474&gt;'Segmentation Summary'!$C$1),"C1 - Global Investors",IF(AND(I1474&gt;=4,M1474&gt;'Segmentation Summary'!$C$1),"C4 - Luxury Investors",IF(AND(D1474&lt;'Segmentation Summary'!$C$2,J1474=1),"C2 - First-Time Buyers","C5 - Other Individual Buyers"))))</f>
        <v>C5 - Other Individual Buyers</v>
      </c>
    </row>
    <row r="1475" customFormat="false" ht="15" hidden="false" customHeight="true" outlineLevel="0" collapsed="false">
      <c r="A1475" s="13" t="s">
        <v>2951</v>
      </c>
      <c r="B1475" s="13" t="s">
        <v>34</v>
      </c>
      <c r="C1475" s="13" t="s">
        <v>2950</v>
      </c>
      <c r="D1475" s="13" t="n">
        <v>29</v>
      </c>
      <c r="E1475" s="13" t="s">
        <v>83</v>
      </c>
      <c r="F1475" s="13" t="s">
        <v>33</v>
      </c>
      <c r="G1475" s="13" t="s">
        <v>106</v>
      </c>
      <c r="H1475" s="13" t="s">
        <v>43</v>
      </c>
      <c r="I1475" s="13" t="n">
        <v>5</v>
      </c>
      <c r="J1475" s="13" t="n">
        <v>1</v>
      </c>
      <c r="K1475" s="13" t="s">
        <v>91</v>
      </c>
      <c r="L1475" s="13" t="n">
        <v>3</v>
      </c>
      <c r="M1475" s="13" t="n">
        <v>1227353.63</v>
      </c>
      <c r="N1475" s="13" t="n">
        <v>409117.876666667</v>
      </c>
      <c r="O1475" s="13" t="n">
        <v>1350.49333333333</v>
      </c>
      <c r="P1475" s="13" t="n">
        <v>0</v>
      </c>
      <c r="Q1475" s="13" t="n">
        <v>3</v>
      </c>
      <c r="R1475" s="13" t="s">
        <v>101</v>
      </c>
      <c r="S1475" s="13" t="s">
        <v>111</v>
      </c>
      <c r="T1475" s="13" t="n">
        <v>1</v>
      </c>
      <c r="U1475" s="13" t="n">
        <f aca="false">IF(B1475="Individual",1,0)</f>
        <v>1</v>
      </c>
      <c r="V1475" s="13" t="n">
        <f aca="false">IF(B1475="Company",1,0)</f>
        <v>0</v>
      </c>
      <c r="W1475" s="13" t="n">
        <f aca="false">IF(H1475="Home",1,0)</f>
        <v>0</v>
      </c>
      <c r="X1475" s="13" t="n">
        <f aca="false">IF(H1475="Investment",1,0)</f>
        <v>1</v>
      </c>
      <c r="Y1475" s="13" t="n">
        <f aca="false">IF(K1475="Website",1,0)</f>
        <v>0</v>
      </c>
      <c r="Z1475" s="13" t="n">
        <f aca="false">IF(K1475="Agency",1,0)</f>
        <v>1</v>
      </c>
      <c r="AA1475" s="13" t="n">
        <f aca="false">IF(K1475="Client",1,0)</f>
        <v>0</v>
      </c>
      <c r="AB1475" s="13" t="n">
        <f aca="false">(D1475-AVERAGE(D$2:D$2001))/STDEV(D$2:D$2001)</f>
        <v>-1.44946114360566</v>
      </c>
      <c r="AC1475" s="13" t="n">
        <f aca="false">(I1475-AVERAGE(I$2:I$2001))/STDEV(I$2:I$2001)</f>
        <v>1.39434968409451</v>
      </c>
      <c r="AD1475" s="13" t="n">
        <f aca="false">(L1475-AVERAGE(L$2:L$2001))/STDEV(L$2:L$2001)</f>
        <v>-0.777063122173208</v>
      </c>
      <c r="AE1475" s="13" t="n">
        <f aca="false">(M1475-AVERAGE(M$2:M$2001))/STDEV(M$2:M$2001)</f>
        <v>-0.0949365704613191</v>
      </c>
      <c r="AF1475" s="13" t="n">
        <f aca="false">(N1475-AVERAGE(N$2:N$2001))/STDEV(N$2:N$2001)</f>
        <v>0.889648594711447</v>
      </c>
      <c r="AG1475" s="13" t="n">
        <f aca="false">(O1475-AVERAGE(O$2:O$2001))/STDEV(O$2:O$2001)</f>
        <v>0.923114210983577</v>
      </c>
      <c r="AH1475" s="0" t="str">
        <f aca="false">IF(B1475="Company","C3 - Corporate Buyers",IF(AND(H1475="Investment",M1475&gt;'Segmentation Summary'!$C$1),"C1 - Global Investors",IF(AND(I1475&gt;=4,M1475&gt;'Segmentation Summary'!$C$1),"C4 - Luxury Investors",IF(AND(D1475&lt;'Segmentation Summary'!$C$2,J1475=1),"C2 - First-Time Buyers","C5 - Other Individual Buyers"))))</f>
        <v>C1 - Global Investors</v>
      </c>
    </row>
    <row r="1476" customFormat="false" ht="15" hidden="false" customHeight="true" outlineLevel="0" collapsed="false">
      <c r="A1476" s="13" t="s">
        <v>2952</v>
      </c>
      <c r="B1476" s="13" t="s">
        <v>34</v>
      </c>
      <c r="C1476" s="13" t="s">
        <v>2953</v>
      </c>
      <c r="D1476" s="13" t="n">
        <v>75</v>
      </c>
      <c r="E1476" s="13" t="s">
        <v>83</v>
      </c>
      <c r="F1476" s="13" t="s">
        <v>37</v>
      </c>
      <c r="G1476" s="13" t="s">
        <v>169</v>
      </c>
      <c r="H1476" s="13" t="s">
        <v>43</v>
      </c>
      <c r="I1476" s="13" t="n">
        <v>4</v>
      </c>
      <c r="J1476" s="13" t="n">
        <v>0</v>
      </c>
      <c r="K1476" s="13" t="s">
        <v>85</v>
      </c>
      <c r="L1476" s="13" t="n">
        <v>3</v>
      </c>
      <c r="M1476" s="13" t="n">
        <v>1012542.18</v>
      </c>
      <c r="N1476" s="13" t="n">
        <v>337514.06</v>
      </c>
      <c r="O1476" s="13" t="n">
        <v>1052.45333333333</v>
      </c>
      <c r="P1476" s="13" t="n">
        <v>1</v>
      </c>
      <c r="Q1476" s="13" t="n">
        <v>2</v>
      </c>
      <c r="R1476" s="13" t="s">
        <v>101</v>
      </c>
      <c r="S1476" s="13" t="s">
        <v>133</v>
      </c>
      <c r="T1476" s="13" t="n">
        <v>1</v>
      </c>
      <c r="U1476" s="13" t="n">
        <f aca="false">IF(B1476="Individual",1,0)</f>
        <v>1</v>
      </c>
      <c r="V1476" s="13" t="n">
        <f aca="false">IF(B1476="Company",1,0)</f>
        <v>0</v>
      </c>
      <c r="W1476" s="13" t="n">
        <f aca="false">IF(H1476="Home",1,0)</f>
        <v>0</v>
      </c>
      <c r="X1476" s="13" t="n">
        <f aca="false">IF(H1476="Investment",1,0)</f>
        <v>1</v>
      </c>
      <c r="Y1476" s="13" t="n">
        <f aca="false">IF(K1476="Website",1,0)</f>
        <v>1</v>
      </c>
      <c r="Z1476" s="13" t="n">
        <f aca="false">IF(K1476="Agency",1,0)</f>
        <v>0</v>
      </c>
      <c r="AA1476" s="13" t="n">
        <f aca="false">IF(K1476="Client",1,0)</f>
        <v>0</v>
      </c>
      <c r="AB1476" s="13" t="n">
        <f aca="false">(D1476-AVERAGE(D$2:D$2001))/STDEV(D$2:D$2001)</f>
        <v>1.2030118088493</v>
      </c>
      <c r="AC1476" s="13" t="n">
        <f aca="false">(I1476-AVERAGE(I$2:I$2001))/STDEV(I$2:I$2001)</f>
        <v>0.686917069130275</v>
      </c>
      <c r="AD1476" s="13" t="n">
        <f aca="false">(L1476-AVERAGE(L$2:L$2001))/STDEV(L$2:L$2001)</f>
        <v>-0.777063122173208</v>
      </c>
      <c r="AE1476" s="13" t="n">
        <f aca="false">(M1476-AVERAGE(M$2:M$2001))/STDEV(M$2:M$2001)</f>
        <v>-0.712511361075459</v>
      </c>
      <c r="AF1476" s="13" t="n">
        <f aca="false">(N1476-AVERAGE(N$2:N$2001))/STDEV(N$2:N$2001)</f>
        <v>-0.13734431516545</v>
      </c>
      <c r="AG1476" s="13" t="n">
        <f aca="false">(O1476-AVERAGE(O$2:O$2001))/STDEV(O$2:O$2001)</f>
        <v>-0.432089927526535</v>
      </c>
      <c r="AH1476" s="0" t="str">
        <f aca="false">IF(B1476="Company","C3 - Corporate Buyers",IF(AND(H1476="Investment",M1476&gt;'Segmentation Summary'!$C$1),"C1 - Global Investors",IF(AND(I1476&gt;=4,M1476&gt;'Segmentation Summary'!$C$1),"C4 - Luxury Investors",IF(AND(D1476&lt;'Segmentation Summary'!$C$2,J1476=1),"C2 - First-Time Buyers","C5 - Other Individual Buyers"))))</f>
        <v>C5 - Other Individual Buyers</v>
      </c>
    </row>
    <row r="1477" customFormat="false" ht="15" hidden="false" customHeight="true" outlineLevel="0" collapsed="false">
      <c r="A1477" s="13" t="s">
        <v>2954</v>
      </c>
      <c r="B1477" s="13" t="s">
        <v>34</v>
      </c>
      <c r="C1477" s="13" t="s">
        <v>2955</v>
      </c>
      <c r="D1477" s="13" t="n">
        <v>48</v>
      </c>
      <c r="E1477" s="13" t="s">
        <v>83</v>
      </c>
      <c r="F1477" s="13" t="s">
        <v>33</v>
      </c>
      <c r="G1477" s="13" t="s">
        <v>162</v>
      </c>
      <c r="H1477" s="13" t="s">
        <v>41</v>
      </c>
      <c r="I1477" s="13" t="n">
        <v>4</v>
      </c>
      <c r="J1477" s="13" t="n">
        <v>1</v>
      </c>
      <c r="K1477" s="13" t="s">
        <v>91</v>
      </c>
      <c r="L1477" s="13" t="n">
        <v>4</v>
      </c>
      <c r="M1477" s="13" t="n">
        <v>1341108.25</v>
      </c>
      <c r="N1477" s="13" t="n">
        <v>335277.0625</v>
      </c>
      <c r="O1477" s="13" t="n">
        <v>1148.5475</v>
      </c>
      <c r="P1477" s="13" t="n">
        <v>1</v>
      </c>
      <c r="Q1477" s="13" t="n">
        <v>3</v>
      </c>
      <c r="R1477" s="13" t="s">
        <v>101</v>
      </c>
      <c r="S1477" s="13" t="s">
        <v>121</v>
      </c>
      <c r="T1477" s="13" t="n">
        <v>1</v>
      </c>
      <c r="U1477" s="13" t="n">
        <f aca="false">IF(B1477="Individual",1,0)</f>
        <v>1</v>
      </c>
      <c r="V1477" s="13" t="n">
        <f aca="false">IF(B1477="Company",1,0)</f>
        <v>0</v>
      </c>
      <c r="W1477" s="13" t="n">
        <f aca="false">IF(H1477="Home",1,0)</f>
        <v>1</v>
      </c>
      <c r="X1477" s="13" t="n">
        <f aca="false">IF(H1477="Investment",1,0)</f>
        <v>0</v>
      </c>
      <c r="Y1477" s="13" t="n">
        <f aca="false">IF(K1477="Website",1,0)</f>
        <v>0</v>
      </c>
      <c r="Z1477" s="13" t="n">
        <f aca="false">IF(K1477="Agency",1,0)</f>
        <v>1</v>
      </c>
      <c r="AA1477" s="13" t="n">
        <f aca="false">IF(K1477="Client",1,0)</f>
        <v>0</v>
      </c>
      <c r="AB1477" s="13" t="n">
        <f aca="false">(D1477-AVERAGE(D$2:D$2001))/STDEV(D$2:D$2001)</f>
        <v>-0.353874489330784</v>
      </c>
      <c r="AC1477" s="13" t="n">
        <f aca="false">(I1477-AVERAGE(I$2:I$2001))/STDEV(I$2:I$2001)</f>
        <v>0.686917069130275</v>
      </c>
      <c r="AD1477" s="13" t="n">
        <f aca="false">(L1477-AVERAGE(L$2:L$2001))/STDEV(L$2:L$2001)</f>
        <v>0.413838214490712</v>
      </c>
      <c r="AE1477" s="13" t="n">
        <f aca="false">(M1477-AVERAGE(M$2:M$2001))/STDEV(M$2:M$2001)</f>
        <v>0.232103657738301</v>
      </c>
      <c r="AF1477" s="13" t="n">
        <f aca="false">(N1477-AVERAGE(N$2:N$2001))/STDEV(N$2:N$2001)</f>
        <v>-0.169428925719203</v>
      </c>
      <c r="AG1477" s="13" t="n">
        <f aca="false">(O1477-AVERAGE(O$2:O$2001))/STDEV(O$2:O$2001)</f>
        <v>0.00485549038163694</v>
      </c>
      <c r="AH1477" s="0" t="str">
        <f aca="false">IF(B1477="Company","C3 - Corporate Buyers",IF(AND(H1477="Investment",M1477&gt;'Segmentation Summary'!$C$1),"C1 - Global Investors",IF(AND(I1477&gt;=4,M1477&gt;'Segmentation Summary'!$C$1),"C4 - Luxury Investors",IF(AND(D1477&lt;'Segmentation Summary'!$C$2,J1477=1),"C2 - First-Time Buyers","C5 - Other Individual Buyers"))))</f>
        <v>C4 - Luxury Investors</v>
      </c>
    </row>
    <row r="1478" customFormat="false" ht="15" hidden="false" customHeight="true" outlineLevel="0" collapsed="false">
      <c r="A1478" s="13" t="s">
        <v>2956</v>
      </c>
      <c r="B1478" s="13" t="s">
        <v>34</v>
      </c>
      <c r="C1478" s="13" t="s">
        <v>2957</v>
      </c>
      <c r="D1478" s="13" t="n">
        <v>48</v>
      </c>
      <c r="E1478" s="13" t="s">
        <v>83</v>
      </c>
      <c r="F1478" s="13" t="s">
        <v>33</v>
      </c>
      <c r="G1478" s="13" t="s">
        <v>95</v>
      </c>
      <c r="H1478" s="13" t="s">
        <v>41</v>
      </c>
      <c r="I1478" s="13" t="n">
        <v>3</v>
      </c>
      <c r="J1478" s="13" t="n">
        <v>0</v>
      </c>
      <c r="K1478" s="13" t="s">
        <v>85</v>
      </c>
      <c r="L1478" s="13" t="n">
        <v>4</v>
      </c>
      <c r="M1478" s="13" t="n">
        <v>1379902.87</v>
      </c>
      <c r="N1478" s="13" t="n">
        <v>344975.7175</v>
      </c>
      <c r="O1478" s="13" t="n">
        <v>1187.8925</v>
      </c>
      <c r="P1478" s="13" t="n">
        <v>0</v>
      </c>
      <c r="Q1478" s="13" t="n">
        <v>4</v>
      </c>
      <c r="R1478" s="13" t="s">
        <v>112</v>
      </c>
      <c r="S1478" s="13" t="s">
        <v>125</v>
      </c>
      <c r="T1478" s="13" t="n">
        <v>1</v>
      </c>
      <c r="U1478" s="13" t="n">
        <f aca="false">IF(B1478="Individual",1,0)</f>
        <v>1</v>
      </c>
      <c r="V1478" s="13" t="n">
        <f aca="false">IF(B1478="Company",1,0)</f>
        <v>0</v>
      </c>
      <c r="W1478" s="13" t="n">
        <f aca="false">IF(H1478="Home",1,0)</f>
        <v>1</v>
      </c>
      <c r="X1478" s="13" t="n">
        <f aca="false">IF(H1478="Investment",1,0)</f>
        <v>0</v>
      </c>
      <c r="Y1478" s="13" t="n">
        <f aca="false">IF(K1478="Website",1,0)</f>
        <v>1</v>
      </c>
      <c r="Z1478" s="13" t="n">
        <f aca="false">IF(K1478="Agency",1,0)</f>
        <v>0</v>
      </c>
      <c r="AA1478" s="13" t="n">
        <f aca="false">IF(K1478="Client",1,0)</f>
        <v>0</v>
      </c>
      <c r="AB1478" s="13" t="n">
        <f aca="false">(D1478-AVERAGE(D$2:D$2001))/STDEV(D$2:D$2001)</f>
        <v>-0.353874489330784</v>
      </c>
      <c r="AC1478" s="13" t="n">
        <f aca="false">(I1478-AVERAGE(I$2:I$2001))/STDEV(I$2:I$2001)</f>
        <v>-0.0205155458339628</v>
      </c>
      <c r="AD1478" s="13" t="n">
        <f aca="false">(L1478-AVERAGE(L$2:L$2001))/STDEV(L$2:L$2001)</f>
        <v>0.413838214490712</v>
      </c>
      <c r="AE1478" s="13" t="n">
        <f aca="false">(M1478-AVERAGE(M$2:M$2001))/STDEV(M$2:M$2001)</f>
        <v>0.343636722309371</v>
      </c>
      <c r="AF1478" s="13" t="n">
        <f aca="false">(N1478-AVERAGE(N$2:N$2001))/STDEV(N$2:N$2001)</f>
        <v>-0.0303239117126115</v>
      </c>
      <c r="AG1478" s="13" t="n">
        <f aca="false">(O1478-AVERAGE(O$2:O$2001))/STDEV(O$2:O$2001)</f>
        <v>0.183759351707903</v>
      </c>
      <c r="AH1478" s="0" t="str">
        <f aca="false">IF(B1478="Company","C3 - Corporate Buyers",IF(AND(H1478="Investment",M1478&gt;'Segmentation Summary'!$C$1),"C1 - Global Investors",IF(AND(I1478&gt;=4,M1478&gt;'Segmentation Summary'!$C$1),"C4 - Luxury Investors",IF(AND(D1478&lt;'Segmentation Summary'!$C$2,J1478=1),"C2 - First-Time Buyers","C5 - Other Individual Buyers"))))</f>
        <v>C5 - Other Individual Buyers</v>
      </c>
    </row>
    <row r="1479" customFormat="false" ht="15" hidden="false" customHeight="true" outlineLevel="0" collapsed="false">
      <c r="A1479" s="13" t="s">
        <v>2958</v>
      </c>
      <c r="B1479" s="13" t="s">
        <v>34</v>
      </c>
      <c r="C1479" s="13" t="s">
        <v>2959</v>
      </c>
      <c r="D1479" s="13" t="n">
        <v>67</v>
      </c>
      <c r="E1479" s="13" t="s">
        <v>83</v>
      </c>
      <c r="F1479" s="13" t="s">
        <v>33</v>
      </c>
      <c r="G1479" s="13" t="s">
        <v>120</v>
      </c>
      <c r="H1479" s="13" t="s">
        <v>41</v>
      </c>
      <c r="I1479" s="13" t="n">
        <v>2</v>
      </c>
      <c r="J1479" s="13" t="n">
        <v>0</v>
      </c>
      <c r="K1479" s="13" t="s">
        <v>85</v>
      </c>
      <c r="L1479" s="13" t="n">
        <v>4</v>
      </c>
      <c r="M1479" s="13" t="n">
        <v>1271344.11</v>
      </c>
      <c r="N1479" s="13" t="n">
        <v>317836.0275</v>
      </c>
      <c r="O1479" s="13" t="n">
        <v>1025.3225</v>
      </c>
      <c r="P1479" s="13" t="n">
        <v>1</v>
      </c>
      <c r="Q1479" s="13" t="n">
        <v>3</v>
      </c>
      <c r="R1479" s="13" t="s">
        <v>92</v>
      </c>
      <c r="S1479" s="13" t="s">
        <v>107</v>
      </c>
      <c r="T1479" s="13" t="n">
        <v>1</v>
      </c>
      <c r="U1479" s="13" t="n">
        <f aca="false">IF(B1479="Individual",1,0)</f>
        <v>1</v>
      </c>
      <c r="V1479" s="13" t="n">
        <f aca="false">IF(B1479="Company",1,0)</f>
        <v>0</v>
      </c>
      <c r="W1479" s="13" t="n">
        <f aca="false">IF(H1479="Home",1,0)</f>
        <v>1</v>
      </c>
      <c r="X1479" s="13" t="n">
        <f aca="false">IF(H1479="Investment",1,0)</f>
        <v>0</v>
      </c>
      <c r="Y1479" s="13" t="n">
        <f aca="false">IF(K1479="Website",1,0)</f>
        <v>1</v>
      </c>
      <c r="Z1479" s="13" t="n">
        <f aca="false">IF(K1479="Agency",1,0)</f>
        <v>0</v>
      </c>
      <c r="AA1479" s="13" t="n">
        <f aca="false">IF(K1479="Client",1,0)</f>
        <v>0</v>
      </c>
      <c r="AB1479" s="13" t="n">
        <f aca="false">(D1479-AVERAGE(D$2:D$2001))/STDEV(D$2:D$2001)</f>
        <v>0.741712164944089</v>
      </c>
      <c r="AC1479" s="13" t="n">
        <f aca="false">(I1479-AVERAGE(I$2:I$2001))/STDEV(I$2:I$2001)</f>
        <v>-0.727948160798201</v>
      </c>
      <c r="AD1479" s="13" t="n">
        <f aca="false">(L1479-AVERAGE(L$2:L$2001))/STDEV(L$2:L$2001)</f>
        <v>0.413838214490712</v>
      </c>
      <c r="AE1479" s="13" t="n">
        <f aca="false">(M1479-AVERAGE(M$2:M$2001))/STDEV(M$2:M$2001)</f>
        <v>0.0315343950063767</v>
      </c>
      <c r="AF1479" s="13" t="n">
        <f aca="false">(N1479-AVERAGE(N$2:N$2001))/STDEV(N$2:N$2001)</f>
        <v>-0.419580665106206</v>
      </c>
      <c r="AG1479" s="13" t="n">
        <f aca="false">(O1479-AVERAGE(O$2:O$2001))/STDEV(O$2:O$2001)</f>
        <v>-0.555455306719116</v>
      </c>
      <c r="AH1479" s="0" t="str">
        <f aca="false">IF(B1479="Company","C3 - Corporate Buyers",IF(AND(H1479="Investment",M1479&gt;'Segmentation Summary'!$C$1),"C1 - Global Investors",IF(AND(I1479&gt;=4,M1479&gt;'Segmentation Summary'!$C$1),"C4 - Luxury Investors",IF(AND(D1479&lt;'Segmentation Summary'!$C$2,J1479=1),"C2 - First-Time Buyers","C5 - Other Individual Buyers"))))</f>
        <v>C5 - Other Individual Buyers</v>
      </c>
    </row>
    <row r="1480" customFormat="false" ht="15" hidden="false" customHeight="true" outlineLevel="0" collapsed="false">
      <c r="A1480" s="13" t="s">
        <v>2960</v>
      </c>
      <c r="B1480" s="13" t="s">
        <v>34</v>
      </c>
      <c r="C1480" s="13" t="s">
        <v>2961</v>
      </c>
      <c r="D1480" s="13" t="n">
        <v>37</v>
      </c>
      <c r="E1480" s="13" t="s">
        <v>83</v>
      </c>
      <c r="F1480" s="13" t="s">
        <v>44</v>
      </c>
      <c r="G1480" s="13" t="s">
        <v>148</v>
      </c>
      <c r="H1480" s="13" t="s">
        <v>43</v>
      </c>
      <c r="I1480" s="13" t="n">
        <v>5</v>
      </c>
      <c r="J1480" s="13" t="n">
        <v>0</v>
      </c>
      <c r="K1480" s="13" t="s">
        <v>85</v>
      </c>
      <c r="L1480" s="13" t="n">
        <v>4</v>
      </c>
      <c r="M1480" s="13" t="n">
        <v>1178606.56</v>
      </c>
      <c r="N1480" s="13" t="n">
        <v>294651.64</v>
      </c>
      <c r="O1480" s="13" t="n">
        <v>979.6775</v>
      </c>
      <c r="P1480" s="13" t="n">
        <v>1</v>
      </c>
      <c r="Q1480" s="13" t="n">
        <v>3</v>
      </c>
      <c r="R1480" s="13" t="s">
        <v>124</v>
      </c>
      <c r="S1480" s="13" t="s">
        <v>114</v>
      </c>
      <c r="T1480" s="13" t="n">
        <v>1</v>
      </c>
      <c r="U1480" s="13" t="n">
        <f aca="false">IF(B1480="Individual",1,0)</f>
        <v>1</v>
      </c>
      <c r="V1480" s="13" t="n">
        <f aca="false">IF(B1480="Company",1,0)</f>
        <v>0</v>
      </c>
      <c r="W1480" s="13" t="n">
        <f aca="false">IF(H1480="Home",1,0)</f>
        <v>0</v>
      </c>
      <c r="X1480" s="13" t="n">
        <f aca="false">IF(H1480="Investment",1,0)</f>
        <v>1</v>
      </c>
      <c r="Y1480" s="13" t="n">
        <f aca="false">IF(K1480="Website",1,0)</f>
        <v>1</v>
      </c>
      <c r="Z1480" s="13" t="n">
        <f aca="false">IF(K1480="Agency",1,0)</f>
        <v>0</v>
      </c>
      <c r="AA1480" s="13" t="n">
        <f aca="false">IF(K1480="Client",1,0)</f>
        <v>0</v>
      </c>
      <c r="AB1480" s="13" t="n">
        <f aca="false">(D1480-AVERAGE(D$2:D$2001))/STDEV(D$2:D$2001)</f>
        <v>-0.988161499700447</v>
      </c>
      <c r="AC1480" s="13" t="n">
        <f aca="false">(I1480-AVERAGE(I$2:I$2001))/STDEV(I$2:I$2001)</f>
        <v>1.39434968409451</v>
      </c>
      <c r="AD1480" s="13" t="n">
        <f aca="false">(L1480-AVERAGE(L$2:L$2001))/STDEV(L$2:L$2001)</f>
        <v>0.413838214490712</v>
      </c>
      <c r="AE1480" s="13" t="n">
        <f aca="false">(M1480-AVERAGE(M$2:M$2001))/STDEV(M$2:M$2001)</f>
        <v>-0.235082552196942</v>
      </c>
      <c r="AF1480" s="13" t="n">
        <f aca="false">(N1480-AVERAGE(N$2:N$2001))/STDEV(N$2:N$2001)</f>
        <v>-0.752107654459033</v>
      </c>
      <c r="AG1480" s="13" t="n">
        <f aca="false">(O1480-AVERAGE(O$2:O$2001))/STDEV(O$2:O$2001)</f>
        <v>-0.763005611719431</v>
      </c>
      <c r="AH1480" s="0" t="str">
        <f aca="false">IF(B1480="Company","C3 - Corporate Buyers",IF(AND(H1480="Investment",M1480&gt;'Segmentation Summary'!$C$1),"C1 - Global Investors",IF(AND(I1480&gt;=4,M1480&gt;'Segmentation Summary'!$C$1),"C4 - Luxury Investors",IF(AND(D1480&lt;'Segmentation Summary'!$C$2,J1480=1),"C2 - First-Time Buyers","C5 - Other Individual Buyers"))))</f>
        <v>C5 - Other Individual Buyers</v>
      </c>
    </row>
    <row r="1481" customFormat="false" ht="15" hidden="false" customHeight="true" outlineLevel="0" collapsed="false">
      <c r="A1481" s="13" t="s">
        <v>2962</v>
      </c>
      <c r="B1481" s="13" t="s">
        <v>34</v>
      </c>
      <c r="C1481" s="13" t="s">
        <v>2963</v>
      </c>
      <c r="D1481" s="13" t="n">
        <v>36</v>
      </c>
      <c r="E1481" s="13" t="s">
        <v>83</v>
      </c>
      <c r="F1481" s="13" t="s">
        <v>33</v>
      </c>
      <c r="G1481" s="13" t="s">
        <v>110</v>
      </c>
      <c r="H1481" s="13" t="s">
        <v>41</v>
      </c>
      <c r="I1481" s="13" t="n">
        <v>4</v>
      </c>
      <c r="J1481" s="13" t="n">
        <v>0</v>
      </c>
      <c r="K1481" s="13" t="s">
        <v>85</v>
      </c>
      <c r="L1481" s="13" t="n">
        <v>3</v>
      </c>
      <c r="M1481" s="13" t="n">
        <v>972596.13</v>
      </c>
      <c r="N1481" s="13" t="n">
        <v>324198.71</v>
      </c>
      <c r="O1481" s="13" t="n">
        <v>1082.89666666667</v>
      </c>
      <c r="P1481" s="13" t="n">
        <v>0</v>
      </c>
      <c r="Q1481" s="13" t="n">
        <v>3</v>
      </c>
      <c r="R1481" s="13" t="s">
        <v>124</v>
      </c>
      <c r="S1481" s="13" t="s">
        <v>150</v>
      </c>
      <c r="T1481" s="13" t="n">
        <v>1</v>
      </c>
      <c r="U1481" s="13" t="n">
        <f aca="false">IF(B1481="Individual",1,0)</f>
        <v>1</v>
      </c>
      <c r="V1481" s="13" t="n">
        <f aca="false">IF(B1481="Company",1,0)</f>
        <v>0</v>
      </c>
      <c r="W1481" s="13" t="n">
        <f aca="false">IF(H1481="Home",1,0)</f>
        <v>1</v>
      </c>
      <c r="X1481" s="13" t="n">
        <f aca="false">IF(H1481="Investment",1,0)</f>
        <v>0</v>
      </c>
      <c r="Y1481" s="13" t="n">
        <f aca="false">IF(K1481="Website",1,0)</f>
        <v>1</v>
      </c>
      <c r="Z1481" s="13" t="n">
        <f aca="false">IF(K1481="Agency",1,0)</f>
        <v>0</v>
      </c>
      <c r="AA1481" s="13" t="n">
        <f aca="false">IF(K1481="Client",1,0)</f>
        <v>0</v>
      </c>
      <c r="AB1481" s="13" t="n">
        <f aca="false">(D1481-AVERAGE(D$2:D$2001))/STDEV(D$2:D$2001)</f>
        <v>-1.0458239551886</v>
      </c>
      <c r="AC1481" s="13" t="n">
        <f aca="false">(I1481-AVERAGE(I$2:I$2001))/STDEV(I$2:I$2001)</f>
        <v>0.686917069130275</v>
      </c>
      <c r="AD1481" s="13" t="n">
        <f aca="false">(L1481-AVERAGE(L$2:L$2001))/STDEV(L$2:L$2001)</f>
        <v>-0.777063122173208</v>
      </c>
      <c r="AE1481" s="13" t="n">
        <f aca="false">(M1481-AVERAGE(M$2:M$2001))/STDEV(M$2:M$2001)</f>
        <v>-0.827354743328184</v>
      </c>
      <c r="AF1481" s="13" t="n">
        <f aca="false">(N1481-AVERAGE(N$2:N$2001))/STDEV(N$2:N$2001)</f>
        <v>-0.328322543409744</v>
      </c>
      <c r="AG1481" s="13" t="n">
        <f aca="false">(O1481-AVERAGE(O$2:O$2001))/STDEV(O$2:O$2001)</f>
        <v>-0.293662430132275</v>
      </c>
      <c r="AH1481" s="0" t="str">
        <f aca="false">IF(B1481="Company","C3 - Corporate Buyers",IF(AND(H1481="Investment",M1481&gt;'Segmentation Summary'!$C$1),"C1 - Global Investors",IF(AND(I1481&gt;=4,M1481&gt;'Segmentation Summary'!$C$1),"C4 - Luxury Investors",IF(AND(D1481&lt;'Segmentation Summary'!$C$2,J1481=1),"C2 - First-Time Buyers","C5 - Other Individual Buyers"))))</f>
        <v>C5 - Other Individual Buyers</v>
      </c>
    </row>
    <row r="1482" customFormat="false" ht="15" hidden="false" customHeight="true" outlineLevel="0" collapsed="false">
      <c r="A1482" s="13" t="s">
        <v>2964</v>
      </c>
      <c r="B1482" s="13" t="s">
        <v>34</v>
      </c>
      <c r="C1482" s="13" t="s">
        <v>2965</v>
      </c>
      <c r="D1482" s="13" t="n">
        <v>33</v>
      </c>
      <c r="E1482" s="13" t="s">
        <v>83</v>
      </c>
      <c r="F1482" s="13" t="s">
        <v>33</v>
      </c>
      <c r="G1482" s="13" t="s">
        <v>95</v>
      </c>
      <c r="H1482" s="13" t="s">
        <v>41</v>
      </c>
      <c r="I1482" s="13" t="n">
        <v>5</v>
      </c>
      <c r="J1482" s="13" t="n">
        <v>1</v>
      </c>
      <c r="K1482" s="13" t="s">
        <v>91</v>
      </c>
      <c r="L1482" s="13" t="n">
        <v>3</v>
      </c>
      <c r="M1482" s="13" t="n">
        <v>850550.13</v>
      </c>
      <c r="N1482" s="13" t="n">
        <v>283516.71</v>
      </c>
      <c r="O1482" s="13" t="n">
        <v>893.376666666667</v>
      </c>
      <c r="P1482" s="13" t="n">
        <v>0</v>
      </c>
      <c r="Q1482" s="13" t="n">
        <v>3</v>
      </c>
      <c r="R1482" s="13" t="s">
        <v>98</v>
      </c>
      <c r="S1482" s="13" t="s">
        <v>154</v>
      </c>
      <c r="T1482" s="13" t="n">
        <v>1</v>
      </c>
      <c r="U1482" s="13" t="n">
        <f aca="false">IF(B1482="Individual",1,0)</f>
        <v>1</v>
      </c>
      <c r="V1482" s="13" t="n">
        <f aca="false">IF(B1482="Company",1,0)</f>
        <v>0</v>
      </c>
      <c r="W1482" s="13" t="n">
        <f aca="false">IF(H1482="Home",1,0)</f>
        <v>1</v>
      </c>
      <c r="X1482" s="13" t="n">
        <f aca="false">IF(H1482="Investment",1,0)</f>
        <v>0</v>
      </c>
      <c r="Y1482" s="13" t="n">
        <f aca="false">IF(K1482="Website",1,0)</f>
        <v>0</v>
      </c>
      <c r="Z1482" s="13" t="n">
        <f aca="false">IF(K1482="Agency",1,0)</f>
        <v>1</v>
      </c>
      <c r="AA1482" s="13" t="n">
        <f aca="false">IF(K1482="Client",1,0)</f>
        <v>0</v>
      </c>
      <c r="AB1482" s="13" t="n">
        <f aca="false">(D1482-AVERAGE(D$2:D$2001))/STDEV(D$2:D$2001)</f>
        <v>-1.21881132165305</v>
      </c>
      <c r="AC1482" s="13" t="n">
        <f aca="false">(I1482-AVERAGE(I$2:I$2001))/STDEV(I$2:I$2001)</f>
        <v>1.39434968409451</v>
      </c>
      <c r="AD1482" s="13" t="n">
        <f aca="false">(L1482-AVERAGE(L$2:L$2001))/STDEV(L$2:L$2001)</f>
        <v>-0.777063122173208</v>
      </c>
      <c r="AE1482" s="13" t="n">
        <f aca="false">(M1482-AVERAGE(M$2:M$2001))/STDEV(M$2:M$2001)</f>
        <v>-1.1782323752947</v>
      </c>
      <c r="AF1482" s="13" t="n">
        <f aca="false">(N1482-AVERAGE(N$2:N$2001))/STDEV(N$2:N$2001)</f>
        <v>-0.91181274692932</v>
      </c>
      <c r="AG1482" s="13" t="n">
        <f aca="false">(O1482-AVERAGE(O$2:O$2001))/STDEV(O$2:O$2001)</f>
        <v>-1.15542020872052</v>
      </c>
      <c r="AH1482" s="0" t="str">
        <f aca="false">IF(B1482="Company","C3 - Corporate Buyers",IF(AND(H1482="Investment",M1482&gt;'Segmentation Summary'!$C$1),"C1 - Global Investors",IF(AND(I1482&gt;=4,M1482&gt;'Segmentation Summary'!$C$1),"C4 - Luxury Investors",IF(AND(D1482&lt;'Segmentation Summary'!$C$2,J1482=1),"C2 - First-Time Buyers","C5 - Other Individual Buyers"))))</f>
        <v>C2 - First-Time Buyers</v>
      </c>
    </row>
    <row r="1483" customFormat="false" ht="15" hidden="false" customHeight="true" outlineLevel="0" collapsed="false">
      <c r="A1483" s="13" t="s">
        <v>2966</v>
      </c>
      <c r="B1483" s="13" t="s">
        <v>34</v>
      </c>
      <c r="C1483" s="13" t="s">
        <v>2967</v>
      </c>
      <c r="D1483" s="13" t="n">
        <v>80</v>
      </c>
      <c r="E1483" s="13" t="s">
        <v>83</v>
      </c>
      <c r="F1483" s="13" t="s">
        <v>38</v>
      </c>
      <c r="G1483" s="13" t="s">
        <v>665</v>
      </c>
      <c r="H1483" s="13" t="s">
        <v>41</v>
      </c>
      <c r="I1483" s="13" t="n">
        <v>2</v>
      </c>
      <c r="J1483" s="13" t="n">
        <v>0</v>
      </c>
      <c r="K1483" s="13" t="s">
        <v>85</v>
      </c>
      <c r="L1483" s="13" t="n">
        <v>3</v>
      </c>
      <c r="M1483" s="13" t="n">
        <v>1308035.02</v>
      </c>
      <c r="N1483" s="13" t="n">
        <v>436011.673333333</v>
      </c>
      <c r="O1483" s="13" t="n">
        <v>1471.9</v>
      </c>
      <c r="P1483" s="13" t="n">
        <v>1</v>
      </c>
      <c r="Q1483" s="13" t="n">
        <v>2</v>
      </c>
      <c r="R1483" s="13" t="s">
        <v>86</v>
      </c>
      <c r="S1483" s="13" t="s">
        <v>164</v>
      </c>
      <c r="T1483" s="13" t="n">
        <v>1</v>
      </c>
      <c r="U1483" s="13" t="n">
        <f aca="false">IF(B1483="Individual",1,0)</f>
        <v>1</v>
      </c>
      <c r="V1483" s="13" t="n">
        <f aca="false">IF(B1483="Company",1,0)</f>
        <v>0</v>
      </c>
      <c r="W1483" s="13" t="n">
        <f aca="false">IF(H1483="Home",1,0)</f>
        <v>1</v>
      </c>
      <c r="X1483" s="13" t="n">
        <f aca="false">IF(H1483="Investment",1,0)</f>
        <v>0</v>
      </c>
      <c r="Y1483" s="13" t="n">
        <f aca="false">IF(K1483="Website",1,0)</f>
        <v>1</v>
      </c>
      <c r="Z1483" s="13" t="n">
        <f aca="false">IF(K1483="Agency",1,0)</f>
        <v>0</v>
      </c>
      <c r="AA1483" s="13" t="n">
        <f aca="false">IF(K1483="Client",1,0)</f>
        <v>0</v>
      </c>
      <c r="AB1483" s="13" t="n">
        <f aca="false">(D1483-AVERAGE(D$2:D$2001))/STDEV(D$2:D$2001)</f>
        <v>1.49132408629005</v>
      </c>
      <c r="AC1483" s="13" t="n">
        <f aca="false">(I1483-AVERAGE(I$2:I$2001))/STDEV(I$2:I$2001)</f>
        <v>-0.727948160798201</v>
      </c>
      <c r="AD1483" s="13" t="n">
        <f aca="false">(L1483-AVERAGE(L$2:L$2001))/STDEV(L$2:L$2001)</f>
        <v>-0.777063122173208</v>
      </c>
      <c r="AE1483" s="13" t="n">
        <f aca="false">(M1483-AVERAGE(M$2:M$2001))/STDEV(M$2:M$2001)</f>
        <v>0.137019372928607</v>
      </c>
      <c r="AF1483" s="13" t="n">
        <f aca="false">(N1483-AVERAGE(N$2:N$2001))/STDEV(N$2:N$2001)</f>
        <v>1.27537857087897</v>
      </c>
      <c r="AG1483" s="13" t="n">
        <f aca="false">(O1483-AVERAGE(O$2:O$2001))/STDEV(O$2:O$2001)</f>
        <v>1.47515694722498</v>
      </c>
      <c r="AH1483" s="0" t="str">
        <f aca="false">IF(B1483="Company","C3 - Corporate Buyers",IF(AND(H1483="Investment",M1483&gt;'Segmentation Summary'!$C$1),"C1 - Global Investors",IF(AND(I1483&gt;=4,M1483&gt;'Segmentation Summary'!$C$1),"C4 - Luxury Investors",IF(AND(D1483&lt;'Segmentation Summary'!$C$2,J1483=1),"C2 - First-Time Buyers","C5 - Other Individual Buyers"))))</f>
        <v>C5 - Other Individual Buyers</v>
      </c>
    </row>
    <row r="1484" customFormat="false" ht="15" hidden="false" customHeight="true" outlineLevel="0" collapsed="false">
      <c r="A1484" s="13" t="s">
        <v>2968</v>
      </c>
      <c r="B1484" s="13" t="s">
        <v>34</v>
      </c>
      <c r="C1484" s="13" t="s">
        <v>2969</v>
      </c>
      <c r="D1484" s="13" t="n">
        <v>83</v>
      </c>
      <c r="E1484" s="13" t="s">
        <v>83</v>
      </c>
      <c r="F1484" s="13" t="s">
        <v>37</v>
      </c>
      <c r="G1484" s="13" t="s">
        <v>572</v>
      </c>
      <c r="H1484" s="13" t="s">
        <v>43</v>
      </c>
      <c r="I1484" s="13" t="n">
        <v>2</v>
      </c>
      <c r="J1484" s="13" t="n">
        <v>1</v>
      </c>
      <c r="K1484" s="13" t="s">
        <v>91</v>
      </c>
      <c r="L1484" s="13" t="n">
        <v>3</v>
      </c>
      <c r="M1484" s="13" t="n">
        <v>1540844.02</v>
      </c>
      <c r="N1484" s="13" t="n">
        <v>513614.673333333</v>
      </c>
      <c r="O1484" s="13" t="n">
        <v>1671.76666666667</v>
      </c>
      <c r="P1484" s="13" t="n">
        <v>0</v>
      </c>
      <c r="Q1484" s="13" t="n">
        <v>3</v>
      </c>
      <c r="R1484" s="13" t="s">
        <v>101</v>
      </c>
      <c r="S1484" s="13" t="s">
        <v>124</v>
      </c>
      <c r="T1484" s="13" t="n">
        <v>1</v>
      </c>
      <c r="U1484" s="13" t="n">
        <f aca="false">IF(B1484="Individual",1,0)</f>
        <v>1</v>
      </c>
      <c r="V1484" s="13" t="n">
        <f aca="false">IF(B1484="Company",1,0)</f>
        <v>0</v>
      </c>
      <c r="W1484" s="13" t="n">
        <f aca="false">IF(H1484="Home",1,0)</f>
        <v>0</v>
      </c>
      <c r="X1484" s="13" t="n">
        <f aca="false">IF(H1484="Investment",1,0)</f>
        <v>1</v>
      </c>
      <c r="Y1484" s="13" t="n">
        <f aca="false">IF(K1484="Website",1,0)</f>
        <v>0</v>
      </c>
      <c r="Z1484" s="13" t="n">
        <f aca="false">IF(K1484="Agency",1,0)</f>
        <v>1</v>
      </c>
      <c r="AA1484" s="13" t="n">
        <f aca="false">IF(K1484="Client",1,0)</f>
        <v>0</v>
      </c>
      <c r="AB1484" s="13" t="n">
        <f aca="false">(D1484-AVERAGE(D$2:D$2001))/STDEV(D$2:D$2001)</f>
        <v>1.66431145275451</v>
      </c>
      <c r="AC1484" s="13" t="n">
        <f aca="false">(I1484-AVERAGE(I$2:I$2001))/STDEV(I$2:I$2001)</f>
        <v>-0.727948160798201</v>
      </c>
      <c r="AD1484" s="13" t="n">
        <f aca="false">(L1484-AVERAGE(L$2:L$2001))/STDEV(L$2:L$2001)</f>
        <v>-0.777063122173208</v>
      </c>
      <c r="AE1484" s="13" t="n">
        <f aca="false">(M1484-AVERAGE(M$2:M$2001))/STDEV(M$2:M$2001)</f>
        <v>0.806336438793054</v>
      </c>
      <c r="AF1484" s="13" t="n">
        <f aca="false">(N1484-AVERAGE(N$2:N$2001))/STDEV(N$2:N$2001)</f>
        <v>2.38841603864677</v>
      </c>
      <c r="AG1484" s="13" t="n">
        <f aca="false">(O1484-AVERAGE(O$2:O$2001))/STDEV(O$2:O$2001)</f>
        <v>2.38396158357209</v>
      </c>
      <c r="AH1484" s="0" t="str">
        <f aca="false">IF(B1484="Company","C3 - Corporate Buyers",IF(AND(H1484="Investment",M1484&gt;'Segmentation Summary'!$C$1),"C1 - Global Investors",IF(AND(I1484&gt;=4,M1484&gt;'Segmentation Summary'!$C$1),"C4 - Luxury Investors",IF(AND(D1484&lt;'Segmentation Summary'!$C$2,J1484=1),"C2 - First-Time Buyers","C5 - Other Individual Buyers"))))</f>
        <v>C1 - Global Investors</v>
      </c>
    </row>
    <row r="1485" customFormat="false" ht="15" hidden="false" customHeight="true" outlineLevel="0" collapsed="false">
      <c r="A1485" s="13" t="s">
        <v>2970</v>
      </c>
      <c r="B1485" s="13" t="s">
        <v>34</v>
      </c>
      <c r="C1485" s="13" t="s">
        <v>2971</v>
      </c>
      <c r="D1485" s="13" t="n">
        <v>69</v>
      </c>
      <c r="E1485" s="13" t="s">
        <v>90</v>
      </c>
      <c r="F1485" s="13" t="s">
        <v>33</v>
      </c>
      <c r="G1485" s="13" t="s">
        <v>95</v>
      </c>
      <c r="H1485" s="13" t="s">
        <v>41</v>
      </c>
      <c r="I1485" s="13" t="n">
        <v>2</v>
      </c>
      <c r="J1485" s="13" t="n">
        <v>0</v>
      </c>
      <c r="K1485" s="13" t="s">
        <v>91</v>
      </c>
      <c r="L1485" s="13" t="n">
        <v>4</v>
      </c>
      <c r="M1485" s="13" t="n">
        <v>1487182.67</v>
      </c>
      <c r="N1485" s="13" t="n">
        <v>371795.6675</v>
      </c>
      <c r="O1485" s="13" t="n">
        <v>1158.6325</v>
      </c>
      <c r="P1485" s="13" t="n">
        <v>2</v>
      </c>
      <c r="Q1485" s="13" t="n">
        <v>2</v>
      </c>
      <c r="R1485" s="13" t="s">
        <v>101</v>
      </c>
      <c r="S1485" s="13" t="s">
        <v>154</v>
      </c>
      <c r="T1485" s="13" t="n">
        <v>1</v>
      </c>
      <c r="U1485" s="13" t="n">
        <f aca="false">IF(B1485="Individual",1,0)</f>
        <v>1</v>
      </c>
      <c r="V1485" s="13" t="n">
        <f aca="false">IF(B1485="Company",1,0)</f>
        <v>0</v>
      </c>
      <c r="W1485" s="13" t="n">
        <f aca="false">IF(H1485="Home",1,0)</f>
        <v>1</v>
      </c>
      <c r="X1485" s="13" t="n">
        <f aca="false">IF(H1485="Investment",1,0)</f>
        <v>0</v>
      </c>
      <c r="Y1485" s="13" t="n">
        <f aca="false">IF(K1485="Website",1,0)</f>
        <v>0</v>
      </c>
      <c r="Z1485" s="13" t="n">
        <f aca="false">IF(K1485="Agency",1,0)</f>
        <v>1</v>
      </c>
      <c r="AA1485" s="13" t="n">
        <f aca="false">IF(K1485="Client",1,0)</f>
        <v>0</v>
      </c>
      <c r="AB1485" s="13" t="n">
        <f aca="false">(D1485-AVERAGE(D$2:D$2001))/STDEV(D$2:D$2001)</f>
        <v>0.857037075920391</v>
      </c>
      <c r="AC1485" s="13" t="n">
        <f aca="false">(I1485-AVERAGE(I$2:I$2001))/STDEV(I$2:I$2001)</f>
        <v>-0.727948160798201</v>
      </c>
      <c r="AD1485" s="13" t="n">
        <f aca="false">(L1485-AVERAGE(L$2:L$2001))/STDEV(L$2:L$2001)</f>
        <v>0.413838214490712</v>
      </c>
      <c r="AE1485" s="13" t="n">
        <f aca="false">(M1485-AVERAGE(M$2:M$2001))/STDEV(M$2:M$2001)</f>
        <v>0.652062088006249</v>
      </c>
      <c r="AF1485" s="13" t="n">
        <f aca="false">(N1485-AVERAGE(N$2:N$2001))/STDEV(N$2:N$2001)</f>
        <v>0.354346902993765</v>
      </c>
      <c r="AG1485" s="13" t="n">
        <f aca="false">(O1485-AVERAGE(O$2:O$2001))/STDEV(O$2:O$2001)</f>
        <v>0.0507125355328734</v>
      </c>
      <c r="AH1485" s="0" t="str">
        <f aca="false">IF(B1485="Company","C3 - Corporate Buyers",IF(AND(H1485="Investment",M1485&gt;'Segmentation Summary'!$C$1),"C1 - Global Investors",IF(AND(I1485&gt;=4,M1485&gt;'Segmentation Summary'!$C$1),"C4 - Luxury Investors",IF(AND(D1485&lt;'Segmentation Summary'!$C$2,J1485=1),"C2 - First-Time Buyers","C5 - Other Individual Buyers"))))</f>
        <v>C5 - Other Individual Buyers</v>
      </c>
    </row>
    <row r="1486" customFormat="false" ht="15" hidden="false" customHeight="true" outlineLevel="0" collapsed="false">
      <c r="A1486" s="13" t="s">
        <v>2972</v>
      </c>
      <c r="B1486" s="13" t="s">
        <v>34</v>
      </c>
      <c r="C1486" s="13" t="s">
        <v>2973</v>
      </c>
      <c r="D1486" s="13" t="n">
        <v>72</v>
      </c>
      <c r="E1486" s="13" t="s">
        <v>90</v>
      </c>
      <c r="F1486" s="13" t="s">
        <v>33</v>
      </c>
      <c r="G1486" s="13" t="s">
        <v>95</v>
      </c>
      <c r="H1486" s="13" t="s">
        <v>41</v>
      </c>
      <c r="I1486" s="13" t="n">
        <v>3</v>
      </c>
      <c r="J1486" s="13" t="n">
        <v>0</v>
      </c>
      <c r="K1486" s="13" t="s">
        <v>85</v>
      </c>
      <c r="L1486" s="13" t="n">
        <v>3</v>
      </c>
      <c r="M1486" s="13" t="n">
        <v>776005.5</v>
      </c>
      <c r="N1486" s="13" t="n">
        <v>258668.5</v>
      </c>
      <c r="O1486" s="13" t="n">
        <v>839.143333333333</v>
      </c>
      <c r="P1486" s="13" t="n">
        <v>0</v>
      </c>
      <c r="Q1486" s="13" t="n">
        <v>3</v>
      </c>
      <c r="R1486" s="13" t="s">
        <v>101</v>
      </c>
      <c r="S1486" s="13" t="s">
        <v>112</v>
      </c>
      <c r="T1486" s="13" t="n">
        <v>1</v>
      </c>
      <c r="U1486" s="13" t="n">
        <f aca="false">IF(B1486="Individual",1,0)</f>
        <v>1</v>
      </c>
      <c r="V1486" s="13" t="n">
        <f aca="false">IF(B1486="Company",1,0)</f>
        <v>0</v>
      </c>
      <c r="W1486" s="13" t="n">
        <f aca="false">IF(H1486="Home",1,0)</f>
        <v>1</v>
      </c>
      <c r="X1486" s="13" t="n">
        <f aca="false">IF(H1486="Investment",1,0)</f>
        <v>0</v>
      </c>
      <c r="Y1486" s="13" t="n">
        <f aca="false">IF(K1486="Website",1,0)</f>
        <v>1</v>
      </c>
      <c r="Z1486" s="13" t="n">
        <f aca="false">IF(K1486="Agency",1,0)</f>
        <v>0</v>
      </c>
      <c r="AA1486" s="13" t="n">
        <f aca="false">IF(K1486="Client",1,0)</f>
        <v>0</v>
      </c>
      <c r="AB1486" s="13" t="n">
        <f aca="false">(D1486-AVERAGE(D$2:D$2001))/STDEV(D$2:D$2001)</f>
        <v>1.03002444238485</v>
      </c>
      <c r="AC1486" s="13" t="n">
        <f aca="false">(I1486-AVERAGE(I$2:I$2001))/STDEV(I$2:I$2001)</f>
        <v>-0.0205155458339628</v>
      </c>
      <c r="AD1486" s="13" t="n">
        <f aca="false">(L1486-AVERAGE(L$2:L$2001))/STDEV(L$2:L$2001)</f>
        <v>-0.777063122173208</v>
      </c>
      <c r="AE1486" s="13" t="n">
        <f aca="false">(M1486-AVERAGE(M$2:M$2001))/STDEV(M$2:M$2001)</f>
        <v>-1.39254536589021</v>
      </c>
      <c r="AF1486" s="13" t="n">
        <f aca="false">(N1486-AVERAGE(N$2:N$2001))/STDEV(N$2:N$2001)</f>
        <v>-1.26820346297074</v>
      </c>
      <c r="AG1486" s="13" t="n">
        <f aca="false">(O1486-AVERAGE(O$2:O$2001))/STDEV(O$2:O$2001)</f>
        <v>-1.40202213389342</v>
      </c>
      <c r="AH1486" s="0" t="str">
        <f aca="false">IF(B1486="Company","C3 - Corporate Buyers",IF(AND(H1486="Investment",M1486&gt;'Segmentation Summary'!$C$1),"C1 - Global Investors",IF(AND(I1486&gt;=4,M1486&gt;'Segmentation Summary'!$C$1),"C4 - Luxury Investors",IF(AND(D1486&lt;'Segmentation Summary'!$C$2,J1486=1),"C2 - First-Time Buyers","C5 - Other Individual Buyers"))))</f>
        <v>C5 - Other Individual Buyers</v>
      </c>
    </row>
    <row r="1487" customFormat="false" ht="15" hidden="false" customHeight="true" outlineLevel="0" collapsed="false">
      <c r="A1487" s="13" t="s">
        <v>2974</v>
      </c>
      <c r="B1487" s="13" t="s">
        <v>34</v>
      </c>
      <c r="C1487" s="13" t="s">
        <v>2975</v>
      </c>
      <c r="D1487" s="13" t="n">
        <v>67</v>
      </c>
      <c r="E1487" s="13" t="s">
        <v>90</v>
      </c>
      <c r="F1487" s="13" t="s">
        <v>46</v>
      </c>
      <c r="G1487" s="13" t="s">
        <v>359</v>
      </c>
      <c r="H1487" s="13" t="s">
        <v>41</v>
      </c>
      <c r="I1487" s="13" t="n">
        <v>1</v>
      </c>
      <c r="J1487" s="13" t="n">
        <v>0</v>
      </c>
      <c r="K1487" s="13" t="s">
        <v>85</v>
      </c>
      <c r="L1487" s="13" t="n">
        <v>4</v>
      </c>
      <c r="M1487" s="13" t="n">
        <v>1613633.39</v>
      </c>
      <c r="N1487" s="13" t="n">
        <v>403408.3475</v>
      </c>
      <c r="O1487" s="13" t="n">
        <v>1334.8775</v>
      </c>
      <c r="P1487" s="13" t="n">
        <v>0</v>
      </c>
      <c r="Q1487" s="13" t="n">
        <v>4</v>
      </c>
      <c r="R1487" s="13" t="s">
        <v>98</v>
      </c>
      <c r="S1487" s="13" t="s">
        <v>152</v>
      </c>
      <c r="T1487" s="13" t="n">
        <v>1</v>
      </c>
      <c r="U1487" s="13" t="n">
        <f aca="false">IF(B1487="Individual",1,0)</f>
        <v>1</v>
      </c>
      <c r="V1487" s="13" t="n">
        <f aca="false">IF(B1487="Company",1,0)</f>
        <v>0</v>
      </c>
      <c r="W1487" s="13" t="n">
        <f aca="false">IF(H1487="Home",1,0)</f>
        <v>1</v>
      </c>
      <c r="X1487" s="13" t="n">
        <f aca="false">IF(H1487="Investment",1,0)</f>
        <v>0</v>
      </c>
      <c r="Y1487" s="13" t="n">
        <f aca="false">IF(K1487="Website",1,0)</f>
        <v>1</v>
      </c>
      <c r="Z1487" s="13" t="n">
        <f aca="false">IF(K1487="Agency",1,0)</f>
        <v>0</v>
      </c>
      <c r="AA1487" s="13" t="n">
        <f aca="false">IF(K1487="Client",1,0)</f>
        <v>0</v>
      </c>
      <c r="AB1487" s="13" t="n">
        <f aca="false">(D1487-AVERAGE(D$2:D$2001))/STDEV(D$2:D$2001)</f>
        <v>0.741712164944089</v>
      </c>
      <c r="AC1487" s="13" t="n">
        <f aca="false">(I1487-AVERAGE(I$2:I$2001))/STDEV(I$2:I$2001)</f>
        <v>-1.43538077576244</v>
      </c>
      <c r="AD1487" s="13" t="n">
        <f aca="false">(L1487-AVERAGE(L$2:L$2001))/STDEV(L$2:L$2001)</f>
        <v>0.413838214490712</v>
      </c>
      <c r="AE1487" s="13" t="n">
        <f aca="false">(M1487-AVERAGE(M$2:M$2001))/STDEV(M$2:M$2001)</f>
        <v>1.01560312330491</v>
      </c>
      <c r="AF1487" s="13" t="n">
        <f aca="false">(N1487-AVERAGE(N$2:N$2001))/STDEV(N$2:N$2001)</f>
        <v>0.807758463069456</v>
      </c>
      <c r="AG1487" s="13" t="n">
        <f aca="false">(O1487-AVERAGE(O$2:O$2001))/STDEV(O$2:O$2001)</f>
        <v>0.852108164950787</v>
      </c>
      <c r="AH1487" s="0" t="str">
        <f aca="false">IF(B1487="Company","C3 - Corporate Buyers",IF(AND(H1487="Investment",M1487&gt;'Segmentation Summary'!$C$1),"C1 - Global Investors",IF(AND(I1487&gt;=4,M1487&gt;'Segmentation Summary'!$C$1),"C4 - Luxury Investors",IF(AND(D1487&lt;'Segmentation Summary'!$C$2,J1487=1),"C2 - First-Time Buyers","C5 - Other Individual Buyers"))))</f>
        <v>C5 - Other Individual Buyers</v>
      </c>
    </row>
    <row r="1488" customFormat="false" ht="15" hidden="false" customHeight="true" outlineLevel="0" collapsed="false">
      <c r="A1488" s="13" t="s">
        <v>2976</v>
      </c>
      <c r="B1488" s="13" t="s">
        <v>34</v>
      </c>
      <c r="C1488" s="13" t="s">
        <v>2977</v>
      </c>
      <c r="D1488" s="13" t="n">
        <v>46</v>
      </c>
      <c r="E1488" s="13" t="s">
        <v>90</v>
      </c>
      <c r="F1488" s="13" t="s">
        <v>33</v>
      </c>
      <c r="G1488" s="13" t="s">
        <v>84</v>
      </c>
      <c r="H1488" s="13" t="s">
        <v>41</v>
      </c>
      <c r="I1488" s="13" t="n">
        <v>3</v>
      </c>
      <c r="J1488" s="13" t="n">
        <v>1</v>
      </c>
      <c r="K1488" s="13" t="s">
        <v>85</v>
      </c>
      <c r="L1488" s="13" t="n">
        <v>5</v>
      </c>
      <c r="M1488" s="13" t="n">
        <v>1673770.19</v>
      </c>
      <c r="N1488" s="13" t="n">
        <v>334754.038</v>
      </c>
      <c r="O1488" s="13" t="n">
        <v>1149.396</v>
      </c>
      <c r="P1488" s="13" t="n">
        <v>1</v>
      </c>
      <c r="Q1488" s="13" t="n">
        <v>4</v>
      </c>
      <c r="R1488" s="13" t="s">
        <v>111</v>
      </c>
      <c r="S1488" s="13" t="s">
        <v>87</v>
      </c>
      <c r="T1488" s="13" t="n">
        <v>1</v>
      </c>
      <c r="U1488" s="13" t="n">
        <f aca="false">IF(B1488="Individual",1,0)</f>
        <v>1</v>
      </c>
      <c r="V1488" s="13" t="n">
        <f aca="false">IF(B1488="Company",1,0)</f>
        <v>0</v>
      </c>
      <c r="W1488" s="13" t="n">
        <f aca="false">IF(H1488="Home",1,0)</f>
        <v>1</v>
      </c>
      <c r="X1488" s="13" t="n">
        <f aca="false">IF(H1488="Investment",1,0)</f>
        <v>0</v>
      </c>
      <c r="Y1488" s="13" t="n">
        <f aca="false">IF(K1488="Website",1,0)</f>
        <v>1</v>
      </c>
      <c r="Z1488" s="13" t="n">
        <f aca="false">IF(K1488="Agency",1,0)</f>
        <v>0</v>
      </c>
      <c r="AA1488" s="13" t="n">
        <f aca="false">IF(K1488="Client",1,0)</f>
        <v>0</v>
      </c>
      <c r="AB1488" s="13" t="n">
        <f aca="false">(D1488-AVERAGE(D$2:D$2001))/STDEV(D$2:D$2001)</f>
        <v>-0.469199400307086</v>
      </c>
      <c r="AC1488" s="13" t="n">
        <f aca="false">(I1488-AVERAGE(I$2:I$2001))/STDEV(I$2:I$2001)</f>
        <v>-0.0205155458339628</v>
      </c>
      <c r="AD1488" s="13" t="n">
        <f aca="false">(L1488-AVERAGE(L$2:L$2001))/STDEV(L$2:L$2001)</f>
        <v>1.60473955115463</v>
      </c>
      <c r="AE1488" s="13" t="n">
        <f aca="false">(M1488-AVERAGE(M$2:M$2001))/STDEV(M$2:M$2001)</f>
        <v>1.18849414782062</v>
      </c>
      <c r="AF1488" s="13" t="n">
        <f aca="false">(N1488-AVERAGE(N$2:N$2001))/STDEV(N$2:N$2001)</f>
        <v>-0.176930515413681</v>
      </c>
      <c r="AG1488" s="13" t="n">
        <f aca="false">(O1488-AVERAGE(O$2:O$2001))/STDEV(O$2:O$2001)</f>
        <v>0.00871366616853101</v>
      </c>
      <c r="AH1488" s="0" t="str">
        <f aca="false">IF(B1488="Company","C3 - Corporate Buyers",IF(AND(H1488="Investment",M1488&gt;'Segmentation Summary'!$C$1),"C1 - Global Investors",IF(AND(I1488&gt;=4,M1488&gt;'Segmentation Summary'!$C$1),"C4 - Luxury Investors",IF(AND(D1488&lt;'Segmentation Summary'!$C$2,J1488=1),"C2 - First-Time Buyers","C5 - Other Individual Buyers"))))</f>
        <v>C2 - First-Time Buyers</v>
      </c>
    </row>
    <row r="1489" customFormat="false" ht="15" hidden="false" customHeight="true" outlineLevel="0" collapsed="false">
      <c r="A1489" s="13" t="s">
        <v>2978</v>
      </c>
      <c r="B1489" s="13" t="s">
        <v>34</v>
      </c>
      <c r="C1489" s="13" t="s">
        <v>2979</v>
      </c>
      <c r="D1489" s="13" t="n">
        <v>29</v>
      </c>
      <c r="E1489" s="13" t="s">
        <v>90</v>
      </c>
      <c r="F1489" s="13" t="s">
        <v>33</v>
      </c>
      <c r="G1489" s="13" t="s">
        <v>95</v>
      </c>
      <c r="H1489" s="13" t="s">
        <v>41</v>
      </c>
      <c r="I1489" s="13" t="n">
        <v>2</v>
      </c>
      <c r="J1489" s="13" t="n">
        <v>1</v>
      </c>
      <c r="K1489" s="13" t="s">
        <v>85</v>
      </c>
      <c r="L1489" s="13" t="n">
        <v>4</v>
      </c>
      <c r="M1489" s="13" t="n">
        <v>1425691.63</v>
      </c>
      <c r="N1489" s="13" t="n">
        <v>356422.9075</v>
      </c>
      <c r="O1489" s="13" t="n">
        <v>1101.9875</v>
      </c>
      <c r="P1489" s="13" t="n">
        <v>1</v>
      </c>
      <c r="Q1489" s="13" t="n">
        <v>3</v>
      </c>
      <c r="R1489" s="13" t="s">
        <v>92</v>
      </c>
      <c r="S1489" s="13" t="s">
        <v>164</v>
      </c>
      <c r="T1489" s="13" t="n">
        <v>1</v>
      </c>
      <c r="U1489" s="13" t="n">
        <f aca="false">IF(B1489="Individual",1,0)</f>
        <v>1</v>
      </c>
      <c r="V1489" s="13" t="n">
        <f aca="false">IF(B1489="Company",1,0)</f>
        <v>0</v>
      </c>
      <c r="W1489" s="13" t="n">
        <f aca="false">IF(H1489="Home",1,0)</f>
        <v>1</v>
      </c>
      <c r="X1489" s="13" t="n">
        <f aca="false">IF(H1489="Investment",1,0)</f>
        <v>0</v>
      </c>
      <c r="Y1489" s="13" t="n">
        <f aca="false">IF(K1489="Website",1,0)</f>
        <v>1</v>
      </c>
      <c r="Z1489" s="13" t="n">
        <f aca="false">IF(K1489="Agency",1,0)</f>
        <v>0</v>
      </c>
      <c r="AA1489" s="13" t="n">
        <f aca="false">IF(K1489="Client",1,0)</f>
        <v>0</v>
      </c>
      <c r="AB1489" s="13" t="n">
        <f aca="false">(D1489-AVERAGE(D$2:D$2001))/STDEV(D$2:D$2001)</f>
        <v>-1.44946114360566</v>
      </c>
      <c r="AC1489" s="13" t="n">
        <f aca="false">(I1489-AVERAGE(I$2:I$2001))/STDEV(I$2:I$2001)</f>
        <v>-0.727948160798201</v>
      </c>
      <c r="AD1489" s="13" t="n">
        <f aca="false">(L1489-AVERAGE(L$2:L$2001))/STDEV(L$2:L$2001)</f>
        <v>0.413838214490712</v>
      </c>
      <c r="AE1489" s="13" t="n">
        <f aca="false">(M1489-AVERAGE(M$2:M$2001))/STDEV(M$2:M$2001)</f>
        <v>0.475277674732908</v>
      </c>
      <c r="AF1489" s="13" t="n">
        <f aca="false">(N1489-AVERAGE(N$2:N$2001))/STDEV(N$2:N$2001)</f>
        <v>0.133859835960247</v>
      </c>
      <c r="AG1489" s="13" t="n">
        <f aca="false">(O1489-AVERAGE(O$2:O$2001))/STDEV(O$2:O$2001)</f>
        <v>-0.206855369533243</v>
      </c>
      <c r="AH1489" s="0" t="str">
        <f aca="false">IF(B1489="Company","C3 - Corporate Buyers",IF(AND(H1489="Investment",M1489&gt;'Segmentation Summary'!$C$1),"C1 - Global Investors",IF(AND(I1489&gt;=4,M1489&gt;'Segmentation Summary'!$C$1),"C4 - Luxury Investors",IF(AND(D1489&lt;'Segmentation Summary'!$C$2,J1489=1),"C2 - First-Time Buyers","C5 - Other Individual Buyers"))))</f>
        <v>C2 - First-Time Buyers</v>
      </c>
    </row>
    <row r="1490" customFormat="false" ht="15" hidden="false" customHeight="true" outlineLevel="0" collapsed="false">
      <c r="A1490" s="13" t="s">
        <v>2980</v>
      </c>
      <c r="B1490" s="13" t="s">
        <v>34</v>
      </c>
      <c r="C1490" s="13" t="s">
        <v>2981</v>
      </c>
      <c r="D1490" s="13" t="n">
        <v>77</v>
      </c>
      <c r="E1490" s="13" t="s">
        <v>90</v>
      </c>
      <c r="F1490" s="13" t="s">
        <v>33</v>
      </c>
      <c r="G1490" s="13" t="s">
        <v>95</v>
      </c>
      <c r="H1490" s="13" t="s">
        <v>41</v>
      </c>
      <c r="I1490" s="13" t="n">
        <v>1</v>
      </c>
      <c r="J1490" s="13" t="n">
        <v>0</v>
      </c>
      <c r="K1490" s="13" t="s">
        <v>116</v>
      </c>
      <c r="L1490" s="13" t="n">
        <v>3</v>
      </c>
      <c r="M1490" s="13" t="n">
        <v>738424.18</v>
      </c>
      <c r="N1490" s="13" t="n">
        <v>246141.393333333</v>
      </c>
      <c r="O1490" s="13" t="n">
        <v>735.356666666667</v>
      </c>
      <c r="P1490" s="13" t="n">
        <v>1</v>
      </c>
      <c r="Q1490" s="13" t="n">
        <v>2</v>
      </c>
      <c r="R1490" s="13" t="s">
        <v>111</v>
      </c>
      <c r="S1490" s="13" t="s">
        <v>215</v>
      </c>
      <c r="T1490" s="13" t="n">
        <v>1</v>
      </c>
      <c r="U1490" s="13" t="n">
        <f aca="false">IF(B1490="Individual",1,0)</f>
        <v>1</v>
      </c>
      <c r="V1490" s="13" t="n">
        <f aca="false">IF(B1490="Company",1,0)</f>
        <v>0</v>
      </c>
      <c r="W1490" s="13" t="n">
        <f aca="false">IF(H1490="Home",1,0)</f>
        <v>1</v>
      </c>
      <c r="X1490" s="13" t="n">
        <f aca="false">IF(H1490="Investment",1,0)</f>
        <v>0</v>
      </c>
      <c r="Y1490" s="13" t="n">
        <f aca="false">IF(K1490="Website",1,0)</f>
        <v>0</v>
      </c>
      <c r="Z1490" s="13" t="n">
        <f aca="false">IF(K1490="Agency",1,0)</f>
        <v>0</v>
      </c>
      <c r="AA1490" s="13" t="n">
        <f aca="false">IF(K1490="Client",1,0)</f>
        <v>1</v>
      </c>
      <c r="AB1490" s="13" t="n">
        <f aca="false">(D1490-AVERAGE(D$2:D$2001))/STDEV(D$2:D$2001)</f>
        <v>1.3183367198256</v>
      </c>
      <c r="AC1490" s="13" t="n">
        <f aca="false">(I1490-AVERAGE(I$2:I$2001))/STDEV(I$2:I$2001)</f>
        <v>-1.43538077576244</v>
      </c>
      <c r="AD1490" s="13" t="n">
        <f aca="false">(L1490-AVERAGE(L$2:L$2001))/STDEV(L$2:L$2001)</f>
        <v>-0.777063122173208</v>
      </c>
      <c r="AE1490" s="13" t="n">
        <f aca="false">(M1490-AVERAGE(M$2:M$2001))/STDEV(M$2:M$2001)</f>
        <v>-1.50059023887069</v>
      </c>
      <c r="AF1490" s="13" t="n">
        <f aca="false">(N1490-AVERAGE(N$2:N$2001))/STDEV(N$2:N$2001)</f>
        <v>-1.44787614421663</v>
      </c>
      <c r="AG1490" s="13" t="n">
        <f aca="false">(O1490-AVERAGE(O$2:O$2001))/STDEV(O$2:O$2001)</f>
        <v>-1.8739457689385</v>
      </c>
      <c r="AH1490" s="0" t="str">
        <f aca="false">IF(B1490="Company","C3 - Corporate Buyers",IF(AND(H1490="Investment",M1490&gt;'Segmentation Summary'!$C$1),"C1 - Global Investors",IF(AND(I1490&gt;=4,M1490&gt;'Segmentation Summary'!$C$1),"C4 - Luxury Investors",IF(AND(D1490&lt;'Segmentation Summary'!$C$2,J1490=1),"C2 - First-Time Buyers","C5 - Other Individual Buyers"))))</f>
        <v>C5 - Other Individual Buyers</v>
      </c>
    </row>
    <row r="1491" customFormat="false" ht="15" hidden="false" customHeight="true" outlineLevel="0" collapsed="false">
      <c r="A1491" s="13" t="s">
        <v>2982</v>
      </c>
      <c r="B1491" s="13" t="s">
        <v>34</v>
      </c>
      <c r="C1491" s="13" t="s">
        <v>2983</v>
      </c>
      <c r="D1491" s="13" t="n">
        <v>44</v>
      </c>
      <c r="E1491" s="13" t="s">
        <v>90</v>
      </c>
      <c r="F1491" s="13" t="s">
        <v>33</v>
      </c>
      <c r="G1491" s="13" t="s">
        <v>95</v>
      </c>
      <c r="H1491" s="13" t="s">
        <v>41</v>
      </c>
      <c r="I1491" s="13" t="n">
        <v>1</v>
      </c>
      <c r="J1491" s="13" t="n">
        <v>0</v>
      </c>
      <c r="K1491" s="13" t="s">
        <v>85</v>
      </c>
      <c r="L1491" s="13" t="n">
        <v>3</v>
      </c>
      <c r="M1491" s="13" t="n">
        <v>1027286.48</v>
      </c>
      <c r="N1491" s="13" t="n">
        <v>342428.826666667</v>
      </c>
      <c r="O1491" s="13" t="n">
        <v>1129.17666666667</v>
      </c>
      <c r="P1491" s="13" t="n">
        <v>0</v>
      </c>
      <c r="Q1491" s="13" t="n">
        <v>3</v>
      </c>
      <c r="R1491" s="13" t="s">
        <v>124</v>
      </c>
      <c r="S1491" s="13" t="s">
        <v>133</v>
      </c>
      <c r="T1491" s="13" t="n">
        <v>1</v>
      </c>
      <c r="U1491" s="13" t="n">
        <f aca="false">IF(B1491="Individual",1,0)</f>
        <v>1</v>
      </c>
      <c r="V1491" s="13" t="n">
        <f aca="false">IF(B1491="Company",1,0)</f>
        <v>0</v>
      </c>
      <c r="W1491" s="13" t="n">
        <f aca="false">IF(H1491="Home",1,0)</f>
        <v>1</v>
      </c>
      <c r="X1491" s="13" t="n">
        <f aca="false">IF(H1491="Investment",1,0)</f>
        <v>0</v>
      </c>
      <c r="Y1491" s="13" t="n">
        <f aca="false">IF(K1491="Website",1,0)</f>
        <v>1</v>
      </c>
      <c r="Z1491" s="13" t="n">
        <f aca="false">IF(K1491="Agency",1,0)</f>
        <v>0</v>
      </c>
      <c r="AA1491" s="13" t="n">
        <f aca="false">IF(K1491="Client",1,0)</f>
        <v>0</v>
      </c>
      <c r="AB1491" s="13" t="n">
        <f aca="false">(D1491-AVERAGE(D$2:D$2001))/STDEV(D$2:D$2001)</f>
        <v>-0.584524311283389</v>
      </c>
      <c r="AC1491" s="13" t="n">
        <f aca="false">(I1491-AVERAGE(I$2:I$2001))/STDEV(I$2:I$2001)</f>
        <v>-1.43538077576244</v>
      </c>
      <c r="AD1491" s="13" t="n">
        <f aca="false">(L1491-AVERAGE(L$2:L$2001))/STDEV(L$2:L$2001)</f>
        <v>-0.777063122173208</v>
      </c>
      <c r="AE1491" s="13" t="n">
        <f aca="false">(M1491-AVERAGE(M$2:M$2001))/STDEV(M$2:M$2001)</f>
        <v>-0.670122056477161</v>
      </c>
      <c r="AF1491" s="13" t="n">
        <f aca="false">(N1491-AVERAGE(N$2:N$2001))/STDEV(N$2:N$2001)</f>
        <v>-0.0668532330508846</v>
      </c>
      <c r="AG1491" s="13" t="n">
        <f aca="false">(O1491-AVERAGE(O$2:O$2001))/STDEV(O$2:O$2001)</f>
        <v>-0.0832247454917976</v>
      </c>
      <c r="AH1491" s="0" t="str">
        <f aca="false">IF(B1491="Company","C3 - Corporate Buyers",IF(AND(H1491="Investment",M1491&gt;'Segmentation Summary'!$C$1),"C1 - Global Investors",IF(AND(I1491&gt;=4,M1491&gt;'Segmentation Summary'!$C$1),"C4 - Luxury Investors",IF(AND(D1491&lt;'Segmentation Summary'!$C$2,J1491=1),"C2 - First-Time Buyers","C5 - Other Individual Buyers"))))</f>
        <v>C5 - Other Individual Buyers</v>
      </c>
    </row>
    <row r="1492" customFormat="false" ht="15" hidden="false" customHeight="true" outlineLevel="0" collapsed="false">
      <c r="A1492" s="13" t="s">
        <v>2984</v>
      </c>
      <c r="B1492" s="13" t="s">
        <v>34</v>
      </c>
      <c r="C1492" s="13" t="s">
        <v>2985</v>
      </c>
      <c r="D1492" s="13" t="n">
        <v>31</v>
      </c>
      <c r="E1492" s="13" t="s">
        <v>90</v>
      </c>
      <c r="F1492" s="13" t="s">
        <v>33</v>
      </c>
      <c r="G1492" s="13" t="s">
        <v>95</v>
      </c>
      <c r="H1492" s="13" t="s">
        <v>43</v>
      </c>
      <c r="I1492" s="13" t="n">
        <v>4</v>
      </c>
      <c r="J1492" s="13" t="n">
        <v>0</v>
      </c>
      <c r="K1492" s="13" t="s">
        <v>91</v>
      </c>
      <c r="L1492" s="13" t="n">
        <v>4</v>
      </c>
      <c r="M1492" s="13" t="n">
        <v>1044043.64</v>
      </c>
      <c r="N1492" s="13" t="n">
        <v>261010.91</v>
      </c>
      <c r="O1492" s="13" t="n">
        <v>905.7525</v>
      </c>
      <c r="P1492" s="13" t="n">
        <v>1</v>
      </c>
      <c r="Q1492" s="13" t="n">
        <v>3</v>
      </c>
      <c r="R1492" s="13" t="s">
        <v>86</v>
      </c>
      <c r="S1492" s="13" t="s">
        <v>164</v>
      </c>
      <c r="T1492" s="13" t="n">
        <v>1</v>
      </c>
      <c r="U1492" s="13" t="n">
        <f aca="false">IF(B1492="Individual",1,0)</f>
        <v>1</v>
      </c>
      <c r="V1492" s="13" t="n">
        <f aca="false">IF(B1492="Company",1,0)</f>
        <v>0</v>
      </c>
      <c r="W1492" s="13" t="n">
        <f aca="false">IF(H1492="Home",1,0)</f>
        <v>0</v>
      </c>
      <c r="X1492" s="13" t="n">
        <f aca="false">IF(H1492="Investment",1,0)</f>
        <v>1</v>
      </c>
      <c r="Y1492" s="13" t="n">
        <f aca="false">IF(K1492="Website",1,0)</f>
        <v>0</v>
      </c>
      <c r="Z1492" s="13" t="n">
        <f aca="false">IF(K1492="Agency",1,0)</f>
        <v>1</v>
      </c>
      <c r="AA1492" s="13" t="n">
        <f aca="false">IF(K1492="Client",1,0)</f>
        <v>0</v>
      </c>
      <c r="AB1492" s="13" t="n">
        <f aca="false">(D1492-AVERAGE(D$2:D$2001))/STDEV(D$2:D$2001)</f>
        <v>-1.33413623262935</v>
      </c>
      <c r="AC1492" s="13" t="n">
        <f aca="false">(I1492-AVERAGE(I$2:I$2001))/STDEV(I$2:I$2001)</f>
        <v>0.686917069130275</v>
      </c>
      <c r="AD1492" s="13" t="n">
        <f aca="false">(L1492-AVERAGE(L$2:L$2001))/STDEV(L$2:L$2001)</f>
        <v>0.413838214490712</v>
      </c>
      <c r="AE1492" s="13" t="n">
        <f aca="false">(M1492-AVERAGE(M$2:M$2001))/STDEV(M$2:M$2001)</f>
        <v>-0.621945855542399</v>
      </c>
      <c r="AF1492" s="13" t="n">
        <f aca="false">(N1492-AVERAGE(N$2:N$2001))/STDEV(N$2:N$2001)</f>
        <v>-1.234606951304</v>
      </c>
      <c r="AG1492" s="13" t="n">
        <f aca="false">(O1492-AVERAGE(O$2:O$2001))/STDEV(O$2:O$2001)</f>
        <v>-1.09914661943437</v>
      </c>
      <c r="AH1492" s="0" t="str">
        <f aca="false">IF(B1492="Company","C3 - Corporate Buyers",IF(AND(H1492="Investment",M1492&gt;'Segmentation Summary'!$C$1),"C1 - Global Investors",IF(AND(I1492&gt;=4,M1492&gt;'Segmentation Summary'!$C$1),"C4 - Luxury Investors",IF(AND(D1492&lt;'Segmentation Summary'!$C$2,J1492=1),"C2 - First-Time Buyers","C5 - Other Individual Buyers"))))</f>
        <v>C5 - Other Individual Buyers</v>
      </c>
    </row>
    <row r="1493" customFormat="false" ht="15" hidden="false" customHeight="true" outlineLevel="0" collapsed="false">
      <c r="A1493" s="13" t="s">
        <v>2986</v>
      </c>
      <c r="B1493" s="13" t="s">
        <v>34</v>
      </c>
      <c r="C1493" s="13" t="s">
        <v>2987</v>
      </c>
      <c r="D1493" s="13" t="n">
        <v>49</v>
      </c>
      <c r="E1493" s="13" t="s">
        <v>90</v>
      </c>
      <c r="F1493" s="13" t="s">
        <v>35</v>
      </c>
      <c r="G1493" s="13" t="s">
        <v>267</v>
      </c>
      <c r="H1493" s="13" t="s">
        <v>41</v>
      </c>
      <c r="I1493" s="13" t="n">
        <v>1</v>
      </c>
      <c r="J1493" s="13" t="n">
        <v>0</v>
      </c>
      <c r="K1493" s="13" t="s">
        <v>85</v>
      </c>
      <c r="L1493" s="13" t="n">
        <v>4</v>
      </c>
      <c r="M1493" s="13" t="n">
        <v>1469394.43</v>
      </c>
      <c r="N1493" s="13" t="n">
        <v>367348.6075</v>
      </c>
      <c r="O1493" s="13" t="n">
        <v>1198.3725</v>
      </c>
      <c r="P1493" s="13" t="n">
        <v>1</v>
      </c>
      <c r="Q1493" s="13" t="n">
        <v>3</v>
      </c>
      <c r="R1493" s="13" t="s">
        <v>92</v>
      </c>
      <c r="S1493" s="13" t="s">
        <v>164</v>
      </c>
      <c r="T1493" s="13" t="n">
        <v>1</v>
      </c>
      <c r="U1493" s="13" t="n">
        <f aca="false">IF(B1493="Individual",1,0)</f>
        <v>1</v>
      </c>
      <c r="V1493" s="13" t="n">
        <f aca="false">IF(B1493="Company",1,0)</f>
        <v>0</v>
      </c>
      <c r="W1493" s="13" t="n">
        <f aca="false">IF(H1493="Home",1,0)</f>
        <v>1</v>
      </c>
      <c r="X1493" s="13" t="n">
        <f aca="false">IF(H1493="Investment",1,0)</f>
        <v>0</v>
      </c>
      <c r="Y1493" s="13" t="n">
        <f aca="false">IF(K1493="Website",1,0)</f>
        <v>1</v>
      </c>
      <c r="Z1493" s="13" t="n">
        <f aca="false">IF(K1493="Agency",1,0)</f>
        <v>0</v>
      </c>
      <c r="AA1493" s="13" t="n">
        <f aca="false">IF(K1493="Client",1,0)</f>
        <v>0</v>
      </c>
      <c r="AB1493" s="13" t="n">
        <f aca="false">(D1493-AVERAGE(D$2:D$2001))/STDEV(D$2:D$2001)</f>
        <v>-0.296212033842633</v>
      </c>
      <c r="AC1493" s="13" t="n">
        <f aca="false">(I1493-AVERAGE(I$2:I$2001))/STDEV(I$2:I$2001)</f>
        <v>-1.43538077576244</v>
      </c>
      <c r="AD1493" s="13" t="n">
        <f aca="false">(L1493-AVERAGE(L$2:L$2001))/STDEV(L$2:L$2001)</f>
        <v>0.413838214490712</v>
      </c>
      <c r="AE1493" s="13" t="n">
        <f aca="false">(M1493-AVERAGE(M$2:M$2001))/STDEV(M$2:M$2001)</f>
        <v>0.600921571085973</v>
      </c>
      <c r="AF1493" s="13" t="n">
        <f aca="false">(N1493-AVERAGE(N$2:N$2001))/STDEV(N$2:N$2001)</f>
        <v>0.290564002829964</v>
      </c>
      <c r="AG1493" s="13" t="n">
        <f aca="false">(O1493-AVERAGE(O$2:O$2001))/STDEV(O$2:O$2001)</f>
        <v>0.231412483406957</v>
      </c>
      <c r="AH1493" s="0" t="str">
        <f aca="false">IF(B1493="Company","C3 - Corporate Buyers",IF(AND(H1493="Investment",M1493&gt;'Segmentation Summary'!$C$1),"C1 - Global Investors",IF(AND(I1493&gt;=4,M1493&gt;'Segmentation Summary'!$C$1),"C4 - Luxury Investors",IF(AND(D1493&lt;'Segmentation Summary'!$C$2,J1493=1),"C2 - First-Time Buyers","C5 - Other Individual Buyers"))))</f>
        <v>C5 - Other Individual Buyers</v>
      </c>
    </row>
    <row r="1494" customFormat="false" ht="15" hidden="false" customHeight="true" outlineLevel="0" collapsed="false">
      <c r="A1494" s="13" t="s">
        <v>2988</v>
      </c>
      <c r="B1494" s="13" t="s">
        <v>34</v>
      </c>
      <c r="C1494" s="13" t="s">
        <v>2989</v>
      </c>
      <c r="D1494" s="13" t="n">
        <v>63</v>
      </c>
      <c r="E1494" s="13" t="s">
        <v>90</v>
      </c>
      <c r="F1494" s="13" t="s">
        <v>33</v>
      </c>
      <c r="G1494" s="13" t="s">
        <v>157</v>
      </c>
      <c r="H1494" s="13" t="s">
        <v>41</v>
      </c>
      <c r="I1494" s="13" t="n">
        <v>5</v>
      </c>
      <c r="J1494" s="13" t="n">
        <v>0</v>
      </c>
      <c r="K1494" s="13" t="s">
        <v>91</v>
      </c>
      <c r="L1494" s="13" t="n">
        <v>4</v>
      </c>
      <c r="M1494" s="13" t="n">
        <v>1551113.76</v>
      </c>
      <c r="N1494" s="13" t="n">
        <v>387778.44</v>
      </c>
      <c r="O1494" s="13" t="n">
        <v>1260.0625</v>
      </c>
      <c r="P1494" s="13" t="n">
        <v>1</v>
      </c>
      <c r="Q1494" s="13" t="n">
        <v>3</v>
      </c>
      <c r="R1494" s="13" t="s">
        <v>103</v>
      </c>
      <c r="S1494" s="13" t="s">
        <v>125</v>
      </c>
      <c r="T1494" s="13" t="n">
        <v>1</v>
      </c>
      <c r="U1494" s="13" t="n">
        <f aca="false">IF(B1494="Individual",1,0)</f>
        <v>1</v>
      </c>
      <c r="V1494" s="13" t="n">
        <f aca="false">IF(B1494="Company",1,0)</f>
        <v>0</v>
      </c>
      <c r="W1494" s="13" t="n">
        <f aca="false">IF(H1494="Home",1,0)</f>
        <v>1</v>
      </c>
      <c r="X1494" s="13" t="n">
        <f aca="false">IF(H1494="Investment",1,0)</f>
        <v>0</v>
      </c>
      <c r="Y1494" s="13" t="n">
        <f aca="false">IF(K1494="Website",1,0)</f>
        <v>0</v>
      </c>
      <c r="Z1494" s="13" t="n">
        <f aca="false">IF(K1494="Agency",1,0)</f>
        <v>1</v>
      </c>
      <c r="AA1494" s="13" t="n">
        <f aca="false">IF(K1494="Client",1,0)</f>
        <v>0</v>
      </c>
      <c r="AB1494" s="13" t="n">
        <f aca="false">(D1494-AVERAGE(D$2:D$2001))/STDEV(D$2:D$2001)</f>
        <v>0.511062342991484</v>
      </c>
      <c r="AC1494" s="13" t="n">
        <f aca="false">(I1494-AVERAGE(I$2:I$2001))/STDEV(I$2:I$2001)</f>
        <v>1.39434968409451</v>
      </c>
      <c r="AD1494" s="13" t="n">
        <f aca="false">(L1494-AVERAGE(L$2:L$2001))/STDEV(L$2:L$2001)</f>
        <v>0.413838214490712</v>
      </c>
      <c r="AE1494" s="13" t="n">
        <f aca="false">(M1494-AVERAGE(M$2:M$2001))/STDEV(M$2:M$2001)</f>
        <v>0.835861552701841</v>
      </c>
      <c r="AF1494" s="13" t="n">
        <f aca="false">(N1494-AVERAGE(N$2:N$2001))/STDEV(N$2:N$2001)</f>
        <v>0.58358320354025</v>
      </c>
      <c r="AG1494" s="13" t="n">
        <f aca="false">(O1494-AVERAGE(O$2:O$2001))/STDEV(O$2:O$2001)</f>
        <v>0.51192027868507</v>
      </c>
      <c r="AH1494" s="0" t="str">
        <f aca="false">IF(B1494="Company","C3 - Corporate Buyers",IF(AND(H1494="Investment",M1494&gt;'Segmentation Summary'!$C$1),"C1 - Global Investors",IF(AND(I1494&gt;=4,M1494&gt;'Segmentation Summary'!$C$1),"C4 - Luxury Investors",IF(AND(D1494&lt;'Segmentation Summary'!$C$2,J1494=1),"C2 - First-Time Buyers","C5 - Other Individual Buyers"))))</f>
        <v>C4 - Luxury Investors</v>
      </c>
    </row>
    <row r="1495" customFormat="false" ht="15" hidden="false" customHeight="true" outlineLevel="0" collapsed="false">
      <c r="A1495" s="13" t="s">
        <v>2990</v>
      </c>
      <c r="B1495" s="13" t="s">
        <v>34</v>
      </c>
      <c r="C1495" s="13" t="s">
        <v>2991</v>
      </c>
      <c r="D1495" s="13" t="n">
        <v>48</v>
      </c>
      <c r="E1495" s="13" t="s">
        <v>90</v>
      </c>
      <c r="F1495" s="13" t="s">
        <v>33</v>
      </c>
      <c r="G1495" s="13" t="s">
        <v>95</v>
      </c>
      <c r="H1495" s="13" t="s">
        <v>41</v>
      </c>
      <c r="I1495" s="13" t="n">
        <v>4</v>
      </c>
      <c r="J1495" s="13" t="n">
        <v>0</v>
      </c>
      <c r="K1495" s="13" t="s">
        <v>85</v>
      </c>
      <c r="L1495" s="13" t="n">
        <v>8</v>
      </c>
      <c r="M1495" s="13" t="n">
        <v>2399689.67</v>
      </c>
      <c r="N1495" s="13" t="n">
        <v>299961.20875</v>
      </c>
      <c r="O1495" s="13" t="n">
        <v>997.5475</v>
      </c>
      <c r="P1495" s="13" t="n">
        <v>0</v>
      </c>
      <c r="Q1495" s="13" t="n">
        <v>8</v>
      </c>
      <c r="R1495" s="13" t="s">
        <v>101</v>
      </c>
      <c r="S1495" s="13" t="s">
        <v>114</v>
      </c>
      <c r="T1495" s="13" t="n">
        <v>1</v>
      </c>
      <c r="U1495" s="13" t="n">
        <f aca="false">IF(B1495="Individual",1,0)</f>
        <v>1</v>
      </c>
      <c r="V1495" s="13" t="n">
        <f aca="false">IF(B1495="Company",1,0)</f>
        <v>0</v>
      </c>
      <c r="W1495" s="13" t="n">
        <f aca="false">IF(H1495="Home",1,0)</f>
        <v>1</v>
      </c>
      <c r="X1495" s="13" t="n">
        <f aca="false">IF(H1495="Investment",1,0)</f>
        <v>0</v>
      </c>
      <c r="Y1495" s="13" t="n">
        <f aca="false">IF(K1495="Website",1,0)</f>
        <v>1</v>
      </c>
      <c r="Z1495" s="13" t="n">
        <f aca="false">IF(K1495="Agency",1,0)</f>
        <v>0</v>
      </c>
      <c r="AA1495" s="13" t="n">
        <f aca="false">IF(K1495="Client",1,0)</f>
        <v>0</v>
      </c>
      <c r="AB1495" s="13" t="n">
        <f aca="false">(D1495-AVERAGE(D$2:D$2001))/STDEV(D$2:D$2001)</f>
        <v>-0.353874489330784</v>
      </c>
      <c r="AC1495" s="13" t="n">
        <f aca="false">(I1495-AVERAGE(I$2:I$2001))/STDEV(I$2:I$2001)</f>
        <v>0.686917069130275</v>
      </c>
      <c r="AD1495" s="13" t="n">
        <f aca="false">(L1495-AVERAGE(L$2:L$2001))/STDEV(L$2:L$2001)</f>
        <v>5.17744356114639</v>
      </c>
      <c r="AE1495" s="13" t="n">
        <f aca="false">(M1495-AVERAGE(M$2:M$2001))/STDEV(M$2:M$2001)</f>
        <v>3.27548518514068</v>
      </c>
      <c r="AF1495" s="13" t="n">
        <f aca="false">(N1495-AVERAGE(N$2:N$2001))/STDEV(N$2:N$2001)</f>
        <v>-0.675954039825075</v>
      </c>
      <c r="AG1495" s="13" t="n">
        <f aca="false">(O1495-AVERAGE(O$2:O$2001))/STDEV(O$2:O$2001)</f>
        <v>-0.681749746885263</v>
      </c>
      <c r="AH1495" s="0" t="str">
        <f aca="false">IF(B1495="Company","C3 - Corporate Buyers",IF(AND(H1495="Investment",M1495&gt;'Segmentation Summary'!$C$1),"C1 - Global Investors",IF(AND(I1495&gt;=4,M1495&gt;'Segmentation Summary'!$C$1),"C4 - Luxury Investors",IF(AND(D1495&lt;'Segmentation Summary'!$C$2,J1495=1),"C2 - First-Time Buyers","C5 - Other Individual Buyers"))))</f>
        <v>C4 - Luxury Investors</v>
      </c>
    </row>
    <row r="1496" customFormat="false" ht="15" hidden="false" customHeight="true" outlineLevel="0" collapsed="false">
      <c r="A1496" s="13" t="s">
        <v>2992</v>
      </c>
      <c r="B1496" s="13" t="s">
        <v>34</v>
      </c>
      <c r="C1496" s="13" t="s">
        <v>2993</v>
      </c>
      <c r="D1496" s="13" t="n">
        <v>50</v>
      </c>
      <c r="E1496" s="13" t="s">
        <v>90</v>
      </c>
      <c r="F1496" s="13" t="s">
        <v>33</v>
      </c>
      <c r="G1496" s="13" t="s">
        <v>145</v>
      </c>
      <c r="H1496" s="13" t="s">
        <v>41</v>
      </c>
      <c r="I1496" s="13" t="n">
        <v>4</v>
      </c>
      <c r="J1496" s="13" t="n">
        <v>0</v>
      </c>
      <c r="K1496" s="13" t="s">
        <v>85</v>
      </c>
      <c r="L1496" s="13" t="n">
        <v>4</v>
      </c>
      <c r="M1496" s="13" t="n">
        <v>1188718.7</v>
      </c>
      <c r="N1496" s="13" t="n">
        <v>297179.675</v>
      </c>
      <c r="O1496" s="13" t="n">
        <v>972.335</v>
      </c>
      <c r="P1496" s="13" t="n">
        <v>2</v>
      </c>
      <c r="Q1496" s="13" t="n">
        <v>2</v>
      </c>
      <c r="R1496" s="13" t="s">
        <v>101</v>
      </c>
      <c r="S1496" s="13" t="s">
        <v>164</v>
      </c>
      <c r="T1496" s="13" t="n">
        <v>1</v>
      </c>
      <c r="U1496" s="13" t="n">
        <f aca="false">IF(B1496="Individual",1,0)</f>
        <v>1</v>
      </c>
      <c r="V1496" s="13" t="n">
        <f aca="false">IF(B1496="Company",1,0)</f>
        <v>0</v>
      </c>
      <c r="W1496" s="13" t="n">
        <f aca="false">IF(H1496="Home",1,0)</f>
        <v>1</v>
      </c>
      <c r="X1496" s="13" t="n">
        <f aca="false">IF(H1496="Investment",1,0)</f>
        <v>0</v>
      </c>
      <c r="Y1496" s="13" t="n">
        <f aca="false">IF(K1496="Website",1,0)</f>
        <v>1</v>
      </c>
      <c r="Z1496" s="13" t="n">
        <f aca="false">IF(K1496="Agency",1,0)</f>
        <v>0</v>
      </c>
      <c r="AA1496" s="13" t="n">
        <f aca="false">IF(K1496="Client",1,0)</f>
        <v>0</v>
      </c>
      <c r="AB1496" s="13" t="n">
        <f aca="false">(D1496-AVERAGE(D$2:D$2001))/STDEV(D$2:D$2001)</f>
        <v>-0.238549578354482</v>
      </c>
      <c r="AC1496" s="13" t="n">
        <f aca="false">(I1496-AVERAGE(I$2:I$2001))/STDEV(I$2:I$2001)</f>
        <v>0.686917069130275</v>
      </c>
      <c r="AD1496" s="13" t="n">
        <f aca="false">(L1496-AVERAGE(L$2:L$2001))/STDEV(L$2:L$2001)</f>
        <v>0.413838214490712</v>
      </c>
      <c r="AE1496" s="13" t="n">
        <f aca="false">(M1496-AVERAGE(M$2:M$2001))/STDEV(M$2:M$2001)</f>
        <v>-0.206010532324814</v>
      </c>
      <c r="AF1496" s="13" t="n">
        <f aca="false">(N1496-AVERAGE(N$2:N$2001))/STDEV(N$2:N$2001)</f>
        <v>-0.715848776904965</v>
      </c>
      <c r="AG1496" s="13" t="n">
        <f aca="false">(O1496-AVERAGE(O$2:O$2001))/STDEV(O$2:O$2001)</f>
        <v>-0.796392359763353</v>
      </c>
      <c r="AH1496" s="0" t="str">
        <f aca="false">IF(B1496="Company","C3 - Corporate Buyers",IF(AND(H1496="Investment",M1496&gt;'Segmentation Summary'!$C$1),"C1 - Global Investors",IF(AND(I1496&gt;=4,M1496&gt;'Segmentation Summary'!$C$1),"C4 - Luxury Investors",IF(AND(D1496&lt;'Segmentation Summary'!$C$2,J1496=1),"C2 - First-Time Buyers","C5 - Other Individual Buyers"))))</f>
        <v>C5 - Other Individual Buyers</v>
      </c>
    </row>
    <row r="1497" customFormat="false" ht="15" hidden="false" customHeight="true" outlineLevel="0" collapsed="false">
      <c r="A1497" s="13" t="s">
        <v>2994</v>
      </c>
      <c r="B1497" s="13" t="s">
        <v>34</v>
      </c>
      <c r="C1497" s="13" t="s">
        <v>2995</v>
      </c>
      <c r="D1497" s="13" t="n">
        <v>70</v>
      </c>
      <c r="E1497" s="13" t="s">
        <v>83</v>
      </c>
      <c r="F1497" s="13" t="s">
        <v>33</v>
      </c>
      <c r="G1497" s="13" t="s">
        <v>120</v>
      </c>
      <c r="H1497" s="13" t="s">
        <v>41</v>
      </c>
      <c r="I1497" s="13" t="n">
        <v>4</v>
      </c>
      <c r="J1497" s="13" t="n">
        <v>0</v>
      </c>
      <c r="K1497" s="13" t="s">
        <v>91</v>
      </c>
      <c r="L1497" s="13" t="n">
        <v>4</v>
      </c>
      <c r="M1497" s="13" t="n">
        <v>1120539.44</v>
      </c>
      <c r="N1497" s="13" t="n">
        <v>280134.86</v>
      </c>
      <c r="O1497" s="13" t="n">
        <v>929.245</v>
      </c>
      <c r="P1497" s="13" t="n">
        <v>0</v>
      </c>
      <c r="Q1497" s="13" t="n">
        <v>4</v>
      </c>
      <c r="R1497" s="13" t="s">
        <v>117</v>
      </c>
      <c r="S1497" s="13" t="s">
        <v>133</v>
      </c>
      <c r="T1497" s="13" t="n">
        <v>1</v>
      </c>
      <c r="U1497" s="13" t="n">
        <f aca="false">IF(B1497="Individual",1,0)</f>
        <v>1</v>
      </c>
      <c r="V1497" s="13" t="n">
        <f aca="false">IF(B1497="Company",1,0)</f>
        <v>0</v>
      </c>
      <c r="W1497" s="13" t="n">
        <f aca="false">IF(H1497="Home",1,0)</f>
        <v>1</v>
      </c>
      <c r="X1497" s="13" t="n">
        <f aca="false">IF(H1497="Investment",1,0)</f>
        <v>0</v>
      </c>
      <c r="Y1497" s="13" t="n">
        <f aca="false">IF(K1497="Website",1,0)</f>
        <v>0</v>
      </c>
      <c r="Z1497" s="13" t="n">
        <f aca="false">IF(K1497="Agency",1,0)</f>
        <v>1</v>
      </c>
      <c r="AA1497" s="13" t="n">
        <f aca="false">IF(K1497="Client",1,0)</f>
        <v>0</v>
      </c>
      <c r="AB1497" s="13" t="n">
        <f aca="false">(D1497-AVERAGE(D$2:D$2001))/STDEV(D$2:D$2001)</f>
        <v>0.914699531408543</v>
      </c>
      <c r="AC1497" s="13" t="n">
        <f aca="false">(I1497-AVERAGE(I$2:I$2001))/STDEV(I$2:I$2001)</f>
        <v>0.686917069130275</v>
      </c>
      <c r="AD1497" s="13" t="n">
        <f aca="false">(L1497-AVERAGE(L$2:L$2001))/STDEV(L$2:L$2001)</f>
        <v>0.413838214490712</v>
      </c>
      <c r="AE1497" s="13" t="n">
        <f aca="false">(M1497-AVERAGE(M$2:M$2001))/STDEV(M$2:M$2001)</f>
        <v>-0.402023325026166</v>
      </c>
      <c r="AF1497" s="13" t="n">
        <f aca="false">(N1497-AVERAGE(N$2:N$2001))/STDEV(N$2:N$2001)</f>
        <v>-0.960317647002392</v>
      </c>
      <c r="AG1497" s="13" t="n">
        <f aca="false">(O1497-AVERAGE(O$2:O$2001))/STDEV(O$2:O$2001)</f>
        <v>-0.992324940384749</v>
      </c>
      <c r="AH1497" s="0" t="str">
        <f aca="false">IF(B1497="Company","C3 - Corporate Buyers",IF(AND(H1497="Investment",M1497&gt;'Segmentation Summary'!$C$1),"C1 - Global Investors",IF(AND(I1497&gt;=4,M1497&gt;'Segmentation Summary'!$C$1),"C4 - Luxury Investors",IF(AND(D1497&lt;'Segmentation Summary'!$C$2,J1497=1),"C2 - First-Time Buyers","C5 - Other Individual Buyers"))))</f>
        <v>C5 - Other Individual Buyers</v>
      </c>
    </row>
    <row r="1498" customFormat="false" ht="15" hidden="false" customHeight="true" outlineLevel="0" collapsed="false">
      <c r="A1498" s="13" t="s">
        <v>2996</v>
      </c>
      <c r="B1498" s="13" t="s">
        <v>34</v>
      </c>
      <c r="C1498" s="13" t="s">
        <v>2997</v>
      </c>
      <c r="D1498" s="13" t="n">
        <v>53</v>
      </c>
      <c r="E1498" s="13" t="s">
        <v>83</v>
      </c>
      <c r="F1498" s="13" t="s">
        <v>33</v>
      </c>
      <c r="G1498" s="13" t="s">
        <v>95</v>
      </c>
      <c r="H1498" s="13" t="s">
        <v>41</v>
      </c>
      <c r="I1498" s="13" t="n">
        <v>1</v>
      </c>
      <c r="J1498" s="13" t="n">
        <v>0</v>
      </c>
      <c r="K1498" s="13" t="s">
        <v>85</v>
      </c>
      <c r="L1498" s="13" t="n">
        <v>5</v>
      </c>
      <c r="M1498" s="13" t="n">
        <v>1428058.55</v>
      </c>
      <c r="N1498" s="13" t="n">
        <v>285611.71</v>
      </c>
      <c r="O1498" s="13" t="n">
        <v>928.794</v>
      </c>
      <c r="P1498" s="13" t="n">
        <v>0</v>
      </c>
      <c r="Q1498" s="13" t="n">
        <v>5</v>
      </c>
      <c r="R1498" s="13" t="s">
        <v>92</v>
      </c>
      <c r="S1498" s="13" t="s">
        <v>152</v>
      </c>
      <c r="T1498" s="13" t="n">
        <v>1</v>
      </c>
      <c r="U1498" s="13" t="n">
        <f aca="false">IF(B1498="Individual",1,0)</f>
        <v>1</v>
      </c>
      <c r="V1498" s="13" t="n">
        <f aca="false">IF(B1498="Company",1,0)</f>
        <v>0</v>
      </c>
      <c r="W1498" s="13" t="n">
        <f aca="false">IF(H1498="Home",1,0)</f>
        <v>1</v>
      </c>
      <c r="X1498" s="13" t="n">
        <f aca="false">IF(H1498="Investment",1,0)</f>
        <v>0</v>
      </c>
      <c r="Y1498" s="13" t="n">
        <f aca="false">IF(K1498="Website",1,0)</f>
        <v>1</v>
      </c>
      <c r="Z1498" s="13" t="n">
        <f aca="false">IF(K1498="Agency",1,0)</f>
        <v>0</v>
      </c>
      <c r="AA1498" s="13" t="n">
        <f aca="false">IF(K1498="Client",1,0)</f>
        <v>0</v>
      </c>
      <c r="AB1498" s="13" t="n">
        <f aca="false">(D1498-AVERAGE(D$2:D$2001))/STDEV(D$2:D$2001)</f>
        <v>-0.065562211890028</v>
      </c>
      <c r="AC1498" s="13" t="n">
        <f aca="false">(I1498-AVERAGE(I$2:I$2001))/STDEV(I$2:I$2001)</f>
        <v>-1.43538077576244</v>
      </c>
      <c r="AD1498" s="13" t="n">
        <f aca="false">(L1498-AVERAGE(L$2:L$2001))/STDEV(L$2:L$2001)</f>
        <v>1.60473955115463</v>
      </c>
      <c r="AE1498" s="13" t="n">
        <f aca="false">(M1498-AVERAGE(M$2:M$2001))/STDEV(M$2:M$2001)</f>
        <v>0.482082480172285</v>
      </c>
      <c r="AF1498" s="13" t="n">
        <f aca="false">(N1498-AVERAGE(N$2:N$2001))/STDEV(N$2:N$2001)</f>
        <v>-0.88176476560162</v>
      </c>
      <c r="AG1498" s="13" t="n">
        <f aca="false">(O1498-AVERAGE(O$2:O$2001))/STDEV(O$2:O$2001)</f>
        <v>-0.994375661987447</v>
      </c>
      <c r="AH1498" s="0" t="str">
        <f aca="false">IF(B1498="Company","C3 - Corporate Buyers",IF(AND(H1498="Investment",M1498&gt;'Segmentation Summary'!$C$1),"C1 - Global Investors",IF(AND(I1498&gt;=4,M1498&gt;'Segmentation Summary'!$C$1),"C4 - Luxury Investors",IF(AND(D1498&lt;'Segmentation Summary'!$C$2,J1498=1),"C2 - First-Time Buyers","C5 - Other Individual Buyers"))))</f>
        <v>C5 - Other Individual Buyers</v>
      </c>
    </row>
    <row r="1499" customFormat="false" ht="15" hidden="false" customHeight="true" outlineLevel="0" collapsed="false">
      <c r="A1499" s="13" t="s">
        <v>2998</v>
      </c>
      <c r="B1499" s="13" t="s">
        <v>34</v>
      </c>
      <c r="C1499" s="13" t="s">
        <v>2999</v>
      </c>
      <c r="D1499" s="13" t="n">
        <v>57</v>
      </c>
      <c r="E1499" s="13" t="s">
        <v>83</v>
      </c>
      <c r="F1499" s="13" t="s">
        <v>33</v>
      </c>
      <c r="G1499" s="13" t="s">
        <v>110</v>
      </c>
      <c r="H1499" s="13" t="s">
        <v>41</v>
      </c>
      <c r="I1499" s="13" t="n">
        <v>5</v>
      </c>
      <c r="J1499" s="13" t="n">
        <v>0</v>
      </c>
      <c r="K1499" s="13" t="s">
        <v>91</v>
      </c>
      <c r="L1499" s="13" t="n">
        <v>4</v>
      </c>
      <c r="M1499" s="13" t="n">
        <v>1306907.58</v>
      </c>
      <c r="N1499" s="13" t="n">
        <v>326726.895</v>
      </c>
      <c r="O1499" s="13" t="n">
        <v>1101.62</v>
      </c>
      <c r="P1499" s="13" t="n">
        <v>0</v>
      </c>
      <c r="Q1499" s="13" t="n">
        <v>4</v>
      </c>
      <c r="R1499" s="13" t="s">
        <v>93</v>
      </c>
      <c r="S1499" s="13" t="s">
        <v>114</v>
      </c>
      <c r="T1499" s="13" t="n">
        <v>1</v>
      </c>
      <c r="U1499" s="13" t="n">
        <f aca="false">IF(B1499="Individual",1,0)</f>
        <v>1</v>
      </c>
      <c r="V1499" s="13" t="n">
        <f aca="false">IF(B1499="Company",1,0)</f>
        <v>0</v>
      </c>
      <c r="W1499" s="13" t="n">
        <f aca="false">IF(H1499="Home",1,0)</f>
        <v>1</v>
      </c>
      <c r="X1499" s="13" t="n">
        <f aca="false">IF(H1499="Investment",1,0)</f>
        <v>0</v>
      </c>
      <c r="Y1499" s="13" t="n">
        <f aca="false">IF(K1499="Website",1,0)</f>
        <v>0</v>
      </c>
      <c r="Z1499" s="13" t="n">
        <f aca="false">IF(K1499="Agency",1,0)</f>
        <v>1</v>
      </c>
      <c r="AA1499" s="13" t="n">
        <f aca="false">IF(K1499="Client",1,0)</f>
        <v>0</v>
      </c>
      <c r="AB1499" s="13" t="n">
        <f aca="false">(D1499-AVERAGE(D$2:D$2001))/STDEV(D$2:D$2001)</f>
        <v>0.165087610062577</v>
      </c>
      <c r="AC1499" s="13" t="n">
        <f aca="false">(I1499-AVERAGE(I$2:I$2001))/STDEV(I$2:I$2001)</f>
        <v>1.39434968409451</v>
      </c>
      <c r="AD1499" s="13" t="n">
        <f aca="false">(L1499-AVERAGE(L$2:L$2001))/STDEV(L$2:L$2001)</f>
        <v>0.413838214490712</v>
      </c>
      <c r="AE1499" s="13" t="n">
        <f aca="false">(M1499-AVERAGE(M$2:M$2001))/STDEV(M$2:M$2001)</f>
        <v>0.133778025589208</v>
      </c>
      <c r="AF1499" s="13" t="n">
        <f aca="false">(N1499-AVERAGE(N$2:N$2001))/STDEV(N$2:N$2001)</f>
        <v>-0.292061514448898</v>
      </c>
      <c r="AG1499" s="13" t="n">
        <f aca="false">(O1499-AVERAGE(O$2:O$2001))/STDEV(O$2:O$2001)</f>
        <v>-0.208526412080896</v>
      </c>
      <c r="AH1499" s="0" t="str">
        <f aca="false">IF(B1499="Company","C3 - Corporate Buyers",IF(AND(H1499="Investment",M1499&gt;'Segmentation Summary'!$C$1),"C1 - Global Investors",IF(AND(I1499&gt;=4,M1499&gt;'Segmentation Summary'!$C$1),"C4 - Luxury Investors",IF(AND(D1499&lt;'Segmentation Summary'!$C$2,J1499=1),"C2 - First-Time Buyers","C5 - Other Individual Buyers"))))</f>
        <v>C4 - Luxury Investors</v>
      </c>
    </row>
    <row r="1500" customFormat="false" ht="15" hidden="false" customHeight="true" outlineLevel="0" collapsed="false">
      <c r="A1500" s="13" t="s">
        <v>3000</v>
      </c>
      <c r="B1500" s="13" t="s">
        <v>34</v>
      </c>
      <c r="C1500" s="13" t="s">
        <v>3001</v>
      </c>
      <c r="D1500" s="13" t="n">
        <v>91</v>
      </c>
      <c r="E1500" s="13" t="s">
        <v>90</v>
      </c>
      <c r="F1500" s="13" t="s">
        <v>33</v>
      </c>
      <c r="G1500" s="13" t="s">
        <v>95</v>
      </c>
      <c r="H1500" s="13" t="s">
        <v>43</v>
      </c>
      <c r="I1500" s="13" t="n">
        <v>5</v>
      </c>
      <c r="J1500" s="13" t="n">
        <v>1</v>
      </c>
      <c r="K1500" s="13" t="s">
        <v>91</v>
      </c>
      <c r="L1500" s="13" t="n">
        <v>5</v>
      </c>
      <c r="M1500" s="13" t="n">
        <v>1995551.09</v>
      </c>
      <c r="N1500" s="13" t="n">
        <v>399110.218</v>
      </c>
      <c r="O1500" s="13" t="n">
        <v>1285.854</v>
      </c>
      <c r="P1500" s="13" t="n">
        <v>2</v>
      </c>
      <c r="Q1500" s="13" t="n">
        <v>3</v>
      </c>
      <c r="R1500" s="13" t="s">
        <v>92</v>
      </c>
      <c r="S1500" s="13" t="s">
        <v>154</v>
      </c>
      <c r="T1500" s="13" t="n">
        <v>1</v>
      </c>
      <c r="U1500" s="13" t="n">
        <f aca="false">IF(B1500="Individual",1,0)</f>
        <v>1</v>
      </c>
      <c r="V1500" s="13" t="n">
        <f aca="false">IF(B1500="Company",1,0)</f>
        <v>0</v>
      </c>
      <c r="W1500" s="13" t="n">
        <f aca="false">IF(H1500="Home",1,0)</f>
        <v>0</v>
      </c>
      <c r="X1500" s="13" t="n">
        <f aca="false">IF(H1500="Investment",1,0)</f>
        <v>1</v>
      </c>
      <c r="Y1500" s="13" t="n">
        <f aca="false">IF(K1500="Website",1,0)</f>
        <v>0</v>
      </c>
      <c r="Z1500" s="13" t="n">
        <f aca="false">IF(K1500="Agency",1,0)</f>
        <v>1</v>
      </c>
      <c r="AA1500" s="13" t="n">
        <f aca="false">IF(K1500="Client",1,0)</f>
        <v>0</v>
      </c>
      <c r="AB1500" s="13" t="n">
        <f aca="false">(D1500-AVERAGE(D$2:D$2001))/STDEV(D$2:D$2001)</f>
        <v>2.12561109665972</v>
      </c>
      <c r="AC1500" s="13" t="n">
        <f aca="false">(I1500-AVERAGE(I$2:I$2001))/STDEV(I$2:I$2001)</f>
        <v>1.39434968409451</v>
      </c>
      <c r="AD1500" s="13" t="n">
        <f aca="false">(L1500-AVERAGE(L$2:L$2001))/STDEV(L$2:L$2001)</f>
        <v>1.60473955115463</v>
      </c>
      <c r="AE1500" s="13" t="n">
        <f aca="false">(M1500-AVERAGE(M$2:M$2001))/STDEV(M$2:M$2001)</f>
        <v>2.11360205962481</v>
      </c>
      <c r="AF1500" s="13" t="n">
        <f aca="false">(N1500-AVERAGE(N$2:N$2001))/STDEV(N$2:N$2001)</f>
        <v>0.74611163015297</v>
      </c>
      <c r="AG1500" s="13" t="n">
        <f aca="false">(O1500-AVERAGE(O$2:O$2001))/STDEV(O$2:O$2001)</f>
        <v>0.629195636148443</v>
      </c>
      <c r="AH1500" s="0" t="str">
        <f aca="false">IF(B1500="Company","C3 - Corporate Buyers",IF(AND(H1500="Investment",M1500&gt;'Segmentation Summary'!$C$1),"C1 - Global Investors",IF(AND(I1500&gt;=4,M1500&gt;'Segmentation Summary'!$C$1),"C4 - Luxury Investors",IF(AND(D1500&lt;'Segmentation Summary'!$C$2,J1500=1),"C2 - First-Time Buyers","C5 - Other Individual Buyers"))))</f>
        <v>C1 - Global Investors</v>
      </c>
    </row>
    <row r="1501" customFormat="false" ht="15" hidden="false" customHeight="true" outlineLevel="0" collapsed="false">
      <c r="A1501" s="13" t="s">
        <v>3002</v>
      </c>
      <c r="B1501" s="13" t="s">
        <v>34</v>
      </c>
      <c r="C1501" s="13" t="s">
        <v>3003</v>
      </c>
      <c r="D1501" s="13" t="n">
        <v>57</v>
      </c>
      <c r="E1501" s="13" t="s">
        <v>90</v>
      </c>
      <c r="F1501" s="13" t="s">
        <v>33</v>
      </c>
      <c r="G1501" s="13" t="s">
        <v>157</v>
      </c>
      <c r="H1501" s="13" t="s">
        <v>43</v>
      </c>
      <c r="I1501" s="13" t="n">
        <v>2</v>
      </c>
      <c r="J1501" s="13" t="n">
        <v>0</v>
      </c>
      <c r="K1501" s="13" t="s">
        <v>116</v>
      </c>
      <c r="L1501" s="13" t="n">
        <v>4</v>
      </c>
      <c r="M1501" s="13" t="n">
        <v>1474211.53</v>
      </c>
      <c r="N1501" s="13" t="n">
        <v>368552.8825</v>
      </c>
      <c r="O1501" s="13" t="n">
        <v>1187.925</v>
      </c>
      <c r="P1501" s="13" t="n">
        <v>0</v>
      </c>
      <c r="Q1501" s="13" t="n">
        <v>4</v>
      </c>
      <c r="R1501" s="13" t="s">
        <v>101</v>
      </c>
      <c r="S1501" s="13" t="s">
        <v>125</v>
      </c>
      <c r="T1501" s="13" t="n">
        <v>1</v>
      </c>
      <c r="U1501" s="13" t="n">
        <f aca="false">IF(B1501="Individual",1,0)</f>
        <v>1</v>
      </c>
      <c r="V1501" s="13" t="n">
        <f aca="false">IF(B1501="Company",1,0)</f>
        <v>0</v>
      </c>
      <c r="W1501" s="13" t="n">
        <f aca="false">IF(H1501="Home",1,0)</f>
        <v>0</v>
      </c>
      <c r="X1501" s="13" t="n">
        <f aca="false">IF(H1501="Investment",1,0)</f>
        <v>1</v>
      </c>
      <c r="Y1501" s="13" t="n">
        <f aca="false">IF(K1501="Website",1,0)</f>
        <v>0</v>
      </c>
      <c r="Z1501" s="13" t="n">
        <f aca="false">IF(K1501="Agency",1,0)</f>
        <v>0</v>
      </c>
      <c r="AA1501" s="13" t="n">
        <f aca="false">IF(K1501="Client",1,0)</f>
        <v>1</v>
      </c>
      <c r="AB1501" s="13" t="n">
        <f aca="false">(D1501-AVERAGE(D$2:D$2001))/STDEV(D$2:D$2001)</f>
        <v>0.165087610062577</v>
      </c>
      <c r="AC1501" s="13" t="n">
        <f aca="false">(I1501-AVERAGE(I$2:I$2001))/STDEV(I$2:I$2001)</f>
        <v>-0.727948160798201</v>
      </c>
      <c r="AD1501" s="13" t="n">
        <f aca="false">(L1501-AVERAGE(L$2:L$2001))/STDEV(L$2:L$2001)</f>
        <v>0.413838214490712</v>
      </c>
      <c r="AE1501" s="13" t="n">
        <f aca="false">(M1501-AVERAGE(M$2:M$2001))/STDEV(M$2:M$2001)</f>
        <v>0.614770551314296</v>
      </c>
      <c r="AF1501" s="13" t="n">
        <f aca="false">(N1501-AVERAGE(N$2:N$2001))/STDEV(N$2:N$2001)</f>
        <v>0.307836572144244</v>
      </c>
      <c r="AG1501" s="13" t="n">
        <f aca="false">(O1501-AVERAGE(O$2:O$2001))/STDEV(O$2:O$2001)</f>
        <v>0.183907130980825</v>
      </c>
      <c r="AH1501" s="0" t="str">
        <f aca="false">IF(B1501="Company","C3 - Corporate Buyers",IF(AND(H1501="Investment",M1501&gt;'Segmentation Summary'!$C$1),"C1 - Global Investors",IF(AND(I1501&gt;=4,M1501&gt;'Segmentation Summary'!$C$1),"C4 - Luxury Investors",IF(AND(D1501&lt;'Segmentation Summary'!$C$2,J1501=1),"C2 - First-Time Buyers","C5 - Other Individual Buyers"))))</f>
        <v>C1 - Global Investors</v>
      </c>
    </row>
    <row r="1502" customFormat="false" ht="15" hidden="false" customHeight="true" outlineLevel="0" collapsed="false">
      <c r="A1502" s="13" t="s">
        <v>3004</v>
      </c>
      <c r="B1502" s="13" t="s">
        <v>34</v>
      </c>
      <c r="C1502" s="13" t="s">
        <v>3005</v>
      </c>
      <c r="D1502" s="13" t="n">
        <v>40</v>
      </c>
      <c r="E1502" s="13" t="s">
        <v>90</v>
      </c>
      <c r="F1502" s="13" t="s">
        <v>46</v>
      </c>
      <c r="G1502" s="13" t="s">
        <v>1065</v>
      </c>
      <c r="H1502" s="13" t="s">
        <v>41</v>
      </c>
      <c r="I1502" s="13" t="n">
        <v>1</v>
      </c>
      <c r="J1502" s="13" t="n">
        <v>1</v>
      </c>
      <c r="K1502" s="13" t="s">
        <v>85</v>
      </c>
      <c r="L1502" s="13" t="n">
        <v>4</v>
      </c>
      <c r="M1502" s="13" t="n">
        <v>1050355.29</v>
      </c>
      <c r="N1502" s="13" t="n">
        <v>262588.8225</v>
      </c>
      <c r="O1502" s="13" t="n">
        <v>883.805</v>
      </c>
      <c r="P1502" s="13" t="n">
        <v>1</v>
      </c>
      <c r="Q1502" s="13" t="n">
        <v>3</v>
      </c>
      <c r="R1502" s="13" t="s">
        <v>124</v>
      </c>
      <c r="S1502" s="13" t="s">
        <v>125</v>
      </c>
      <c r="T1502" s="13" t="n">
        <v>1</v>
      </c>
      <c r="U1502" s="13" t="n">
        <f aca="false">IF(B1502="Individual",1,0)</f>
        <v>1</v>
      </c>
      <c r="V1502" s="13" t="n">
        <f aca="false">IF(B1502="Company",1,0)</f>
        <v>0</v>
      </c>
      <c r="W1502" s="13" t="n">
        <f aca="false">IF(H1502="Home",1,0)</f>
        <v>1</v>
      </c>
      <c r="X1502" s="13" t="n">
        <f aca="false">IF(H1502="Investment",1,0)</f>
        <v>0</v>
      </c>
      <c r="Y1502" s="13" t="n">
        <f aca="false">IF(K1502="Website",1,0)</f>
        <v>1</v>
      </c>
      <c r="Z1502" s="13" t="n">
        <f aca="false">IF(K1502="Agency",1,0)</f>
        <v>0</v>
      </c>
      <c r="AA1502" s="13" t="n">
        <f aca="false">IF(K1502="Client",1,0)</f>
        <v>0</v>
      </c>
      <c r="AB1502" s="13" t="n">
        <f aca="false">(D1502-AVERAGE(D$2:D$2001))/STDEV(D$2:D$2001)</f>
        <v>-0.815174133235994</v>
      </c>
      <c r="AC1502" s="13" t="n">
        <f aca="false">(I1502-AVERAGE(I$2:I$2001))/STDEV(I$2:I$2001)</f>
        <v>-1.43538077576244</v>
      </c>
      <c r="AD1502" s="13" t="n">
        <f aca="false">(L1502-AVERAGE(L$2:L$2001))/STDEV(L$2:L$2001)</f>
        <v>0.413838214490712</v>
      </c>
      <c r="AE1502" s="13" t="n">
        <f aca="false">(M1502-AVERAGE(M$2:M$2001))/STDEV(M$2:M$2001)</f>
        <v>-0.603800100615556</v>
      </c>
      <c r="AF1502" s="13" t="n">
        <f aca="false">(N1502-AVERAGE(N$2:N$2001))/STDEV(N$2:N$2001)</f>
        <v>-1.21197540699052</v>
      </c>
      <c r="AG1502" s="13" t="n">
        <f aca="false">(O1502-AVERAGE(O$2:O$2001))/STDEV(O$2:O$2001)</f>
        <v>-1.19894309920202</v>
      </c>
      <c r="AH1502" s="0" t="str">
        <f aca="false">IF(B1502="Company","C3 - Corporate Buyers",IF(AND(H1502="Investment",M1502&gt;'Segmentation Summary'!$C$1),"C1 - Global Investors",IF(AND(I1502&gt;=4,M1502&gt;'Segmentation Summary'!$C$1),"C4 - Luxury Investors",IF(AND(D1502&lt;'Segmentation Summary'!$C$2,J1502=1),"C2 - First-Time Buyers","C5 - Other Individual Buyers"))))</f>
        <v>C2 - First-Time Buyers</v>
      </c>
    </row>
    <row r="1503" customFormat="false" ht="15" hidden="false" customHeight="true" outlineLevel="0" collapsed="false">
      <c r="A1503" s="13" t="s">
        <v>3006</v>
      </c>
      <c r="B1503" s="13" t="s">
        <v>34</v>
      </c>
      <c r="C1503" s="13" t="s">
        <v>3007</v>
      </c>
      <c r="D1503" s="13" t="n">
        <v>76</v>
      </c>
      <c r="E1503" s="13" t="s">
        <v>90</v>
      </c>
      <c r="F1503" s="13" t="s">
        <v>37</v>
      </c>
      <c r="G1503" s="13" t="s">
        <v>169</v>
      </c>
      <c r="H1503" s="13" t="s">
        <v>41</v>
      </c>
      <c r="I1503" s="13" t="n">
        <v>2</v>
      </c>
      <c r="J1503" s="13" t="n">
        <v>1</v>
      </c>
      <c r="K1503" s="13" t="s">
        <v>85</v>
      </c>
      <c r="L1503" s="13" t="n">
        <v>3</v>
      </c>
      <c r="M1503" s="13" t="n">
        <v>1007455.29</v>
      </c>
      <c r="N1503" s="13" t="n">
        <v>335818.43</v>
      </c>
      <c r="O1503" s="13" t="n">
        <v>1258.4</v>
      </c>
      <c r="P1503" s="13" t="n">
        <v>1</v>
      </c>
      <c r="Q1503" s="13" t="n">
        <v>2</v>
      </c>
      <c r="R1503" s="13" t="s">
        <v>98</v>
      </c>
      <c r="S1503" s="13" t="s">
        <v>215</v>
      </c>
      <c r="T1503" s="13" t="n">
        <v>1</v>
      </c>
      <c r="U1503" s="13" t="n">
        <f aca="false">IF(B1503="Individual",1,0)</f>
        <v>1</v>
      </c>
      <c r="V1503" s="13" t="n">
        <f aca="false">IF(B1503="Company",1,0)</f>
        <v>0</v>
      </c>
      <c r="W1503" s="13" t="n">
        <f aca="false">IF(H1503="Home",1,0)</f>
        <v>1</v>
      </c>
      <c r="X1503" s="13" t="n">
        <f aca="false">IF(H1503="Investment",1,0)</f>
        <v>0</v>
      </c>
      <c r="Y1503" s="13" t="n">
        <f aca="false">IF(K1503="Website",1,0)</f>
        <v>1</v>
      </c>
      <c r="Z1503" s="13" t="n">
        <f aca="false">IF(K1503="Agency",1,0)</f>
        <v>0</v>
      </c>
      <c r="AA1503" s="13" t="n">
        <f aca="false">IF(K1503="Client",1,0)</f>
        <v>0</v>
      </c>
      <c r="AB1503" s="13" t="n">
        <f aca="false">(D1503-AVERAGE(D$2:D$2001))/STDEV(D$2:D$2001)</f>
        <v>1.26067426433745</v>
      </c>
      <c r="AC1503" s="13" t="n">
        <f aca="false">(I1503-AVERAGE(I$2:I$2001))/STDEV(I$2:I$2001)</f>
        <v>-0.727948160798201</v>
      </c>
      <c r="AD1503" s="13" t="n">
        <f aca="false">(L1503-AVERAGE(L$2:L$2001))/STDEV(L$2:L$2001)</f>
        <v>-0.777063122173208</v>
      </c>
      <c r="AE1503" s="13" t="n">
        <f aca="false">(M1503-AVERAGE(M$2:M$2001))/STDEV(M$2:M$2001)</f>
        <v>-0.727135977345342</v>
      </c>
      <c r="AF1503" s="13" t="n">
        <f aca="false">(N1503-AVERAGE(N$2:N$2001))/STDEV(N$2:N$2001)</f>
        <v>-0.161664247661245</v>
      </c>
      <c r="AG1503" s="13" t="n">
        <f aca="false">(O1503-AVERAGE(O$2:O$2001))/STDEV(O$2:O$2001)</f>
        <v>0.504360800493308</v>
      </c>
      <c r="AH1503" s="0" t="str">
        <f aca="false">IF(B1503="Company","C3 - Corporate Buyers",IF(AND(H1503="Investment",M1503&gt;'Segmentation Summary'!$C$1),"C1 - Global Investors",IF(AND(I1503&gt;=4,M1503&gt;'Segmentation Summary'!$C$1),"C4 - Luxury Investors",IF(AND(D1503&lt;'Segmentation Summary'!$C$2,J1503=1),"C2 - First-Time Buyers","C5 - Other Individual Buyers"))))</f>
        <v>C5 - Other Individual Buyers</v>
      </c>
    </row>
    <row r="1504" customFormat="false" ht="15" hidden="false" customHeight="true" outlineLevel="0" collapsed="false">
      <c r="A1504" s="13" t="s">
        <v>3008</v>
      </c>
      <c r="B1504" s="13" t="s">
        <v>34</v>
      </c>
      <c r="C1504" s="13" t="s">
        <v>3009</v>
      </c>
      <c r="D1504" s="13" t="n">
        <v>49</v>
      </c>
      <c r="E1504" s="13" t="s">
        <v>90</v>
      </c>
      <c r="F1504" s="13" t="s">
        <v>33</v>
      </c>
      <c r="G1504" s="13" t="s">
        <v>157</v>
      </c>
      <c r="H1504" s="13" t="s">
        <v>43</v>
      </c>
      <c r="I1504" s="13" t="n">
        <v>5</v>
      </c>
      <c r="J1504" s="13" t="n">
        <v>1</v>
      </c>
      <c r="K1504" s="13" t="s">
        <v>91</v>
      </c>
      <c r="L1504" s="13" t="n">
        <v>4</v>
      </c>
      <c r="M1504" s="13" t="n">
        <v>1722388.89</v>
      </c>
      <c r="N1504" s="13" t="n">
        <v>430597.2225</v>
      </c>
      <c r="O1504" s="13" t="n">
        <v>1338.9</v>
      </c>
      <c r="P1504" s="13" t="n">
        <v>0</v>
      </c>
      <c r="Q1504" s="13" t="n">
        <v>4</v>
      </c>
      <c r="R1504" s="13" t="s">
        <v>101</v>
      </c>
      <c r="S1504" s="13" t="s">
        <v>150</v>
      </c>
      <c r="T1504" s="13" t="n">
        <v>1</v>
      </c>
      <c r="U1504" s="13" t="n">
        <f aca="false">IF(B1504="Individual",1,0)</f>
        <v>1</v>
      </c>
      <c r="V1504" s="13" t="n">
        <f aca="false">IF(B1504="Company",1,0)</f>
        <v>0</v>
      </c>
      <c r="W1504" s="13" t="n">
        <f aca="false">IF(H1504="Home",1,0)</f>
        <v>0</v>
      </c>
      <c r="X1504" s="13" t="n">
        <f aca="false">IF(H1504="Investment",1,0)</f>
        <v>1</v>
      </c>
      <c r="Y1504" s="13" t="n">
        <f aca="false">IF(K1504="Website",1,0)</f>
        <v>0</v>
      </c>
      <c r="Z1504" s="13" t="n">
        <f aca="false">IF(K1504="Agency",1,0)</f>
        <v>1</v>
      </c>
      <c r="AA1504" s="13" t="n">
        <f aca="false">IF(K1504="Client",1,0)</f>
        <v>0</v>
      </c>
      <c r="AB1504" s="13" t="n">
        <f aca="false">(D1504-AVERAGE(D$2:D$2001))/STDEV(D$2:D$2001)</f>
        <v>-0.296212033842633</v>
      </c>
      <c r="AC1504" s="13" t="n">
        <f aca="false">(I1504-AVERAGE(I$2:I$2001))/STDEV(I$2:I$2001)</f>
        <v>1.39434968409451</v>
      </c>
      <c r="AD1504" s="13" t="n">
        <f aca="false">(L1504-AVERAGE(L$2:L$2001))/STDEV(L$2:L$2001)</f>
        <v>0.413838214490712</v>
      </c>
      <c r="AE1504" s="13" t="n">
        <f aca="false">(M1504-AVERAGE(M$2:M$2001))/STDEV(M$2:M$2001)</f>
        <v>1.32827107066357</v>
      </c>
      <c r="AF1504" s="13" t="n">
        <f aca="false">(N1504-AVERAGE(N$2:N$2001))/STDEV(N$2:N$2001)</f>
        <v>1.19772066274544</v>
      </c>
      <c r="AG1504" s="13" t="n">
        <f aca="false">(O1504-AVERAGE(O$2:O$2001))/STDEV(O$2:O$2001)</f>
        <v>0.87039869188394</v>
      </c>
      <c r="AH1504" s="0" t="str">
        <f aca="false">IF(B1504="Company","C3 - Corporate Buyers",IF(AND(H1504="Investment",M1504&gt;'Segmentation Summary'!$C$1),"C1 - Global Investors",IF(AND(I1504&gt;=4,M1504&gt;'Segmentation Summary'!$C$1),"C4 - Luxury Investors",IF(AND(D1504&lt;'Segmentation Summary'!$C$2,J1504=1),"C2 - First-Time Buyers","C5 - Other Individual Buyers"))))</f>
        <v>C1 - Global Investors</v>
      </c>
    </row>
    <row r="1505" customFormat="false" ht="15" hidden="false" customHeight="true" outlineLevel="0" collapsed="false">
      <c r="A1505" s="13" t="s">
        <v>3010</v>
      </c>
      <c r="B1505" s="13" t="s">
        <v>34</v>
      </c>
      <c r="C1505" s="13" t="s">
        <v>3011</v>
      </c>
      <c r="D1505" s="13" t="n">
        <v>73</v>
      </c>
      <c r="E1505" s="13" t="s">
        <v>90</v>
      </c>
      <c r="F1505" s="13" t="s">
        <v>33</v>
      </c>
      <c r="G1505" s="13" t="s">
        <v>84</v>
      </c>
      <c r="H1505" s="13" t="s">
        <v>43</v>
      </c>
      <c r="I1505" s="13" t="n">
        <v>5</v>
      </c>
      <c r="J1505" s="13" t="n">
        <v>1</v>
      </c>
      <c r="K1505" s="13" t="s">
        <v>91</v>
      </c>
      <c r="L1505" s="13" t="n">
        <v>3</v>
      </c>
      <c r="M1505" s="13" t="n">
        <v>978638.94</v>
      </c>
      <c r="N1505" s="13" t="n">
        <v>326212.98</v>
      </c>
      <c r="O1505" s="13" t="n">
        <v>1033.48333333333</v>
      </c>
      <c r="P1505" s="13" t="n">
        <v>0</v>
      </c>
      <c r="Q1505" s="13" t="n">
        <v>3</v>
      </c>
      <c r="R1505" s="13" t="s">
        <v>101</v>
      </c>
      <c r="S1505" s="13" t="s">
        <v>154</v>
      </c>
      <c r="T1505" s="13" t="n">
        <v>1</v>
      </c>
      <c r="U1505" s="13" t="n">
        <f aca="false">IF(B1505="Individual",1,0)</f>
        <v>1</v>
      </c>
      <c r="V1505" s="13" t="n">
        <f aca="false">IF(B1505="Company",1,0)</f>
        <v>0</v>
      </c>
      <c r="W1505" s="13" t="n">
        <f aca="false">IF(H1505="Home",1,0)</f>
        <v>0</v>
      </c>
      <c r="X1505" s="13" t="n">
        <f aca="false">IF(H1505="Investment",1,0)</f>
        <v>1</v>
      </c>
      <c r="Y1505" s="13" t="n">
        <f aca="false">IF(K1505="Website",1,0)</f>
        <v>0</v>
      </c>
      <c r="Z1505" s="13" t="n">
        <f aca="false">IF(K1505="Agency",1,0)</f>
        <v>1</v>
      </c>
      <c r="AA1505" s="13" t="n">
        <f aca="false">IF(K1505="Client",1,0)</f>
        <v>0</v>
      </c>
      <c r="AB1505" s="13" t="n">
        <f aca="false">(D1505-AVERAGE(D$2:D$2001))/STDEV(D$2:D$2001)</f>
        <v>1.087686897873</v>
      </c>
      <c r="AC1505" s="13" t="n">
        <f aca="false">(I1505-AVERAGE(I$2:I$2001))/STDEV(I$2:I$2001)</f>
        <v>1.39434968409451</v>
      </c>
      <c r="AD1505" s="13" t="n">
        <f aca="false">(L1505-AVERAGE(L$2:L$2001))/STDEV(L$2:L$2001)</f>
        <v>-0.777063122173208</v>
      </c>
      <c r="AE1505" s="13" t="n">
        <f aca="false">(M1505-AVERAGE(M$2:M$2001))/STDEV(M$2:M$2001)</f>
        <v>-0.809981893228848</v>
      </c>
      <c r="AF1505" s="13" t="n">
        <f aca="false">(N1505-AVERAGE(N$2:N$2001))/STDEV(N$2:N$2001)</f>
        <v>-0.29943244920977</v>
      </c>
      <c r="AG1505" s="13" t="n">
        <f aca="false">(O1505-AVERAGE(O$2:O$2001))/STDEV(O$2:O$2001)</f>
        <v>-0.518347552367284</v>
      </c>
      <c r="AH1505" s="0" t="str">
        <f aca="false">IF(B1505="Company","C3 - Corporate Buyers",IF(AND(H1505="Investment",M1505&gt;'Segmentation Summary'!$C$1),"C1 - Global Investors",IF(AND(I1505&gt;=4,M1505&gt;'Segmentation Summary'!$C$1),"C4 - Luxury Investors",IF(AND(D1505&lt;'Segmentation Summary'!$C$2,J1505=1),"C2 - First-Time Buyers","C5 - Other Individual Buyers"))))</f>
        <v>C5 - Other Individual Buyers</v>
      </c>
    </row>
    <row r="1506" customFormat="false" ht="15" hidden="false" customHeight="true" outlineLevel="0" collapsed="false">
      <c r="A1506" s="13" t="s">
        <v>3012</v>
      </c>
      <c r="B1506" s="13" t="s">
        <v>34</v>
      </c>
      <c r="C1506" s="13" t="s">
        <v>3013</v>
      </c>
      <c r="D1506" s="13" t="n">
        <v>46</v>
      </c>
      <c r="E1506" s="13" t="s">
        <v>90</v>
      </c>
      <c r="F1506" s="13" t="s">
        <v>33</v>
      </c>
      <c r="G1506" s="13" t="s">
        <v>110</v>
      </c>
      <c r="H1506" s="13" t="s">
        <v>41</v>
      </c>
      <c r="I1506" s="13" t="n">
        <v>2</v>
      </c>
      <c r="J1506" s="13" t="n">
        <v>0</v>
      </c>
      <c r="K1506" s="13" t="s">
        <v>85</v>
      </c>
      <c r="L1506" s="13" t="n">
        <v>4</v>
      </c>
      <c r="M1506" s="13" t="n">
        <v>1382777.89</v>
      </c>
      <c r="N1506" s="13" t="n">
        <v>345694.4725</v>
      </c>
      <c r="O1506" s="13" t="n">
        <v>1286.2725</v>
      </c>
      <c r="P1506" s="13" t="n">
        <v>0</v>
      </c>
      <c r="Q1506" s="13" t="n">
        <v>4</v>
      </c>
      <c r="R1506" s="13" t="s">
        <v>101</v>
      </c>
      <c r="S1506" s="13" t="s">
        <v>164</v>
      </c>
      <c r="T1506" s="13" t="n">
        <v>1</v>
      </c>
      <c r="U1506" s="13" t="n">
        <f aca="false">IF(B1506="Individual",1,0)</f>
        <v>1</v>
      </c>
      <c r="V1506" s="13" t="n">
        <f aca="false">IF(B1506="Company",1,0)</f>
        <v>0</v>
      </c>
      <c r="W1506" s="13" t="n">
        <f aca="false">IF(H1506="Home",1,0)</f>
        <v>1</v>
      </c>
      <c r="X1506" s="13" t="n">
        <f aca="false">IF(H1506="Investment",1,0)</f>
        <v>0</v>
      </c>
      <c r="Y1506" s="13" t="n">
        <f aca="false">IF(K1506="Website",1,0)</f>
        <v>1</v>
      </c>
      <c r="Z1506" s="13" t="n">
        <f aca="false">IF(K1506="Agency",1,0)</f>
        <v>0</v>
      </c>
      <c r="AA1506" s="13" t="n">
        <f aca="false">IF(K1506="Client",1,0)</f>
        <v>0</v>
      </c>
      <c r="AB1506" s="13" t="n">
        <f aca="false">(D1506-AVERAGE(D$2:D$2001))/STDEV(D$2:D$2001)</f>
        <v>-0.469199400307086</v>
      </c>
      <c r="AC1506" s="13" t="n">
        <f aca="false">(I1506-AVERAGE(I$2:I$2001))/STDEV(I$2:I$2001)</f>
        <v>-0.727948160798201</v>
      </c>
      <c r="AD1506" s="13" t="n">
        <f aca="false">(L1506-AVERAGE(L$2:L$2001))/STDEV(L$2:L$2001)</f>
        <v>0.413838214490712</v>
      </c>
      <c r="AE1506" s="13" t="n">
        <f aca="false">(M1506-AVERAGE(M$2:M$2001))/STDEV(M$2:M$2001)</f>
        <v>0.351902296023022</v>
      </c>
      <c r="AF1506" s="13" t="n">
        <f aca="false">(N1506-AVERAGE(N$2:N$2001))/STDEV(N$2:N$2001)</f>
        <v>-0.0200150158561964</v>
      </c>
      <c r="AG1506" s="13" t="n">
        <f aca="false">(O1506-AVERAGE(O$2:O$2001))/STDEV(O$2:O$2001)</f>
        <v>0.631098578478219</v>
      </c>
      <c r="AH1506" s="0" t="str">
        <f aca="false">IF(B1506="Company","C3 - Corporate Buyers",IF(AND(H1506="Investment",M1506&gt;'Segmentation Summary'!$C$1),"C1 - Global Investors",IF(AND(I1506&gt;=4,M1506&gt;'Segmentation Summary'!$C$1),"C4 - Luxury Investors",IF(AND(D1506&lt;'Segmentation Summary'!$C$2,J1506=1),"C2 - First-Time Buyers","C5 - Other Individual Buyers"))))</f>
        <v>C5 - Other Individual Buyers</v>
      </c>
    </row>
    <row r="1507" customFormat="false" ht="15" hidden="false" customHeight="true" outlineLevel="0" collapsed="false">
      <c r="A1507" s="13" t="s">
        <v>3014</v>
      </c>
      <c r="B1507" s="13" t="s">
        <v>34</v>
      </c>
      <c r="C1507" s="13" t="s">
        <v>3015</v>
      </c>
      <c r="D1507" s="13" t="n">
        <v>67</v>
      </c>
      <c r="E1507" s="13" t="s">
        <v>90</v>
      </c>
      <c r="F1507" s="13" t="s">
        <v>33</v>
      </c>
      <c r="G1507" s="13" t="s">
        <v>95</v>
      </c>
      <c r="H1507" s="13" t="s">
        <v>41</v>
      </c>
      <c r="I1507" s="13" t="n">
        <v>1</v>
      </c>
      <c r="J1507" s="13" t="n">
        <v>1</v>
      </c>
      <c r="K1507" s="13" t="s">
        <v>91</v>
      </c>
      <c r="L1507" s="13" t="n">
        <v>3</v>
      </c>
      <c r="M1507" s="13" t="n">
        <v>853060.93</v>
      </c>
      <c r="N1507" s="13" t="n">
        <v>284353.643333333</v>
      </c>
      <c r="O1507" s="13" t="n">
        <v>851.426666666667</v>
      </c>
      <c r="P1507" s="13" t="n">
        <v>0</v>
      </c>
      <c r="Q1507" s="13" t="n">
        <v>3</v>
      </c>
      <c r="R1507" s="13" t="s">
        <v>92</v>
      </c>
      <c r="S1507" s="13" t="s">
        <v>152</v>
      </c>
      <c r="T1507" s="13" t="n">
        <v>1</v>
      </c>
      <c r="U1507" s="13" t="n">
        <f aca="false">IF(B1507="Individual",1,0)</f>
        <v>1</v>
      </c>
      <c r="V1507" s="13" t="n">
        <f aca="false">IF(B1507="Company",1,0)</f>
        <v>0</v>
      </c>
      <c r="W1507" s="13" t="n">
        <f aca="false">IF(H1507="Home",1,0)</f>
        <v>1</v>
      </c>
      <c r="X1507" s="13" t="n">
        <f aca="false">IF(H1507="Investment",1,0)</f>
        <v>0</v>
      </c>
      <c r="Y1507" s="13" t="n">
        <f aca="false">IF(K1507="Website",1,0)</f>
        <v>0</v>
      </c>
      <c r="Z1507" s="13" t="n">
        <f aca="false">IF(K1507="Agency",1,0)</f>
        <v>1</v>
      </c>
      <c r="AA1507" s="13" t="n">
        <f aca="false">IF(K1507="Client",1,0)</f>
        <v>0</v>
      </c>
      <c r="AB1507" s="13" t="n">
        <f aca="false">(D1507-AVERAGE(D$2:D$2001))/STDEV(D$2:D$2001)</f>
        <v>0.741712164944089</v>
      </c>
      <c r="AC1507" s="13" t="n">
        <f aca="false">(I1507-AVERAGE(I$2:I$2001))/STDEV(I$2:I$2001)</f>
        <v>-1.43538077576244</v>
      </c>
      <c r="AD1507" s="13" t="n">
        <f aca="false">(L1507-AVERAGE(L$2:L$2001))/STDEV(L$2:L$2001)</f>
        <v>-0.777063122173208</v>
      </c>
      <c r="AE1507" s="13" t="n">
        <f aca="false">(M1507-AVERAGE(M$2:M$2001))/STDEV(M$2:M$2001)</f>
        <v>-1.17101392029952</v>
      </c>
      <c r="AF1507" s="13" t="n">
        <f aca="false">(N1507-AVERAGE(N$2:N$2001))/STDEV(N$2:N$2001)</f>
        <v>-0.899808853290886</v>
      </c>
      <c r="AG1507" s="13" t="n">
        <f aca="false">(O1507-AVERAGE(O$2:O$2001))/STDEV(O$2:O$2001)</f>
        <v>-1.34616914715328</v>
      </c>
      <c r="AH1507" s="0" t="str">
        <f aca="false">IF(B1507="Company","C3 - Corporate Buyers",IF(AND(H1507="Investment",M1507&gt;'Segmentation Summary'!$C$1),"C1 - Global Investors",IF(AND(I1507&gt;=4,M1507&gt;'Segmentation Summary'!$C$1),"C4 - Luxury Investors",IF(AND(D1507&lt;'Segmentation Summary'!$C$2,J1507=1),"C2 - First-Time Buyers","C5 - Other Individual Buyers"))))</f>
        <v>C5 - Other Individual Buyers</v>
      </c>
    </row>
    <row r="1508" customFormat="false" ht="15" hidden="false" customHeight="true" outlineLevel="0" collapsed="false">
      <c r="A1508" s="13" t="s">
        <v>3016</v>
      </c>
      <c r="B1508" s="13" t="s">
        <v>34</v>
      </c>
      <c r="C1508" s="13" t="s">
        <v>3017</v>
      </c>
      <c r="D1508" s="13" t="n">
        <v>82</v>
      </c>
      <c r="E1508" s="13" t="s">
        <v>83</v>
      </c>
      <c r="F1508" s="13" t="s">
        <v>33</v>
      </c>
      <c r="G1508" s="13" t="s">
        <v>120</v>
      </c>
      <c r="H1508" s="13" t="s">
        <v>41</v>
      </c>
      <c r="I1508" s="13" t="n">
        <v>3</v>
      </c>
      <c r="J1508" s="13" t="n">
        <v>1</v>
      </c>
      <c r="K1508" s="13" t="s">
        <v>85</v>
      </c>
      <c r="L1508" s="13" t="n">
        <v>3</v>
      </c>
      <c r="M1508" s="13" t="n">
        <v>759310.2</v>
      </c>
      <c r="N1508" s="13" t="n">
        <v>253103.4</v>
      </c>
      <c r="O1508" s="13" t="n">
        <v>893.376666666667</v>
      </c>
      <c r="P1508" s="13" t="n">
        <v>0</v>
      </c>
      <c r="Q1508" s="13" t="n">
        <v>3</v>
      </c>
      <c r="R1508" s="13" t="s">
        <v>150</v>
      </c>
      <c r="S1508" s="13" t="s">
        <v>141</v>
      </c>
      <c r="T1508" s="13" t="n">
        <v>1</v>
      </c>
      <c r="U1508" s="13" t="n">
        <f aca="false">IF(B1508="Individual",1,0)</f>
        <v>1</v>
      </c>
      <c r="V1508" s="13" t="n">
        <f aca="false">IF(B1508="Company",1,0)</f>
        <v>0</v>
      </c>
      <c r="W1508" s="13" t="n">
        <f aca="false">IF(H1508="Home",1,0)</f>
        <v>1</v>
      </c>
      <c r="X1508" s="13" t="n">
        <f aca="false">IF(H1508="Investment",1,0)</f>
        <v>0</v>
      </c>
      <c r="Y1508" s="13" t="n">
        <f aca="false">IF(K1508="Website",1,0)</f>
        <v>1</v>
      </c>
      <c r="Z1508" s="13" t="n">
        <f aca="false">IF(K1508="Agency",1,0)</f>
        <v>0</v>
      </c>
      <c r="AA1508" s="13" t="n">
        <f aca="false">IF(K1508="Client",1,0)</f>
        <v>0</v>
      </c>
      <c r="AB1508" s="13" t="n">
        <f aca="false">(D1508-AVERAGE(D$2:D$2001))/STDEV(D$2:D$2001)</f>
        <v>1.60664899726636</v>
      </c>
      <c r="AC1508" s="13" t="n">
        <f aca="false">(I1508-AVERAGE(I$2:I$2001))/STDEV(I$2:I$2001)</f>
        <v>-0.0205155458339628</v>
      </c>
      <c r="AD1508" s="13" t="n">
        <f aca="false">(L1508-AVERAGE(L$2:L$2001))/STDEV(L$2:L$2001)</f>
        <v>-0.777063122173208</v>
      </c>
      <c r="AE1508" s="13" t="n">
        <f aca="false">(M1508-AVERAGE(M$2:M$2001))/STDEV(M$2:M$2001)</f>
        <v>-1.44054372166566</v>
      </c>
      <c r="AF1508" s="13" t="n">
        <f aca="false">(N1508-AVERAGE(N$2:N$2001))/STDEV(N$2:N$2001)</f>
        <v>-1.34802208869236</v>
      </c>
      <c r="AG1508" s="13" t="n">
        <f aca="false">(O1508-AVERAGE(O$2:O$2001))/STDEV(O$2:O$2001)</f>
        <v>-1.15542020872052</v>
      </c>
      <c r="AH1508" s="0" t="str">
        <f aca="false">IF(B1508="Company","C3 - Corporate Buyers",IF(AND(H1508="Investment",M1508&gt;'Segmentation Summary'!$C$1),"C1 - Global Investors",IF(AND(I1508&gt;=4,M1508&gt;'Segmentation Summary'!$C$1),"C4 - Luxury Investors",IF(AND(D1508&lt;'Segmentation Summary'!$C$2,J1508=1),"C2 - First-Time Buyers","C5 - Other Individual Buyers"))))</f>
        <v>C5 - Other Individual Buyers</v>
      </c>
    </row>
    <row r="1509" customFormat="false" ht="15" hidden="false" customHeight="true" outlineLevel="0" collapsed="false">
      <c r="A1509" s="13" t="s">
        <v>3018</v>
      </c>
      <c r="B1509" s="13" t="s">
        <v>34</v>
      </c>
      <c r="C1509" s="13" t="s">
        <v>3019</v>
      </c>
      <c r="D1509" s="13" t="n">
        <v>76</v>
      </c>
      <c r="E1509" s="13" t="s">
        <v>83</v>
      </c>
      <c r="F1509" s="13" t="s">
        <v>33</v>
      </c>
      <c r="G1509" s="13" t="s">
        <v>162</v>
      </c>
      <c r="H1509" s="13" t="s">
        <v>41</v>
      </c>
      <c r="I1509" s="13" t="n">
        <v>3</v>
      </c>
      <c r="J1509" s="13" t="n">
        <v>0</v>
      </c>
      <c r="K1509" s="13" t="s">
        <v>85</v>
      </c>
      <c r="L1509" s="13" t="n">
        <v>4</v>
      </c>
      <c r="M1509" s="13" t="n">
        <v>1054289.58</v>
      </c>
      <c r="N1509" s="13" t="n">
        <v>263572.395</v>
      </c>
      <c r="O1509" s="13" t="n">
        <v>823.6625</v>
      </c>
      <c r="P1509" s="13" t="n">
        <v>1</v>
      </c>
      <c r="Q1509" s="13" t="n">
        <v>3</v>
      </c>
      <c r="R1509" s="13" t="s">
        <v>98</v>
      </c>
      <c r="S1509" s="13" t="s">
        <v>152</v>
      </c>
      <c r="T1509" s="13" t="n">
        <v>1</v>
      </c>
      <c r="U1509" s="13" t="n">
        <f aca="false">IF(B1509="Individual",1,0)</f>
        <v>1</v>
      </c>
      <c r="V1509" s="13" t="n">
        <f aca="false">IF(B1509="Company",1,0)</f>
        <v>0</v>
      </c>
      <c r="W1509" s="13" t="n">
        <f aca="false">IF(H1509="Home",1,0)</f>
        <v>1</v>
      </c>
      <c r="X1509" s="13" t="n">
        <f aca="false">IF(H1509="Investment",1,0)</f>
        <v>0</v>
      </c>
      <c r="Y1509" s="13" t="n">
        <f aca="false">IF(K1509="Website",1,0)</f>
        <v>1</v>
      </c>
      <c r="Z1509" s="13" t="n">
        <f aca="false">IF(K1509="Agency",1,0)</f>
        <v>0</v>
      </c>
      <c r="AA1509" s="13" t="n">
        <f aca="false">IF(K1509="Client",1,0)</f>
        <v>0</v>
      </c>
      <c r="AB1509" s="13" t="n">
        <f aca="false">(D1509-AVERAGE(D$2:D$2001))/STDEV(D$2:D$2001)</f>
        <v>1.26067426433745</v>
      </c>
      <c r="AC1509" s="13" t="n">
        <f aca="false">(I1509-AVERAGE(I$2:I$2001))/STDEV(I$2:I$2001)</f>
        <v>-0.0205155458339628</v>
      </c>
      <c r="AD1509" s="13" t="n">
        <f aca="false">(L1509-AVERAGE(L$2:L$2001))/STDEV(L$2:L$2001)</f>
        <v>0.413838214490712</v>
      </c>
      <c r="AE1509" s="13" t="n">
        <f aca="false">(M1509-AVERAGE(M$2:M$2001))/STDEV(M$2:M$2001)</f>
        <v>-0.592489165733056</v>
      </c>
      <c r="AF1509" s="13" t="n">
        <f aca="false">(N1509-AVERAGE(N$2:N$2001))/STDEV(N$2:N$2001)</f>
        <v>-1.19786831003852</v>
      </c>
      <c r="AG1509" s="13" t="n">
        <f aca="false">(O1509-AVERAGE(O$2:O$2001))/STDEV(O$2:O$2001)</f>
        <v>-1.47241432756179</v>
      </c>
      <c r="AH1509" s="0" t="str">
        <f aca="false">IF(B1509="Company","C3 - Corporate Buyers",IF(AND(H1509="Investment",M1509&gt;'Segmentation Summary'!$C$1),"C1 - Global Investors",IF(AND(I1509&gt;=4,M1509&gt;'Segmentation Summary'!$C$1),"C4 - Luxury Investors",IF(AND(D1509&lt;'Segmentation Summary'!$C$2,J1509=1),"C2 - First-Time Buyers","C5 - Other Individual Buyers"))))</f>
        <v>C5 - Other Individual Buyers</v>
      </c>
    </row>
    <row r="1510" customFormat="false" ht="15" hidden="false" customHeight="true" outlineLevel="0" collapsed="false">
      <c r="A1510" s="13" t="s">
        <v>3020</v>
      </c>
      <c r="B1510" s="13" t="s">
        <v>34</v>
      </c>
      <c r="C1510" s="13" t="s">
        <v>3021</v>
      </c>
      <c r="D1510" s="13" t="n">
        <v>42</v>
      </c>
      <c r="E1510" s="13" t="s">
        <v>83</v>
      </c>
      <c r="F1510" s="13" t="s">
        <v>33</v>
      </c>
      <c r="G1510" s="13" t="s">
        <v>95</v>
      </c>
      <c r="H1510" s="13" t="s">
        <v>43</v>
      </c>
      <c r="I1510" s="13" t="n">
        <v>3</v>
      </c>
      <c r="J1510" s="13" t="n">
        <v>1</v>
      </c>
      <c r="K1510" s="13" t="s">
        <v>85</v>
      </c>
      <c r="L1510" s="13" t="n">
        <v>4</v>
      </c>
      <c r="M1510" s="13" t="n">
        <v>1475178.95</v>
      </c>
      <c r="N1510" s="13" t="n">
        <v>368794.7375</v>
      </c>
      <c r="O1510" s="13" t="n">
        <v>1239.9025</v>
      </c>
      <c r="P1510" s="13" t="n">
        <v>0</v>
      </c>
      <c r="Q1510" s="13" t="n">
        <v>4</v>
      </c>
      <c r="R1510" s="13" t="s">
        <v>124</v>
      </c>
      <c r="S1510" s="13" t="s">
        <v>135</v>
      </c>
      <c r="T1510" s="13" t="n">
        <v>1</v>
      </c>
      <c r="U1510" s="13" t="n">
        <f aca="false">IF(B1510="Individual",1,0)</f>
        <v>1</v>
      </c>
      <c r="V1510" s="13" t="n">
        <f aca="false">IF(B1510="Company",1,0)</f>
        <v>0</v>
      </c>
      <c r="W1510" s="13" t="n">
        <f aca="false">IF(H1510="Home",1,0)</f>
        <v>0</v>
      </c>
      <c r="X1510" s="13" t="n">
        <f aca="false">IF(H1510="Investment",1,0)</f>
        <v>1</v>
      </c>
      <c r="Y1510" s="13" t="n">
        <f aca="false">IF(K1510="Website",1,0)</f>
        <v>1</v>
      </c>
      <c r="Z1510" s="13" t="n">
        <f aca="false">IF(K1510="Agency",1,0)</f>
        <v>0</v>
      </c>
      <c r="AA1510" s="13" t="n">
        <f aca="false">IF(K1510="Client",1,0)</f>
        <v>0</v>
      </c>
      <c r="AB1510" s="13" t="n">
        <f aca="false">(D1510-AVERAGE(D$2:D$2001))/STDEV(D$2:D$2001)</f>
        <v>-0.699849222259691</v>
      </c>
      <c r="AC1510" s="13" t="n">
        <f aca="false">(I1510-AVERAGE(I$2:I$2001))/STDEV(I$2:I$2001)</f>
        <v>-0.0205155458339628</v>
      </c>
      <c r="AD1510" s="13" t="n">
        <f aca="false">(L1510-AVERAGE(L$2:L$2001))/STDEV(L$2:L$2001)</f>
        <v>0.413838214490712</v>
      </c>
      <c r="AE1510" s="13" t="n">
        <f aca="false">(M1510-AVERAGE(M$2:M$2001))/STDEV(M$2:M$2001)</f>
        <v>0.617551847208607</v>
      </c>
      <c r="AF1510" s="13" t="n">
        <f aca="false">(N1510-AVERAGE(N$2:N$2001))/STDEV(N$2:N$2001)</f>
        <v>0.311305428718951</v>
      </c>
      <c r="AG1510" s="13" t="n">
        <f aca="false">(O1510-AVERAGE(O$2:O$2001))/STDEV(O$2:O$2001)</f>
        <v>0.420251658928112</v>
      </c>
      <c r="AH1510" s="0" t="str">
        <f aca="false">IF(B1510="Company","C3 - Corporate Buyers",IF(AND(H1510="Investment",M1510&gt;'Segmentation Summary'!$C$1),"C1 - Global Investors",IF(AND(I1510&gt;=4,M1510&gt;'Segmentation Summary'!$C$1),"C4 - Luxury Investors",IF(AND(D1510&lt;'Segmentation Summary'!$C$2,J1510=1),"C2 - First-Time Buyers","C5 - Other Individual Buyers"))))</f>
        <v>C1 - Global Investors</v>
      </c>
    </row>
    <row r="1511" customFormat="false" ht="15" hidden="false" customHeight="true" outlineLevel="0" collapsed="false">
      <c r="A1511" s="13" t="s">
        <v>3022</v>
      </c>
      <c r="B1511" s="13" t="s">
        <v>34</v>
      </c>
      <c r="C1511" s="13" t="s">
        <v>3023</v>
      </c>
      <c r="D1511" s="13" t="n">
        <v>50</v>
      </c>
      <c r="E1511" s="13" t="s">
        <v>83</v>
      </c>
      <c r="F1511" s="13" t="s">
        <v>33</v>
      </c>
      <c r="G1511" s="13" t="s">
        <v>110</v>
      </c>
      <c r="H1511" s="13" t="s">
        <v>41</v>
      </c>
      <c r="I1511" s="13" t="n">
        <v>4</v>
      </c>
      <c r="J1511" s="13" t="n">
        <v>1</v>
      </c>
      <c r="K1511" s="13" t="s">
        <v>91</v>
      </c>
      <c r="L1511" s="13" t="n">
        <v>4</v>
      </c>
      <c r="M1511" s="13" t="n">
        <v>1407314.33</v>
      </c>
      <c r="N1511" s="13" t="n">
        <v>351828.5825</v>
      </c>
      <c r="O1511" s="13" t="n">
        <v>1267.07</v>
      </c>
      <c r="P1511" s="13" t="n">
        <v>1</v>
      </c>
      <c r="Q1511" s="13" t="n">
        <v>3</v>
      </c>
      <c r="R1511" s="13" t="s">
        <v>92</v>
      </c>
      <c r="S1511" s="13" t="s">
        <v>215</v>
      </c>
      <c r="T1511" s="13" t="n">
        <v>1</v>
      </c>
      <c r="U1511" s="13" t="n">
        <f aca="false">IF(B1511="Individual",1,0)</f>
        <v>1</v>
      </c>
      <c r="V1511" s="13" t="n">
        <f aca="false">IF(B1511="Company",1,0)</f>
        <v>0</v>
      </c>
      <c r="W1511" s="13" t="n">
        <f aca="false">IF(H1511="Home",1,0)</f>
        <v>1</v>
      </c>
      <c r="X1511" s="13" t="n">
        <f aca="false">IF(H1511="Investment",1,0)</f>
        <v>0</v>
      </c>
      <c r="Y1511" s="13" t="n">
        <f aca="false">IF(K1511="Website",1,0)</f>
        <v>0</v>
      </c>
      <c r="Z1511" s="13" t="n">
        <f aca="false">IF(K1511="Agency",1,0)</f>
        <v>1</v>
      </c>
      <c r="AA1511" s="13" t="n">
        <f aca="false">IF(K1511="Client",1,0)</f>
        <v>0</v>
      </c>
      <c r="AB1511" s="13" t="n">
        <f aca="false">(D1511-AVERAGE(D$2:D$2001))/STDEV(D$2:D$2001)</f>
        <v>-0.238549578354482</v>
      </c>
      <c r="AC1511" s="13" t="n">
        <f aca="false">(I1511-AVERAGE(I$2:I$2001))/STDEV(I$2:I$2001)</f>
        <v>0.686917069130275</v>
      </c>
      <c r="AD1511" s="13" t="n">
        <f aca="false">(L1511-AVERAGE(L$2:L$2001))/STDEV(L$2:L$2001)</f>
        <v>0.413838214490712</v>
      </c>
      <c r="AE1511" s="13" t="n">
        <f aca="false">(M1511-AVERAGE(M$2:M$2001))/STDEV(M$2:M$2001)</f>
        <v>0.422443632601759</v>
      </c>
      <c r="AF1511" s="13" t="n">
        <f aca="false">(N1511-AVERAGE(N$2:N$2001))/STDEV(N$2:N$2001)</f>
        <v>0.0679647563357188</v>
      </c>
      <c r="AG1511" s="13" t="n">
        <f aca="false">(O1511-AVERAGE(O$2:O$2001))/STDEV(O$2:O$2001)</f>
        <v>0.543783763454261</v>
      </c>
      <c r="AH1511" s="0" t="str">
        <f aca="false">IF(B1511="Company","C3 - Corporate Buyers",IF(AND(H1511="Investment",M1511&gt;'Segmentation Summary'!$C$1),"C1 - Global Investors",IF(AND(I1511&gt;=4,M1511&gt;'Segmentation Summary'!$C$1),"C4 - Luxury Investors",IF(AND(D1511&lt;'Segmentation Summary'!$C$2,J1511=1),"C2 - First-Time Buyers","C5 - Other Individual Buyers"))))</f>
        <v>C4 - Luxury Investors</v>
      </c>
    </row>
    <row r="1512" customFormat="false" ht="15" hidden="false" customHeight="true" outlineLevel="0" collapsed="false">
      <c r="A1512" s="13" t="s">
        <v>3024</v>
      </c>
      <c r="B1512" s="13" t="s">
        <v>34</v>
      </c>
      <c r="C1512" s="13" t="s">
        <v>3025</v>
      </c>
      <c r="D1512" s="13" t="n">
        <v>53</v>
      </c>
      <c r="E1512" s="13" t="s">
        <v>83</v>
      </c>
      <c r="F1512" s="13" t="s">
        <v>33</v>
      </c>
      <c r="G1512" s="13" t="s">
        <v>95</v>
      </c>
      <c r="H1512" s="13" t="s">
        <v>41</v>
      </c>
      <c r="I1512" s="13" t="n">
        <v>4</v>
      </c>
      <c r="J1512" s="13" t="n">
        <v>1</v>
      </c>
      <c r="K1512" s="13" t="s">
        <v>85</v>
      </c>
      <c r="L1512" s="13" t="n">
        <v>4</v>
      </c>
      <c r="M1512" s="13" t="n">
        <v>1172220.11</v>
      </c>
      <c r="N1512" s="13" t="n">
        <v>293055.0275</v>
      </c>
      <c r="O1512" s="13" t="n">
        <v>966.56</v>
      </c>
      <c r="P1512" s="13" t="n">
        <v>1</v>
      </c>
      <c r="Q1512" s="13" t="n">
        <v>3</v>
      </c>
      <c r="R1512" s="13" t="s">
        <v>117</v>
      </c>
      <c r="S1512" s="13" t="s">
        <v>133</v>
      </c>
      <c r="T1512" s="13" t="n">
        <v>1</v>
      </c>
      <c r="U1512" s="13" t="n">
        <f aca="false">IF(B1512="Individual",1,0)</f>
        <v>1</v>
      </c>
      <c r="V1512" s="13" t="n">
        <f aca="false">IF(B1512="Company",1,0)</f>
        <v>0</v>
      </c>
      <c r="W1512" s="13" t="n">
        <f aca="false">IF(H1512="Home",1,0)</f>
        <v>1</v>
      </c>
      <c r="X1512" s="13" t="n">
        <f aca="false">IF(H1512="Investment",1,0)</f>
        <v>0</v>
      </c>
      <c r="Y1512" s="13" t="n">
        <f aca="false">IF(K1512="Website",1,0)</f>
        <v>1</v>
      </c>
      <c r="Z1512" s="13" t="n">
        <f aca="false">IF(K1512="Agency",1,0)</f>
        <v>0</v>
      </c>
      <c r="AA1512" s="13" t="n">
        <f aca="false">IF(K1512="Client",1,0)</f>
        <v>0</v>
      </c>
      <c r="AB1512" s="13" t="n">
        <f aca="false">(D1512-AVERAGE(D$2:D$2001))/STDEV(D$2:D$2001)</f>
        <v>-0.065562211890028</v>
      </c>
      <c r="AC1512" s="13" t="n">
        <f aca="false">(I1512-AVERAGE(I$2:I$2001))/STDEV(I$2:I$2001)</f>
        <v>0.686917069130275</v>
      </c>
      <c r="AD1512" s="13" t="n">
        <f aca="false">(L1512-AVERAGE(L$2:L$2001))/STDEV(L$2:L$2001)</f>
        <v>0.413838214490712</v>
      </c>
      <c r="AE1512" s="13" t="n">
        <f aca="false">(M1512-AVERAGE(M$2:M$2001))/STDEV(M$2:M$2001)</f>
        <v>-0.253443354293468</v>
      </c>
      <c r="AF1512" s="13" t="n">
        <f aca="false">(N1512-AVERAGE(N$2:N$2001))/STDEV(N$2:N$2001)</f>
        <v>-0.775007407484128</v>
      </c>
      <c r="AG1512" s="13" t="n">
        <f aca="false">(O1512-AVERAGE(O$2:O$2001))/STDEV(O$2:O$2001)</f>
        <v>-0.822651599797899</v>
      </c>
      <c r="AH1512" s="0" t="str">
        <f aca="false">IF(B1512="Company","C3 - Corporate Buyers",IF(AND(H1512="Investment",M1512&gt;'Segmentation Summary'!$C$1),"C1 - Global Investors",IF(AND(I1512&gt;=4,M1512&gt;'Segmentation Summary'!$C$1),"C4 - Luxury Investors",IF(AND(D1512&lt;'Segmentation Summary'!$C$2,J1512=1),"C2 - First-Time Buyers","C5 - Other Individual Buyers"))))</f>
        <v>C2 - First-Time Buyers</v>
      </c>
    </row>
    <row r="1513" customFormat="false" ht="15" hidden="false" customHeight="true" outlineLevel="0" collapsed="false">
      <c r="A1513" s="13" t="s">
        <v>3026</v>
      </c>
      <c r="B1513" s="13" t="s">
        <v>34</v>
      </c>
      <c r="C1513" s="13" t="s">
        <v>3027</v>
      </c>
      <c r="D1513" s="13" t="n">
        <v>36</v>
      </c>
      <c r="E1513" s="13" t="s">
        <v>83</v>
      </c>
      <c r="F1513" s="13" t="s">
        <v>46</v>
      </c>
      <c r="G1513" s="13" t="s">
        <v>2934</v>
      </c>
      <c r="H1513" s="13" t="s">
        <v>41</v>
      </c>
      <c r="I1513" s="13" t="n">
        <v>2</v>
      </c>
      <c r="J1513" s="13" t="n">
        <v>0</v>
      </c>
      <c r="K1513" s="13" t="s">
        <v>85</v>
      </c>
      <c r="L1513" s="13" t="n">
        <v>4</v>
      </c>
      <c r="M1513" s="13" t="n">
        <v>1377591.46</v>
      </c>
      <c r="N1513" s="13" t="n">
        <v>344397.865</v>
      </c>
      <c r="O1513" s="13" t="n">
        <v>1114.105</v>
      </c>
      <c r="P1513" s="13" t="n">
        <v>0</v>
      </c>
      <c r="Q1513" s="13" t="n">
        <v>4</v>
      </c>
      <c r="R1513" s="13" t="s">
        <v>117</v>
      </c>
      <c r="S1513" s="13" t="s">
        <v>93</v>
      </c>
      <c r="T1513" s="13" t="n">
        <v>1</v>
      </c>
      <c r="U1513" s="13" t="n">
        <f aca="false">IF(B1513="Individual",1,0)</f>
        <v>1</v>
      </c>
      <c r="V1513" s="13" t="n">
        <f aca="false">IF(B1513="Company",1,0)</f>
        <v>0</v>
      </c>
      <c r="W1513" s="13" t="n">
        <f aca="false">IF(H1513="Home",1,0)</f>
        <v>1</v>
      </c>
      <c r="X1513" s="13" t="n">
        <f aca="false">IF(H1513="Investment",1,0)</f>
        <v>0</v>
      </c>
      <c r="Y1513" s="13" t="n">
        <f aca="false">IF(K1513="Website",1,0)</f>
        <v>1</v>
      </c>
      <c r="Z1513" s="13" t="n">
        <f aca="false">IF(K1513="Agency",1,0)</f>
        <v>0</v>
      </c>
      <c r="AA1513" s="13" t="n">
        <f aca="false">IF(K1513="Client",1,0)</f>
        <v>0</v>
      </c>
      <c r="AB1513" s="13" t="n">
        <f aca="false">(D1513-AVERAGE(D$2:D$2001))/STDEV(D$2:D$2001)</f>
        <v>-1.0458239551886</v>
      </c>
      <c r="AC1513" s="13" t="n">
        <f aca="false">(I1513-AVERAGE(I$2:I$2001))/STDEV(I$2:I$2001)</f>
        <v>-0.727948160798201</v>
      </c>
      <c r="AD1513" s="13" t="n">
        <f aca="false">(L1513-AVERAGE(L$2:L$2001))/STDEV(L$2:L$2001)</f>
        <v>0.413838214490712</v>
      </c>
      <c r="AE1513" s="13" t="n">
        <f aca="false">(M1513-AVERAGE(M$2:M$2001))/STDEV(M$2:M$2001)</f>
        <v>0.33699150601958</v>
      </c>
      <c r="AF1513" s="13" t="n">
        <f aca="false">(N1513-AVERAGE(N$2:N$2001))/STDEV(N$2:N$2001)</f>
        <v>-0.0386118836124522</v>
      </c>
      <c r="AG1513" s="13" t="n">
        <f aca="false">(O1513-AVERAGE(O$2:O$2001))/STDEV(O$2:O$2001)</f>
        <v>-0.151756436006212</v>
      </c>
      <c r="AH1513" s="0" t="str">
        <f aca="false">IF(B1513="Company","C3 - Corporate Buyers",IF(AND(H1513="Investment",M1513&gt;'Segmentation Summary'!$C$1),"C1 - Global Investors",IF(AND(I1513&gt;=4,M1513&gt;'Segmentation Summary'!$C$1),"C4 - Luxury Investors",IF(AND(D1513&lt;'Segmentation Summary'!$C$2,J1513=1),"C2 - First-Time Buyers","C5 - Other Individual Buyers"))))</f>
        <v>C5 - Other Individual Buyers</v>
      </c>
    </row>
    <row r="1514" customFormat="false" ht="15" hidden="false" customHeight="true" outlineLevel="0" collapsed="false">
      <c r="A1514" s="13" t="s">
        <v>3028</v>
      </c>
      <c r="B1514" s="13" t="s">
        <v>34</v>
      </c>
      <c r="C1514" s="13" t="s">
        <v>3027</v>
      </c>
      <c r="D1514" s="13" t="n">
        <v>25</v>
      </c>
      <c r="E1514" s="13" t="s">
        <v>83</v>
      </c>
      <c r="F1514" s="13" t="s">
        <v>33</v>
      </c>
      <c r="G1514" s="13" t="s">
        <v>95</v>
      </c>
      <c r="H1514" s="13" t="s">
        <v>41</v>
      </c>
      <c r="I1514" s="13" t="n">
        <v>4</v>
      </c>
      <c r="J1514" s="13" t="n">
        <v>0</v>
      </c>
      <c r="K1514" s="13" t="s">
        <v>91</v>
      </c>
      <c r="L1514" s="13" t="n">
        <v>4</v>
      </c>
      <c r="M1514" s="13" t="n">
        <v>1935637.92</v>
      </c>
      <c r="N1514" s="13" t="n">
        <v>483909.48</v>
      </c>
      <c r="O1514" s="13" t="n">
        <v>1552.15</v>
      </c>
      <c r="P1514" s="13" t="n">
        <v>1</v>
      </c>
      <c r="Q1514" s="13" t="n">
        <v>3</v>
      </c>
      <c r="R1514" s="13" t="s">
        <v>86</v>
      </c>
      <c r="S1514" s="13" t="s">
        <v>164</v>
      </c>
      <c r="T1514" s="13" t="n">
        <v>1</v>
      </c>
      <c r="U1514" s="13" t="n">
        <f aca="false">IF(B1514="Individual",1,0)</f>
        <v>1</v>
      </c>
      <c r="V1514" s="13" t="n">
        <f aca="false">IF(B1514="Company",1,0)</f>
        <v>0</v>
      </c>
      <c r="W1514" s="13" t="n">
        <f aca="false">IF(H1514="Home",1,0)</f>
        <v>1</v>
      </c>
      <c r="X1514" s="13" t="n">
        <f aca="false">IF(H1514="Investment",1,0)</f>
        <v>0</v>
      </c>
      <c r="Y1514" s="13" t="n">
        <f aca="false">IF(K1514="Website",1,0)</f>
        <v>0</v>
      </c>
      <c r="Z1514" s="13" t="n">
        <f aca="false">IF(K1514="Agency",1,0)</f>
        <v>1</v>
      </c>
      <c r="AA1514" s="13" t="n">
        <f aca="false">IF(K1514="Client",1,0)</f>
        <v>0</v>
      </c>
      <c r="AB1514" s="13" t="n">
        <f aca="false">(D1514-AVERAGE(D$2:D$2001))/STDEV(D$2:D$2001)</f>
        <v>-1.68011096555826</v>
      </c>
      <c r="AC1514" s="13" t="n">
        <f aca="false">(I1514-AVERAGE(I$2:I$2001))/STDEV(I$2:I$2001)</f>
        <v>0.686917069130275</v>
      </c>
      <c r="AD1514" s="13" t="n">
        <f aca="false">(L1514-AVERAGE(L$2:L$2001))/STDEV(L$2:L$2001)</f>
        <v>0.413838214490712</v>
      </c>
      <c r="AE1514" s="13" t="n">
        <f aca="false">(M1514-AVERAGE(M$2:M$2001))/STDEV(M$2:M$2001)</f>
        <v>1.94135396289729</v>
      </c>
      <c r="AF1514" s="13" t="n">
        <f aca="false">(N1514-AVERAGE(N$2:N$2001))/STDEV(N$2:N$2001)</f>
        <v>1.96236301019057</v>
      </c>
      <c r="AG1514" s="13" t="n">
        <f aca="false">(O1514-AVERAGE(O$2:O$2001))/STDEV(O$2:O$2001)</f>
        <v>1.84005807497776</v>
      </c>
      <c r="AH1514" s="0" t="str">
        <f aca="false">IF(B1514="Company","C3 - Corporate Buyers",IF(AND(H1514="Investment",M1514&gt;'Segmentation Summary'!$C$1),"C1 - Global Investors",IF(AND(I1514&gt;=4,M1514&gt;'Segmentation Summary'!$C$1),"C4 - Luxury Investors",IF(AND(D1514&lt;'Segmentation Summary'!$C$2,J1514=1),"C2 - First-Time Buyers","C5 - Other Individual Buyers"))))</f>
        <v>C4 - Luxury Investors</v>
      </c>
    </row>
    <row r="1515" customFormat="false" ht="15" hidden="false" customHeight="true" outlineLevel="0" collapsed="false">
      <c r="A1515" s="13" t="s">
        <v>3029</v>
      </c>
      <c r="B1515" s="13" t="s">
        <v>34</v>
      </c>
      <c r="C1515" s="13" t="s">
        <v>3030</v>
      </c>
      <c r="D1515" s="13" t="n">
        <v>80</v>
      </c>
      <c r="E1515" s="13" t="s">
        <v>83</v>
      </c>
      <c r="F1515" s="13" t="s">
        <v>33</v>
      </c>
      <c r="G1515" s="13" t="s">
        <v>145</v>
      </c>
      <c r="H1515" s="13" t="s">
        <v>41</v>
      </c>
      <c r="I1515" s="13" t="n">
        <v>4</v>
      </c>
      <c r="J1515" s="13" t="n">
        <v>0</v>
      </c>
      <c r="K1515" s="13" t="s">
        <v>116</v>
      </c>
      <c r="L1515" s="13" t="n">
        <v>4</v>
      </c>
      <c r="M1515" s="13" t="n">
        <v>1282020.93</v>
      </c>
      <c r="N1515" s="13" t="n">
        <v>320505.2325</v>
      </c>
      <c r="O1515" s="13" t="n">
        <v>1154.2525</v>
      </c>
      <c r="P1515" s="13" t="n">
        <v>1</v>
      </c>
      <c r="Q1515" s="13" t="n">
        <v>3</v>
      </c>
      <c r="R1515" s="13" t="s">
        <v>92</v>
      </c>
      <c r="S1515" s="13" t="s">
        <v>141</v>
      </c>
      <c r="T1515" s="13" t="n">
        <v>1</v>
      </c>
      <c r="U1515" s="13" t="n">
        <f aca="false">IF(B1515="Individual",1,0)</f>
        <v>1</v>
      </c>
      <c r="V1515" s="13" t="n">
        <f aca="false">IF(B1515="Company",1,0)</f>
        <v>0</v>
      </c>
      <c r="W1515" s="13" t="n">
        <f aca="false">IF(H1515="Home",1,0)</f>
        <v>1</v>
      </c>
      <c r="X1515" s="13" t="n">
        <f aca="false">IF(H1515="Investment",1,0)</f>
        <v>0</v>
      </c>
      <c r="Y1515" s="13" t="n">
        <f aca="false">IF(K1515="Website",1,0)</f>
        <v>0</v>
      </c>
      <c r="Z1515" s="13" t="n">
        <f aca="false">IF(K1515="Agency",1,0)</f>
        <v>0</v>
      </c>
      <c r="AA1515" s="13" t="n">
        <f aca="false">IF(K1515="Client",1,0)</f>
        <v>1</v>
      </c>
      <c r="AB1515" s="13" t="n">
        <f aca="false">(D1515-AVERAGE(D$2:D$2001))/STDEV(D$2:D$2001)</f>
        <v>1.49132408629005</v>
      </c>
      <c r="AC1515" s="13" t="n">
        <f aca="false">(I1515-AVERAGE(I$2:I$2001))/STDEV(I$2:I$2001)</f>
        <v>0.686917069130275</v>
      </c>
      <c r="AD1515" s="13" t="n">
        <f aca="false">(L1515-AVERAGE(L$2:L$2001))/STDEV(L$2:L$2001)</f>
        <v>0.413838214490712</v>
      </c>
      <c r="AE1515" s="13" t="n">
        <f aca="false">(M1515-AVERAGE(M$2:M$2001))/STDEV(M$2:M$2001)</f>
        <v>0.0622298485118801</v>
      </c>
      <c r="AF1515" s="13" t="n">
        <f aca="false">(N1515-AVERAGE(N$2:N$2001))/STDEV(N$2:N$2001)</f>
        <v>-0.381297026920142</v>
      </c>
      <c r="AG1515" s="13" t="n">
        <f aca="false">(O1515-AVERAGE(O$2:O$2001))/STDEV(O$2:O$2001)</f>
        <v>0.0307964365975824</v>
      </c>
      <c r="AH1515" s="0" t="str">
        <f aca="false">IF(B1515="Company","C3 - Corporate Buyers",IF(AND(H1515="Investment",M1515&gt;'Segmentation Summary'!$C$1),"C1 - Global Investors",IF(AND(I1515&gt;=4,M1515&gt;'Segmentation Summary'!$C$1),"C4 - Luxury Investors",IF(AND(D1515&lt;'Segmentation Summary'!$C$2,J1515=1),"C2 - First-Time Buyers","C5 - Other Individual Buyers"))))</f>
        <v>C4 - Luxury Investors</v>
      </c>
    </row>
    <row r="1516" customFormat="false" ht="15" hidden="false" customHeight="true" outlineLevel="0" collapsed="false">
      <c r="A1516" s="13" t="s">
        <v>3031</v>
      </c>
      <c r="B1516" s="13" t="s">
        <v>34</v>
      </c>
      <c r="C1516" s="13" t="s">
        <v>3032</v>
      </c>
      <c r="D1516" s="13" t="n">
        <v>64</v>
      </c>
      <c r="E1516" s="13" t="s">
        <v>83</v>
      </c>
      <c r="F1516" s="13" t="s">
        <v>33</v>
      </c>
      <c r="G1516" s="13" t="s">
        <v>162</v>
      </c>
      <c r="H1516" s="13" t="s">
        <v>41</v>
      </c>
      <c r="I1516" s="13" t="n">
        <v>5</v>
      </c>
      <c r="J1516" s="13" t="n">
        <v>0</v>
      </c>
      <c r="K1516" s="13" t="s">
        <v>85</v>
      </c>
      <c r="L1516" s="13" t="n">
        <v>3</v>
      </c>
      <c r="M1516" s="13" t="n">
        <v>1189255.63</v>
      </c>
      <c r="N1516" s="13" t="n">
        <v>396418.543333333</v>
      </c>
      <c r="O1516" s="13" t="n">
        <v>1330.21666666667</v>
      </c>
      <c r="P1516" s="13" t="n">
        <v>0</v>
      </c>
      <c r="Q1516" s="13" t="n">
        <v>3</v>
      </c>
      <c r="R1516" s="13" t="s">
        <v>92</v>
      </c>
      <c r="S1516" s="13" t="s">
        <v>154</v>
      </c>
      <c r="T1516" s="13" t="n">
        <v>1</v>
      </c>
      <c r="U1516" s="13" t="n">
        <f aca="false">IF(B1516="Individual",1,0)</f>
        <v>1</v>
      </c>
      <c r="V1516" s="13" t="n">
        <f aca="false">IF(B1516="Company",1,0)</f>
        <v>0</v>
      </c>
      <c r="W1516" s="13" t="n">
        <f aca="false">IF(H1516="Home",1,0)</f>
        <v>1</v>
      </c>
      <c r="X1516" s="13" t="n">
        <f aca="false">IF(H1516="Investment",1,0)</f>
        <v>0</v>
      </c>
      <c r="Y1516" s="13" t="n">
        <f aca="false">IF(K1516="Website",1,0)</f>
        <v>1</v>
      </c>
      <c r="Z1516" s="13" t="n">
        <f aca="false">IF(K1516="Agency",1,0)</f>
        <v>0</v>
      </c>
      <c r="AA1516" s="13" t="n">
        <f aca="false">IF(K1516="Client",1,0)</f>
        <v>0</v>
      </c>
      <c r="AB1516" s="13" t="n">
        <f aca="false">(D1516-AVERAGE(D$2:D$2001))/STDEV(D$2:D$2001)</f>
        <v>0.568724798479635</v>
      </c>
      <c r="AC1516" s="13" t="n">
        <f aca="false">(I1516-AVERAGE(I$2:I$2001))/STDEV(I$2:I$2001)</f>
        <v>1.39434968409451</v>
      </c>
      <c r="AD1516" s="13" t="n">
        <f aca="false">(L1516-AVERAGE(L$2:L$2001))/STDEV(L$2:L$2001)</f>
        <v>-0.777063122173208</v>
      </c>
      <c r="AE1516" s="13" t="n">
        <f aca="false">(M1516-AVERAGE(M$2:M$2001))/STDEV(M$2:M$2001)</f>
        <v>-0.204466878891422</v>
      </c>
      <c r="AF1516" s="13" t="n">
        <f aca="false">(N1516-AVERAGE(N$2:N$2001))/STDEV(N$2:N$2001)</f>
        <v>0.707505716012514</v>
      </c>
      <c r="AG1516" s="13" t="n">
        <f aca="false">(O1516-AVERAGE(O$2:O$2001))/STDEV(O$2:O$2001)</f>
        <v>0.830915101528982</v>
      </c>
      <c r="AH1516" s="0" t="str">
        <f aca="false">IF(B1516="Company","C3 - Corporate Buyers",IF(AND(H1516="Investment",M1516&gt;'Segmentation Summary'!$C$1),"C1 - Global Investors",IF(AND(I1516&gt;=4,M1516&gt;'Segmentation Summary'!$C$1),"C4 - Luxury Investors",IF(AND(D1516&lt;'Segmentation Summary'!$C$2,J1516=1),"C2 - First-Time Buyers","C5 - Other Individual Buyers"))))</f>
        <v>C5 - Other Individual Buyers</v>
      </c>
    </row>
    <row r="1517" customFormat="false" ht="15" hidden="false" customHeight="true" outlineLevel="0" collapsed="false">
      <c r="A1517" s="13" t="s">
        <v>3033</v>
      </c>
      <c r="B1517" s="13" t="s">
        <v>34</v>
      </c>
      <c r="C1517" s="13" t="s">
        <v>3034</v>
      </c>
      <c r="D1517" s="13" t="n">
        <v>62</v>
      </c>
      <c r="E1517" s="13" t="s">
        <v>83</v>
      </c>
      <c r="F1517" s="13" t="s">
        <v>33</v>
      </c>
      <c r="G1517" s="13" t="s">
        <v>95</v>
      </c>
      <c r="H1517" s="13" t="s">
        <v>41</v>
      </c>
      <c r="I1517" s="13" t="n">
        <v>1</v>
      </c>
      <c r="J1517" s="13" t="n">
        <v>1</v>
      </c>
      <c r="K1517" s="13" t="s">
        <v>91</v>
      </c>
      <c r="L1517" s="13" t="n">
        <v>4</v>
      </c>
      <c r="M1517" s="13" t="n">
        <v>1428452.94</v>
      </c>
      <c r="N1517" s="13" t="n">
        <v>357113.235</v>
      </c>
      <c r="O1517" s="13" t="n">
        <v>1210.7375</v>
      </c>
      <c r="P1517" s="13" t="n">
        <v>0</v>
      </c>
      <c r="Q1517" s="13" t="n">
        <v>4</v>
      </c>
      <c r="R1517" s="13" t="s">
        <v>92</v>
      </c>
      <c r="S1517" s="13" t="s">
        <v>125</v>
      </c>
      <c r="T1517" s="13" t="n">
        <v>1</v>
      </c>
      <c r="U1517" s="13" t="n">
        <f aca="false">IF(B1517="Individual",1,0)</f>
        <v>1</v>
      </c>
      <c r="V1517" s="13" t="n">
        <f aca="false">IF(B1517="Company",1,0)</f>
        <v>0</v>
      </c>
      <c r="W1517" s="13" t="n">
        <f aca="false">IF(H1517="Home",1,0)</f>
        <v>1</v>
      </c>
      <c r="X1517" s="13" t="n">
        <f aca="false">IF(H1517="Investment",1,0)</f>
        <v>0</v>
      </c>
      <c r="Y1517" s="13" t="n">
        <f aca="false">IF(K1517="Website",1,0)</f>
        <v>0</v>
      </c>
      <c r="Z1517" s="13" t="n">
        <f aca="false">IF(K1517="Agency",1,0)</f>
        <v>1</v>
      </c>
      <c r="AA1517" s="13" t="n">
        <f aca="false">IF(K1517="Client",1,0)</f>
        <v>0</v>
      </c>
      <c r="AB1517" s="13" t="n">
        <f aca="false">(D1517-AVERAGE(D$2:D$2001))/STDEV(D$2:D$2001)</f>
        <v>0.453399887503333</v>
      </c>
      <c r="AC1517" s="13" t="n">
        <f aca="false">(I1517-AVERAGE(I$2:I$2001))/STDEV(I$2:I$2001)</f>
        <v>-1.43538077576244</v>
      </c>
      <c r="AD1517" s="13" t="n">
        <f aca="false">(L1517-AVERAGE(L$2:L$2001))/STDEV(L$2:L$2001)</f>
        <v>0.413838214490712</v>
      </c>
      <c r="AE1517" s="13" t="n">
        <f aca="false">(M1517-AVERAGE(M$2:M$2001))/STDEV(M$2:M$2001)</f>
        <v>0.483216336499172</v>
      </c>
      <c r="AF1517" s="13" t="n">
        <f aca="false">(N1517-AVERAGE(N$2:N$2001))/STDEV(N$2:N$2001)</f>
        <v>0.143761004375521</v>
      </c>
      <c r="AG1517" s="13" t="n">
        <f aca="false">(O1517-AVERAGE(O$2:O$2001))/STDEV(O$2:O$2001)</f>
        <v>0.287636812935468</v>
      </c>
      <c r="AH1517" s="0" t="str">
        <f aca="false">IF(B1517="Company","C3 - Corporate Buyers",IF(AND(H1517="Investment",M1517&gt;'Segmentation Summary'!$C$1),"C1 - Global Investors",IF(AND(I1517&gt;=4,M1517&gt;'Segmentation Summary'!$C$1),"C4 - Luxury Investors",IF(AND(D1517&lt;'Segmentation Summary'!$C$2,J1517=1),"C2 - First-Time Buyers","C5 - Other Individual Buyers"))))</f>
        <v>C5 - Other Individual Buyers</v>
      </c>
    </row>
    <row r="1518" customFormat="false" ht="15" hidden="false" customHeight="true" outlineLevel="0" collapsed="false">
      <c r="A1518" s="13" t="s">
        <v>3035</v>
      </c>
      <c r="B1518" s="13" t="s">
        <v>34</v>
      </c>
      <c r="C1518" s="13" t="s">
        <v>3036</v>
      </c>
      <c r="D1518" s="13" t="n">
        <v>28</v>
      </c>
      <c r="E1518" s="13" t="s">
        <v>83</v>
      </c>
      <c r="F1518" s="13" t="s">
        <v>33</v>
      </c>
      <c r="G1518" s="13" t="s">
        <v>207</v>
      </c>
      <c r="H1518" s="13" t="s">
        <v>41</v>
      </c>
      <c r="I1518" s="13" t="n">
        <v>1</v>
      </c>
      <c r="J1518" s="13" t="n">
        <v>0</v>
      </c>
      <c r="K1518" s="13" t="s">
        <v>116</v>
      </c>
      <c r="L1518" s="13" t="n">
        <v>3</v>
      </c>
      <c r="M1518" s="13" t="n">
        <v>913338.07</v>
      </c>
      <c r="N1518" s="13" t="n">
        <v>304446.023333333</v>
      </c>
      <c r="O1518" s="13" t="n">
        <v>934.873333333333</v>
      </c>
      <c r="P1518" s="13" t="n">
        <v>0</v>
      </c>
      <c r="Q1518" s="13" t="n">
        <v>3</v>
      </c>
      <c r="R1518" s="13" t="s">
        <v>98</v>
      </c>
      <c r="S1518" s="13" t="s">
        <v>125</v>
      </c>
      <c r="T1518" s="13" t="n">
        <v>1</v>
      </c>
      <c r="U1518" s="13" t="n">
        <f aca="false">IF(B1518="Individual",1,0)</f>
        <v>1</v>
      </c>
      <c r="V1518" s="13" t="n">
        <f aca="false">IF(B1518="Company",1,0)</f>
        <v>0</v>
      </c>
      <c r="W1518" s="13" t="n">
        <f aca="false">IF(H1518="Home",1,0)</f>
        <v>1</v>
      </c>
      <c r="X1518" s="13" t="n">
        <f aca="false">IF(H1518="Investment",1,0)</f>
        <v>0</v>
      </c>
      <c r="Y1518" s="13" t="n">
        <f aca="false">IF(K1518="Website",1,0)</f>
        <v>0</v>
      </c>
      <c r="Z1518" s="13" t="n">
        <f aca="false">IF(K1518="Agency",1,0)</f>
        <v>0</v>
      </c>
      <c r="AA1518" s="13" t="n">
        <f aca="false">IF(K1518="Client",1,0)</f>
        <v>1</v>
      </c>
      <c r="AB1518" s="13" t="n">
        <f aca="false">(D1518-AVERAGE(D$2:D$2001))/STDEV(D$2:D$2001)</f>
        <v>-1.50712359909381</v>
      </c>
      <c r="AC1518" s="13" t="n">
        <f aca="false">(I1518-AVERAGE(I$2:I$2001))/STDEV(I$2:I$2001)</f>
        <v>-1.43538077576244</v>
      </c>
      <c r="AD1518" s="13" t="n">
        <f aca="false">(L1518-AVERAGE(L$2:L$2001))/STDEV(L$2:L$2001)</f>
        <v>-0.777063122173208</v>
      </c>
      <c r="AE1518" s="13" t="n">
        <f aca="false">(M1518-AVERAGE(M$2:M$2001))/STDEV(M$2:M$2001)</f>
        <v>-0.997719423594064</v>
      </c>
      <c r="AF1518" s="13" t="n">
        <f aca="false">(N1518-AVERAGE(N$2:N$2001))/STDEV(N$2:N$2001)</f>
        <v>-0.611629636551476</v>
      </c>
      <c r="AG1518" s="13" t="n">
        <f aca="false">(O1518-AVERAGE(O$2:O$2001))/STDEV(O$2:O$2001)</f>
        <v>-0.966732601684416</v>
      </c>
      <c r="AH1518" s="0" t="str">
        <f aca="false">IF(B1518="Company","C3 - Corporate Buyers",IF(AND(H1518="Investment",M1518&gt;'Segmentation Summary'!$C$1),"C1 - Global Investors",IF(AND(I1518&gt;=4,M1518&gt;'Segmentation Summary'!$C$1),"C4 - Luxury Investors",IF(AND(D1518&lt;'Segmentation Summary'!$C$2,J1518=1),"C2 - First-Time Buyers","C5 - Other Individual Buyers"))))</f>
        <v>C5 - Other Individual Buyers</v>
      </c>
    </row>
    <row r="1519" customFormat="false" ht="15" hidden="false" customHeight="true" outlineLevel="0" collapsed="false">
      <c r="A1519" s="13" t="s">
        <v>3037</v>
      </c>
      <c r="B1519" s="13" t="s">
        <v>34</v>
      </c>
      <c r="C1519" s="13" t="s">
        <v>3038</v>
      </c>
      <c r="D1519" s="13" t="n">
        <v>82</v>
      </c>
      <c r="E1519" s="13" t="s">
        <v>83</v>
      </c>
      <c r="F1519" s="13" t="s">
        <v>33</v>
      </c>
      <c r="G1519" s="13" t="s">
        <v>95</v>
      </c>
      <c r="H1519" s="13" t="s">
        <v>41</v>
      </c>
      <c r="I1519" s="13" t="n">
        <v>1</v>
      </c>
      <c r="J1519" s="13" t="n">
        <v>1</v>
      </c>
      <c r="K1519" s="13" t="s">
        <v>85</v>
      </c>
      <c r="L1519" s="13" t="n">
        <v>4</v>
      </c>
      <c r="M1519" s="13" t="n">
        <v>1143826.71</v>
      </c>
      <c r="N1519" s="13" t="n">
        <v>285956.6775</v>
      </c>
      <c r="O1519" s="13" t="n">
        <v>984.12</v>
      </c>
      <c r="P1519" s="13" t="n">
        <v>0</v>
      </c>
      <c r="Q1519" s="13" t="n">
        <v>4</v>
      </c>
      <c r="R1519" s="13" t="s">
        <v>101</v>
      </c>
      <c r="S1519" s="13" t="s">
        <v>154</v>
      </c>
      <c r="T1519" s="13" t="n">
        <v>1</v>
      </c>
      <c r="U1519" s="13" t="n">
        <f aca="false">IF(B1519="Individual",1,0)</f>
        <v>1</v>
      </c>
      <c r="V1519" s="13" t="n">
        <f aca="false">IF(B1519="Company",1,0)</f>
        <v>0</v>
      </c>
      <c r="W1519" s="13" t="n">
        <f aca="false">IF(H1519="Home",1,0)</f>
        <v>1</v>
      </c>
      <c r="X1519" s="13" t="n">
        <f aca="false">IF(H1519="Investment",1,0)</f>
        <v>0</v>
      </c>
      <c r="Y1519" s="13" t="n">
        <f aca="false">IF(K1519="Website",1,0)</f>
        <v>1</v>
      </c>
      <c r="Z1519" s="13" t="n">
        <f aca="false">IF(K1519="Agency",1,0)</f>
        <v>0</v>
      </c>
      <c r="AA1519" s="13" t="n">
        <f aca="false">IF(K1519="Client",1,0)</f>
        <v>0</v>
      </c>
      <c r="AB1519" s="13" t="n">
        <f aca="false">(D1519-AVERAGE(D$2:D$2001))/STDEV(D$2:D$2001)</f>
        <v>1.60664899726636</v>
      </c>
      <c r="AC1519" s="13" t="n">
        <f aca="false">(I1519-AVERAGE(I$2:I$2001))/STDEV(I$2:I$2001)</f>
        <v>-1.43538077576244</v>
      </c>
      <c r="AD1519" s="13" t="n">
        <f aca="false">(L1519-AVERAGE(L$2:L$2001))/STDEV(L$2:L$2001)</f>
        <v>0.413838214490712</v>
      </c>
      <c r="AE1519" s="13" t="n">
        <f aca="false">(M1519-AVERAGE(M$2:M$2001))/STDEV(M$2:M$2001)</f>
        <v>-0.335073304930753</v>
      </c>
      <c r="AF1519" s="13" t="n">
        <f aca="false">(N1519-AVERAGE(N$2:N$2001))/STDEV(N$2:N$2001)</f>
        <v>-0.876816996151184</v>
      </c>
      <c r="AG1519" s="13" t="n">
        <f aca="false">(O1519-AVERAGE(O$2:O$2001))/STDEV(O$2:O$2001)</f>
        <v>-0.742805321874675</v>
      </c>
      <c r="AH1519" s="0" t="str">
        <f aca="false">IF(B1519="Company","C3 - Corporate Buyers",IF(AND(H1519="Investment",M1519&gt;'Segmentation Summary'!$C$1),"C1 - Global Investors",IF(AND(I1519&gt;=4,M1519&gt;'Segmentation Summary'!$C$1),"C4 - Luxury Investors",IF(AND(D1519&lt;'Segmentation Summary'!$C$2,J1519=1),"C2 - First-Time Buyers","C5 - Other Individual Buyers"))))</f>
        <v>C5 - Other Individual Buyers</v>
      </c>
    </row>
    <row r="1520" customFormat="false" ht="15" hidden="false" customHeight="true" outlineLevel="0" collapsed="false">
      <c r="A1520" s="13" t="s">
        <v>3039</v>
      </c>
      <c r="B1520" s="13" t="s">
        <v>34</v>
      </c>
      <c r="C1520" s="13" t="s">
        <v>3040</v>
      </c>
      <c r="D1520" s="13" t="n">
        <v>58</v>
      </c>
      <c r="E1520" s="13" t="s">
        <v>83</v>
      </c>
      <c r="F1520" s="13" t="s">
        <v>33</v>
      </c>
      <c r="G1520" s="13" t="s">
        <v>120</v>
      </c>
      <c r="H1520" s="13" t="s">
        <v>41</v>
      </c>
      <c r="I1520" s="13" t="n">
        <v>5</v>
      </c>
      <c r="J1520" s="13" t="n">
        <v>0</v>
      </c>
      <c r="K1520" s="13" t="s">
        <v>91</v>
      </c>
      <c r="L1520" s="13" t="n">
        <v>3</v>
      </c>
      <c r="M1520" s="13" t="n">
        <v>1215022</v>
      </c>
      <c r="N1520" s="13" t="n">
        <v>405007.333333333</v>
      </c>
      <c r="O1520" s="13" t="n">
        <v>1303.77666666667</v>
      </c>
      <c r="P1520" s="13" t="n">
        <v>0</v>
      </c>
      <c r="Q1520" s="13" t="n">
        <v>3</v>
      </c>
      <c r="R1520" s="13" t="s">
        <v>121</v>
      </c>
      <c r="S1520" s="13" t="s">
        <v>103</v>
      </c>
      <c r="T1520" s="13" t="n">
        <v>1</v>
      </c>
      <c r="U1520" s="13" t="n">
        <f aca="false">IF(B1520="Individual",1,0)</f>
        <v>1</v>
      </c>
      <c r="V1520" s="13" t="n">
        <f aca="false">IF(B1520="Company",1,0)</f>
        <v>0</v>
      </c>
      <c r="W1520" s="13" t="n">
        <f aca="false">IF(H1520="Home",1,0)</f>
        <v>1</v>
      </c>
      <c r="X1520" s="13" t="n">
        <f aca="false">IF(H1520="Investment",1,0)</f>
        <v>0</v>
      </c>
      <c r="Y1520" s="13" t="n">
        <f aca="false">IF(K1520="Website",1,0)</f>
        <v>0</v>
      </c>
      <c r="Z1520" s="13" t="n">
        <f aca="false">IF(K1520="Agency",1,0)</f>
        <v>1</v>
      </c>
      <c r="AA1520" s="13" t="n">
        <f aca="false">IF(K1520="Client",1,0)</f>
        <v>0</v>
      </c>
      <c r="AB1520" s="13" t="n">
        <f aca="false">(D1520-AVERAGE(D$2:D$2001))/STDEV(D$2:D$2001)</f>
        <v>0.222750065550728</v>
      </c>
      <c r="AC1520" s="13" t="n">
        <f aca="false">(I1520-AVERAGE(I$2:I$2001))/STDEV(I$2:I$2001)</f>
        <v>1.39434968409451</v>
      </c>
      <c r="AD1520" s="13" t="n">
        <f aca="false">(L1520-AVERAGE(L$2:L$2001))/STDEV(L$2:L$2001)</f>
        <v>-0.777063122173208</v>
      </c>
      <c r="AE1520" s="13" t="n">
        <f aca="false">(M1520-AVERAGE(M$2:M$2001))/STDEV(M$2:M$2001)</f>
        <v>-0.13038954010135</v>
      </c>
      <c r="AF1520" s="13" t="n">
        <f aca="false">(N1520-AVERAGE(N$2:N$2001))/STDEV(N$2:N$2001)</f>
        <v>0.830692256130672</v>
      </c>
      <c r="AG1520" s="13" t="n">
        <f aca="false">(O1520-AVERAGE(O$2:O$2001))/STDEV(O$2:O$2001)</f>
        <v>0.710690979189003</v>
      </c>
      <c r="AH1520" s="0" t="str">
        <f aca="false">IF(B1520="Company","C3 - Corporate Buyers",IF(AND(H1520="Investment",M1520&gt;'Segmentation Summary'!$C$1),"C1 - Global Investors",IF(AND(I1520&gt;=4,M1520&gt;'Segmentation Summary'!$C$1),"C4 - Luxury Investors",IF(AND(D1520&lt;'Segmentation Summary'!$C$2,J1520=1),"C2 - First-Time Buyers","C5 - Other Individual Buyers"))))</f>
        <v>C5 - Other Individual Buyers</v>
      </c>
    </row>
    <row r="1521" customFormat="false" ht="15" hidden="false" customHeight="true" outlineLevel="0" collapsed="false">
      <c r="A1521" s="13" t="s">
        <v>3041</v>
      </c>
      <c r="B1521" s="13" t="s">
        <v>34</v>
      </c>
      <c r="C1521" s="13" t="s">
        <v>3042</v>
      </c>
      <c r="D1521" s="13" t="n">
        <v>49</v>
      </c>
      <c r="E1521" s="13" t="s">
        <v>83</v>
      </c>
      <c r="F1521" s="13" t="s">
        <v>33</v>
      </c>
      <c r="G1521" s="13" t="s">
        <v>95</v>
      </c>
      <c r="H1521" s="13" t="s">
        <v>43</v>
      </c>
      <c r="I1521" s="13" t="n">
        <v>1</v>
      </c>
      <c r="J1521" s="13" t="n">
        <v>1</v>
      </c>
      <c r="K1521" s="13" t="s">
        <v>91</v>
      </c>
      <c r="L1521" s="13" t="n">
        <v>3</v>
      </c>
      <c r="M1521" s="13" t="n">
        <v>980139.25</v>
      </c>
      <c r="N1521" s="13" t="n">
        <v>326713.083333333</v>
      </c>
      <c r="O1521" s="13" t="n">
        <v>980.87</v>
      </c>
      <c r="P1521" s="13" t="n">
        <v>1</v>
      </c>
      <c r="Q1521" s="13" t="n">
        <v>2</v>
      </c>
      <c r="R1521" s="13" t="s">
        <v>121</v>
      </c>
      <c r="S1521" s="13" t="s">
        <v>128</v>
      </c>
      <c r="T1521" s="13" t="n">
        <v>1</v>
      </c>
      <c r="U1521" s="13" t="n">
        <f aca="false">IF(B1521="Individual",1,0)</f>
        <v>1</v>
      </c>
      <c r="V1521" s="13" t="n">
        <f aca="false">IF(B1521="Company",1,0)</f>
        <v>0</v>
      </c>
      <c r="W1521" s="13" t="n">
        <f aca="false">IF(H1521="Home",1,0)</f>
        <v>0</v>
      </c>
      <c r="X1521" s="13" t="n">
        <f aca="false">IF(H1521="Investment",1,0)</f>
        <v>1</v>
      </c>
      <c r="Y1521" s="13" t="n">
        <f aca="false">IF(K1521="Website",1,0)</f>
        <v>0</v>
      </c>
      <c r="Z1521" s="13" t="n">
        <f aca="false">IF(K1521="Agency",1,0)</f>
        <v>1</v>
      </c>
      <c r="AA1521" s="13" t="n">
        <f aca="false">IF(K1521="Client",1,0)</f>
        <v>0</v>
      </c>
      <c r="AB1521" s="13" t="n">
        <f aca="false">(D1521-AVERAGE(D$2:D$2001))/STDEV(D$2:D$2001)</f>
        <v>-0.296212033842633</v>
      </c>
      <c r="AC1521" s="13" t="n">
        <f aca="false">(I1521-AVERAGE(I$2:I$2001))/STDEV(I$2:I$2001)</f>
        <v>-1.43538077576244</v>
      </c>
      <c r="AD1521" s="13" t="n">
        <f aca="false">(L1521-AVERAGE(L$2:L$2001))/STDEV(L$2:L$2001)</f>
        <v>-0.777063122173208</v>
      </c>
      <c r="AE1521" s="13" t="n">
        <f aca="false">(M1521-AVERAGE(M$2:M$2001))/STDEV(M$2:M$2001)</f>
        <v>-0.805668558748277</v>
      </c>
      <c r="AF1521" s="13" t="n">
        <f aca="false">(N1521-AVERAGE(N$2:N$2001))/STDEV(N$2:N$2001)</f>
        <v>-0.292259611204084</v>
      </c>
      <c r="AG1521" s="13" t="n">
        <f aca="false">(O1521-AVERAGE(O$2:O$2001))/STDEV(O$2:O$2001)</f>
        <v>-0.757583249166844</v>
      </c>
      <c r="AH1521" s="0" t="str">
        <f aca="false">IF(B1521="Company","C3 - Corporate Buyers",IF(AND(H1521="Investment",M1521&gt;'Segmentation Summary'!$C$1),"C1 - Global Investors",IF(AND(I1521&gt;=4,M1521&gt;'Segmentation Summary'!$C$1),"C4 - Luxury Investors",IF(AND(D1521&lt;'Segmentation Summary'!$C$2,J1521=1),"C2 - First-Time Buyers","C5 - Other Individual Buyers"))))</f>
        <v>C2 - First-Time Buyers</v>
      </c>
    </row>
    <row r="1522" customFormat="false" ht="15" hidden="false" customHeight="true" outlineLevel="0" collapsed="false">
      <c r="A1522" s="13" t="s">
        <v>3043</v>
      </c>
      <c r="B1522" s="13" t="s">
        <v>34</v>
      </c>
      <c r="C1522" s="13" t="s">
        <v>3042</v>
      </c>
      <c r="D1522" s="13" t="n">
        <v>54</v>
      </c>
      <c r="E1522" s="13" t="s">
        <v>83</v>
      </c>
      <c r="F1522" s="13" t="s">
        <v>33</v>
      </c>
      <c r="G1522" s="13" t="s">
        <v>95</v>
      </c>
      <c r="H1522" s="13" t="s">
        <v>41</v>
      </c>
      <c r="I1522" s="13" t="n">
        <v>5</v>
      </c>
      <c r="J1522" s="13" t="n">
        <v>0</v>
      </c>
      <c r="K1522" s="13" t="s">
        <v>116</v>
      </c>
      <c r="L1522" s="13" t="n">
        <v>4</v>
      </c>
      <c r="M1522" s="13" t="n">
        <v>1235094.73</v>
      </c>
      <c r="N1522" s="13" t="n">
        <v>308773.6825</v>
      </c>
      <c r="O1522" s="13" t="n">
        <v>989.46</v>
      </c>
      <c r="P1522" s="13" t="n">
        <v>1</v>
      </c>
      <c r="Q1522" s="13" t="n">
        <v>3</v>
      </c>
      <c r="R1522" s="13" t="s">
        <v>86</v>
      </c>
      <c r="S1522" s="13" t="s">
        <v>150</v>
      </c>
      <c r="T1522" s="13" t="n">
        <v>1</v>
      </c>
      <c r="U1522" s="13" t="n">
        <f aca="false">IF(B1522="Individual",1,0)</f>
        <v>1</v>
      </c>
      <c r="V1522" s="13" t="n">
        <f aca="false">IF(B1522="Company",1,0)</f>
        <v>0</v>
      </c>
      <c r="W1522" s="13" t="n">
        <f aca="false">IF(H1522="Home",1,0)</f>
        <v>1</v>
      </c>
      <c r="X1522" s="13" t="n">
        <f aca="false">IF(H1522="Investment",1,0)</f>
        <v>0</v>
      </c>
      <c r="Y1522" s="13" t="n">
        <f aca="false">IF(K1522="Website",1,0)</f>
        <v>0</v>
      </c>
      <c r="Z1522" s="13" t="n">
        <f aca="false">IF(K1522="Agency",1,0)</f>
        <v>0</v>
      </c>
      <c r="AA1522" s="13" t="n">
        <f aca="false">IF(K1522="Client",1,0)</f>
        <v>1</v>
      </c>
      <c r="AB1522" s="13" t="n">
        <f aca="false">(D1522-AVERAGE(D$2:D$2001))/STDEV(D$2:D$2001)</f>
        <v>-0.00789975640187674</v>
      </c>
      <c r="AC1522" s="13" t="n">
        <f aca="false">(I1522-AVERAGE(I$2:I$2001))/STDEV(I$2:I$2001)</f>
        <v>1.39434968409451</v>
      </c>
      <c r="AD1522" s="13" t="n">
        <f aca="false">(L1522-AVERAGE(L$2:L$2001))/STDEV(L$2:L$2001)</f>
        <v>0.413838214490712</v>
      </c>
      <c r="AE1522" s="13" t="n">
        <f aca="false">(M1522-AVERAGE(M$2:M$2001))/STDEV(M$2:M$2001)</f>
        <v>-0.0726812008726721</v>
      </c>
      <c r="AF1522" s="13" t="n">
        <f aca="false">(N1522-AVERAGE(N$2:N$2001))/STDEV(N$2:N$2001)</f>
        <v>-0.549559268134932</v>
      </c>
      <c r="AG1522" s="13" t="n">
        <f aca="false">(O1522-AVERAGE(O$2:O$2001))/STDEV(O$2:O$2001)</f>
        <v>-0.718524050570005</v>
      </c>
      <c r="AH1522" s="0" t="str">
        <f aca="false">IF(B1522="Company","C3 - Corporate Buyers",IF(AND(H1522="Investment",M1522&gt;'Segmentation Summary'!$C$1),"C1 - Global Investors",IF(AND(I1522&gt;=4,M1522&gt;'Segmentation Summary'!$C$1),"C4 - Luxury Investors",IF(AND(D1522&lt;'Segmentation Summary'!$C$2,J1522=1),"C2 - First-Time Buyers","C5 - Other Individual Buyers"))))</f>
        <v>C4 - Luxury Investors</v>
      </c>
    </row>
    <row r="1523" customFormat="false" ht="15" hidden="false" customHeight="true" outlineLevel="0" collapsed="false">
      <c r="A1523" s="13" t="s">
        <v>3044</v>
      </c>
      <c r="B1523" s="13" t="s">
        <v>34</v>
      </c>
      <c r="C1523" s="13" t="s">
        <v>3045</v>
      </c>
      <c r="D1523" s="13" t="n">
        <v>36</v>
      </c>
      <c r="E1523" s="13" t="s">
        <v>83</v>
      </c>
      <c r="F1523" s="13" t="s">
        <v>33</v>
      </c>
      <c r="G1523" s="13" t="s">
        <v>84</v>
      </c>
      <c r="H1523" s="13" t="s">
        <v>41</v>
      </c>
      <c r="I1523" s="13" t="n">
        <v>3</v>
      </c>
      <c r="J1523" s="13" t="n">
        <v>0</v>
      </c>
      <c r="K1523" s="13" t="s">
        <v>85</v>
      </c>
      <c r="L1523" s="13" t="n">
        <v>7</v>
      </c>
      <c r="M1523" s="13" t="n">
        <v>1883106.92</v>
      </c>
      <c r="N1523" s="13" t="n">
        <v>269015.274285714</v>
      </c>
      <c r="O1523" s="13" t="n">
        <v>907.104285714286</v>
      </c>
      <c r="P1523" s="13" t="n">
        <v>0</v>
      </c>
      <c r="Q1523" s="13" t="n">
        <v>7</v>
      </c>
      <c r="R1523" s="13" t="s">
        <v>111</v>
      </c>
      <c r="S1523" s="13" t="s">
        <v>114</v>
      </c>
      <c r="T1523" s="13" t="n">
        <v>1</v>
      </c>
      <c r="U1523" s="13" t="n">
        <f aca="false">IF(B1523="Individual",1,0)</f>
        <v>1</v>
      </c>
      <c r="V1523" s="13" t="n">
        <f aca="false">IF(B1523="Company",1,0)</f>
        <v>0</v>
      </c>
      <c r="W1523" s="13" t="n">
        <f aca="false">IF(H1523="Home",1,0)</f>
        <v>1</v>
      </c>
      <c r="X1523" s="13" t="n">
        <f aca="false">IF(H1523="Investment",1,0)</f>
        <v>0</v>
      </c>
      <c r="Y1523" s="13" t="n">
        <f aca="false">IF(K1523="Website",1,0)</f>
        <v>1</v>
      </c>
      <c r="Z1523" s="13" t="n">
        <f aca="false">IF(K1523="Agency",1,0)</f>
        <v>0</v>
      </c>
      <c r="AA1523" s="13" t="n">
        <f aca="false">IF(K1523="Client",1,0)</f>
        <v>0</v>
      </c>
      <c r="AB1523" s="13" t="n">
        <f aca="false">(D1523-AVERAGE(D$2:D$2001))/STDEV(D$2:D$2001)</f>
        <v>-1.0458239551886</v>
      </c>
      <c r="AC1523" s="13" t="n">
        <f aca="false">(I1523-AVERAGE(I$2:I$2001))/STDEV(I$2:I$2001)</f>
        <v>-0.0205155458339628</v>
      </c>
      <c r="AD1523" s="13" t="n">
        <f aca="false">(L1523-AVERAGE(L$2:L$2001))/STDEV(L$2:L$2001)</f>
        <v>3.98654222448247</v>
      </c>
      <c r="AE1523" s="13" t="n">
        <f aca="false">(M1523-AVERAGE(M$2:M$2001))/STDEV(M$2:M$2001)</f>
        <v>1.79032932558977</v>
      </c>
      <c r="AF1523" s="13" t="n">
        <f aca="false">(N1523-AVERAGE(N$2:N$2001))/STDEV(N$2:N$2001)</f>
        <v>-1.11980266080412</v>
      </c>
      <c r="AG1523" s="13" t="n">
        <f aca="false">(O1523-AVERAGE(O$2:O$2001))/STDEV(O$2:O$2001)</f>
        <v>-1.09299997604966</v>
      </c>
      <c r="AH1523" s="0" t="str">
        <f aca="false">IF(B1523="Company","C3 - Corporate Buyers",IF(AND(H1523="Investment",M1523&gt;'Segmentation Summary'!$C$1),"C1 - Global Investors",IF(AND(I1523&gt;=4,M1523&gt;'Segmentation Summary'!$C$1),"C4 - Luxury Investors",IF(AND(D1523&lt;'Segmentation Summary'!$C$2,J1523=1),"C2 - First-Time Buyers","C5 - Other Individual Buyers"))))</f>
        <v>C5 - Other Individual Buyers</v>
      </c>
    </row>
    <row r="1524" customFormat="false" ht="15" hidden="false" customHeight="true" outlineLevel="0" collapsed="false">
      <c r="A1524" s="13" t="s">
        <v>3046</v>
      </c>
      <c r="B1524" s="13" t="s">
        <v>34</v>
      </c>
      <c r="C1524" s="13" t="s">
        <v>3047</v>
      </c>
      <c r="D1524" s="13" t="n">
        <v>84</v>
      </c>
      <c r="E1524" s="13" t="s">
        <v>83</v>
      </c>
      <c r="F1524" s="13" t="s">
        <v>33</v>
      </c>
      <c r="G1524" s="13" t="s">
        <v>95</v>
      </c>
      <c r="H1524" s="13" t="s">
        <v>41</v>
      </c>
      <c r="I1524" s="13" t="n">
        <v>4</v>
      </c>
      <c r="J1524" s="13" t="n">
        <v>0</v>
      </c>
      <c r="K1524" s="13" t="s">
        <v>85</v>
      </c>
      <c r="L1524" s="13" t="n">
        <v>4</v>
      </c>
      <c r="M1524" s="13" t="n">
        <v>1335726.82</v>
      </c>
      <c r="N1524" s="13" t="n">
        <v>333931.705</v>
      </c>
      <c r="O1524" s="13" t="n">
        <v>1114.2125</v>
      </c>
      <c r="P1524" s="13" t="n">
        <v>0</v>
      </c>
      <c r="Q1524" s="13" t="n">
        <v>4</v>
      </c>
      <c r="R1524" s="13" t="s">
        <v>92</v>
      </c>
      <c r="S1524" s="13" t="s">
        <v>114</v>
      </c>
      <c r="T1524" s="13" t="n">
        <v>1</v>
      </c>
      <c r="U1524" s="13" t="n">
        <f aca="false">IF(B1524="Individual",1,0)</f>
        <v>1</v>
      </c>
      <c r="V1524" s="13" t="n">
        <f aca="false">IF(B1524="Company",1,0)</f>
        <v>0</v>
      </c>
      <c r="W1524" s="13" t="n">
        <f aca="false">IF(H1524="Home",1,0)</f>
        <v>1</v>
      </c>
      <c r="X1524" s="13" t="n">
        <f aca="false">IF(H1524="Investment",1,0)</f>
        <v>0</v>
      </c>
      <c r="Y1524" s="13" t="n">
        <f aca="false">IF(K1524="Website",1,0)</f>
        <v>1</v>
      </c>
      <c r="Z1524" s="13" t="n">
        <f aca="false">IF(K1524="Agency",1,0)</f>
        <v>0</v>
      </c>
      <c r="AA1524" s="13" t="n">
        <f aca="false">IF(K1524="Client",1,0)</f>
        <v>0</v>
      </c>
      <c r="AB1524" s="13" t="n">
        <f aca="false">(D1524-AVERAGE(D$2:D$2001))/STDEV(D$2:D$2001)</f>
        <v>1.72197390824266</v>
      </c>
      <c r="AC1524" s="13" t="n">
        <f aca="false">(I1524-AVERAGE(I$2:I$2001))/STDEV(I$2:I$2001)</f>
        <v>0.686917069130275</v>
      </c>
      <c r="AD1524" s="13" t="n">
        <f aca="false">(L1524-AVERAGE(L$2:L$2001))/STDEV(L$2:L$2001)</f>
        <v>0.413838214490712</v>
      </c>
      <c r="AE1524" s="13" t="n">
        <f aca="false">(M1524-AVERAGE(M$2:M$2001))/STDEV(M$2:M$2001)</f>
        <v>0.21663225011336</v>
      </c>
      <c r="AF1524" s="13" t="n">
        <f aca="false">(N1524-AVERAGE(N$2:N$2001))/STDEV(N$2:N$2001)</f>
        <v>-0.188725000678192</v>
      </c>
      <c r="AG1524" s="13" t="n">
        <f aca="false">(O1524-AVERAGE(O$2:O$2001))/STDEV(O$2:O$2001)</f>
        <v>-0.151267627641932</v>
      </c>
      <c r="AH1524" s="0" t="str">
        <f aca="false">IF(B1524="Company","C3 - Corporate Buyers",IF(AND(H1524="Investment",M1524&gt;'Segmentation Summary'!$C$1),"C1 - Global Investors",IF(AND(I1524&gt;=4,M1524&gt;'Segmentation Summary'!$C$1),"C4 - Luxury Investors",IF(AND(D1524&lt;'Segmentation Summary'!$C$2,J1524=1),"C2 - First-Time Buyers","C5 - Other Individual Buyers"))))</f>
        <v>C4 - Luxury Investors</v>
      </c>
    </row>
    <row r="1525" customFormat="false" ht="15" hidden="false" customHeight="true" outlineLevel="0" collapsed="false">
      <c r="A1525" s="13" t="s">
        <v>3048</v>
      </c>
      <c r="B1525" s="13" t="s">
        <v>34</v>
      </c>
      <c r="C1525" s="13" t="s">
        <v>3049</v>
      </c>
      <c r="D1525" s="13" t="n">
        <v>45</v>
      </c>
      <c r="E1525" s="13" t="s">
        <v>83</v>
      </c>
      <c r="F1525" s="13" t="s">
        <v>40</v>
      </c>
      <c r="G1525" s="13" t="s">
        <v>528</v>
      </c>
      <c r="H1525" s="13" t="s">
        <v>41</v>
      </c>
      <c r="I1525" s="13" t="n">
        <v>3</v>
      </c>
      <c r="J1525" s="13" t="n">
        <v>0</v>
      </c>
      <c r="K1525" s="13" t="s">
        <v>85</v>
      </c>
      <c r="L1525" s="13" t="n">
        <v>4</v>
      </c>
      <c r="M1525" s="13" t="n">
        <v>970434.94</v>
      </c>
      <c r="N1525" s="13" t="n">
        <v>242608.735</v>
      </c>
      <c r="O1525" s="13" t="n">
        <v>840.8725</v>
      </c>
      <c r="P1525" s="13" t="n">
        <v>0</v>
      </c>
      <c r="Q1525" s="13" t="n">
        <v>4</v>
      </c>
      <c r="R1525" s="13" t="s">
        <v>111</v>
      </c>
      <c r="S1525" s="13" t="s">
        <v>152</v>
      </c>
      <c r="T1525" s="13" t="n">
        <v>1</v>
      </c>
      <c r="U1525" s="13" t="n">
        <f aca="false">IF(B1525="Individual",1,0)</f>
        <v>1</v>
      </c>
      <c r="V1525" s="13" t="n">
        <f aca="false">IF(B1525="Company",1,0)</f>
        <v>0</v>
      </c>
      <c r="W1525" s="13" t="n">
        <f aca="false">IF(H1525="Home",1,0)</f>
        <v>1</v>
      </c>
      <c r="X1525" s="13" t="n">
        <f aca="false">IF(H1525="Investment",1,0)</f>
        <v>0</v>
      </c>
      <c r="Y1525" s="13" t="n">
        <f aca="false">IF(K1525="Website",1,0)</f>
        <v>1</v>
      </c>
      <c r="Z1525" s="13" t="n">
        <f aca="false">IF(K1525="Agency",1,0)</f>
        <v>0</v>
      </c>
      <c r="AA1525" s="13" t="n">
        <f aca="false">IF(K1525="Client",1,0)</f>
        <v>0</v>
      </c>
      <c r="AB1525" s="13" t="n">
        <f aca="false">(D1525-AVERAGE(D$2:D$2001))/STDEV(D$2:D$2001)</f>
        <v>-0.526861855795238</v>
      </c>
      <c r="AC1525" s="13" t="n">
        <f aca="false">(I1525-AVERAGE(I$2:I$2001))/STDEV(I$2:I$2001)</f>
        <v>-0.0205155458339628</v>
      </c>
      <c r="AD1525" s="13" t="n">
        <f aca="false">(L1525-AVERAGE(L$2:L$2001))/STDEV(L$2:L$2001)</f>
        <v>0.413838214490712</v>
      </c>
      <c r="AE1525" s="13" t="n">
        <f aca="false">(M1525-AVERAGE(M$2:M$2001))/STDEV(M$2:M$2001)</f>
        <v>-0.833568082802068</v>
      </c>
      <c r="AF1525" s="13" t="n">
        <f aca="false">(N1525-AVERAGE(N$2:N$2001))/STDEV(N$2:N$2001)</f>
        <v>-1.49854404475941</v>
      </c>
      <c r="AG1525" s="13" t="n">
        <f aca="false">(O1525-AVERAGE(O$2:O$2001))/STDEV(O$2:O$2001)</f>
        <v>-1.39415951873156</v>
      </c>
      <c r="AH1525" s="0" t="str">
        <f aca="false">IF(B1525="Company","C3 - Corporate Buyers",IF(AND(H1525="Investment",M1525&gt;'Segmentation Summary'!$C$1),"C1 - Global Investors",IF(AND(I1525&gt;=4,M1525&gt;'Segmentation Summary'!$C$1),"C4 - Luxury Investors",IF(AND(D1525&lt;'Segmentation Summary'!$C$2,J1525=1),"C2 - First-Time Buyers","C5 - Other Individual Buyers"))))</f>
        <v>C5 - Other Individual Buyers</v>
      </c>
    </row>
    <row r="1526" customFormat="false" ht="15" hidden="false" customHeight="true" outlineLevel="0" collapsed="false">
      <c r="A1526" s="13" t="s">
        <v>3050</v>
      </c>
      <c r="B1526" s="13" t="s">
        <v>34</v>
      </c>
      <c r="C1526" s="13" t="s">
        <v>3051</v>
      </c>
      <c r="D1526" s="13" t="n">
        <v>50</v>
      </c>
      <c r="E1526" s="13" t="s">
        <v>83</v>
      </c>
      <c r="F1526" s="13" t="s">
        <v>33</v>
      </c>
      <c r="G1526" s="13" t="s">
        <v>95</v>
      </c>
      <c r="H1526" s="13" t="s">
        <v>41</v>
      </c>
      <c r="I1526" s="13" t="n">
        <v>1</v>
      </c>
      <c r="J1526" s="13" t="n">
        <v>0</v>
      </c>
      <c r="K1526" s="13" t="s">
        <v>85</v>
      </c>
      <c r="L1526" s="13" t="n">
        <v>3</v>
      </c>
      <c r="M1526" s="13" t="n">
        <v>1145456.23</v>
      </c>
      <c r="N1526" s="13" t="n">
        <v>381818.743333333</v>
      </c>
      <c r="O1526" s="13" t="n">
        <v>1277.84</v>
      </c>
      <c r="P1526" s="13" t="n">
        <v>1</v>
      </c>
      <c r="Q1526" s="13" t="n">
        <v>2</v>
      </c>
      <c r="R1526" s="13" t="s">
        <v>101</v>
      </c>
      <c r="S1526" s="13" t="s">
        <v>135</v>
      </c>
      <c r="T1526" s="13" t="n">
        <v>1</v>
      </c>
      <c r="U1526" s="13" t="n">
        <f aca="false">IF(B1526="Individual",1,0)</f>
        <v>1</v>
      </c>
      <c r="V1526" s="13" t="n">
        <f aca="false">IF(B1526="Company",1,0)</f>
        <v>0</v>
      </c>
      <c r="W1526" s="13" t="n">
        <f aca="false">IF(H1526="Home",1,0)</f>
        <v>1</v>
      </c>
      <c r="X1526" s="13" t="n">
        <f aca="false">IF(H1526="Investment",1,0)</f>
        <v>0</v>
      </c>
      <c r="Y1526" s="13" t="n">
        <f aca="false">IF(K1526="Website",1,0)</f>
        <v>1</v>
      </c>
      <c r="Z1526" s="13" t="n">
        <f aca="false">IF(K1526="Agency",1,0)</f>
        <v>0</v>
      </c>
      <c r="AA1526" s="13" t="n">
        <f aca="false">IF(K1526="Client",1,0)</f>
        <v>0</v>
      </c>
      <c r="AB1526" s="13" t="n">
        <f aca="false">(D1526-AVERAGE(D$2:D$2001))/STDEV(D$2:D$2001)</f>
        <v>-0.238549578354482</v>
      </c>
      <c r="AC1526" s="13" t="n">
        <f aca="false">(I1526-AVERAGE(I$2:I$2001))/STDEV(I$2:I$2001)</f>
        <v>-1.43538077576244</v>
      </c>
      <c r="AD1526" s="13" t="n">
        <f aca="false">(L1526-AVERAGE(L$2:L$2001))/STDEV(L$2:L$2001)</f>
        <v>-0.777063122173208</v>
      </c>
      <c r="AE1526" s="13" t="n">
        <f aca="false">(M1526-AVERAGE(M$2:M$2001))/STDEV(M$2:M$2001)</f>
        <v>-0.330388496589291</v>
      </c>
      <c r="AF1526" s="13" t="n">
        <f aca="false">(N1526-AVERAGE(N$2:N$2001))/STDEV(N$2:N$2001)</f>
        <v>0.498104991531291</v>
      </c>
      <c r="AG1526" s="13" t="n">
        <f aca="false">(O1526-AVERAGE(O$2:O$2001))/STDEV(O$2:O$2001)</f>
        <v>0.592755540973231</v>
      </c>
      <c r="AH1526" s="0" t="str">
        <f aca="false">IF(B1526="Company","C3 - Corporate Buyers",IF(AND(H1526="Investment",M1526&gt;'Segmentation Summary'!$C$1),"C1 - Global Investors",IF(AND(I1526&gt;=4,M1526&gt;'Segmentation Summary'!$C$1),"C4 - Luxury Investors",IF(AND(D1526&lt;'Segmentation Summary'!$C$2,J1526=1),"C2 - First-Time Buyers","C5 - Other Individual Buyers"))))</f>
        <v>C5 - Other Individual Buyers</v>
      </c>
    </row>
    <row r="1527" customFormat="false" ht="15" hidden="false" customHeight="true" outlineLevel="0" collapsed="false">
      <c r="A1527" s="13" t="s">
        <v>3052</v>
      </c>
      <c r="B1527" s="13" t="s">
        <v>34</v>
      </c>
      <c r="C1527" s="13" t="s">
        <v>3053</v>
      </c>
      <c r="D1527" s="13" t="n">
        <v>66</v>
      </c>
      <c r="E1527" s="13" t="s">
        <v>83</v>
      </c>
      <c r="F1527" s="13" t="s">
        <v>35</v>
      </c>
      <c r="G1527" s="13" t="s">
        <v>374</v>
      </c>
      <c r="H1527" s="13" t="s">
        <v>41</v>
      </c>
      <c r="I1527" s="13" t="n">
        <v>1</v>
      </c>
      <c r="J1527" s="13" t="n">
        <v>1</v>
      </c>
      <c r="K1527" s="13" t="s">
        <v>85</v>
      </c>
      <c r="L1527" s="13" t="n">
        <v>4</v>
      </c>
      <c r="M1527" s="13" t="n">
        <v>1468372.25</v>
      </c>
      <c r="N1527" s="13" t="n">
        <v>367093.0625</v>
      </c>
      <c r="O1527" s="13" t="n">
        <v>1222.5975</v>
      </c>
      <c r="P1527" s="13" t="n">
        <v>1</v>
      </c>
      <c r="Q1527" s="13" t="n">
        <v>3</v>
      </c>
      <c r="R1527" s="13" t="s">
        <v>128</v>
      </c>
      <c r="S1527" s="13" t="s">
        <v>93</v>
      </c>
      <c r="T1527" s="13" t="n">
        <v>1</v>
      </c>
      <c r="U1527" s="13" t="n">
        <f aca="false">IF(B1527="Individual",1,0)</f>
        <v>1</v>
      </c>
      <c r="V1527" s="13" t="n">
        <f aca="false">IF(B1527="Company",1,0)</f>
        <v>0</v>
      </c>
      <c r="W1527" s="13" t="n">
        <f aca="false">IF(H1527="Home",1,0)</f>
        <v>1</v>
      </c>
      <c r="X1527" s="13" t="n">
        <f aca="false">IF(H1527="Investment",1,0)</f>
        <v>0</v>
      </c>
      <c r="Y1527" s="13" t="n">
        <f aca="false">IF(K1527="Website",1,0)</f>
        <v>1</v>
      </c>
      <c r="Z1527" s="13" t="n">
        <f aca="false">IF(K1527="Agency",1,0)</f>
        <v>0</v>
      </c>
      <c r="AA1527" s="13" t="n">
        <f aca="false">IF(K1527="Client",1,0)</f>
        <v>0</v>
      </c>
      <c r="AB1527" s="13" t="n">
        <f aca="false">(D1527-AVERAGE(D$2:D$2001))/STDEV(D$2:D$2001)</f>
        <v>0.684049709455938</v>
      </c>
      <c r="AC1527" s="13" t="n">
        <f aca="false">(I1527-AVERAGE(I$2:I$2001))/STDEV(I$2:I$2001)</f>
        <v>-1.43538077576244</v>
      </c>
      <c r="AD1527" s="13" t="n">
        <f aca="false">(L1527-AVERAGE(L$2:L$2001))/STDEV(L$2:L$2001)</f>
        <v>0.413838214490712</v>
      </c>
      <c r="AE1527" s="13" t="n">
        <f aca="false">(M1527-AVERAGE(M$2:M$2001))/STDEV(M$2:M$2001)</f>
        <v>0.597982842263697</v>
      </c>
      <c r="AF1527" s="13" t="n">
        <f aca="false">(N1527-AVERAGE(N$2:N$2001))/STDEV(N$2:N$2001)</f>
        <v>0.286898794530018</v>
      </c>
      <c r="AG1527" s="13" t="n">
        <f aca="false">(O1527-AVERAGE(O$2:O$2001))/STDEV(O$2:O$2001)</f>
        <v>0.341564879915505</v>
      </c>
      <c r="AH1527" s="0" t="str">
        <f aca="false">IF(B1527="Company","C3 - Corporate Buyers",IF(AND(H1527="Investment",M1527&gt;'Segmentation Summary'!$C$1),"C1 - Global Investors",IF(AND(I1527&gt;=4,M1527&gt;'Segmentation Summary'!$C$1),"C4 - Luxury Investors",IF(AND(D1527&lt;'Segmentation Summary'!$C$2,J1527=1),"C2 - First-Time Buyers","C5 - Other Individual Buyers"))))</f>
        <v>C5 - Other Individual Buyers</v>
      </c>
    </row>
    <row r="1528" customFormat="false" ht="15" hidden="false" customHeight="true" outlineLevel="0" collapsed="false">
      <c r="A1528" s="13" t="s">
        <v>3054</v>
      </c>
      <c r="B1528" s="13" t="s">
        <v>34</v>
      </c>
      <c r="C1528" s="13" t="s">
        <v>3055</v>
      </c>
      <c r="D1528" s="13" t="n">
        <v>61</v>
      </c>
      <c r="E1528" s="13" t="s">
        <v>83</v>
      </c>
      <c r="F1528" s="13" t="s">
        <v>33</v>
      </c>
      <c r="G1528" s="13" t="s">
        <v>110</v>
      </c>
      <c r="H1528" s="13" t="s">
        <v>41</v>
      </c>
      <c r="I1528" s="13" t="n">
        <v>3</v>
      </c>
      <c r="J1528" s="13" t="n">
        <v>0</v>
      </c>
      <c r="K1528" s="13" t="s">
        <v>85</v>
      </c>
      <c r="L1528" s="13" t="n">
        <v>4</v>
      </c>
      <c r="M1528" s="13" t="n">
        <v>1180654.6</v>
      </c>
      <c r="N1528" s="13" t="n">
        <v>295163.65</v>
      </c>
      <c r="O1528" s="13" t="n">
        <v>975.4225</v>
      </c>
      <c r="P1528" s="13" t="n">
        <v>0</v>
      </c>
      <c r="Q1528" s="13" t="n">
        <v>4</v>
      </c>
      <c r="R1528" s="13" t="s">
        <v>150</v>
      </c>
      <c r="S1528" s="13" t="s">
        <v>114</v>
      </c>
      <c r="T1528" s="13" t="n">
        <v>1</v>
      </c>
      <c r="U1528" s="13" t="n">
        <f aca="false">IF(B1528="Individual",1,0)</f>
        <v>1</v>
      </c>
      <c r="V1528" s="13" t="n">
        <f aca="false">IF(B1528="Company",1,0)</f>
        <v>0</v>
      </c>
      <c r="W1528" s="13" t="n">
        <f aca="false">IF(H1528="Home",1,0)</f>
        <v>1</v>
      </c>
      <c r="X1528" s="13" t="n">
        <f aca="false">IF(H1528="Investment",1,0)</f>
        <v>0</v>
      </c>
      <c r="Y1528" s="13" t="n">
        <f aca="false">IF(K1528="Website",1,0)</f>
        <v>1</v>
      </c>
      <c r="Z1528" s="13" t="n">
        <f aca="false">IF(K1528="Agency",1,0)</f>
        <v>0</v>
      </c>
      <c r="AA1528" s="13" t="n">
        <f aca="false">IF(K1528="Client",1,0)</f>
        <v>0</v>
      </c>
      <c r="AB1528" s="13" t="n">
        <f aca="false">(D1528-AVERAGE(D$2:D$2001))/STDEV(D$2:D$2001)</f>
        <v>0.395737432015182</v>
      </c>
      <c r="AC1528" s="13" t="n">
        <f aca="false">(I1528-AVERAGE(I$2:I$2001))/STDEV(I$2:I$2001)</f>
        <v>-0.0205155458339628</v>
      </c>
      <c r="AD1528" s="13" t="n">
        <f aca="false">(L1528-AVERAGE(L$2:L$2001))/STDEV(L$2:L$2001)</f>
        <v>0.413838214490712</v>
      </c>
      <c r="AE1528" s="13" t="n">
        <f aca="false">(M1528-AVERAGE(M$2:M$2001))/STDEV(M$2:M$2001)</f>
        <v>-0.229194514691635</v>
      </c>
      <c r="AF1528" s="13" t="n">
        <f aca="false">(N1528-AVERAGE(N$2:N$2001))/STDEV(N$2:N$2001)</f>
        <v>-0.744764042564238</v>
      </c>
      <c r="AG1528" s="13" t="n">
        <f aca="false">(O1528-AVERAGE(O$2:O$2001))/STDEV(O$2:O$2001)</f>
        <v>-0.782353328835793</v>
      </c>
      <c r="AH1528" s="0" t="str">
        <f aca="false">IF(B1528="Company","C3 - Corporate Buyers",IF(AND(H1528="Investment",M1528&gt;'Segmentation Summary'!$C$1),"C1 - Global Investors",IF(AND(I1528&gt;=4,M1528&gt;'Segmentation Summary'!$C$1),"C4 - Luxury Investors",IF(AND(D1528&lt;'Segmentation Summary'!$C$2,J1528=1),"C2 - First-Time Buyers","C5 - Other Individual Buyers"))))</f>
        <v>C5 - Other Individual Buyers</v>
      </c>
    </row>
    <row r="1529" customFormat="false" ht="15" hidden="false" customHeight="true" outlineLevel="0" collapsed="false">
      <c r="A1529" s="13" t="s">
        <v>3056</v>
      </c>
      <c r="B1529" s="13" t="s">
        <v>34</v>
      </c>
      <c r="C1529" s="13" t="s">
        <v>3057</v>
      </c>
      <c r="D1529" s="13" t="n">
        <v>64</v>
      </c>
      <c r="E1529" s="13" t="s">
        <v>83</v>
      </c>
      <c r="F1529" s="13" t="s">
        <v>38</v>
      </c>
      <c r="G1529" s="13" t="s">
        <v>665</v>
      </c>
      <c r="H1529" s="13" t="s">
        <v>41</v>
      </c>
      <c r="I1529" s="13" t="n">
        <v>5</v>
      </c>
      <c r="J1529" s="13" t="n">
        <v>0</v>
      </c>
      <c r="K1529" s="13" t="s">
        <v>85</v>
      </c>
      <c r="L1529" s="13" t="n">
        <v>4</v>
      </c>
      <c r="M1529" s="13" t="n">
        <v>1053102.32</v>
      </c>
      <c r="N1529" s="13" t="n">
        <v>263275.58</v>
      </c>
      <c r="O1529" s="13" t="n">
        <v>868.5725</v>
      </c>
      <c r="P1529" s="13" t="n">
        <v>0</v>
      </c>
      <c r="Q1529" s="13" t="n">
        <v>4</v>
      </c>
      <c r="R1529" s="13" t="s">
        <v>101</v>
      </c>
      <c r="S1529" s="13" t="s">
        <v>135</v>
      </c>
      <c r="T1529" s="13" t="n">
        <v>1</v>
      </c>
      <c r="U1529" s="13" t="n">
        <f aca="false">IF(B1529="Individual",1,0)</f>
        <v>1</v>
      </c>
      <c r="V1529" s="13" t="n">
        <f aca="false">IF(B1529="Company",1,0)</f>
        <v>0</v>
      </c>
      <c r="W1529" s="13" t="n">
        <f aca="false">IF(H1529="Home",1,0)</f>
        <v>1</v>
      </c>
      <c r="X1529" s="13" t="n">
        <f aca="false">IF(H1529="Investment",1,0)</f>
        <v>0</v>
      </c>
      <c r="Y1529" s="13" t="n">
        <f aca="false">IF(K1529="Website",1,0)</f>
        <v>1</v>
      </c>
      <c r="Z1529" s="13" t="n">
        <f aca="false">IF(K1529="Agency",1,0)</f>
        <v>0</v>
      </c>
      <c r="AA1529" s="13" t="n">
        <f aca="false">IF(K1529="Client",1,0)</f>
        <v>0</v>
      </c>
      <c r="AB1529" s="13" t="n">
        <f aca="false">(D1529-AVERAGE(D$2:D$2001))/STDEV(D$2:D$2001)</f>
        <v>0.568724798479635</v>
      </c>
      <c r="AC1529" s="13" t="n">
        <f aca="false">(I1529-AVERAGE(I$2:I$2001))/STDEV(I$2:I$2001)</f>
        <v>1.39434968409451</v>
      </c>
      <c r="AD1529" s="13" t="n">
        <f aca="false">(L1529-AVERAGE(L$2:L$2001))/STDEV(L$2:L$2001)</f>
        <v>0.413838214490712</v>
      </c>
      <c r="AE1529" s="13" t="n">
        <f aca="false">(M1529-AVERAGE(M$2:M$2001))/STDEV(M$2:M$2001)</f>
        <v>-0.595902493308959</v>
      </c>
      <c r="AF1529" s="13" t="n">
        <f aca="false">(N1529-AVERAGE(N$2:N$2001))/STDEV(N$2:N$2001)</f>
        <v>-1.20212544205656</v>
      </c>
      <c r="AG1529" s="13" t="n">
        <f aca="false">(O1529-AVERAGE(O$2:O$2001))/STDEV(O$2:O$2001)</f>
        <v>-1.26820610765678</v>
      </c>
      <c r="AH1529" s="0" t="str">
        <f aca="false">IF(B1529="Company","C3 - Corporate Buyers",IF(AND(H1529="Investment",M1529&gt;'Segmentation Summary'!$C$1),"C1 - Global Investors",IF(AND(I1529&gt;=4,M1529&gt;'Segmentation Summary'!$C$1),"C4 - Luxury Investors",IF(AND(D1529&lt;'Segmentation Summary'!$C$2,J1529=1),"C2 - First-Time Buyers","C5 - Other Individual Buyers"))))</f>
        <v>C5 - Other Individual Buyers</v>
      </c>
    </row>
    <row r="1530" customFormat="false" ht="15" hidden="false" customHeight="true" outlineLevel="0" collapsed="false">
      <c r="A1530" s="13" t="s">
        <v>3058</v>
      </c>
      <c r="B1530" s="13" t="s">
        <v>34</v>
      </c>
      <c r="C1530" s="13" t="s">
        <v>3059</v>
      </c>
      <c r="D1530" s="13" t="n">
        <v>61</v>
      </c>
      <c r="E1530" s="13" t="s">
        <v>83</v>
      </c>
      <c r="F1530" s="13" t="s">
        <v>33</v>
      </c>
      <c r="G1530" s="13" t="s">
        <v>84</v>
      </c>
      <c r="H1530" s="13" t="s">
        <v>41</v>
      </c>
      <c r="I1530" s="13" t="n">
        <v>3</v>
      </c>
      <c r="J1530" s="13" t="n">
        <v>1</v>
      </c>
      <c r="K1530" s="13" t="s">
        <v>85</v>
      </c>
      <c r="L1530" s="13" t="n">
        <v>4</v>
      </c>
      <c r="M1530" s="13" t="n">
        <v>1027250.91</v>
      </c>
      <c r="N1530" s="13" t="n">
        <v>256812.7275</v>
      </c>
      <c r="O1530" s="13" t="n">
        <v>825.1325</v>
      </c>
      <c r="P1530" s="13" t="n">
        <v>1</v>
      </c>
      <c r="Q1530" s="13" t="n">
        <v>3</v>
      </c>
      <c r="R1530" s="13" t="s">
        <v>92</v>
      </c>
      <c r="S1530" s="13" t="s">
        <v>107</v>
      </c>
      <c r="T1530" s="13" t="n">
        <v>1</v>
      </c>
      <c r="U1530" s="13" t="n">
        <f aca="false">IF(B1530="Individual",1,0)</f>
        <v>1</v>
      </c>
      <c r="V1530" s="13" t="n">
        <f aca="false">IF(B1530="Company",1,0)</f>
        <v>0</v>
      </c>
      <c r="W1530" s="13" t="n">
        <f aca="false">IF(H1530="Home",1,0)</f>
        <v>1</v>
      </c>
      <c r="X1530" s="13" t="n">
        <f aca="false">IF(H1530="Investment",1,0)</f>
        <v>0</v>
      </c>
      <c r="Y1530" s="13" t="n">
        <f aca="false">IF(K1530="Website",1,0)</f>
        <v>1</v>
      </c>
      <c r="Z1530" s="13" t="n">
        <f aca="false">IF(K1530="Agency",1,0)</f>
        <v>0</v>
      </c>
      <c r="AA1530" s="13" t="n">
        <f aca="false">IF(K1530="Client",1,0)</f>
        <v>0</v>
      </c>
      <c r="AB1530" s="13" t="n">
        <f aca="false">(D1530-AVERAGE(D$2:D$2001))/STDEV(D$2:D$2001)</f>
        <v>0.395737432015182</v>
      </c>
      <c r="AC1530" s="13" t="n">
        <f aca="false">(I1530-AVERAGE(I$2:I$2001))/STDEV(I$2:I$2001)</f>
        <v>-0.0205155458339628</v>
      </c>
      <c r="AD1530" s="13" t="n">
        <f aca="false">(L1530-AVERAGE(L$2:L$2001))/STDEV(L$2:L$2001)</f>
        <v>0.413838214490712</v>
      </c>
      <c r="AE1530" s="13" t="n">
        <f aca="false">(M1530-AVERAGE(M$2:M$2001))/STDEV(M$2:M$2001)</f>
        <v>-0.670224318881247</v>
      </c>
      <c r="AF1530" s="13" t="n">
        <f aca="false">(N1530-AVERAGE(N$2:N$2001))/STDEV(N$2:N$2001)</f>
        <v>-1.29482027319913</v>
      </c>
      <c r="AG1530" s="13" t="n">
        <f aca="false">(O1530-AVERAGE(O$2:O$2001))/STDEV(O$2:O$2001)</f>
        <v>-1.46573015737117</v>
      </c>
      <c r="AH1530" s="0" t="str">
        <f aca="false">IF(B1530="Company","C3 - Corporate Buyers",IF(AND(H1530="Investment",M1530&gt;'Segmentation Summary'!$C$1),"C1 - Global Investors",IF(AND(I1530&gt;=4,M1530&gt;'Segmentation Summary'!$C$1),"C4 - Luxury Investors",IF(AND(D1530&lt;'Segmentation Summary'!$C$2,J1530=1),"C2 - First-Time Buyers","C5 - Other Individual Buyers"))))</f>
        <v>C5 - Other Individual Buyers</v>
      </c>
    </row>
    <row r="1531" customFormat="false" ht="15" hidden="false" customHeight="true" outlineLevel="0" collapsed="false">
      <c r="A1531" s="13" t="s">
        <v>3060</v>
      </c>
      <c r="B1531" s="13" t="s">
        <v>34</v>
      </c>
      <c r="C1531" s="13" t="s">
        <v>3061</v>
      </c>
      <c r="D1531" s="13" t="n">
        <v>26</v>
      </c>
      <c r="E1531" s="13" t="s">
        <v>83</v>
      </c>
      <c r="F1531" s="13" t="s">
        <v>33</v>
      </c>
      <c r="G1531" s="13" t="s">
        <v>110</v>
      </c>
      <c r="H1531" s="13" t="s">
        <v>41</v>
      </c>
      <c r="I1531" s="13" t="n">
        <v>4</v>
      </c>
      <c r="J1531" s="13" t="n">
        <v>1</v>
      </c>
      <c r="K1531" s="13" t="s">
        <v>91</v>
      </c>
      <c r="L1531" s="13" t="n">
        <v>3</v>
      </c>
      <c r="M1531" s="13" t="n">
        <v>802271.19</v>
      </c>
      <c r="N1531" s="13" t="n">
        <v>267423.73</v>
      </c>
      <c r="O1531" s="13" t="n">
        <v>883.746666666667</v>
      </c>
      <c r="P1531" s="13" t="n">
        <v>0</v>
      </c>
      <c r="Q1531" s="13" t="n">
        <v>3</v>
      </c>
      <c r="R1531" s="13" t="s">
        <v>117</v>
      </c>
      <c r="S1531" s="13" t="s">
        <v>141</v>
      </c>
      <c r="T1531" s="13" t="n">
        <v>1</v>
      </c>
      <c r="U1531" s="13" t="n">
        <f aca="false">IF(B1531="Individual",1,0)</f>
        <v>1</v>
      </c>
      <c r="V1531" s="13" t="n">
        <f aca="false">IF(B1531="Company",1,0)</f>
        <v>0</v>
      </c>
      <c r="W1531" s="13" t="n">
        <f aca="false">IF(H1531="Home",1,0)</f>
        <v>1</v>
      </c>
      <c r="X1531" s="13" t="n">
        <f aca="false">IF(H1531="Investment",1,0)</f>
        <v>0</v>
      </c>
      <c r="Y1531" s="13" t="n">
        <f aca="false">IF(K1531="Website",1,0)</f>
        <v>0</v>
      </c>
      <c r="Z1531" s="13" t="n">
        <f aca="false">IF(K1531="Agency",1,0)</f>
        <v>1</v>
      </c>
      <c r="AA1531" s="13" t="n">
        <f aca="false">IF(K1531="Client",1,0)</f>
        <v>0</v>
      </c>
      <c r="AB1531" s="13" t="n">
        <f aca="false">(D1531-AVERAGE(D$2:D$2001))/STDEV(D$2:D$2001)</f>
        <v>-1.62244851007011</v>
      </c>
      <c r="AC1531" s="13" t="n">
        <f aca="false">(I1531-AVERAGE(I$2:I$2001))/STDEV(I$2:I$2001)</f>
        <v>0.686917069130275</v>
      </c>
      <c r="AD1531" s="13" t="n">
        <f aca="false">(L1531-AVERAGE(L$2:L$2001))/STDEV(L$2:L$2001)</f>
        <v>-0.777063122173208</v>
      </c>
      <c r="AE1531" s="13" t="n">
        <f aca="false">(M1531-AVERAGE(M$2:M$2001))/STDEV(M$2:M$2001)</f>
        <v>-1.31703250099364</v>
      </c>
      <c r="AF1531" s="13" t="n">
        <f aca="false">(N1531-AVERAGE(N$2:N$2001))/STDEV(N$2:N$2001)</f>
        <v>-1.14262972189212</v>
      </c>
      <c r="AG1531" s="13" t="n">
        <f aca="false">(O1531-AVERAGE(O$2:O$2001))/STDEV(O$2:O$2001)</f>
        <v>-1.19920834405085</v>
      </c>
      <c r="AH1531" s="0" t="str">
        <f aca="false">IF(B1531="Company","C3 - Corporate Buyers",IF(AND(H1531="Investment",M1531&gt;'Segmentation Summary'!$C$1),"C1 - Global Investors",IF(AND(I1531&gt;=4,M1531&gt;'Segmentation Summary'!$C$1),"C4 - Luxury Investors",IF(AND(D1531&lt;'Segmentation Summary'!$C$2,J1531=1),"C2 - First-Time Buyers","C5 - Other Individual Buyers"))))</f>
        <v>C2 - First-Time Buyers</v>
      </c>
    </row>
    <row r="1532" customFormat="false" ht="15" hidden="false" customHeight="true" outlineLevel="0" collapsed="false">
      <c r="A1532" s="13" t="s">
        <v>3062</v>
      </c>
      <c r="B1532" s="13" t="s">
        <v>34</v>
      </c>
      <c r="C1532" s="13" t="s">
        <v>3063</v>
      </c>
      <c r="D1532" s="13" t="n">
        <v>69</v>
      </c>
      <c r="E1532" s="13" t="s">
        <v>83</v>
      </c>
      <c r="F1532" s="13" t="s">
        <v>33</v>
      </c>
      <c r="G1532" s="13" t="s">
        <v>106</v>
      </c>
      <c r="H1532" s="13" t="s">
        <v>41</v>
      </c>
      <c r="I1532" s="13" t="n">
        <v>1</v>
      </c>
      <c r="J1532" s="13" t="n">
        <v>0</v>
      </c>
      <c r="K1532" s="13" t="s">
        <v>85</v>
      </c>
      <c r="L1532" s="13" t="n">
        <v>4</v>
      </c>
      <c r="M1532" s="13" t="n">
        <v>1181772.43</v>
      </c>
      <c r="N1532" s="13" t="n">
        <v>295443.1075</v>
      </c>
      <c r="O1532" s="13" t="n">
        <v>972.335</v>
      </c>
      <c r="P1532" s="13" t="n">
        <v>0</v>
      </c>
      <c r="Q1532" s="13" t="n">
        <v>4</v>
      </c>
      <c r="R1532" s="13" t="s">
        <v>92</v>
      </c>
      <c r="S1532" s="13" t="s">
        <v>135</v>
      </c>
      <c r="T1532" s="13" t="n">
        <v>1</v>
      </c>
      <c r="U1532" s="13" t="n">
        <f aca="false">IF(B1532="Individual",1,0)</f>
        <v>1</v>
      </c>
      <c r="V1532" s="13" t="n">
        <f aca="false">IF(B1532="Company",1,0)</f>
        <v>0</v>
      </c>
      <c r="W1532" s="13" t="n">
        <f aca="false">IF(H1532="Home",1,0)</f>
        <v>1</v>
      </c>
      <c r="X1532" s="13" t="n">
        <f aca="false">IF(H1532="Investment",1,0)</f>
        <v>0</v>
      </c>
      <c r="Y1532" s="13" t="n">
        <f aca="false">IF(K1532="Website",1,0)</f>
        <v>1</v>
      </c>
      <c r="Z1532" s="13" t="n">
        <f aca="false">IF(K1532="Agency",1,0)</f>
        <v>0</v>
      </c>
      <c r="AA1532" s="13" t="n">
        <f aca="false">IF(K1532="Client",1,0)</f>
        <v>0</v>
      </c>
      <c r="AB1532" s="13" t="n">
        <f aca="false">(D1532-AVERAGE(D$2:D$2001))/STDEV(D$2:D$2001)</f>
        <v>0.857037075920391</v>
      </c>
      <c r="AC1532" s="13" t="n">
        <f aca="false">(I1532-AVERAGE(I$2:I$2001))/STDEV(I$2:I$2001)</f>
        <v>-1.43538077576244</v>
      </c>
      <c r="AD1532" s="13" t="n">
        <f aca="false">(L1532-AVERAGE(L$2:L$2001))/STDEV(L$2:L$2001)</f>
        <v>0.413838214490712</v>
      </c>
      <c r="AE1532" s="13" t="n">
        <f aca="false">(M1532-AVERAGE(M$2:M$2001))/STDEV(M$2:M$2001)</f>
        <v>-0.225980795738609</v>
      </c>
      <c r="AF1532" s="13" t="n">
        <f aca="false">(N1532-AVERAGE(N$2:N$2001))/STDEV(N$2:N$2001)</f>
        <v>-0.740755864167157</v>
      </c>
      <c r="AG1532" s="13" t="n">
        <f aca="false">(O1532-AVERAGE(O$2:O$2001))/STDEV(O$2:O$2001)</f>
        <v>-0.796392359763353</v>
      </c>
      <c r="AH1532" s="0" t="str">
        <f aca="false">IF(B1532="Company","C3 - Corporate Buyers",IF(AND(H1532="Investment",M1532&gt;'Segmentation Summary'!$C$1),"C1 - Global Investors",IF(AND(I1532&gt;=4,M1532&gt;'Segmentation Summary'!$C$1),"C4 - Luxury Investors",IF(AND(D1532&lt;'Segmentation Summary'!$C$2,J1532=1),"C2 - First-Time Buyers","C5 - Other Individual Buyers"))))</f>
        <v>C5 - Other Individual Buyers</v>
      </c>
    </row>
    <row r="1533" customFormat="false" ht="15" hidden="false" customHeight="true" outlineLevel="0" collapsed="false">
      <c r="A1533" s="13" t="s">
        <v>3064</v>
      </c>
      <c r="B1533" s="13" t="s">
        <v>34</v>
      </c>
      <c r="C1533" s="13" t="s">
        <v>3065</v>
      </c>
      <c r="D1533" s="13" t="n">
        <v>81</v>
      </c>
      <c r="E1533" s="13" t="s">
        <v>83</v>
      </c>
      <c r="F1533" s="13" t="s">
        <v>33</v>
      </c>
      <c r="G1533" s="13" t="s">
        <v>84</v>
      </c>
      <c r="H1533" s="13" t="s">
        <v>41</v>
      </c>
      <c r="I1533" s="13" t="n">
        <v>3</v>
      </c>
      <c r="J1533" s="13" t="n">
        <v>0</v>
      </c>
      <c r="K1533" s="13" t="s">
        <v>85</v>
      </c>
      <c r="L1533" s="13" t="n">
        <v>4</v>
      </c>
      <c r="M1533" s="13" t="n">
        <v>1293648.37</v>
      </c>
      <c r="N1533" s="13" t="n">
        <v>323412.0925</v>
      </c>
      <c r="O1533" s="13" t="n">
        <v>1050.5725</v>
      </c>
      <c r="P1533" s="13" t="n">
        <v>2</v>
      </c>
      <c r="Q1533" s="13" t="n">
        <v>2</v>
      </c>
      <c r="R1533" s="13" t="s">
        <v>98</v>
      </c>
      <c r="S1533" s="13" t="s">
        <v>141</v>
      </c>
      <c r="T1533" s="13" t="n">
        <v>1</v>
      </c>
      <c r="U1533" s="13" t="n">
        <f aca="false">IF(B1533="Individual",1,0)</f>
        <v>1</v>
      </c>
      <c r="V1533" s="13" t="n">
        <f aca="false">IF(B1533="Company",1,0)</f>
        <v>0</v>
      </c>
      <c r="W1533" s="13" t="n">
        <f aca="false">IF(H1533="Home",1,0)</f>
        <v>1</v>
      </c>
      <c r="X1533" s="13" t="n">
        <f aca="false">IF(H1533="Investment",1,0)</f>
        <v>0</v>
      </c>
      <c r="Y1533" s="13" t="n">
        <f aca="false">IF(K1533="Website",1,0)</f>
        <v>1</v>
      </c>
      <c r="Z1533" s="13" t="n">
        <f aca="false">IF(K1533="Agency",1,0)</f>
        <v>0</v>
      </c>
      <c r="AA1533" s="13" t="n">
        <f aca="false">IF(K1533="Client",1,0)</f>
        <v>0</v>
      </c>
      <c r="AB1533" s="13" t="n">
        <f aca="false">(D1533-AVERAGE(D$2:D$2001))/STDEV(D$2:D$2001)</f>
        <v>1.54898654177821</v>
      </c>
      <c r="AC1533" s="13" t="n">
        <f aca="false">(I1533-AVERAGE(I$2:I$2001))/STDEV(I$2:I$2001)</f>
        <v>-0.0205155458339628</v>
      </c>
      <c r="AD1533" s="13" t="n">
        <f aca="false">(L1533-AVERAGE(L$2:L$2001))/STDEV(L$2:L$2001)</f>
        <v>0.413838214490712</v>
      </c>
      <c r="AE1533" s="13" t="n">
        <f aca="false">(M1533-AVERAGE(M$2:M$2001))/STDEV(M$2:M$2001)</f>
        <v>0.0956582985473814</v>
      </c>
      <c r="AF1533" s="13" t="n">
        <f aca="false">(N1533-AVERAGE(N$2:N$2001))/STDEV(N$2:N$2001)</f>
        <v>-0.339604771549144</v>
      </c>
      <c r="AG1533" s="13" t="n">
        <f aca="false">(O1533-AVERAGE(O$2:O$2001))/STDEV(O$2:O$2001)</f>
        <v>-0.440642179295346</v>
      </c>
      <c r="AH1533" s="0" t="str">
        <f aca="false">IF(B1533="Company","C3 - Corporate Buyers",IF(AND(H1533="Investment",M1533&gt;'Segmentation Summary'!$C$1),"C1 - Global Investors",IF(AND(I1533&gt;=4,M1533&gt;'Segmentation Summary'!$C$1),"C4 - Luxury Investors",IF(AND(D1533&lt;'Segmentation Summary'!$C$2,J1533=1),"C2 - First-Time Buyers","C5 - Other Individual Buyers"))))</f>
        <v>C5 - Other Individual Buyers</v>
      </c>
    </row>
    <row r="1534" customFormat="false" ht="15" hidden="false" customHeight="true" outlineLevel="0" collapsed="false">
      <c r="A1534" s="13" t="s">
        <v>3066</v>
      </c>
      <c r="B1534" s="13" t="s">
        <v>34</v>
      </c>
      <c r="C1534" s="13" t="s">
        <v>3067</v>
      </c>
      <c r="D1534" s="13" t="n">
        <v>58</v>
      </c>
      <c r="E1534" s="13" t="s">
        <v>83</v>
      </c>
      <c r="F1534" s="13" t="s">
        <v>33</v>
      </c>
      <c r="G1534" s="13" t="s">
        <v>157</v>
      </c>
      <c r="H1534" s="13" t="s">
        <v>43</v>
      </c>
      <c r="I1534" s="13" t="n">
        <v>3</v>
      </c>
      <c r="J1534" s="13" t="n">
        <v>0</v>
      </c>
      <c r="K1534" s="13" t="s">
        <v>91</v>
      </c>
      <c r="L1534" s="13" t="n">
        <v>5</v>
      </c>
      <c r="M1534" s="13" t="n">
        <v>1732434</v>
      </c>
      <c r="N1534" s="13" t="n">
        <v>346486.8</v>
      </c>
      <c r="O1534" s="13" t="n">
        <v>1140.206</v>
      </c>
      <c r="P1534" s="13" t="n">
        <v>1</v>
      </c>
      <c r="Q1534" s="13" t="n">
        <v>4</v>
      </c>
      <c r="R1534" s="13" t="s">
        <v>98</v>
      </c>
      <c r="S1534" s="13" t="s">
        <v>154</v>
      </c>
      <c r="T1534" s="13" t="n">
        <v>1</v>
      </c>
      <c r="U1534" s="13" t="n">
        <f aca="false">IF(B1534="Individual",1,0)</f>
        <v>1</v>
      </c>
      <c r="V1534" s="13" t="n">
        <f aca="false">IF(B1534="Company",1,0)</f>
        <v>0</v>
      </c>
      <c r="W1534" s="13" t="n">
        <f aca="false">IF(H1534="Home",1,0)</f>
        <v>0</v>
      </c>
      <c r="X1534" s="13" t="n">
        <f aca="false">IF(H1534="Investment",1,0)</f>
        <v>1</v>
      </c>
      <c r="Y1534" s="13" t="n">
        <f aca="false">IF(K1534="Website",1,0)</f>
        <v>0</v>
      </c>
      <c r="Z1534" s="13" t="n">
        <f aca="false">IF(K1534="Agency",1,0)</f>
        <v>1</v>
      </c>
      <c r="AA1534" s="13" t="n">
        <f aca="false">IF(K1534="Client",1,0)</f>
        <v>0</v>
      </c>
      <c r="AB1534" s="13" t="n">
        <f aca="false">(D1534-AVERAGE(D$2:D$2001))/STDEV(D$2:D$2001)</f>
        <v>0.222750065550728</v>
      </c>
      <c r="AC1534" s="13" t="n">
        <f aca="false">(I1534-AVERAGE(I$2:I$2001))/STDEV(I$2:I$2001)</f>
        <v>-0.0205155458339628</v>
      </c>
      <c r="AD1534" s="13" t="n">
        <f aca="false">(L1534-AVERAGE(L$2:L$2001))/STDEV(L$2:L$2001)</f>
        <v>1.60473955115463</v>
      </c>
      <c r="AE1534" s="13" t="n">
        <f aca="false">(M1534-AVERAGE(M$2:M$2001))/STDEV(M$2:M$2001)</f>
        <v>1.35715038182201</v>
      </c>
      <c r="AF1534" s="13" t="n">
        <f aca="false">(N1534-AVERAGE(N$2:N$2001))/STDEV(N$2:N$2001)</f>
        <v>-0.0086508908321276</v>
      </c>
      <c r="AG1534" s="13" t="n">
        <f aca="false">(O1534-AVERAGE(O$2:O$2001))/STDEV(O$2:O$2001)</f>
        <v>-0.03307376515917</v>
      </c>
      <c r="AH1534" s="0" t="str">
        <f aca="false">IF(B1534="Company","C3 - Corporate Buyers",IF(AND(H1534="Investment",M1534&gt;'Segmentation Summary'!$C$1),"C1 - Global Investors",IF(AND(I1534&gt;=4,M1534&gt;'Segmentation Summary'!$C$1),"C4 - Luxury Investors",IF(AND(D1534&lt;'Segmentation Summary'!$C$2,J1534=1),"C2 - First-Time Buyers","C5 - Other Individual Buyers"))))</f>
        <v>C1 - Global Investors</v>
      </c>
    </row>
    <row r="1535" customFormat="false" ht="15" hidden="false" customHeight="true" outlineLevel="0" collapsed="false">
      <c r="A1535" s="13" t="s">
        <v>3068</v>
      </c>
      <c r="B1535" s="13" t="s">
        <v>34</v>
      </c>
      <c r="C1535" s="13" t="s">
        <v>3069</v>
      </c>
      <c r="D1535" s="13" t="n">
        <v>36</v>
      </c>
      <c r="E1535" s="13" t="s">
        <v>90</v>
      </c>
      <c r="F1535" s="13" t="s">
        <v>33</v>
      </c>
      <c r="G1535" s="13" t="s">
        <v>120</v>
      </c>
      <c r="H1535" s="13" t="s">
        <v>41</v>
      </c>
      <c r="I1535" s="13" t="n">
        <v>4</v>
      </c>
      <c r="J1535" s="13" t="n">
        <v>0</v>
      </c>
      <c r="K1535" s="13" t="s">
        <v>91</v>
      </c>
      <c r="L1535" s="13" t="n">
        <v>4</v>
      </c>
      <c r="M1535" s="13" t="n">
        <v>1616556.78</v>
      </c>
      <c r="N1535" s="13" t="n">
        <v>404139.195</v>
      </c>
      <c r="O1535" s="13" t="n">
        <v>1298.145</v>
      </c>
      <c r="P1535" s="13" t="n">
        <v>1</v>
      </c>
      <c r="Q1535" s="13" t="n">
        <v>3</v>
      </c>
      <c r="R1535" s="13" t="s">
        <v>86</v>
      </c>
      <c r="S1535" s="13" t="s">
        <v>135</v>
      </c>
      <c r="T1535" s="13" t="n">
        <v>1</v>
      </c>
      <c r="U1535" s="13" t="n">
        <f aca="false">IF(B1535="Individual",1,0)</f>
        <v>1</v>
      </c>
      <c r="V1535" s="13" t="n">
        <f aca="false">IF(B1535="Company",1,0)</f>
        <v>0</v>
      </c>
      <c r="W1535" s="13" t="n">
        <f aca="false">IF(H1535="Home",1,0)</f>
        <v>1</v>
      </c>
      <c r="X1535" s="13" t="n">
        <f aca="false">IF(H1535="Investment",1,0)</f>
        <v>0</v>
      </c>
      <c r="Y1535" s="13" t="n">
        <f aca="false">IF(K1535="Website",1,0)</f>
        <v>0</v>
      </c>
      <c r="Z1535" s="13" t="n">
        <f aca="false">IF(K1535="Agency",1,0)</f>
        <v>1</v>
      </c>
      <c r="AA1535" s="13" t="n">
        <f aca="false">IF(K1535="Client",1,0)</f>
        <v>0</v>
      </c>
      <c r="AB1535" s="13" t="n">
        <f aca="false">(D1535-AVERAGE(D$2:D$2001))/STDEV(D$2:D$2001)</f>
        <v>-1.0458239551886</v>
      </c>
      <c r="AC1535" s="13" t="n">
        <f aca="false">(I1535-AVERAGE(I$2:I$2001))/STDEV(I$2:I$2001)</f>
        <v>0.686917069130275</v>
      </c>
      <c r="AD1535" s="13" t="n">
        <f aca="false">(L1535-AVERAGE(L$2:L$2001))/STDEV(L$2:L$2001)</f>
        <v>0.413838214490712</v>
      </c>
      <c r="AE1535" s="13" t="n">
        <f aca="false">(M1535-AVERAGE(M$2:M$2001))/STDEV(M$2:M$2001)</f>
        <v>1.02400775893832</v>
      </c>
      <c r="AF1535" s="13" t="n">
        <f aca="false">(N1535-AVERAGE(N$2:N$2001))/STDEV(N$2:N$2001)</f>
        <v>0.818240798168929</v>
      </c>
      <c r="AG1535" s="13" t="n">
        <f aca="false">(O1535-AVERAGE(O$2:O$2001))/STDEV(O$2:O$2001)</f>
        <v>0.685083483640148</v>
      </c>
      <c r="AH1535" s="0" t="str">
        <f aca="false">IF(B1535="Company","C3 - Corporate Buyers",IF(AND(H1535="Investment",M1535&gt;'Segmentation Summary'!$C$1),"C1 - Global Investors",IF(AND(I1535&gt;=4,M1535&gt;'Segmentation Summary'!$C$1),"C4 - Luxury Investors",IF(AND(D1535&lt;'Segmentation Summary'!$C$2,J1535=1),"C2 - First-Time Buyers","C5 - Other Individual Buyers"))))</f>
        <v>C4 - Luxury Investors</v>
      </c>
    </row>
    <row r="1536" customFormat="false" ht="15" hidden="false" customHeight="true" outlineLevel="0" collapsed="false">
      <c r="A1536" s="13" t="s">
        <v>3070</v>
      </c>
      <c r="B1536" s="13" t="s">
        <v>34</v>
      </c>
      <c r="C1536" s="13" t="s">
        <v>3069</v>
      </c>
      <c r="D1536" s="13" t="n">
        <v>71</v>
      </c>
      <c r="E1536" s="13" t="s">
        <v>90</v>
      </c>
      <c r="F1536" s="13" t="s">
        <v>33</v>
      </c>
      <c r="G1536" s="13" t="s">
        <v>157</v>
      </c>
      <c r="H1536" s="13" t="s">
        <v>41</v>
      </c>
      <c r="I1536" s="13" t="n">
        <v>4</v>
      </c>
      <c r="J1536" s="13" t="n">
        <v>1</v>
      </c>
      <c r="K1536" s="13" t="s">
        <v>91</v>
      </c>
      <c r="L1536" s="13" t="n">
        <v>4</v>
      </c>
      <c r="M1536" s="13" t="n">
        <v>1136052.54</v>
      </c>
      <c r="N1536" s="13" t="n">
        <v>284013.135</v>
      </c>
      <c r="O1536" s="13" t="n">
        <v>946.6525</v>
      </c>
      <c r="P1536" s="13" t="n">
        <v>1</v>
      </c>
      <c r="Q1536" s="13" t="n">
        <v>3</v>
      </c>
      <c r="R1536" s="13" t="s">
        <v>93</v>
      </c>
      <c r="S1536" s="13" t="s">
        <v>125</v>
      </c>
      <c r="T1536" s="13" t="n">
        <v>1</v>
      </c>
      <c r="U1536" s="13" t="n">
        <f aca="false">IF(B1536="Individual",1,0)</f>
        <v>1</v>
      </c>
      <c r="V1536" s="13" t="n">
        <f aca="false">IF(B1536="Company",1,0)</f>
        <v>0</v>
      </c>
      <c r="W1536" s="13" t="n">
        <f aca="false">IF(H1536="Home",1,0)</f>
        <v>1</v>
      </c>
      <c r="X1536" s="13" t="n">
        <f aca="false">IF(H1536="Investment",1,0)</f>
        <v>0</v>
      </c>
      <c r="Y1536" s="13" t="n">
        <f aca="false">IF(K1536="Website",1,0)</f>
        <v>0</v>
      </c>
      <c r="Z1536" s="13" t="n">
        <f aca="false">IF(K1536="Agency",1,0)</f>
        <v>1</v>
      </c>
      <c r="AA1536" s="13" t="n">
        <f aca="false">IF(K1536="Client",1,0)</f>
        <v>0</v>
      </c>
      <c r="AB1536" s="13" t="n">
        <f aca="false">(D1536-AVERAGE(D$2:D$2001))/STDEV(D$2:D$2001)</f>
        <v>0.972361986896694</v>
      </c>
      <c r="AC1536" s="13" t="n">
        <f aca="false">(I1536-AVERAGE(I$2:I$2001))/STDEV(I$2:I$2001)</f>
        <v>0.686917069130275</v>
      </c>
      <c r="AD1536" s="13" t="n">
        <f aca="false">(L1536-AVERAGE(L$2:L$2001))/STDEV(L$2:L$2001)</f>
        <v>0.413838214490712</v>
      </c>
      <c r="AE1536" s="13" t="n">
        <f aca="false">(M1536-AVERAGE(M$2:M$2001))/STDEV(M$2:M$2001)</f>
        <v>-0.357423749518081</v>
      </c>
      <c r="AF1536" s="13" t="n">
        <f aca="false">(N1536-AVERAGE(N$2:N$2001))/STDEV(N$2:N$2001)</f>
        <v>-0.904692666198722</v>
      </c>
      <c r="AG1536" s="13" t="n">
        <f aca="false">(O1536-AVERAGE(O$2:O$2001))/STDEV(O$2:O$2001)</f>
        <v>-0.913172088280619</v>
      </c>
      <c r="AH1536" s="0" t="str">
        <f aca="false">IF(B1536="Company","C3 - Corporate Buyers",IF(AND(H1536="Investment",M1536&gt;'Segmentation Summary'!$C$1),"C1 - Global Investors",IF(AND(I1536&gt;=4,M1536&gt;'Segmentation Summary'!$C$1),"C4 - Luxury Investors",IF(AND(D1536&lt;'Segmentation Summary'!$C$2,J1536=1),"C2 - First-Time Buyers","C5 - Other Individual Buyers"))))</f>
        <v>C5 - Other Individual Buyers</v>
      </c>
    </row>
    <row r="1537" customFormat="false" ht="15" hidden="false" customHeight="true" outlineLevel="0" collapsed="false">
      <c r="A1537" s="13" t="s">
        <v>3071</v>
      </c>
      <c r="B1537" s="13" t="s">
        <v>34</v>
      </c>
      <c r="C1537" s="13" t="s">
        <v>3072</v>
      </c>
      <c r="D1537" s="13" t="n">
        <v>34</v>
      </c>
      <c r="E1537" s="13" t="s">
        <v>90</v>
      </c>
      <c r="F1537" s="13" t="s">
        <v>33</v>
      </c>
      <c r="G1537" s="13" t="s">
        <v>84</v>
      </c>
      <c r="H1537" s="13" t="s">
        <v>41</v>
      </c>
      <c r="I1537" s="13" t="n">
        <v>2</v>
      </c>
      <c r="J1537" s="13" t="n">
        <v>0</v>
      </c>
      <c r="K1537" s="13" t="s">
        <v>85</v>
      </c>
      <c r="L1537" s="13" t="n">
        <v>4</v>
      </c>
      <c r="M1537" s="13" t="n">
        <v>1453139.07</v>
      </c>
      <c r="N1537" s="13" t="n">
        <v>363284.7675</v>
      </c>
      <c r="O1537" s="13" t="n">
        <v>1192.72</v>
      </c>
      <c r="P1537" s="13" t="n">
        <v>0</v>
      </c>
      <c r="Q1537" s="13" t="n">
        <v>4</v>
      </c>
      <c r="R1537" s="13" t="s">
        <v>98</v>
      </c>
      <c r="S1537" s="13" t="s">
        <v>152</v>
      </c>
      <c r="T1537" s="13" t="n">
        <v>1</v>
      </c>
      <c r="U1537" s="13" t="n">
        <f aca="false">IF(B1537="Individual",1,0)</f>
        <v>1</v>
      </c>
      <c r="V1537" s="13" t="n">
        <f aca="false">IF(B1537="Company",1,0)</f>
        <v>0</v>
      </c>
      <c r="W1537" s="13" t="n">
        <f aca="false">IF(H1537="Home",1,0)</f>
        <v>1</v>
      </c>
      <c r="X1537" s="13" t="n">
        <f aca="false">IF(H1537="Investment",1,0)</f>
        <v>0</v>
      </c>
      <c r="Y1537" s="13" t="n">
        <f aca="false">IF(K1537="Website",1,0)</f>
        <v>1</v>
      </c>
      <c r="Z1537" s="13" t="n">
        <f aca="false">IF(K1537="Agency",1,0)</f>
        <v>0</v>
      </c>
      <c r="AA1537" s="13" t="n">
        <f aca="false">IF(K1537="Client",1,0)</f>
        <v>0</v>
      </c>
      <c r="AB1537" s="13" t="n">
        <f aca="false">(D1537-AVERAGE(D$2:D$2001))/STDEV(D$2:D$2001)</f>
        <v>-1.1611488661649</v>
      </c>
      <c r="AC1537" s="13" t="n">
        <f aca="false">(I1537-AVERAGE(I$2:I$2001))/STDEV(I$2:I$2001)</f>
        <v>-0.727948160798201</v>
      </c>
      <c r="AD1537" s="13" t="n">
        <f aca="false">(L1537-AVERAGE(L$2:L$2001))/STDEV(L$2:L$2001)</f>
        <v>0.413838214490712</v>
      </c>
      <c r="AE1537" s="13" t="n">
        <f aca="false">(M1537-AVERAGE(M$2:M$2001))/STDEV(M$2:M$2001)</f>
        <v>0.554188026163869</v>
      </c>
      <c r="AF1537" s="13" t="n">
        <f aca="false">(N1537-AVERAGE(N$2:N$2001))/STDEV(N$2:N$2001)</f>
        <v>0.232277516701677</v>
      </c>
      <c r="AG1537" s="13" t="n">
        <f aca="false">(O1537-AVERAGE(O$2:O$2001))/STDEV(O$2:O$2001)</f>
        <v>0.205710257554963</v>
      </c>
      <c r="AH1537" s="0" t="str">
        <f aca="false">IF(B1537="Company","C3 - Corporate Buyers",IF(AND(H1537="Investment",M1537&gt;'Segmentation Summary'!$C$1),"C1 - Global Investors",IF(AND(I1537&gt;=4,M1537&gt;'Segmentation Summary'!$C$1),"C4 - Luxury Investors",IF(AND(D1537&lt;'Segmentation Summary'!$C$2,J1537=1),"C2 - First-Time Buyers","C5 - Other Individual Buyers"))))</f>
        <v>C5 - Other Individual Buyers</v>
      </c>
    </row>
    <row r="1538" customFormat="false" ht="15" hidden="false" customHeight="true" outlineLevel="0" collapsed="false">
      <c r="A1538" s="13" t="s">
        <v>3073</v>
      </c>
      <c r="B1538" s="13" t="s">
        <v>34</v>
      </c>
      <c r="C1538" s="13" t="s">
        <v>3074</v>
      </c>
      <c r="D1538" s="13" t="n">
        <v>82</v>
      </c>
      <c r="E1538" s="13" t="s">
        <v>90</v>
      </c>
      <c r="F1538" s="13" t="s">
        <v>33</v>
      </c>
      <c r="G1538" s="13" t="s">
        <v>100</v>
      </c>
      <c r="H1538" s="13" t="s">
        <v>41</v>
      </c>
      <c r="I1538" s="13" t="n">
        <v>5</v>
      </c>
      <c r="J1538" s="13" t="n">
        <v>0</v>
      </c>
      <c r="K1538" s="13" t="s">
        <v>91</v>
      </c>
      <c r="L1538" s="13" t="n">
        <v>3</v>
      </c>
      <c r="M1538" s="13" t="n">
        <v>993023.13</v>
      </c>
      <c r="N1538" s="13" t="n">
        <v>331007.71</v>
      </c>
      <c r="O1538" s="13" t="n">
        <v>1240.60666666667</v>
      </c>
      <c r="P1538" s="13" t="n">
        <v>1</v>
      </c>
      <c r="Q1538" s="13" t="n">
        <v>2</v>
      </c>
      <c r="R1538" s="13" t="s">
        <v>111</v>
      </c>
      <c r="S1538" s="13" t="s">
        <v>87</v>
      </c>
      <c r="T1538" s="13" t="n">
        <v>1</v>
      </c>
      <c r="U1538" s="13" t="n">
        <f aca="false">IF(B1538="Individual",1,0)</f>
        <v>1</v>
      </c>
      <c r="V1538" s="13" t="n">
        <f aca="false">IF(B1538="Company",1,0)</f>
        <v>0</v>
      </c>
      <c r="W1538" s="13" t="n">
        <f aca="false">IF(H1538="Home",1,0)</f>
        <v>1</v>
      </c>
      <c r="X1538" s="13" t="n">
        <f aca="false">IF(H1538="Investment",1,0)</f>
        <v>0</v>
      </c>
      <c r="Y1538" s="13" t="n">
        <f aca="false">IF(K1538="Website",1,0)</f>
        <v>0</v>
      </c>
      <c r="Z1538" s="13" t="n">
        <f aca="false">IF(K1538="Agency",1,0)</f>
        <v>1</v>
      </c>
      <c r="AA1538" s="13" t="n">
        <f aca="false">IF(K1538="Client",1,0)</f>
        <v>0</v>
      </c>
      <c r="AB1538" s="13" t="n">
        <f aca="false">(D1538-AVERAGE(D$2:D$2001))/STDEV(D$2:D$2001)</f>
        <v>1.60664899726636</v>
      </c>
      <c r="AC1538" s="13" t="n">
        <f aca="false">(I1538-AVERAGE(I$2:I$2001))/STDEV(I$2:I$2001)</f>
        <v>1.39434968409451</v>
      </c>
      <c r="AD1538" s="13" t="n">
        <f aca="false">(L1538-AVERAGE(L$2:L$2001))/STDEV(L$2:L$2001)</f>
        <v>-0.777063122173208</v>
      </c>
      <c r="AE1538" s="13" t="n">
        <f aca="false">(M1538-AVERAGE(M$2:M$2001))/STDEV(M$2:M$2001)</f>
        <v>-0.768627891254539</v>
      </c>
      <c r="AF1538" s="13" t="n">
        <f aca="false">(N1538-AVERAGE(N$2:N$2001))/STDEV(N$2:N$2001)</f>
        <v>-0.230663018416755</v>
      </c>
      <c r="AG1538" s="13" t="n">
        <f aca="false">(O1538-AVERAGE(O$2:O$2001))/STDEV(O$2:O$2001)</f>
        <v>0.423453543174763</v>
      </c>
      <c r="AH1538" s="0" t="str">
        <f aca="false">IF(B1538="Company","C3 - Corporate Buyers",IF(AND(H1538="Investment",M1538&gt;'Segmentation Summary'!$C$1),"C1 - Global Investors",IF(AND(I1538&gt;=4,M1538&gt;'Segmentation Summary'!$C$1),"C4 - Luxury Investors",IF(AND(D1538&lt;'Segmentation Summary'!$C$2,J1538=1),"C2 - First-Time Buyers","C5 - Other Individual Buyers"))))</f>
        <v>C5 - Other Individual Buyers</v>
      </c>
    </row>
    <row r="1539" customFormat="false" ht="15" hidden="false" customHeight="true" outlineLevel="0" collapsed="false">
      <c r="A1539" s="13" t="s">
        <v>3075</v>
      </c>
      <c r="B1539" s="13" t="s">
        <v>34</v>
      </c>
      <c r="C1539" s="13" t="s">
        <v>3076</v>
      </c>
      <c r="D1539" s="13" t="n">
        <v>57</v>
      </c>
      <c r="E1539" s="13" t="s">
        <v>90</v>
      </c>
      <c r="F1539" s="13" t="s">
        <v>44</v>
      </c>
      <c r="G1539" s="13" t="s">
        <v>1956</v>
      </c>
      <c r="H1539" s="13" t="s">
        <v>43</v>
      </c>
      <c r="I1539" s="13" t="n">
        <v>5</v>
      </c>
      <c r="J1539" s="13" t="n">
        <v>0</v>
      </c>
      <c r="K1539" s="13" t="s">
        <v>85</v>
      </c>
      <c r="L1539" s="13" t="n">
        <v>4</v>
      </c>
      <c r="M1539" s="13" t="n">
        <v>1142631.83</v>
      </c>
      <c r="N1539" s="13" t="n">
        <v>285657.9575</v>
      </c>
      <c r="O1539" s="13" t="n">
        <v>889.8725</v>
      </c>
      <c r="P1539" s="13" t="n">
        <v>0</v>
      </c>
      <c r="Q1539" s="13" t="n">
        <v>4</v>
      </c>
      <c r="R1539" s="13" t="s">
        <v>92</v>
      </c>
      <c r="S1539" s="13" t="s">
        <v>135</v>
      </c>
      <c r="T1539" s="13" t="n">
        <v>1</v>
      </c>
      <c r="U1539" s="13" t="n">
        <f aca="false">IF(B1539="Individual",1,0)</f>
        <v>1</v>
      </c>
      <c r="V1539" s="13" t="n">
        <f aca="false">IF(B1539="Company",1,0)</f>
        <v>0</v>
      </c>
      <c r="W1539" s="13" t="n">
        <f aca="false">IF(H1539="Home",1,0)</f>
        <v>0</v>
      </c>
      <c r="X1539" s="13" t="n">
        <f aca="false">IF(H1539="Investment",1,0)</f>
        <v>1</v>
      </c>
      <c r="Y1539" s="13" t="n">
        <f aca="false">IF(K1539="Website",1,0)</f>
        <v>1</v>
      </c>
      <c r="Z1539" s="13" t="n">
        <f aca="false">IF(K1539="Agency",1,0)</f>
        <v>0</v>
      </c>
      <c r="AA1539" s="13" t="n">
        <f aca="false">IF(K1539="Client",1,0)</f>
        <v>0</v>
      </c>
      <c r="AB1539" s="13" t="n">
        <f aca="false">(D1539-AVERAGE(D$2:D$2001))/STDEV(D$2:D$2001)</f>
        <v>0.165087610062577</v>
      </c>
      <c r="AC1539" s="13" t="n">
        <f aca="false">(I1539-AVERAGE(I$2:I$2001))/STDEV(I$2:I$2001)</f>
        <v>1.39434968409451</v>
      </c>
      <c r="AD1539" s="13" t="n">
        <f aca="false">(L1539-AVERAGE(L$2:L$2001))/STDEV(L$2:L$2001)</f>
        <v>0.413838214490712</v>
      </c>
      <c r="AE1539" s="13" t="n">
        <f aca="false">(M1539-AVERAGE(M$2:M$2001))/STDEV(M$2:M$2001)</f>
        <v>-0.338508539718326</v>
      </c>
      <c r="AF1539" s="13" t="n">
        <f aca="false">(N1539-AVERAGE(N$2:N$2001))/STDEV(N$2:N$2001)</f>
        <v>-0.881101451035294</v>
      </c>
      <c r="AG1539" s="13" t="n">
        <f aca="false">(O1539-AVERAGE(O$2:O$2001))/STDEV(O$2:O$2001)</f>
        <v>-1.17135384571118</v>
      </c>
      <c r="AH1539" s="0" t="str">
        <f aca="false">IF(B1539="Company","C3 - Corporate Buyers",IF(AND(H1539="Investment",M1539&gt;'Segmentation Summary'!$C$1),"C1 - Global Investors",IF(AND(I1539&gt;=4,M1539&gt;'Segmentation Summary'!$C$1),"C4 - Luxury Investors",IF(AND(D1539&lt;'Segmentation Summary'!$C$2,J1539=1),"C2 - First-Time Buyers","C5 - Other Individual Buyers"))))</f>
        <v>C5 - Other Individual Buyers</v>
      </c>
    </row>
    <row r="1540" customFormat="false" ht="15" hidden="false" customHeight="true" outlineLevel="0" collapsed="false">
      <c r="A1540" s="13" t="s">
        <v>3077</v>
      </c>
      <c r="B1540" s="13" t="s">
        <v>34</v>
      </c>
      <c r="C1540" s="13" t="s">
        <v>3078</v>
      </c>
      <c r="D1540" s="13" t="n">
        <v>25</v>
      </c>
      <c r="E1540" s="13" t="s">
        <v>90</v>
      </c>
      <c r="F1540" s="13" t="s">
        <v>33</v>
      </c>
      <c r="G1540" s="13" t="s">
        <v>95</v>
      </c>
      <c r="H1540" s="13" t="s">
        <v>43</v>
      </c>
      <c r="I1540" s="13" t="n">
        <v>5</v>
      </c>
      <c r="J1540" s="13" t="n">
        <v>0</v>
      </c>
      <c r="K1540" s="13" t="s">
        <v>85</v>
      </c>
      <c r="L1540" s="13" t="n">
        <v>3</v>
      </c>
      <c r="M1540" s="13" t="n">
        <v>1110557.49</v>
      </c>
      <c r="N1540" s="13" t="n">
        <v>370185.83</v>
      </c>
      <c r="O1540" s="13" t="n">
        <v>1221.67666666667</v>
      </c>
      <c r="P1540" s="13" t="n">
        <v>0</v>
      </c>
      <c r="Q1540" s="13" t="n">
        <v>3</v>
      </c>
      <c r="R1540" s="13" t="s">
        <v>92</v>
      </c>
      <c r="S1540" s="13" t="s">
        <v>103</v>
      </c>
      <c r="T1540" s="13" t="n">
        <v>1</v>
      </c>
      <c r="U1540" s="13" t="n">
        <f aca="false">IF(B1540="Individual",1,0)</f>
        <v>1</v>
      </c>
      <c r="V1540" s="13" t="n">
        <f aca="false">IF(B1540="Company",1,0)</f>
        <v>0</v>
      </c>
      <c r="W1540" s="13" t="n">
        <f aca="false">IF(H1540="Home",1,0)</f>
        <v>0</v>
      </c>
      <c r="X1540" s="13" t="n">
        <f aca="false">IF(H1540="Investment",1,0)</f>
        <v>1</v>
      </c>
      <c r="Y1540" s="13" t="n">
        <f aca="false">IF(K1540="Website",1,0)</f>
        <v>1</v>
      </c>
      <c r="Z1540" s="13" t="n">
        <f aca="false">IF(K1540="Agency",1,0)</f>
        <v>0</v>
      </c>
      <c r="AA1540" s="13" t="n">
        <f aca="false">IF(K1540="Client",1,0)</f>
        <v>0</v>
      </c>
      <c r="AB1540" s="13" t="n">
        <f aca="false">(D1540-AVERAGE(D$2:D$2001))/STDEV(D$2:D$2001)</f>
        <v>-1.68011096555826</v>
      </c>
      <c r="AC1540" s="13" t="n">
        <f aca="false">(I1540-AVERAGE(I$2:I$2001))/STDEV(I$2:I$2001)</f>
        <v>1.39434968409451</v>
      </c>
      <c r="AD1540" s="13" t="n">
        <f aca="false">(L1540-AVERAGE(L$2:L$2001))/STDEV(L$2:L$2001)</f>
        <v>-0.777063122173208</v>
      </c>
      <c r="AE1540" s="13" t="n">
        <f aca="false">(M1540-AVERAGE(M$2:M$2001))/STDEV(M$2:M$2001)</f>
        <v>-0.430721053574485</v>
      </c>
      <c r="AF1540" s="13" t="n">
        <f aca="false">(N1540-AVERAGE(N$2:N$2001))/STDEV(N$2:N$2001)</f>
        <v>0.331257467604443</v>
      </c>
      <c r="AG1540" s="13" t="n">
        <f aca="false">(O1540-AVERAGE(O$2:O$2001))/STDEV(O$2:O$2001)</f>
        <v>0.337377800516072</v>
      </c>
      <c r="AH1540" s="0" t="str">
        <f aca="false">IF(B1540="Company","C3 - Corporate Buyers",IF(AND(H1540="Investment",M1540&gt;'Segmentation Summary'!$C$1),"C1 - Global Investors",IF(AND(I1540&gt;=4,M1540&gt;'Segmentation Summary'!$C$1),"C4 - Luxury Investors",IF(AND(D1540&lt;'Segmentation Summary'!$C$2,J1540=1),"C2 - First-Time Buyers","C5 - Other Individual Buyers"))))</f>
        <v>C5 - Other Individual Buyers</v>
      </c>
    </row>
    <row r="1541" customFormat="false" ht="15" hidden="false" customHeight="true" outlineLevel="0" collapsed="false">
      <c r="A1541" s="13" t="s">
        <v>3079</v>
      </c>
      <c r="B1541" s="13" t="s">
        <v>34</v>
      </c>
      <c r="C1541" s="13" t="s">
        <v>3080</v>
      </c>
      <c r="D1541" s="13" t="n">
        <v>36</v>
      </c>
      <c r="E1541" s="13" t="s">
        <v>90</v>
      </c>
      <c r="F1541" s="13" t="s">
        <v>33</v>
      </c>
      <c r="G1541" s="13" t="s">
        <v>110</v>
      </c>
      <c r="H1541" s="13" t="s">
        <v>41</v>
      </c>
      <c r="I1541" s="13" t="n">
        <v>2</v>
      </c>
      <c r="J1541" s="13" t="n">
        <v>1</v>
      </c>
      <c r="K1541" s="13" t="s">
        <v>91</v>
      </c>
      <c r="L1541" s="13" t="n">
        <v>4</v>
      </c>
      <c r="M1541" s="13" t="n">
        <v>1258765.46</v>
      </c>
      <c r="N1541" s="13" t="n">
        <v>314691.365</v>
      </c>
      <c r="O1541" s="13" t="n">
        <v>1011.5875</v>
      </c>
      <c r="P1541" s="13" t="n">
        <v>1</v>
      </c>
      <c r="Q1541" s="13" t="n">
        <v>3</v>
      </c>
      <c r="R1541" s="13" t="s">
        <v>86</v>
      </c>
      <c r="S1541" s="13" t="s">
        <v>87</v>
      </c>
      <c r="T1541" s="13" t="n">
        <v>1</v>
      </c>
      <c r="U1541" s="13" t="n">
        <f aca="false">IF(B1541="Individual",1,0)</f>
        <v>1</v>
      </c>
      <c r="V1541" s="13" t="n">
        <f aca="false">IF(B1541="Company",1,0)</f>
        <v>0</v>
      </c>
      <c r="W1541" s="13" t="n">
        <f aca="false">IF(H1541="Home",1,0)</f>
        <v>1</v>
      </c>
      <c r="X1541" s="13" t="n">
        <f aca="false">IF(H1541="Investment",1,0)</f>
        <v>0</v>
      </c>
      <c r="Y1541" s="13" t="n">
        <f aca="false">IF(K1541="Website",1,0)</f>
        <v>0</v>
      </c>
      <c r="Z1541" s="13" t="n">
        <f aca="false">IF(K1541="Agency",1,0)</f>
        <v>1</v>
      </c>
      <c r="AA1541" s="13" t="n">
        <f aca="false">IF(K1541="Client",1,0)</f>
        <v>0</v>
      </c>
      <c r="AB1541" s="13" t="n">
        <f aca="false">(D1541-AVERAGE(D$2:D$2001))/STDEV(D$2:D$2001)</f>
        <v>-1.0458239551886</v>
      </c>
      <c r="AC1541" s="13" t="n">
        <f aca="false">(I1541-AVERAGE(I$2:I$2001))/STDEV(I$2:I$2001)</f>
        <v>-0.727948160798201</v>
      </c>
      <c r="AD1541" s="13" t="n">
        <f aca="false">(L1541-AVERAGE(L$2:L$2001))/STDEV(L$2:L$2001)</f>
        <v>0.413838214490712</v>
      </c>
      <c r="AE1541" s="13" t="n">
        <f aca="false">(M1541-AVERAGE(M$2:M$2001))/STDEV(M$2:M$2001)</f>
        <v>-0.00462874778679678</v>
      </c>
      <c r="AF1541" s="13" t="n">
        <f aca="false">(N1541-AVERAGE(N$2:N$2001))/STDEV(N$2:N$2001)</f>
        <v>-0.464683653212135</v>
      </c>
      <c r="AG1541" s="13" t="n">
        <f aca="false">(O1541-AVERAGE(O$2:O$2001))/STDEV(O$2:O$2001)</f>
        <v>-0.617909100983095</v>
      </c>
      <c r="AH1541" s="0" t="str">
        <f aca="false">IF(B1541="Company","C3 - Corporate Buyers",IF(AND(H1541="Investment",M1541&gt;'Segmentation Summary'!$C$1),"C1 - Global Investors",IF(AND(I1541&gt;=4,M1541&gt;'Segmentation Summary'!$C$1),"C4 - Luxury Investors",IF(AND(D1541&lt;'Segmentation Summary'!$C$2,J1541=1),"C2 - First-Time Buyers","C5 - Other Individual Buyers"))))</f>
        <v>C2 - First-Time Buyers</v>
      </c>
    </row>
    <row r="1542" customFormat="false" ht="15" hidden="false" customHeight="true" outlineLevel="0" collapsed="false">
      <c r="A1542" s="13" t="s">
        <v>3081</v>
      </c>
      <c r="B1542" s="13" t="s">
        <v>34</v>
      </c>
      <c r="C1542" s="13" t="s">
        <v>3082</v>
      </c>
      <c r="D1542" s="13" t="n">
        <v>82</v>
      </c>
      <c r="E1542" s="13" t="s">
        <v>90</v>
      </c>
      <c r="F1542" s="13" t="s">
        <v>33</v>
      </c>
      <c r="G1542" s="13" t="s">
        <v>97</v>
      </c>
      <c r="H1542" s="13" t="s">
        <v>41</v>
      </c>
      <c r="I1542" s="13" t="n">
        <v>4</v>
      </c>
      <c r="J1542" s="13" t="n">
        <v>0</v>
      </c>
      <c r="K1542" s="13" t="s">
        <v>91</v>
      </c>
      <c r="L1542" s="13" t="n">
        <v>3</v>
      </c>
      <c r="M1542" s="13" t="n">
        <v>1130778.86</v>
      </c>
      <c r="N1542" s="13" t="n">
        <v>376926.286666667</v>
      </c>
      <c r="O1542" s="13" t="n">
        <v>1194.92666666667</v>
      </c>
      <c r="P1542" s="13" t="n">
        <v>1</v>
      </c>
      <c r="Q1542" s="13" t="n">
        <v>2</v>
      </c>
      <c r="R1542" s="13" t="s">
        <v>117</v>
      </c>
      <c r="S1542" s="13" t="s">
        <v>93</v>
      </c>
      <c r="T1542" s="13" t="n">
        <v>1</v>
      </c>
      <c r="U1542" s="13" t="n">
        <f aca="false">IF(B1542="Individual",1,0)</f>
        <v>1</v>
      </c>
      <c r="V1542" s="13" t="n">
        <f aca="false">IF(B1542="Company",1,0)</f>
        <v>0</v>
      </c>
      <c r="W1542" s="13" t="n">
        <f aca="false">IF(H1542="Home",1,0)</f>
        <v>1</v>
      </c>
      <c r="X1542" s="13" t="n">
        <f aca="false">IF(H1542="Investment",1,0)</f>
        <v>0</v>
      </c>
      <c r="Y1542" s="13" t="n">
        <f aca="false">IF(K1542="Website",1,0)</f>
        <v>0</v>
      </c>
      <c r="Z1542" s="13" t="n">
        <f aca="false">IF(K1542="Agency",1,0)</f>
        <v>1</v>
      </c>
      <c r="AA1542" s="13" t="n">
        <f aca="false">IF(K1542="Client",1,0)</f>
        <v>0</v>
      </c>
      <c r="AB1542" s="13" t="n">
        <f aca="false">(D1542-AVERAGE(D$2:D$2001))/STDEV(D$2:D$2001)</f>
        <v>1.60664899726636</v>
      </c>
      <c r="AC1542" s="13" t="n">
        <f aca="false">(I1542-AVERAGE(I$2:I$2001))/STDEV(I$2:I$2001)</f>
        <v>0.686917069130275</v>
      </c>
      <c r="AD1542" s="13" t="n">
        <f aca="false">(L1542-AVERAGE(L$2:L$2001))/STDEV(L$2:L$2001)</f>
        <v>-0.777063122173208</v>
      </c>
      <c r="AE1542" s="13" t="n">
        <f aca="false">(M1542-AVERAGE(M$2:M$2001))/STDEV(M$2:M$2001)</f>
        <v>-0.372585379970117</v>
      </c>
      <c r="AF1542" s="13" t="n">
        <f aca="false">(N1542-AVERAGE(N$2:N$2001))/STDEV(N$2:N$2001)</f>
        <v>0.427933895318134</v>
      </c>
      <c r="AG1542" s="13" t="n">
        <f aca="false">(O1542-AVERAGE(O$2:O$2001))/STDEV(O$2:O$2001)</f>
        <v>0.215744091265147</v>
      </c>
      <c r="AH1542" s="0" t="str">
        <f aca="false">IF(B1542="Company","C3 - Corporate Buyers",IF(AND(H1542="Investment",M1542&gt;'Segmentation Summary'!$C$1),"C1 - Global Investors",IF(AND(I1542&gt;=4,M1542&gt;'Segmentation Summary'!$C$1),"C4 - Luxury Investors",IF(AND(D1542&lt;'Segmentation Summary'!$C$2,J1542=1),"C2 - First-Time Buyers","C5 - Other Individual Buyers"))))</f>
        <v>C5 - Other Individual Buyers</v>
      </c>
    </row>
    <row r="1543" customFormat="false" ht="15" hidden="false" customHeight="true" outlineLevel="0" collapsed="false">
      <c r="A1543" s="13" t="s">
        <v>3083</v>
      </c>
      <c r="B1543" s="13" t="s">
        <v>34</v>
      </c>
      <c r="C1543" s="13" t="s">
        <v>3084</v>
      </c>
      <c r="D1543" s="13" t="n">
        <v>66</v>
      </c>
      <c r="E1543" s="13" t="s">
        <v>90</v>
      </c>
      <c r="F1543" s="13" t="s">
        <v>33</v>
      </c>
      <c r="G1543" s="13" t="s">
        <v>123</v>
      </c>
      <c r="H1543" s="13" t="s">
        <v>41</v>
      </c>
      <c r="I1543" s="13" t="n">
        <v>4</v>
      </c>
      <c r="J1543" s="13" t="n">
        <v>0</v>
      </c>
      <c r="K1543" s="13" t="s">
        <v>91</v>
      </c>
      <c r="L1543" s="13" t="n">
        <v>3</v>
      </c>
      <c r="M1543" s="13" t="n">
        <v>675607.79</v>
      </c>
      <c r="N1543" s="13" t="n">
        <v>225202.596666667</v>
      </c>
      <c r="O1543" s="13" t="n">
        <v>753.313333333333</v>
      </c>
      <c r="P1543" s="13" t="n">
        <v>1</v>
      </c>
      <c r="Q1543" s="13" t="n">
        <v>2</v>
      </c>
      <c r="R1543" s="13" t="s">
        <v>92</v>
      </c>
      <c r="S1543" s="13" t="s">
        <v>154</v>
      </c>
      <c r="T1543" s="13" t="n">
        <v>1</v>
      </c>
      <c r="U1543" s="13" t="n">
        <f aca="false">IF(B1543="Individual",1,0)</f>
        <v>1</v>
      </c>
      <c r="V1543" s="13" t="n">
        <f aca="false">IF(B1543="Company",1,0)</f>
        <v>0</v>
      </c>
      <c r="W1543" s="13" t="n">
        <f aca="false">IF(H1543="Home",1,0)</f>
        <v>1</v>
      </c>
      <c r="X1543" s="13" t="n">
        <f aca="false">IF(H1543="Investment",1,0)</f>
        <v>0</v>
      </c>
      <c r="Y1543" s="13" t="n">
        <f aca="false">IF(K1543="Website",1,0)</f>
        <v>0</v>
      </c>
      <c r="Z1543" s="13" t="n">
        <f aca="false">IF(K1543="Agency",1,0)</f>
        <v>1</v>
      </c>
      <c r="AA1543" s="13" t="n">
        <f aca="false">IF(K1543="Client",1,0)</f>
        <v>0</v>
      </c>
      <c r="AB1543" s="13" t="n">
        <f aca="false">(D1543-AVERAGE(D$2:D$2001))/STDEV(D$2:D$2001)</f>
        <v>0.684049709455938</v>
      </c>
      <c r="AC1543" s="13" t="n">
        <f aca="false">(I1543-AVERAGE(I$2:I$2001))/STDEV(I$2:I$2001)</f>
        <v>0.686917069130275</v>
      </c>
      <c r="AD1543" s="13" t="n">
        <f aca="false">(L1543-AVERAGE(L$2:L$2001))/STDEV(L$2:L$2001)</f>
        <v>-0.777063122173208</v>
      </c>
      <c r="AE1543" s="13" t="n">
        <f aca="false">(M1543-AVERAGE(M$2:M$2001))/STDEV(M$2:M$2001)</f>
        <v>-1.68118498324482</v>
      </c>
      <c r="AF1543" s="13" t="n">
        <f aca="false">(N1543-AVERAGE(N$2:N$2001))/STDEV(N$2:N$2001)</f>
        <v>-1.74819527131185</v>
      </c>
      <c r="AG1543" s="13" t="n">
        <f aca="false">(O1543-AVERAGE(O$2:O$2001))/STDEV(O$2:O$2001)</f>
        <v>-1.79229582604321</v>
      </c>
      <c r="AH1543" s="0" t="str">
        <f aca="false">IF(B1543="Company","C3 - Corporate Buyers",IF(AND(H1543="Investment",M1543&gt;'Segmentation Summary'!$C$1),"C1 - Global Investors",IF(AND(I1543&gt;=4,M1543&gt;'Segmentation Summary'!$C$1),"C4 - Luxury Investors",IF(AND(D1543&lt;'Segmentation Summary'!$C$2,J1543=1),"C2 - First-Time Buyers","C5 - Other Individual Buyers"))))</f>
        <v>C5 - Other Individual Buyers</v>
      </c>
    </row>
    <row r="1544" customFormat="false" ht="15" hidden="false" customHeight="true" outlineLevel="0" collapsed="false">
      <c r="A1544" s="13" t="s">
        <v>3085</v>
      </c>
      <c r="B1544" s="13" t="s">
        <v>34</v>
      </c>
      <c r="C1544" s="13" t="s">
        <v>3086</v>
      </c>
      <c r="D1544" s="13" t="n">
        <v>30</v>
      </c>
      <c r="E1544" s="13" t="s">
        <v>90</v>
      </c>
      <c r="F1544" s="13" t="s">
        <v>33</v>
      </c>
      <c r="G1544" s="13" t="s">
        <v>157</v>
      </c>
      <c r="H1544" s="13" t="s">
        <v>43</v>
      </c>
      <c r="I1544" s="13" t="n">
        <v>3</v>
      </c>
      <c r="J1544" s="13" t="n">
        <v>1</v>
      </c>
      <c r="K1544" s="13" t="s">
        <v>85</v>
      </c>
      <c r="L1544" s="13" t="n">
        <v>3</v>
      </c>
      <c r="M1544" s="13" t="n">
        <v>1257875.21</v>
      </c>
      <c r="N1544" s="13" t="n">
        <v>419291.736666667</v>
      </c>
      <c r="O1544" s="13" t="n">
        <v>1454.41</v>
      </c>
      <c r="P1544" s="13" t="n">
        <v>0</v>
      </c>
      <c r="Q1544" s="13" t="n">
        <v>3</v>
      </c>
      <c r="R1544" s="13" t="s">
        <v>128</v>
      </c>
      <c r="S1544" s="13" t="s">
        <v>152</v>
      </c>
      <c r="T1544" s="13" t="n">
        <v>1</v>
      </c>
      <c r="U1544" s="13" t="n">
        <f aca="false">IF(B1544="Individual",1,0)</f>
        <v>1</v>
      </c>
      <c r="V1544" s="13" t="n">
        <f aca="false">IF(B1544="Company",1,0)</f>
        <v>0</v>
      </c>
      <c r="W1544" s="13" t="n">
        <f aca="false">IF(H1544="Home",1,0)</f>
        <v>0</v>
      </c>
      <c r="X1544" s="13" t="n">
        <f aca="false">IF(H1544="Investment",1,0)</f>
        <v>1</v>
      </c>
      <c r="Y1544" s="13" t="n">
        <f aca="false">IF(K1544="Website",1,0)</f>
        <v>1</v>
      </c>
      <c r="Z1544" s="13" t="n">
        <f aca="false">IF(K1544="Agency",1,0)</f>
        <v>0</v>
      </c>
      <c r="AA1544" s="13" t="n">
        <f aca="false">IF(K1544="Client",1,0)</f>
        <v>0</v>
      </c>
      <c r="AB1544" s="13" t="n">
        <f aca="false">(D1544-AVERAGE(D$2:D$2001))/STDEV(D$2:D$2001)</f>
        <v>-1.39179868811751</v>
      </c>
      <c r="AC1544" s="13" t="n">
        <f aca="false">(I1544-AVERAGE(I$2:I$2001))/STDEV(I$2:I$2001)</f>
        <v>-0.0205155458339628</v>
      </c>
      <c r="AD1544" s="13" t="n">
        <f aca="false">(L1544-AVERAGE(L$2:L$2001))/STDEV(L$2:L$2001)</f>
        <v>-0.777063122173208</v>
      </c>
      <c r="AE1544" s="13" t="n">
        <f aca="false">(M1544-AVERAGE(M$2:M$2001))/STDEV(M$2:M$2001)</f>
        <v>-0.00718818285110196</v>
      </c>
      <c r="AF1544" s="13" t="n">
        <f aca="false">(N1544-AVERAGE(N$2:N$2001))/STDEV(N$2:N$2001)</f>
        <v>1.03556933710316</v>
      </c>
      <c r="AG1544" s="13" t="n">
        <f aca="false">(O1544-AVERAGE(O$2:O$2001))/STDEV(O$2:O$2001)</f>
        <v>1.39562896312036</v>
      </c>
      <c r="AH1544" s="0" t="str">
        <f aca="false">IF(B1544="Company","C3 - Corporate Buyers",IF(AND(H1544="Investment",M1544&gt;'Segmentation Summary'!$C$1),"C1 - Global Investors",IF(AND(I1544&gt;=4,M1544&gt;'Segmentation Summary'!$C$1),"C4 - Luxury Investors",IF(AND(D1544&lt;'Segmentation Summary'!$C$2,J1544=1),"C2 - First-Time Buyers","C5 - Other Individual Buyers"))))</f>
        <v>C1 - Global Investors</v>
      </c>
    </row>
    <row r="1545" customFormat="false" ht="15" hidden="false" customHeight="true" outlineLevel="0" collapsed="false">
      <c r="A1545" s="13" t="s">
        <v>3087</v>
      </c>
      <c r="B1545" s="13" t="s">
        <v>34</v>
      </c>
      <c r="C1545" s="13" t="s">
        <v>3088</v>
      </c>
      <c r="D1545" s="13" t="n">
        <v>65</v>
      </c>
      <c r="E1545" s="13" t="s">
        <v>90</v>
      </c>
      <c r="F1545" s="13" t="s">
        <v>37</v>
      </c>
      <c r="G1545" s="13" t="s">
        <v>169</v>
      </c>
      <c r="H1545" s="13" t="s">
        <v>43</v>
      </c>
      <c r="I1545" s="13" t="n">
        <v>4</v>
      </c>
      <c r="J1545" s="13" t="n">
        <v>1</v>
      </c>
      <c r="K1545" s="13" t="s">
        <v>91</v>
      </c>
      <c r="L1545" s="13" t="n">
        <v>3</v>
      </c>
      <c r="M1545" s="13" t="n">
        <v>739211.6</v>
      </c>
      <c r="N1545" s="13" t="n">
        <v>246403.866666667</v>
      </c>
      <c r="O1545" s="13" t="n">
        <v>849.746666666667</v>
      </c>
      <c r="P1545" s="13" t="n">
        <v>0</v>
      </c>
      <c r="Q1545" s="13" t="n">
        <v>3</v>
      </c>
      <c r="R1545" s="13" t="s">
        <v>86</v>
      </c>
      <c r="S1545" s="13" t="s">
        <v>107</v>
      </c>
      <c r="T1545" s="13" t="n">
        <v>1</v>
      </c>
      <c r="U1545" s="13" t="n">
        <f aca="false">IF(B1545="Individual",1,0)</f>
        <v>1</v>
      </c>
      <c r="V1545" s="13" t="n">
        <f aca="false">IF(B1545="Company",1,0)</f>
        <v>0</v>
      </c>
      <c r="W1545" s="13" t="n">
        <f aca="false">IF(H1545="Home",1,0)</f>
        <v>0</v>
      </c>
      <c r="X1545" s="13" t="n">
        <f aca="false">IF(H1545="Investment",1,0)</f>
        <v>1</v>
      </c>
      <c r="Y1545" s="13" t="n">
        <f aca="false">IF(K1545="Website",1,0)</f>
        <v>0</v>
      </c>
      <c r="Z1545" s="13" t="n">
        <f aca="false">IF(K1545="Agency",1,0)</f>
        <v>1</v>
      </c>
      <c r="AA1545" s="13" t="n">
        <f aca="false">IF(K1545="Client",1,0)</f>
        <v>0</v>
      </c>
      <c r="AB1545" s="13" t="n">
        <f aca="false">(D1545-AVERAGE(D$2:D$2001))/STDEV(D$2:D$2001)</f>
        <v>0.626387253967787</v>
      </c>
      <c r="AC1545" s="13" t="n">
        <f aca="false">(I1545-AVERAGE(I$2:I$2001))/STDEV(I$2:I$2001)</f>
        <v>0.686917069130275</v>
      </c>
      <c r="AD1545" s="13" t="n">
        <f aca="false">(L1545-AVERAGE(L$2:L$2001))/STDEV(L$2:L$2001)</f>
        <v>-0.777063122173208</v>
      </c>
      <c r="AE1545" s="13" t="n">
        <f aca="false">(M1545-AVERAGE(M$2:M$2001))/STDEV(M$2:M$2001)</f>
        <v>-1.49832643616546</v>
      </c>
      <c r="AF1545" s="13" t="n">
        <f aca="false">(N1545-AVERAGE(N$2:N$2001))/STDEV(N$2:N$2001)</f>
        <v>-1.44411156482806</v>
      </c>
      <c r="AG1545" s="13" t="n">
        <f aca="false">(O1545-AVERAGE(O$2:O$2001))/STDEV(O$2:O$2001)</f>
        <v>-1.35380819879969</v>
      </c>
      <c r="AH1545" s="0" t="str">
        <f aca="false">IF(B1545="Company","C3 - Corporate Buyers",IF(AND(H1545="Investment",M1545&gt;'Segmentation Summary'!$C$1),"C1 - Global Investors",IF(AND(I1545&gt;=4,M1545&gt;'Segmentation Summary'!$C$1),"C4 - Luxury Investors",IF(AND(D1545&lt;'Segmentation Summary'!$C$2,J1545=1),"C2 - First-Time Buyers","C5 - Other Individual Buyers"))))</f>
        <v>C5 - Other Individual Buyers</v>
      </c>
    </row>
    <row r="1546" customFormat="false" ht="15" hidden="false" customHeight="true" outlineLevel="0" collapsed="false">
      <c r="A1546" s="13" t="s">
        <v>3089</v>
      </c>
      <c r="B1546" s="13" t="s">
        <v>34</v>
      </c>
      <c r="C1546" s="13" t="s">
        <v>3090</v>
      </c>
      <c r="D1546" s="13" t="n">
        <v>36</v>
      </c>
      <c r="E1546" s="13" t="s">
        <v>90</v>
      </c>
      <c r="F1546" s="13" t="s">
        <v>33</v>
      </c>
      <c r="G1546" s="13" t="s">
        <v>207</v>
      </c>
      <c r="H1546" s="13" t="s">
        <v>43</v>
      </c>
      <c r="I1546" s="13" t="n">
        <v>5</v>
      </c>
      <c r="J1546" s="13" t="n">
        <v>1</v>
      </c>
      <c r="K1546" s="13" t="s">
        <v>85</v>
      </c>
      <c r="L1546" s="13" t="n">
        <v>3</v>
      </c>
      <c r="M1546" s="13" t="n">
        <v>1315820.94</v>
      </c>
      <c r="N1546" s="13" t="n">
        <v>438606.98</v>
      </c>
      <c r="O1546" s="13" t="n">
        <v>1354.29333333333</v>
      </c>
      <c r="P1546" s="13" t="n">
        <v>1</v>
      </c>
      <c r="Q1546" s="13" t="n">
        <v>2</v>
      </c>
      <c r="R1546" s="13" t="s">
        <v>98</v>
      </c>
      <c r="S1546" s="13" t="s">
        <v>93</v>
      </c>
      <c r="T1546" s="13" t="n">
        <v>1</v>
      </c>
      <c r="U1546" s="13" t="n">
        <f aca="false">IF(B1546="Individual",1,0)</f>
        <v>1</v>
      </c>
      <c r="V1546" s="13" t="n">
        <f aca="false">IF(B1546="Company",1,0)</f>
        <v>0</v>
      </c>
      <c r="W1546" s="13" t="n">
        <f aca="false">IF(H1546="Home",1,0)</f>
        <v>0</v>
      </c>
      <c r="X1546" s="13" t="n">
        <f aca="false">IF(H1546="Investment",1,0)</f>
        <v>1</v>
      </c>
      <c r="Y1546" s="13" t="n">
        <f aca="false">IF(K1546="Website",1,0)</f>
        <v>1</v>
      </c>
      <c r="Z1546" s="13" t="n">
        <f aca="false">IF(K1546="Agency",1,0)</f>
        <v>0</v>
      </c>
      <c r="AA1546" s="13" t="n">
        <f aca="false">IF(K1546="Client",1,0)</f>
        <v>0</v>
      </c>
      <c r="AB1546" s="13" t="n">
        <f aca="false">(D1546-AVERAGE(D$2:D$2001))/STDEV(D$2:D$2001)</f>
        <v>-1.0458239551886</v>
      </c>
      <c r="AC1546" s="13" t="n">
        <f aca="false">(I1546-AVERAGE(I$2:I$2001))/STDEV(I$2:I$2001)</f>
        <v>1.39434968409451</v>
      </c>
      <c r="AD1546" s="13" t="n">
        <f aca="false">(L1546-AVERAGE(L$2:L$2001))/STDEV(L$2:L$2001)</f>
        <v>-0.777063122173208</v>
      </c>
      <c r="AE1546" s="13" t="n">
        <f aca="false">(M1546-AVERAGE(M$2:M$2001))/STDEV(M$2:M$2001)</f>
        <v>0.159403598321333</v>
      </c>
      <c r="AF1546" s="13" t="n">
        <f aca="false">(N1546-AVERAGE(N$2:N$2001))/STDEV(N$2:N$2001)</f>
        <v>1.31260230656377</v>
      </c>
      <c r="AG1546" s="13" t="n">
        <f aca="false">(O1546-AVERAGE(O$2:O$2001))/STDEV(O$2:O$2001)</f>
        <v>0.940393018279036</v>
      </c>
      <c r="AH1546" s="0" t="str">
        <f aca="false">IF(B1546="Company","C3 - Corporate Buyers",IF(AND(H1546="Investment",M1546&gt;'Segmentation Summary'!$C$1),"C1 - Global Investors",IF(AND(I1546&gt;=4,M1546&gt;'Segmentation Summary'!$C$1),"C4 - Luxury Investors",IF(AND(D1546&lt;'Segmentation Summary'!$C$2,J1546=1),"C2 - First-Time Buyers","C5 - Other Individual Buyers"))))</f>
        <v>C1 - Global Investors</v>
      </c>
    </row>
    <row r="1547" customFormat="false" ht="15" hidden="false" customHeight="true" outlineLevel="0" collapsed="false">
      <c r="A1547" s="13" t="s">
        <v>3091</v>
      </c>
      <c r="B1547" s="13" t="s">
        <v>34</v>
      </c>
      <c r="C1547" s="13" t="s">
        <v>3092</v>
      </c>
      <c r="D1547" s="13" t="n">
        <v>32</v>
      </c>
      <c r="E1547" s="13" t="s">
        <v>83</v>
      </c>
      <c r="F1547" s="13" t="s">
        <v>33</v>
      </c>
      <c r="G1547" s="13" t="s">
        <v>95</v>
      </c>
      <c r="H1547" s="13" t="s">
        <v>41</v>
      </c>
      <c r="I1547" s="13" t="n">
        <v>2</v>
      </c>
      <c r="J1547" s="13" t="n">
        <v>1</v>
      </c>
      <c r="K1547" s="13" t="s">
        <v>91</v>
      </c>
      <c r="L1547" s="13" t="n">
        <v>4</v>
      </c>
      <c r="M1547" s="13" t="n">
        <v>1296911.85</v>
      </c>
      <c r="N1547" s="13" t="n">
        <v>324227.9625</v>
      </c>
      <c r="O1547" s="13" t="n">
        <v>1040.5175</v>
      </c>
      <c r="P1547" s="13" t="n">
        <v>1</v>
      </c>
      <c r="Q1547" s="13" t="n">
        <v>3</v>
      </c>
      <c r="R1547" s="13" t="s">
        <v>128</v>
      </c>
      <c r="S1547" s="13" t="s">
        <v>152</v>
      </c>
      <c r="T1547" s="13" t="n">
        <v>1</v>
      </c>
      <c r="U1547" s="13" t="n">
        <f aca="false">IF(B1547="Individual",1,0)</f>
        <v>1</v>
      </c>
      <c r="V1547" s="13" t="n">
        <f aca="false">IF(B1547="Company",1,0)</f>
        <v>0</v>
      </c>
      <c r="W1547" s="13" t="n">
        <f aca="false">IF(H1547="Home",1,0)</f>
        <v>1</v>
      </c>
      <c r="X1547" s="13" t="n">
        <f aca="false">IF(H1547="Investment",1,0)</f>
        <v>0</v>
      </c>
      <c r="Y1547" s="13" t="n">
        <f aca="false">IF(K1547="Website",1,0)</f>
        <v>0</v>
      </c>
      <c r="Z1547" s="13" t="n">
        <f aca="false">IF(K1547="Agency",1,0)</f>
        <v>1</v>
      </c>
      <c r="AA1547" s="13" t="n">
        <f aca="false">IF(K1547="Client",1,0)</f>
        <v>0</v>
      </c>
      <c r="AB1547" s="13" t="n">
        <f aca="false">(D1547-AVERAGE(D$2:D$2001))/STDEV(D$2:D$2001)</f>
        <v>-1.2764737771412</v>
      </c>
      <c r="AC1547" s="13" t="n">
        <f aca="false">(I1547-AVERAGE(I$2:I$2001))/STDEV(I$2:I$2001)</f>
        <v>-0.727948160798201</v>
      </c>
      <c r="AD1547" s="13" t="n">
        <f aca="false">(L1547-AVERAGE(L$2:L$2001))/STDEV(L$2:L$2001)</f>
        <v>0.413838214490712</v>
      </c>
      <c r="AE1547" s="13" t="n">
        <f aca="false">(M1547-AVERAGE(M$2:M$2001))/STDEV(M$2:M$2001)</f>
        <v>0.105040680062303</v>
      </c>
      <c r="AF1547" s="13" t="n">
        <f aca="false">(N1547-AVERAGE(N$2:N$2001))/STDEV(N$2:N$2001)</f>
        <v>-0.327902983231325</v>
      </c>
      <c r="AG1547" s="13" t="n">
        <f aca="false">(O1547-AVERAGE(O$2:O$2001))/STDEV(O$2:O$2001)</f>
        <v>-0.48636281281004</v>
      </c>
      <c r="AH1547" s="0" t="str">
        <f aca="false">IF(B1547="Company","C3 - Corporate Buyers",IF(AND(H1547="Investment",M1547&gt;'Segmentation Summary'!$C$1),"C1 - Global Investors",IF(AND(I1547&gt;=4,M1547&gt;'Segmentation Summary'!$C$1),"C4 - Luxury Investors",IF(AND(D1547&lt;'Segmentation Summary'!$C$2,J1547=1),"C2 - First-Time Buyers","C5 - Other Individual Buyers"))))</f>
        <v>C2 - First-Time Buyers</v>
      </c>
    </row>
    <row r="1548" customFormat="false" ht="15" hidden="false" customHeight="true" outlineLevel="0" collapsed="false">
      <c r="A1548" s="13" t="s">
        <v>3093</v>
      </c>
      <c r="B1548" s="13" t="s">
        <v>34</v>
      </c>
      <c r="C1548" s="13" t="s">
        <v>3094</v>
      </c>
      <c r="D1548" s="13" t="n">
        <v>28</v>
      </c>
      <c r="E1548" s="13" t="s">
        <v>83</v>
      </c>
      <c r="F1548" s="13" t="s">
        <v>35</v>
      </c>
      <c r="G1548" s="13" t="s">
        <v>137</v>
      </c>
      <c r="H1548" s="13" t="s">
        <v>41</v>
      </c>
      <c r="I1548" s="13" t="n">
        <v>1</v>
      </c>
      <c r="J1548" s="13" t="n">
        <v>0</v>
      </c>
      <c r="K1548" s="13" t="s">
        <v>91</v>
      </c>
      <c r="L1548" s="13" t="n">
        <v>3</v>
      </c>
      <c r="M1548" s="13" t="n">
        <v>859353.09</v>
      </c>
      <c r="N1548" s="13" t="n">
        <v>286451.03</v>
      </c>
      <c r="O1548" s="13" t="n">
        <v>988.603333333333</v>
      </c>
      <c r="P1548" s="13" t="n">
        <v>0</v>
      </c>
      <c r="Q1548" s="13" t="n">
        <v>3</v>
      </c>
      <c r="R1548" s="13" t="s">
        <v>128</v>
      </c>
      <c r="S1548" s="13" t="s">
        <v>133</v>
      </c>
      <c r="T1548" s="13" t="n">
        <v>1</v>
      </c>
      <c r="U1548" s="13" t="n">
        <f aca="false">IF(B1548="Individual",1,0)</f>
        <v>1</v>
      </c>
      <c r="V1548" s="13" t="n">
        <f aca="false">IF(B1548="Company",1,0)</f>
        <v>0</v>
      </c>
      <c r="W1548" s="13" t="n">
        <f aca="false">IF(H1548="Home",1,0)</f>
        <v>1</v>
      </c>
      <c r="X1548" s="13" t="n">
        <f aca="false">IF(H1548="Investment",1,0)</f>
        <v>0</v>
      </c>
      <c r="Y1548" s="13" t="n">
        <f aca="false">IF(K1548="Website",1,0)</f>
        <v>0</v>
      </c>
      <c r="Z1548" s="13" t="n">
        <f aca="false">IF(K1548="Agency",1,0)</f>
        <v>1</v>
      </c>
      <c r="AA1548" s="13" t="n">
        <f aca="false">IF(K1548="Client",1,0)</f>
        <v>0</v>
      </c>
      <c r="AB1548" s="13" t="n">
        <f aca="false">(D1548-AVERAGE(D$2:D$2001))/STDEV(D$2:D$2001)</f>
        <v>-1.50712359909381</v>
      </c>
      <c r="AC1548" s="13" t="n">
        <f aca="false">(I1548-AVERAGE(I$2:I$2001))/STDEV(I$2:I$2001)</f>
        <v>-1.43538077576244</v>
      </c>
      <c r="AD1548" s="13" t="n">
        <f aca="false">(L1548-AVERAGE(L$2:L$2001))/STDEV(L$2:L$2001)</f>
        <v>-0.777063122173208</v>
      </c>
      <c r="AE1548" s="13" t="n">
        <f aca="false">(M1548-AVERAGE(M$2:M$2001))/STDEV(M$2:M$2001)</f>
        <v>-1.15292419838521</v>
      </c>
      <c r="AF1548" s="13" t="n">
        <f aca="false">(N1548-AVERAGE(N$2:N$2001))/STDEV(N$2:N$2001)</f>
        <v>-0.869726640690896</v>
      </c>
      <c r="AG1548" s="13" t="n">
        <f aca="false">(O1548-AVERAGE(O$2:O$2001))/STDEV(O$2:O$2001)</f>
        <v>-0.722419360635737</v>
      </c>
      <c r="AH1548" s="0" t="str">
        <f aca="false">IF(B1548="Company","C3 - Corporate Buyers",IF(AND(H1548="Investment",M1548&gt;'Segmentation Summary'!$C$1),"C1 - Global Investors",IF(AND(I1548&gt;=4,M1548&gt;'Segmentation Summary'!$C$1),"C4 - Luxury Investors",IF(AND(D1548&lt;'Segmentation Summary'!$C$2,J1548=1),"C2 - First-Time Buyers","C5 - Other Individual Buyers"))))</f>
        <v>C5 - Other Individual Buyers</v>
      </c>
    </row>
    <row r="1549" customFormat="false" ht="15" hidden="false" customHeight="true" outlineLevel="0" collapsed="false">
      <c r="A1549" s="13" t="s">
        <v>3095</v>
      </c>
      <c r="B1549" s="13" t="s">
        <v>34</v>
      </c>
      <c r="C1549" s="13" t="s">
        <v>3096</v>
      </c>
      <c r="D1549" s="13" t="n">
        <v>30</v>
      </c>
      <c r="E1549" s="13" t="s">
        <v>83</v>
      </c>
      <c r="F1549" s="13" t="s">
        <v>46</v>
      </c>
      <c r="G1549" s="13" t="s">
        <v>1065</v>
      </c>
      <c r="H1549" s="13" t="s">
        <v>41</v>
      </c>
      <c r="I1549" s="13" t="n">
        <v>5</v>
      </c>
      <c r="J1549" s="13" t="n">
        <v>1</v>
      </c>
      <c r="K1549" s="13" t="s">
        <v>91</v>
      </c>
      <c r="L1549" s="13" t="n">
        <v>4</v>
      </c>
      <c r="M1549" s="13" t="n">
        <v>900300.22</v>
      </c>
      <c r="N1549" s="13" t="n">
        <v>225075.055</v>
      </c>
      <c r="O1549" s="13" t="n">
        <v>832.615</v>
      </c>
      <c r="P1549" s="13" t="n">
        <v>1</v>
      </c>
      <c r="Q1549" s="13" t="n">
        <v>3</v>
      </c>
      <c r="R1549" s="13" t="s">
        <v>101</v>
      </c>
      <c r="S1549" s="13" t="s">
        <v>107</v>
      </c>
      <c r="T1549" s="13" t="n">
        <v>1</v>
      </c>
      <c r="U1549" s="13" t="n">
        <f aca="false">IF(B1549="Individual",1,0)</f>
        <v>1</v>
      </c>
      <c r="V1549" s="13" t="n">
        <f aca="false">IF(B1549="Company",1,0)</f>
        <v>0</v>
      </c>
      <c r="W1549" s="13" t="n">
        <f aca="false">IF(H1549="Home",1,0)</f>
        <v>1</v>
      </c>
      <c r="X1549" s="13" t="n">
        <f aca="false">IF(H1549="Investment",1,0)</f>
        <v>0</v>
      </c>
      <c r="Y1549" s="13" t="n">
        <f aca="false">IF(K1549="Website",1,0)</f>
        <v>0</v>
      </c>
      <c r="Z1549" s="13" t="n">
        <f aca="false">IF(K1549="Agency",1,0)</f>
        <v>1</v>
      </c>
      <c r="AA1549" s="13" t="n">
        <f aca="false">IF(K1549="Client",1,0)</f>
        <v>0</v>
      </c>
      <c r="AB1549" s="13" t="n">
        <f aca="false">(D1549-AVERAGE(D$2:D$2001))/STDEV(D$2:D$2001)</f>
        <v>-1.39179868811751</v>
      </c>
      <c r="AC1549" s="13" t="n">
        <f aca="false">(I1549-AVERAGE(I$2:I$2001))/STDEV(I$2:I$2001)</f>
        <v>1.39434968409451</v>
      </c>
      <c r="AD1549" s="13" t="n">
        <f aca="false">(L1549-AVERAGE(L$2:L$2001))/STDEV(L$2:L$2001)</f>
        <v>0.413838214490712</v>
      </c>
      <c r="AE1549" s="13" t="n">
        <f aca="false">(M1549-AVERAGE(M$2:M$2001))/STDEV(M$2:M$2001)</f>
        <v>-1.03520274901181</v>
      </c>
      <c r="AF1549" s="13" t="n">
        <f aca="false">(N1549-AVERAGE(N$2:N$2001))/STDEV(N$2:N$2001)</f>
        <v>-1.75002456468584</v>
      </c>
      <c r="AG1549" s="13" t="n">
        <f aca="false">(O1549-AVERAGE(O$2:O$2001))/STDEV(O$2:O$2001)</f>
        <v>-1.43170682169005</v>
      </c>
      <c r="AH1549" s="0" t="str">
        <f aca="false">IF(B1549="Company","C3 - Corporate Buyers",IF(AND(H1549="Investment",M1549&gt;'Segmentation Summary'!$C$1),"C1 - Global Investors",IF(AND(I1549&gt;=4,M1549&gt;'Segmentation Summary'!$C$1),"C4 - Luxury Investors",IF(AND(D1549&lt;'Segmentation Summary'!$C$2,J1549=1),"C2 - First-Time Buyers","C5 - Other Individual Buyers"))))</f>
        <v>C2 - First-Time Buyers</v>
      </c>
    </row>
    <row r="1550" customFormat="false" ht="15" hidden="false" customHeight="true" outlineLevel="0" collapsed="false">
      <c r="A1550" s="13" t="s">
        <v>3097</v>
      </c>
      <c r="B1550" s="13" t="s">
        <v>34</v>
      </c>
      <c r="C1550" s="13" t="s">
        <v>3098</v>
      </c>
      <c r="D1550" s="13" t="n">
        <v>74</v>
      </c>
      <c r="E1550" s="13" t="s">
        <v>83</v>
      </c>
      <c r="F1550" s="13" t="s">
        <v>47</v>
      </c>
      <c r="G1550" s="13" t="s">
        <v>356</v>
      </c>
      <c r="H1550" s="13" t="s">
        <v>41</v>
      </c>
      <c r="I1550" s="13" t="n">
        <v>1</v>
      </c>
      <c r="J1550" s="13" t="n">
        <v>1</v>
      </c>
      <c r="K1550" s="13" t="s">
        <v>91</v>
      </c>
      <c r="L1550" s="13" t="n">
        <v>3</v>
      </c>
      <c r="M1550" s="13" t="n">
        <v>1355839.1</v>
      </c>
      <c r="N1550" s="13" t="n">
        <v>451946.366666667</v>
      </c>
      <c r="O1550" s="13" t="n">
        <v>1527.86333333333</v>
      </c>
      <c r="P1550" s="13" t="n">
        <v>0</v>
      </c>
      <c r="Q1550" s="13" t="n">
        <v>3</v>
      </c>
      <c r="R1550" s="13" t="s">
        <v>98</v>
      </c>
      <c r="S1550" s="13" t="s">
        <v>124</v>
      </c>
      <c r="T1550" s="13" t="n">
        <v>1</v>
      </c>
      <c r="U1550" s="13" t="n">
        <f aca="false">IF(B1550="Individual",1,0)</f>
        <v>1</v>
      </c>
      <c r="V1550" s="13" t="n">
        <f aca="false">IF(B1550="Company",1,0)</f>
        <v>0</v>
      </c>
      <c r="W1550" s="13" t="n">
        <f aca="false">IF(H1550="Home",1,0)</f>
        <v>1</v>
      </c>
      <c r="X1550" s="13" t="n">
        <f aca="false">IF(H1550="Investment",1,0)</f>
        <v>0</v>
      </c>
      <c r="Y1550" s="13" t="n">
        <f aca="false">IF(K1550="Website",1,0)</f>
        <v>0</v>
      </c>
      <c r="Z1550" s="13" t="n">
        <f aca="false">IF(K1550="Agency",1,0)</f>
        <v>1</v>
      </c>
      <c r="AA1550" s="13" t="n">
        <f aca="false">IF(K1550="Client",1,0)</f>
        <v>0</v>
      </c>
      <c r="AB1550" s="13" t="n">
        <f aca="false">(D1550-AVERAGE(D$2:D$2001))/STDEV(D$2:D$2001)</f>
        <v>1.14534935336115</v>
      </c>
      <c r="AC1550" s="13" t="n">
        <f aca="false">(I1550-AVERAGE(I$2:I$2001))/STDEV(I$2:I$2001)</f>
        <v>-1.43538077576244</v>
      </c>
      <c r="AD1550" s="13" t="n">
        <f aca="false">(L1550-AVERAGE(L$2:L$2001))/STDEV(L$2:L$2001)</f>
        <v>-0.777063122173208</v>
      </c>
      <c r="AE1550" s="13" t="n">
        <f aca="false">(M1550-AVERAGE(M$2:M$2001))/STDEV(M$2:M$2001)</f>
        <v>0.274454294095526</v>
      </c>
      <c r="AF1550" s="13" t="n">
        <f aca="false">(N1550-AVERAGE(N$2:N$2001))/STDEV(N$2:N$2001)</f>
        <v>1.50392528579193</v>
      </c>
      <c r="AG1550" s="13" t="n">
        <f aca="false">(O1550-AVERAGE(O$2:O$2001))/STDEV(O$2:O$2001)</f>
        <v>1.72962527677186</v>
      </c>
      <c r="AH1550" s="0" t="str">
        <f aca="false">IF(B1550="Company","C3 - Corporate Buyers",IF(AND(H1550="Investment",M1550&gt;'Segmentation Summary'!$C$1),"C1 - Global Investors",IF(AND(I1550&gt;=4,M1550&gt;'Segmentation Summary'!$C$1),"C4 - Luxury Investors",IF(AND(D1550&lt;'Segmentation Summary'!$C$2,J1550=1),"C2 - First-Time Buyers","C5 - Other Individual Buyers"))))</f>
        <v>C5 - Other Individual Buyers</v>
      </c>
    </row>
    <row r="1551" customFormat="false" ht="15" hidden="false" customHeight="true" outlineLevel="0" collapsed="false">
      <c r="A1551" s="13" t="s">
        <v>3099</v>
      </c>
      <c r="B1551" s="13" t="s">
        <v>34</v>
      </c>
      <c r="C1551" s="13" t="s">
        <v>3100</v>
      </c>
      <c r="D1551" s="13" t="n">
        <v>54</v>
      </c>
      <c r="E1551" s="13" t="s">
        <v>83</v>
      </c>
      <c r="F1551" s="13" t="s">
        <v>33</v>
      </c>
      <c r="G1551" s="13" t="s">
        <v>265</v>
      </c>
      <c r="H1551" s="13" t="s">
        <v>41</v>
      </c>
      <c r="I1551" s="13" t="n">
        <v>3</v>
      </c>
      <c r="J1551" s="13" t="n">
        <v>0</v>
      </c>
      <c r="K1551" s="13" t="s">
        <v>85</v>
      </c>
      <c r="L1551" s="13" t="n">
        <v>3</v>
      </c>
      <c r="M1551" s="13" t="n">
        <v>1085548.02</v>
      </c>
      <c r="N1551" s="13" t="n">
        <v>361849.34</v>
      </c>
      <c r="O1551" s="13" t="n">
        <v>1156.56333333333</v>
      </c>
      <c r="P1551" s="13" t="n">
        <v>1</v>
      </c>
      <c r="Q1551" s="13" t="n">
        <v>2</v>
      </c>
      <c r="R1551" s="13" t="s">
        <v>101</v>
      </c>
      <c r="S1551" s="13" t="s">
        <v>114</v>
      </c>
      <c r="T1551" s="13" t="n">
        <v>1</v>
      </c>
      <c r="U1551" s="13" t="n">
        <f aca="false">IF(B1551="Individual",1,0)</f>
        <v>1</v>
      </c>
      <c r="V1551" s="13" t="n">
        <f aca="false">IF(B1551="Company",1,0)</f>
        <v>0</v>
      </c>
      <c r="W1551" s="13" t="n">
        <f aca="false">IF(H1551="Home",1,0)</f>
        <v>1</v>
      </c>
      <c r="X1551" s="13" t="n">
        <f aca="false">IF(H1551="Investment",1,0)</f>
        <v>0</v>
      </c>
      <c r="Y1551" s="13" t="n">
        <f aca="false">IF(K1551="Website",1,0)</f>
        <v>1</v>
      </c>
      <c r="Z1551" s="13" t="n">
        <f aca="false">IF(K1551="Agency",1,0)</f>
        <v>0</v>
      </c>
      <c r="AA1551" s="13" t="n">
        <f aca="false">IF(K1551="Client",1,0)</f>
        <v>0</v>
      </c>
      <c r="AB1551" s="13" t="n">
        <f aca="false">(D1551-AVERAGE(D$2:D$2001))/STDEV(D$2:D$2001)</f>
        <v>-0.00789975640187674</v>
      </c>
      <c r="AC1551" s="13" t="n">
        <f aca="false">(I1551-AVERAGE(I$2:I$2001))/STDEV(I$2:I$2001)</f>
        <v>-0.0205155458339628</v>
      </c>
      <c r="AD1551" s="13" t="n">
        <f aca="false">(L1551-AVERAGE(L$2:L$2001))/STDEV(L$2:L$2001)</f>
        <v>-0.777063122173208</v>
      </c>
      <c r="AE1551" s="13" t="n">
        <f aca="false">(M1551-AVERAGE(M$2:M$2001))/STDEV(M$2:M$2001)</f>
        <v>-0.502622333504492</v>
      </c>
      <c r="AF1551" s="13" t="n">
        <f aca="false">(N1551-AVERAGE(N$2:N$2001))/STDEV(N$2:N$2001)</f>
        <v>0.211689593686275</v>
      </c>
      <c r="AG1551" s="13" t="n">
        <f aca="false">(O1551-AVERAGE(O$2:O$2001))/STDEV(O$2:O$2001)</f>
        <v>0.0413039218235118</v>
      </c>
      <c r="AH1551" s="0" t="str">
        <f aca="false">IF(B1551="Company","C3 - Corporate Buyers",IF(AND(H1551="Investment",M1551&gt;'Segmentation Summary'!$C$1),"C1 - Global Investors",IF(AND(I1551&gt;=4,M1551&gt;'Segmentation Summary'!$C$1),"C4 - Luxury Investors",IF(AND(D1551&lt;'Segmentation Summary'!$C$2,J1551=1),"C2 - First-Time Buyers","C5 - Other Individual Buyers"))))</f>
        <v>C5 - Other Individual Buyers</v>
      </c>
    </row>
    <row r="1552" customFormat="false" ht="15" hidden="false" customHeight="true" outlineLevel="0" collapsed="false">
      <c r="A1552" s="13" t="s">
        <v>3101</v>
      </c>
      <c r="B1552" s="13" t="s">
        <v>34</v>
      </c>
      <c r="C1552" s="13" t="s">
        <v>3102</v>
      </c>
      <c r="D1552" s="13" t="n">
        <v>46</v>
      </c>
      <c r="E1552" s="13" t="s">
        <v>83</v>
      </c>
      <c r="F1552" s="13" t="s">
        <v>40</v>
      </c>
      <c r="G1552" s="13" t="s">
        <v>239</v>
      </c>
      <c r="H1552" s="13" t="s">
        <v>43</v>
      </c>
      <c r="I1552" s="13" t="n">
        <v>4</v>
      </c>
      <c r="J1552" s="13" t="n">
        <v>1</v>
      </c>
      <c r="K1552" s="13" t="s">
        <v>116</v>
      </c>
      <c r="L1552" s="13" t="n">
        <v>4</v>
      </c>
      <c r="M1552" s="13" t="n">
        <v>1719384.46</v>
      </c>
      <c r="N1552" s="13" t="n">
        <v>429846.115</v>
      </c>
      <c r="O1552" s="13" t="n">
        <v>1422.9925</v>
      </c>
      <c r="P1552" s="13" t="n">
        <v>1</v>
      </c>
      <c r="Q1552" s="13" t="n">
        <v>3</v>
      </c>
      <c r="R1552" s="13" t="s">
        <v>92</v>
      </c>
      <c r="S1552" s="13" t="s">
        <v>93</v>
      </c>
      <c r="T1552" s="13" t="n">
        <v>1</v>
      </c>
      <c r="U1552" s="13" t="n">
        <f aca="false">IF(B1552="Individual",1,0)</f>
        <v>1</v>
      </c>
      <c r="V1552" s="13" t="n">
        <f aca="false">IF(B1552="Company",1,0)</f>
        <v>0</v>
      </c>
      <c r="W1552" s="13" t="n">
        <f aca="false">IF(H1552="Home",1,0)</f>
        <v>0</v>
      </c>
      <c r="X1552" s="13" t="n">
        <f aca="false">IF(H1552="Investment",1,0)</f>
        <v>1</v>
      </c>
      <c r="Y1552" s="13" t="n">
        <f aca="false">IF(K1552="Website",1,0)</f>
        <v>0</v>
      </c>
      <c r="Z1552" s="13" t="n">
        <f aca="false">IF(K1552="Agency",1,0)</f>
        <v>0</v>
      </c>
      <c r="AA1552" s="13" t="n">
        <f aca="false">IF(K1552="Client",1,0)</f>
        <v>1</v>
      </c>
      <c r="AB1552" s="13" t="n">
        <f aca="false">(D1552-AVERAGE(D$2:D$2001))/STDEV(D$2:D$2001)</f>
        <v>-0.469199400307086</v>
      </c>
      <c r="AC1552" s="13" t="n">
        <f aca="false">(I1552-AVERAGE(I$2:I$2001))/STDEV(I$2:I$2001)</f>
        <v>0.686917069130275</v>
      </c>
      <c r="AD1552" s="13" t="n">
        <f aca="false">(L1552-AVERAGE(L$2:L$2001))/STDEV(L$2:L$2001)</f>
        <v>0.413838214490712</v>
      </c>
      <c r="AE1552" s="13" t="n">
        <f aca="false">(M1552-AVERAGE(M$2:M$2001))/STDEV(M$2:M$2001)</f>
        <v>1.31963344809659</v>
      </c>
      <c r="AF1552" s="13" t="n">
        <f aca="false">(N1552-AVERAGE(N$2:N$2001))/STDEV(N$2:N$2001)</f>
        <v>1.18694774430387</v>
      </c>
      <c r="AG1552" s="13" t="n">
        <f aca="false">(O1552-AVERAGE(O$2:O$2001))/STDEV(O$2:O$2001)</f>
        <v>1.25277187675061</v>
      </c>
      <c r="AH1552" s="0" t="str">
        <f aca="false">IF(B1552="Company","C3 - Corporate Buyers",IF(AND(H1552="Investment",M1552&gt;'Segmentation Summary'!$C$1),"C1 - Global Investors",IF(AND(I1552&gt;=4,M1552&gt;'Segmentation Summary'!$C$1),"C4 - Luxury Investors",IF(AND(D1552&lt;'Segmentation Summary'!$C$2,J1552=1),"C2 - First-Time Buyers","C5 - Other Individual Buyers"))))</f>
        <v>C1 - Global Investors</v>
      </c>
    </row>
    <row r="1553" customFormat="false" ht="15" hidden="false" customHeight="true" outlineLevel="0" collapsed="false">
      <c r="A1553" s="13" t="s">
        <v>3103</v>
      </c>
      <c r="B1553" s="13" t="s">
        <v>34</v>
      </c>
      <c r="C1553" s="13" t="s">
        <v>3104</v>
      </c>
      <c r="D1553" s="13" t="n">
        <v>32</v>
      </c>
      <c r="E1553" s="13" t="s">
        <v>83</v>
      </c>
      <c r="F1553" s="13" t="s">
        <v>33</v>
      </c>
      <c r="G1553" s="13" t="s">
        <v>95</v>
      </c>
      <c r="H1553" s="13" t="s">
        <v>41</v>
      </c>
      <c r="I1553" s="13" t="n">
        <v>2</v>
      </c>
      <c r="J1553" s="13" t="n">
        <v>0</v>
      </c>
      <c r="K1553" s="13" t="s">
        <v>91</v>
      </c>
      <c r="L1553" s="13" t="n">
        <v>3</v>
      </c>
      <c r="M1553" s="13" t="n">
        <v>864768.83</v>
      </c>
      <c r="N1553" s="13" t="n">
        <v>288256.276666667</v>
      </c>
      <c r="O1553" s="13" t="n">
        <v>899.99</v>
      </c>
      <c r="P1553" s="13" t="n">
        <v>1</v>
      </c>
      <c r="Q1553" s="13" t="n">
        <v>2</v>
      </c>
      <c r="R1553" s="13" t="s">
        <v>128</v>
      </c>
      <c r="S1553" s="13" t="s">
        <v>125</v>
      </c>
      <c r="T1553" s="13" t="n">
        <v>1</v>
      </c>
      <c r="U1553" s="13" t="n">
        <f aca="false">IF(B1553="Individual",1,0)</f>
        <v>1</v>
      </c>
      <c r="V1553" s="13" t="n">
        <f aca="false">IF(B1553="Company",1,0)</f>
        <v>0</v>
      </c>
      <c r="W1553" s="13" t="n">
        <f aca="false">IF(H1553="Home",1,0)</f>
        <v>1</v>
      </c>
      <c r="X1553" s="13" t="n">
        <f aca="false">IF(H1553="Investment",1,0)</f>
        <v>0</v>
      </c>
      <c r="Y1553" s="13" t="n">
        <f aca="false">IF(K1553="Website",1,0)</f>
        <v>0</v>
      </c>
      <c r="Z1553" s="13" t="n">
        <f aca="false">IF(K1553="Agency",1,0)</f>
        <v>1</v>
      </c>
      <c r="AA1553" s="13" t="n">
        <f aca="false">IF(K1553="Client",1,0)</f>
        <v>0</v>
      </c>
      <c r="AB1553" s="13" t="n">
        <f aca="false">(D1553-AVERAGE(D$2:D$2001))/STDEV(D$2:D$2001)</f>
        <v>-1.2764737771412</v>
      </c>
      <c r="AC1553" s="13" t="n">
        <f aca="false">(I1553-AVERAGE(I$2:I$2001))/STDEV(I$2:I$2001)</f>
        <v>-0.727948160798201</v>
      </c>
      <c r="AD1553" s="13" t="n">
        <f aca="false">(L1553-AVERAGE(L$2:L$2001))/STDEV(L$2:L$2001)</f>
        <v>-0.777063122173208</v>
      </c>
      <c r="AE1553" s="13" t="n">
        <f aca="false">(M1553-AVERAGE(M$2:M$2001))/STDEV(M$2:M$2001)</f>
        <v>-1.1373541508085</v>
      </c>
      <c r="AF1553" s="13" t="n">
        <f aca="false">(N1553-AVERAGE(N$2:N$2001))/STDEV(N$2:N$2001)</f>
        <v>-0.843834507931038</v>
      </c>
      <c r="AG1553" s="13" t="n">
        <f aca="false">(O1553-AVERAGE(O$2:O$2001))/STDEV(O$2:O$2001)</f>
        <v>-1.12534902128702</v>
      </c>
      <c r="AH1553" s="0" t="str">
        <f aca="false">IF(B1553="Company","C3 - Corporate Buyers",IF(AND(H1553="Investment",M1553&gt;'Segmentation Summary'!$C$1),"C1 - Global Investors",IF(AND(I1553&gt;=4,M1553&gt;'Segmentation Summary'!$C$1),"C4 - Luxury Investors",IF(AND(D1553&lt;'Segmentation Summary'!$C$2,J1553=1),"C2 - First-Time Buyers","C5 - Other Individual Buyers"))))</f>
        <v>C5 - Other Individual Buyers</v>
      </c>
    </row>
    <row r="1554" customFormat="false" ht="15" hidden="false" customHeight="true" outlineLevel="0" collapsed="false">
      <c r="A1554" s="13" t="s">
        <v>3105</v>
      </c>
      <c r="B1554" s="13" t="s">
        <v>34</v>
      </c>
      <c r="C1554" s="13" t="s">
        <v>3106</v>
      </c>
      <c r="D1554" s="13" t="n">
        <v>26</v>
      </c>
      <c r="E1554" s="13" t="s">
        <v>83</v>
      </c>
      <c r="F1554" s="13" t="s">
        <v>33</v>
      </c>
      <c r="G1554" s="13" t="s">
        <v>95</v>
      </c>
      <c r="H1554" s="13" t="s">
        <v>41</v>
      </c>
      <c r="I1554" s="13" t="n">
        <v>3</v>
      </c>
      <c r="J1554" s="13" t="n">
        <v>1</v>
      </c>
      <c r="K1554" s="13" t="s">
        <v>85</v>
      </c>
      <c r="L1554" s="13" t="n">
        <v>4</v>
      </c>
      <c r="M1554" s="13" t="n">
        <v>1202709.18</v>
      </c>
      <c r="N1554" s="13" t="n">
        <v>300677.295</v>
      </c>
      <c r="O1554" s="13" t="n">
        <v>1059.8375</v>
      </c>
      <c r="P1554" s="13" t="n">
        <v>2</v>
      </c>
      <c r="Q1554" s="13" t="n">
        <v>2</v>
      </c>
      <c r="R1554" s="13" t="s">
        <v>98</v>
      </c>
      <c r="S1554" s="13" t="s">
        <v>164</v>
      </c>
      <c r="T1554" s="13" t="n">
        <v>1</v>
      </c>
      <c r="U1554" s="13" t="n">
        <f aca="false">IF(B1554="Individual",1,0)</f>
        <v>1</v>
      </c>
      <c r="V1554" s="13" t="n">
        <f aca="false">IF(B1554="Company",1,0)</f>
        <v>0</v>
      </c>
      <c r="W1554" s="13" t="n">
        <f aca="false">IF(H1554="Home",1,0)</f>
        <v>1</v>
      </c>
      <c r="X1554" s="13" t="n">
        <f aca="false">IF(H1554="Investment",1,0)</f>
        <v>0</v>
      </c>
      <c r="Y1554" s="13" t="n">
        <f aca="false">IF(K1554="Website",1,0)</f>
        <v>1</v>
      </c>
      <c r="Z1554" s="13" t="n">
        <f aca="false">IF(K1554="Agency",1,0)</f>
        <v>0</v>
      </c>
      <c r="AA1554" s="13" t="n">
        <f aca="false">IF(K1554="Client",1,0)</f>
        <v>0</v>
      </c>
      <c r="AB1554" s="13" t="n">
        <f aca="false">(D1554-AVERAGE(D$2:D$2001))/STDEV(D$2:D$2001)</f>
        <v>-1.62244851007011</v>
      </c>
      <c r="AC1554" s="13" t="n">
        <f aca="false">(I1554-AVERAGE(I$2:I$2001))/STDEV(I$2:I$2001)</f>
        <v>-0.0205155458339628</v>
      </c>
      <c r="AD1554" s="13" t="n">
        <f aca="false">(L1554-AVERAGE(L$2:L$2001))/STDEV(L$2:L$2001)</f>
        <v>0.413838214490712</v>
      </c>
      <c r="AE1554" s="13" t="n">
        <f aca="false">(M1554-AVERAGE(M$2:M$2001))/STDEV(M$2:M$2001)</f>
        <v>-0.165788431703123</v>
      </c>
      <c r="AF1554" s="13" t="n">
        <f aca="false">(N1554-AVERAGE(N$2:N$2001))/STDEV(N$2:N$2001)</f>
        <v>-0.665683421080912</v>
      </c>
      <c r="AG1554" s="13" t="n">
        <f aca="false">(O1554-AVERAGE(O$2:O$2001))/STDEV(O$2:O$2001)</f>
        <v>-0.398513718876287</v>
      </c>
      <c r="AH1554" s="0" t="str">
        <f aca="false">IF(B1554="Company","C3 - Corporate Buyers",IF(AND(H1554="Investment",M1554&gt;'Segmentation Summary'!$C$1),"C1 - Global Investors",IF(AND(I1554&gt;=4,M1554&gt;'Segmentation Summary'!$C$1),"C4 - Luxury Investors",IF(AND(D1554&lt;'Segmentation Summary'!$C$2,J1554=1),"C2 - First-Time Buyers","C5 - Other Individual Buyers"))))</f>
        <v>C2 - First-Time Buyers</v>
      </c>
    </row>
    <row r="1555" customFormat="false" ht="15" hidden="false" customHeight="true" outlineLevel="0" collapsed="false">
      <c r="A1555" s="13" t="s">
        <v>3107</v>
      </c>
      <c r="B1555" s="13" t="s">
        <v>34</v>
      </c>
      <c r="C1555" s="13" t="s">
        <v>3106</v>
      </c>
      <c r="D1555" s="13" t="n">
        <v>47</v>
      </c>
      <c r="E1555" s="13" t="s">
        <v>83</v>
      </c>
      <c r="F1555" s="13" t="s">
        <v>33</v>
      </c>
      <c r="G1555" s="13" t="s">
        <v>95</v>
      </c>
      <c r="H1555" s="13" t="s">
        <v>41</v>
      </c>
      <c r="I1555" s="13" t="n">
        <v>2</v>
      </c>
      <c r="J1555" s="13" t="n">
        <v>1</v>
      </c>
      <c r="K1555" s="13" t="s">
        <v>116</v>
      </c>
      <c r="L1555" s="13" t="n">
        <v>3</v>
      </c>
      <c r="M1555" s="13" t="n">
        <v>1226524.31</v>
      </c>
      <c r="N1555" s="13" t="n">
        <v>408841.436666667</v>
      </c>
      <c r="O1555" s="13" t="n">
        <v>1286.42666666667</v>
      </c>
      <c r="P1555" s="13" t="n">
        <v>0</v>
      </c>
      <c r="Q1555" s="13" t="n">
        <v>3</v>
      </c>
      <c r="R1555" s="13" t="s">
        <v>121</v>
      </c>
      <c r="S1555" s="13" t="s">
        <v>164</v>
      </c>
      <c r="T1555" s="13" t="n">
        <v>1</v>
      </c>
      <c r="U1555" s="13" t="n">
        <f aca="false">IF(B1555="Individual",1,0)</f>
        <v>1</v>
      </c>
      <c r="V1555" s="13" t="n">
        <f aca="false">IF(B1555="Company",1,0)</f>
        <v>0</v>
      </c>
      <c r="W1555" s="13" t="n">
        <f aca="false">IF(H1555="Home",1,0)</f>
        <v>1</v>
      </c>
      <c r="X1555" s="13" t="n">
        <f aca="false">IF(H1555="Investment",1,0)</f>
        <v>0</v>
      </c>
      <c r="Y1555" s="13" t="n">
        <f aca="false">IF(K1555="Website",1,0)</f>
        <v>0</v>
      </c>
      <c r="Z1555" s="13" t="n">
        <f aca="false">IF(K1555="Agency",1,0)</f>
        <v>0</v>
      </c>
      <c r="AA1555" s="13" t="n">
        <f aca="false">IF(K1555="Client",1,0)</f>
        <v>1</v>
      </c>
      <c r="AB1555" s="13" t="n">
        <f aca="false">(D1555-AVERAGE(D$2:D$2001))/STDEV(D$2:D$2001)</f>
        <v>-0.411536944818935</v>
      </c>
      <c r="AC1555" s="13" t="n">
        <f aca="false">(I1555-AVERAGE(I$2:I$2001))/STDEV(I$2:I$2001)</f>
        <v>-0.727948160798201</v>
      </c>
      <c r="AD1555" s="13" t="n">
        <f aca="false">(L1555-AVERAGE(L$2:L$2001))/STDEV(L$2:L$2001)</f>
        <v>-0.777063122173208</v>
      </c>
      <c r="AE1555" s="13" t="n">
        <f aca="false">(M1555-AVERAGE(M$2:M$2001))/STDEV(M$2:M$2001)</f>
        <v>-0.0973208340811216</v>
      </c>
      <c r="AF1555" s="13" t="n">
        <f aca="false">(N1555-AVERAGE(N$2:N$2001))/STDEV(N$2:N$2001)</f>
        <v>0.885683695447376</v>
      </c>
      <c r="AG1555" s="13" t="n">
        <f aca="false">(O1555-AVERAGE(O$2:O$2001))/STDEV(O$2:O$2001)</f>
        <v>0.63179958272158</v>
      </c>
      <c r="AH1555" s="0" t="str">
        <f aca="false">IF(B1555="Company","C3 - Corporate Buyers",IF(AND(H1555="Investment",M1555&gt;'Segmentation Summary'!$C$1),"C1 - Global Investors",IF(AND(I1555&gt;=4,M1555&gt;'Segmentation Summary'!$C$1),"C4 - Luxury Investors",IF(AND(D1555&lt;'Segmentation Summary'!$C$2,J1555=1),"C2 - First-Time Buyers","C5 - Other Individual Buyers"))))</f>
        <v>C2 - First-Time Buyers</v>
      </c>
    </row>
    <row r="1556" customFormat="false" ht="15" hidden="false" customHeight="true" outlineLevel="0" collapsed="false">
      <c r="A1556" s="13" t="s">
        <v>3108</v>
      </c>
      <c r="B1556" s="13" t="s">
        <v>34</v>
      </c>
      <c r="C1556" s="13" t="s">
        <v>3109</v>
      </c>
      <c r="D1556" s="13" t="n">
        <v>35</v>
      </c>
      <c r="E1556" s="13" t="s">
        <v>83</v>
      </c>
      <c r="F1556" s="13" t="s">
        <v>33</v>
      </c>
      <c r="G1556" s="13" t="s">
        <v>95</v>
      </c>
      <c r="H1556" s="13" t="s">
        <v>41</v>
      </c>
      <c r="I1556" s="13" t="n">
        <v>5</v>
      </c>
      <c r="J1556" s="13" t="n">
        <v>0</v>
      </c>
      <c r="K1556" s="13" t="s">
        <v>91</v>
      </c>
      <c r="L1556" s="13" t="n">
        <v>3</v>
      </c>
      <c r="M1556" s="13" t="n">
        <v>1195691.95</v>
      </c>
      <c r="N1556" s="13" t="n">
        <v>398563.983333333</v>
      </c>
      <c r="O1556" s="13" t="n">
        <v>1268.04666666667</v>
      </c>
      <c r="P1556" s="13" t="n">
        <v>0</v>
      </c>
      <c r="Q1556" s="13" t="n">
        <v>3</v>
      </c>
      <c r="R1556" s="13" t="s">
        <v>98</v>
      </c>
      <c r="S1556" s="13" t="s">
        <v>103</v>
      </c>
      <c r="T1556" s="13" t="n">
        <v>1</v>
      </c>
      <c r="U1556" s="13" t="n">
        <f aca="false">IF(B1556="Individual",1,0)</f>
        <v>1</v>
      </c>
      <c r="V1556" s="13" t="n">
        <f aca="false">IF(B1556="Company",1,0)</f>
        <v>0</v>
      </c>
      <c r="W1556" s="13" t="n">
        <f aca="false">IF(H1556="Home",1,0)</f>
        <v>1</v>
      </c>
      <c r="X1556" s="13" t="n">
        <f aca="false">IF(H1556="Investment",1,0)</f>
        <v>0</v>
      </c>
      <c r="Y1556" s="13" t="n">
        <f aca="false">IF(K1556="Website",1,0)</f>
        <v>0</v>
      </c>
      <c r="Z1556" s="13" t="n">
        <f aca="false">IF(K1556="Agency",1,0)</f>
        <v>1</v>
      </c>
      <c r="AA1556" s="13" t="n">
        <f aca="false">IF(K1556="Client",1,0)</f>
        <v>0</v>
      </c>
      <c r="AB1556" s="13" t="n">
        <f aca="false">(D1556-AVERAGE(D$2:D$2001))/STDEV(D$2:D$2001)</f>
        <v>-1.10348641067675</v>
      </c>
      <c r="AC1556" s="13" t="n">
        <f aca="false">(I1556-AVERAGE(I$2:I$2001))/STDEV(I$2:I$2001)</f>
        <v>1.39434968409451</v>
      </c>
      <c r="AD1556" s="13" t="n">
        <f aca="false">(L1556-AVERAGE(L$2:L$2001))/STDEV(L$2:L$2001)</f>
        <v>-0.777063122173208</v>
      </c>
      <c r="AE1556" s="13" t="n">
        <f aca="false">(M1556-AVERAGE(M$2:M$2001))/STDEV(M$2:M$2001)</f>
        <v>-0.1859627024319</v>
      </c>
      <c r="AF1556" s="13" t="n">
        <f aca="false">(N1556-AVERAGE(N$2:N$2001))/STDEV(N$2:N$2001)</f>
        <v>0.738277143725975</v>
      </c>
      <c r="AG1556" s="13" t="n">
        <f aca="false">(O1556-AVERAGE(O$2:O$2001))/STDEV(O$2:O$2001)</f>
        <v>0.548224720066179</v>
      </c>
      <c r="AH1556" s="0" t="str">
        <f aca="false">IF(B1556="Company","C3 - Corporate Buyers",IF(AND(H1556="Investment",M1556&gt;'Segmentation Summary'!$C$1),"C1 - Global Investors",IF(AND(I1556&gt;=4,M1556&gt;'Segmentation Summary'!$C$1),"C4 - Luxury Investors",IF(AND(D1556&lt;'Segmentation Summary'!$C$2,J1556=1),"C2 - First-Time Buyers","C5 - Other Individual Buyers"))))</f>
        <v>C5 - Other Individual Buyers</v>
      </c>
    </row>
    <row r="1557" customFormat="false" ht="15" hidden="false" customHeight="true" outlineLevel="0" collapsed="false">
      <c r="A1557" s="13" t="s">
        <v>3110</v>
      </c>
      <c r="B1557" s="13" t="s">
        <v>34</v>
      </c>
      <c r="C1557" s="13" t="s">
        <v>3111</v>
      </c>
      <c r="D1557" s="13" t="n">
        <v>47</v>
      </c>
      <c r="E1557" s="13" t="s">
        <v>83</v>
      </c>
      <c r="F1557" s="13" t="s">
        <v>33</v>
      </c>
      <c r="G1557" s="13" t="s">
        <v>162</v>
      </c>
      <c r="H1557" s="13" t="s">
        <v>41</v>
      </c>
      <c r="I1557" s="13" t="n">
        <v>1</v>
      </c>
      <c r="J1557" s="13" t="n">
        <v>0</v>
      </c>
      <c r="K1557" s="13" t="s">
        <v>85</v>
      </c>
      <c r="L1557" s="13" t="n">
        <v>3</v>
      </c>
      <c r="M1557" s="13" t="n">
        <v>1277019.82</v>
      </c>
      <c r="N1557" s="13" t="n">
        <v>425673.273333333</v>
      </c>
      <c r="O1557" s="13" t="n">
        <v>1477.03</v>
      </c>
      <c r="P1557" s="13" t="n">
        <v>1</v>
      </c>
      <c r="Q1557" s="13" t="n">
        <v>2</v>
      </c>
      <c r="R1557" s="13" t="s">
        <v>150</v>
      </c>
      <c r="S1557" s="13" t="s">
        <v>164</v>
      </c>
      <c r="T1557" s="13" t="n">
        <v>1</v>
      </c>
      <c r="U1557" s="13" t="n">
        <f aca="false">IF(B1557="Individual",1,0)</f>
        <v>1</v>
      </c>
      <c r="V1557" s="13" t="n">
        <f aca="false">IF(B1557="Company",1,0)</f>
        <v>0</v>
      </c>
      <c r="W1557" s="13" t="n">
        <f aca="false">IF(H1557="Home",1,0)</f>
        <v>1</v>
      </c>
      <c r="X1557" s="13" t="n">
        <f aca="false">IF(H1557="Investment",1,0)</f>
        <v>0</v>
      </c>
      <c r="Y1557" s="13" t="n">
        <f aca="false">IF(K1557="Website",1,0)</f>
        <v>1</v>
      </c>
      <c r="Z1557" s="13" t="n">
        <f aca="false">IF(K1557="Agency",1,0)</f>
        <v>0</v>
      </c>
      <c r="AA1557" s="13" t="n">
        <f aca="false">IF(K1557="Client",1,0)</f>
        <v>0</v>
      </c>
      <c r="AB1557" s="13" t="n">
        <f aca="false">(D1557-AVERAGE(D$2:D$2001))/STDEV(D$2:D$2001)</f>
        <v>-0.411536944818935</v>
      </c>
      <c r="AC1557" s="13" t="n">
        <f aca="false">(I1557-AVERAGE(I$2:I$2001))/STDEV(I$2:I$2001)</f>
        <v>-1.43538077576244</v>
      </c>
      <c r="AD1557" s="13" t="n">
        <f aca="false">(L1557-AVERAGE(L$2:L$2001))/STDEV(L$2:L$2001)</f>
        <v>-0.777063122173208</v>
      </c>
      <c r="AE1557" s="13" t="n">
        <f aca="false">(M1557-AVERAGE(M$2:M$2001))/STDEV(M$2:M$2001)</f>
        <v>0.0478518464962138</v>
      </c>
      <c r="AF1557" s="13" t="n">
        <f aca="false">(N1557-AVERAGE(N$2:N$2001))/STDEV(N$2:N$2001)</f>
        <v>1.1270978786793</v>
      </c>
      <c r="AG1557" s="13" t="n">
        <f aca="false">(O1557-AVERAGE(O$2:O$2001))/STDEV(O$2:O$2001)</f>
        <v>1.49848333707385</v>
      </c>
      <c r="AH1557" s="0" t="str">
        <f aca="false">IF(B1557="Company","C3 - Corporate Buyers",IF(AND(H1557="Investment",M1557&gt;'Segmentation Summary'!$C$1),"C1 - Global Investors",IF(AND(I1557&gt;=4,M1557&gt;'Segmentation Summary'!$C$1),"C4 - Luxury Investors",IF(AND(D1557&lt;'Segmentation Summary'!$C$2,J1557=1),"C2 - First-Time Buyers","C5 - Other Individual Buyers"))))</f>
        <v>C5 - Other Individual Buyers</v>
      </c>
    </row>
    <row r="1558" customFormat="false" ht="15" hidden="false" customHeight="true" outlineLevel="0" collapsed="false">
      <c r="A1558" s="13" t="s">
        <v>3112</v>
      </c>
      <c r="B1558" s="13" t="s">
        <v>34</v>
      </c>
      <c r="C1558" s="13" t="s">
        <v>3113</v>
      </c>
      <c r="D1558" s="13" t="n">
        <v>83</v>
      </c>
      <c r="E1558" s="13" t="s">
        <v>83</v>
      </c>
      <c r="F1558" s="13" t="s">
        <v>33</v>
      </c>
      <c r="G1558" s="13" t="s">
        <v>106</v>
      </c>
      <c r="H1558" s="13" t="s">
        <v>41</v>
      </c>
      <c r="I1558" s="13" t="n">
        <v>2</v>
      </c>
      <c r="J1558" s="13" t="n">
        <v>0</v>
      </c>
      <c r="K1558" s="13" t="s">
        <v>85</v>
      </c>
      <c r="L1558" s="13" t="n">
        <v>3</v>
      </c>
      <c r="M1558" s="13" t="n">
        <v>1106379.8</v>
      </c>
      <c r="N1558" s="13" t="n">
        <v>368793.266666667</v>
      </c>
      <c r="O1558" s="13" t="n">
        <v>1168.38333333333</v>
      </c>
      <c r="P1558" s="13" t="n">
        <v>0</v>
      </c>
      <c r="Q1558" s="13" t="n">
        <v>3</v>
      </c>
      <c r="R1558" s="13" t="s">
        <v>117</v>
      </c>
      <c r="S1558" s="13" t="s">
        <v>215</v>
      </c>
      <c r="T1558" s="13" t="n">
        <v>1</v>
      </c>
      <c r="U1558" s="13" t="n">
        <f aca="false">IF(B1558="Individual",1,0)</f>
        <v>1</v>
      </c>
      <c r="V1558" s="13" t="n">
        <f aca="false">IF(B1558="Company",1,0)</f>
        <v>0</v>
      </c>
      <c r="W1558" s="13" t="n">
        <f aca="false">IF(H1558="Home",1,0)</f>
        <v>1</v>
      </c>
      <c r="X1558" s="13" t="n">
        <f aca="false">IF(H1558="Investment",1,0)</f>
        <v>0</v>
      </c>
      <c r="Y1558" s="13" t="n">
        <f aca="false">IF(K1558="Website",1,0)</f>
        <v>1</v>
      </c>
      <c r="Z1558" s="13" t="n">
        <f aca="false">IF(K1558="Agency",1,0)</f>
        <v>0</v>
      </c>
      <c r="AA1558" s="13" t="n">
        <f aca="false">IF(K1558="Client",1,0)</f>
        <v>0</v>
      </c>
      <c r="AB1558" s="13" t="n">
        <f aca="false">(D1558-AVERAGE(D$2:D$2001))/STDEV(D$2:D$2001)</f>
        <v>1.66431145275451</v>
      </c>
      <c r="AC1558" s="13" t="n">
        <f aca="false">(I1558-AVERAGE(I$2:I$2001))/STDEV(I$2:I$2001)</f>
        <v>-0.727948160798201</v>
      </c>
      <c r="AD1558" s="13" t="n">
        <f aca="false">(L1558-AVERAGE(L$2:L$2001))/STDEV(L$2:L$2001)</f>
        <v>-0.777063122173208</v>
      </c>
      <c r="AE1558" s="13" t="n">
        <f aca="false">(M1558-AVERAGE(M$2:M$2001))/STDEV(M$2:M$2001)</f>
        <v>-0.442731754247102</v>
      </c>
      <c r="AF1558" s="13" t="n">
        <f aca="false">(N1558-AVERAGE(N$2:N$2001))/STDEV(N$2:N$2001)</f>
        <v>0.311284332980275</v>
      </c>
      <c r="AG1558" s="13" t="n">
        <f aca="false">(O1558-AVERAGE(O$2:O$2001))/STDEV(O$2:O$2001)</f>
        <v>0.09505010662149</v>
      </c>
      <c r="AH1558" s="0" t="str">
        <f aca="false">IF(B1558="Company","C3 - Corporate Buyers",IF(AND(H1558="Investment",M1558&gt;'Segmentation Summary'!$C$1),"C1 - Global Investors",IF(AND(I1558&gt;=4,M1558&gt;'Segmentation Summary'!$C$1),"C4 - Luxury Investors",IF(AND(D1558&lt;'Segmentation Summary'!$C$2,J1558=1),"C2 - First-Time Buyers","C5 - Other Individual Buyers"))))</f>
        <v>C5 - Other Individual Buyers</v>
      </c>
    </row>
    <row r="1559" customFormat="false" ht="15" hidden="false" customHeight="true" outlineLevel="0" collapsed="false">
      <c r="A1559" s="13" t="s">
        <v>3114</v>
      </c>
      <c r="B1559" s="13" t="s">
        <v>34</v>
      </c>
      <c r="C1559" s="13" t="s">
        <v>3115</v>
      </c>
      <c r="D1559" s="13" t="n">
        <v>76</v>
      </c>
      <c r="E1559" s="13" t="s">
        <v>90</v>
      </c>
      <c r="F1559" s="13" t="s">
        <v>33</v>
      </c>
      <c r="G1559" s="13" t="s">
        <v>95</v>
      </c>
      <c r="H1559" s="13" t="s">
        <v>41</v>
      </c>
      <c r="I1559" s="13" t="n">
        <v>5</v>
      </c>
      <c r="J1559" s="13" t="n">
        <v>0</v>
      </c>
      <c r="K1559" s="13" t="s">
        <v>85</v>
      </c>
      <c r="L1559" s="13" t="n">
        <v>4</v>
      </c>
      <c r="M1559" s="13" t="n">
        <v>1685882.39</v>
      </c>
      <c r="N1559" s="13" t="n">
        <v>421470.5975</v>
      </c>
      <c r="O1559" s="13" t="n">
        <v>1415.63</v>
      </c>
      <c r="P1559" s="13" t="n">
        <v>0</v>
      </c>
      <c r="Q1559" s="13" t="n">
        <v>4</v>
      </c>
      <c r="R1559" s="13" t="s">
        <v>92</v>
      </c>
      <c r="S1559" s="13" t="s">
        <v>107</v>
      </c>
      <c r="T1559" s="13" t="n">
        <v>1</v>
      </c>
      <c r="U1559" s="13" t="n">
        <f aca="false">IF(B1559="Individual",1,0)</f>
        <v>1</v>
      </c>
      <c r="V1559" s="13" t="n">
        <f aca="false">IF(B1559="Company",1,0)</f>
        <v>0</v>
      </c>
      <c r="W1559" s="13" t="n">
        <f aca="false">IF(H1559="Home",1,0)</f>
        <v>1</v>
      </c>
      <c r="X1559" s="13" t="n">
        <f aca="false">IF(H1559="Investment",1,0)</f>
        <v>0</v>
      </c>
      <c r="Y1559" s="13" t="n">
        <f aca="false">IF(K1559="Website",1,0)</f>
        <v>1</v>
      </c>
      <c r="Z1559" s="13" t="n">
        <f aca="false">IF(K1559="Agency",1,0)</f>
        <v>0</v>
      </c>
      <c r="AA1559" s="13" t="n">
        <f aca="false">IF(K1559="Client",1,0)</f>
        <v>0</v>
      </c>
      <c r="AB1559" s="13" t="n">
        <f aca="false">(D1559-AVERAGE(D$2:D$2001))/STDEV(D$2:D$2001)</f>
        <v>1.26067426433745</v>
      </c>
      <c r="AC1559" s="13" t="n">
        <f aca="false">(I1559-AVERAGE(I$2:I$2001))/STDEV(I$2:I$2001)</f>
        <v>1.39434968409451</v>
      </c>
      <c r="AD1559" s="13" t="n">
        <f aca="false">(L1559-AVERAGE(L$2:L$2001))/STDEV(L$2:L$2001)</f>
        <v>0.413838214490712</v>
      </c>
      <c r="AE1559" s="13" t="n">
        <f aca="false">(M1559-AVERAGE(M$2:M$2001))/STDEV(M$2:M$2001)</f>
        <v>1.22331626451355</v>
      </c>
      <c r="AF1559" s="13" t="n">
        <f aca="false">(N1559-AVERAGE(N$2:N$2001))/STDEV(N$2:N$2001)</f>
        <v>1.06682011019893</v>
      </c>
      <c r="AG1559" s="13" t="n">
        <f aca="false">(O1559-AVERAGE(O$2:O$2001))/STDEV(O$2:O$2001)</f>
        <v>1.21929418761566</v>
      </c>
      <c r="AH1559" s="0" t="str">
        <f aca="false">IF(B1559="Company","C3 - Corporate Buyers",IF(AND(H1559="Investment",M1559&gt;'Segmentation Summary'!$C$1),"C1 - Global Investors",IF(AND(I1559&gt;=4,M1559&gt;'Segmentation Summary'!$C$1),"C4 - Luxury Investors",IF(AND(D1559&lt;'Segmentation Summary'!$C$2,J1559=1),"C2 - First-Time Buyers","C5 - Other Individual Buyers"))))</f>
        <v>C4 - Luxury Investors</v>
      </c>
    </row>
    <row r="1560" customFormat="false" ht="15" hidden="false" customHeight="true" outlineLevel="0" collapsed="false">
      <c r="A1560" s="13" t="s">
        <v>3116</v>
      </c>
      <c r="B1560" s="13" t="s">
        <v>34</v>
      </c>
      <c r="C1560" s="13" t="s">
        <v>3117</v>
      </c>
      <c r="D1560" s="13" t="n">
        <v>65</v>
      </c>
      <c r="E1560" s="13" t="s">
        <v>90</v>
      </c>
      <c r="F1560" s="13" t="s">
        <v>33</v>
      </c>
      <c r="G1560" s="13" t="s">
        <v>95</v>
      </c>
      <c r="H1560" s="13" t="s">
        <v>43</v>
      </c>
      <c r="I1560" s="13" t="n">
        <v>5</v>
      </c>
      <c r="J1560" s="13" t="n">
        <v>1</v>
      </c>
      <c r="K1560" s="13" t="s">
        <v>91</v>
      </c>
      <c r="L1560" s="13" t="n">
        <v>5</v>
      </c>
      <c r="M1560" s="13" t="n">
        <v>1205555.46</v>
      </c>
      <c r="N1560" s="13" t="n">
        <v>241111.092</v>
      </c>
      <c r="O1560" s="13" t="n">
        <v>811.402</v>
      </c>
      <c r="P1560" s="13" t="n">
        <v>0</v>
      </c>
      <c r="Q1560" s="13" t="n">
        <v>5</v>
      </c>
      <c r="R1560" s="13" t="s">
        <v>117</v>
      </c>
      <c r="S1560" s="13" t="s">
        <v>133</v>
      </c>
      <c r="T1560" s="13" t="n">
        <v>1</v>
      </c>
      <c r="U1560" s="13" t="n">
        <f aca="false">IF(B1560="Individual",1,0)</f>
        <v>1</v>
      </c>
      <c r="V1560" s="13" t="n">
        <f aca="false">IF(B1560="Company",1,0)</f>
        <v>0</v>
      </c>
      <c r="W1560" s="13" t="n">
        <f aca="false">IF(H1560="Home",1,0)</f>
        <v>0</v>
      </c>
      <c r="X1560" s="13" t="n">
        <f aca="false">IF(H1560="Investment",1,0)</f>
        <v>1</v>
      </c>
      <c r="Y1560" s="13" t="n">
        <f aca="false">IF(K1560="Website",1,0)</f>
        <v>0</v>
      </c>
      <c r="Z1560" s="13" t="n">
        <f aca="false">IF(K1560="Agency",1,0)</f>
        <v>1</v>
      </c>
      <c r="AA1560" s="13" t="n">
        <f aca="false">IF(K1560="Client",1,0)</f>
        <v>0</v>
      </c>
      <c r="AB1560" s="13" t="n">
        <f aca="false">(D1560-AVERAGE(D$2:D$2001))/STDEV(D$2:D$2001)</f>
        <v>0.626387253967787</v>
      </c>
      <c r="AC1560" s="13" t="n">
        <f aca="false">(I1560-AVERAGE(I$2:I$2001))/STDEV(I$2:I$2001)</f>
        <v>1.39434968409451</v>
      </c>
      <c r="AD1560" s="13" t="n">
        <f aca="false">(L1560-AVERAGE(L$2:L$2001))/STDEV(L$2:L$2001)</f>
        <v>1.60473955115463</v>
      </c>
      <c r="AE1560" s="13" t="n">
        <f aca="false">(M1560-AVERAGE(M$2:M$2001))/STDEV(M$2:M$2001)</f>
        <v>-0.157605484401993</v>
      </c>
      <c r="AF1560" s="13" t="n">
        <f aca="false">(N1560-AVERAGE(N$2:N$2001))/STDEV(N$2:N$2001)</f>
        <v>-1.52002430676397</v>
      </c>
      <c r="AG1560" s="13" t="n">
        <f aca="false">(O1560-AVERAGE(O$2:O$2001))/STDEV(O$2:O$2001)</f>
        <v>-1.52816348988967</v>
      </c>
      <c r="AH1560" s="0" t="str">
        <f aca="false">IF(B1560="Company","C3 - Corporate Buyers",IF(AND(H1560="Investment",M1560&gt;'Segmentation Summary'!$C$1),"C1 - Global Investors",IF(AND(I1560&gt;=4,M1560&gt;'Segmentation Summary'!$C$1),"C4 - Luxury Investors",IF(AND(D1560&lt;'Segmentation Summary'!$C$2,J1560=1),"C2 - First-Time Buyers","C5 - Other Individual Buyers"))))</f>
        <v>C5 - Other Individual Buyers</v>
      </c>
    </row>
    <row r="1561" customFormat="false" ht="15" hidden="false" customHeight="true" outlineLevel="0" collapsed="false">
      <c r="A1561" s="13" t="s">
        <v>3118</v>
      </c>
      <c r="B1561" s="13" t="s">
        <v>34</v>
      </c>
      <c r="C1561" s="13" t="s">
        <v>3119</v>
      </c>
      <c r="D1561" s="13" t="n">
        <v>85</v>
      </c>
      <c r="E1561" s="13" t="s">
        <v>90</v>
      </c>
      <c r="F1561" s="13" t="s">
        <v>33</v>
      </c>
      <c r="G1561" s="13" t="s">
        <v>95</v>
      </c>
      <c r="H1561" s="13" t="s">
        <v>43</v>
      </c>
      <c r="I1561" s="13" t="n">
        <v>5</v>
      </c>
      <c r="J1561" s="13" t="n">
        <v>0</v>
      </c>
      <c r="K1561" s="13" t="s">
        <v>85</v>
      </c>
      <c r="L1561" s="13" t="n">
        <v>4</v>
      </c>
      <c r="M1561" s="13" t="n">
        <v>1010217.73</v>
      </c>
      <c r="N1561" s="13" t="n">
        <v>252554.4325</v>
      </c>
      <c r="O1561" s="13" t="n">
        <v>842.145</v>
      </c>
      <c r="P1561" s="13" t="n">
        <v>0</v>
      </c>
      <c r="Q1561" s="13" t="n">
        <v>4</v>
      </c>
      <c r="R1561" s="13" t="s">
        <v>98</v>
      </c>
      <c r="S1561" s="13" t="s">
        <v>114</v>
      </c>
      <c r="T1561" s="13" t="n">
        <v>1</v>
      </c>
      <c r="U1561" s="13" t="n">
        <f aca="false">IF(B1561="Individual",1,0)</f>
        <v>1</v>
      </c>
      <c r="V1561" s="13" t="n">
        <f aca="false">IF(B1561="Company",1,0)</f>
        <v>0</v>
      </c>
      <c r="W1561" s="13" t="n">
        <f aca="false">IF(H1561="Home",1,0)</f>
        <v>0</v>
      </c>
      <c r="X1561" s="13" t="n">
        <f aca="false">IF(H1561="Investment",1,0)</f>
        <v>1</v>
      </c>
      <c r="Y1561" s="13" t="n">
        <f aca="false">IF(K1561="Website",1,0)</f>
        <v>1</v>
      </c>
      <c r="Z1561" s="13" t="n">
        <f aca="false">IF(K1561="Agency",1,0)</f>
        <v>0</v>
      </c>
      <c r="AA1561" s="13" t="n">
        <f aca="false">IF(K1561="Client",1,0)</f>
        <v>0</v>
      </c>
      <c r="AB1561" s="13" t="n">
        <f aca="false">(D1561-AVERAGE(D$2:D$2001))/STDEV(D$2:D$2001)</f>
        <v>1.77963636373081</v>
      </c>
      <c r="AC1561" s="13" t="n">
        <f aca="false">(I1561-AVERAGE(I$2:I$2001))/STDEV(I$2:I$2001)</f>
        <v>1.39434968409451</v>
      </c>
      <c r="AD1561" s="13" t="n">
        <f aca="false">(L1561-AVERAGE(L$2:L$2001))/STDEV(L$2:L$2001)</f>
        <v>0.413838214490712</v>
      </c>
      <c r="AE1561" s="13" t="n">
        <f aca="false">(M1561-AVERAGE(M$2:M$2001))/STDEV(M$2:M$2001)</f>
        <v>-0.719194066871836</v>
      </c>
      <c r="AF1561" s="13" t="n">
        <f aca="false">(N1561-AVERAGE(N$2:N$2001))/STDEV(N$2:N$2001)</f>
        <v>-1.35589577136039</v>
      </c>
      <c r="AG1561" s="13" t="n">
        <f aca="false">(O1561-AVERAGE(O$2:O$2001))/STDEV(O$2:O$2001)</f>
        <v>-1.38837339181486</v>
      </c>
      <c r="AH1561" s="0" t="str">
        <f aca="false">IF(B1561="Company","C3 - Corporate Buyers",IF(AND(H1561="Investment",M1561&gt;'Segmentation Summary'!$C$1),"C1 - Global Investors",IF(AND(I1561&gt;=4,M1561&gt;'Segmentation Summary'!$C$1),"C4 - Luxury Investors",IF(AND(D1561&lt;'Segmentation Summary'!$C$2,J1561=1),"C2 - First-Time Buyers","C5 - Other Individual Buyers"))))</f>
        <v>C5 - Other Individual Buyers</v>
      </c>
    </row>
    <row r="1562" customFormat="false" ht="15" hidden="false" customHeight="true" outlineLevel="0" collapsed="false">
      <c r="A1562" s="13" t="s">
        <v>3120</v>
      </c>
      <c r="B1562" s="13" t="s">
        <v>34</v>
      </c>
      <c r="C1562" s="13" t="s">
        <v>3121</v>
      </c>
      <c r="D1562" s="13" t="n">
        <v>64</v>
      </c>
      <c r="E1562" s="13" t="s">
        <v>83</v>
      </c>
      <c r="F1562" s="13" t="s">
        <v>33</v>
      </c>
      <c r="G1562" s="13" t="s">
        <v>95</v>
      </c>
      <c r="H1562" s="13" t="s">
        <v>41</v>
      </c>
      <c r="I1562" s="13" t="n">
        <v>2</v>
      </c>
      <c r="J1562" s="13" t="n">
        <v>0</v>
      </c>
      <c r="K1562" s="13" t="s">
        <v>85</v>
      </c>
      <c r="L1562" s="13" t="n">
        <v>4</v>
      </c>
      <c r="M1562" s="13" t="n">
        <v>1278854.25</v>
      </c>
      <c r="N1562" s="13" t="n">
        <v>319713.5625</v>
      </c>
      <c r="O1562" s="13" t="n">
        <v>1102.44</v>
      </c>
      <c r="P1562" s="13" t="n">
        <v>1</v>
      </c>
      <c r="Q1562" s="13" t="n">
        <v>3</v>
      </c>
      <c r="R1562" s="13" t="s">
        <v>86</v>
      </c>
      <c r="S1562" s="13" t="s">
        <v>114</v>
      </c>
      <c r="T1562" s="13" t="n">
        <v>1</v>
      </c>
      <c r="U1562" s="13" t="n">
        <f aca="false">IF(B1562="Individual",1,0)</f>
        <v>1</v>
      </c>
      <c r="V1562" s="13" t="n">
        <f aca="false">IF(B1562="Company",1,0)</f>
        <v>0</v>
      </c>
      <c r="W1562" s="13" t="n">
        <f aca="false">IF(H1562="Home",1,0)</f>
        <v>1</v>
      </c>
      <c r="X1562" s="13" t="n">
        <f aca="false">IF(H1562="Investment",1,0)</f>
        <v>0</v>
      </c>
      <c r="Y1562" s="13" t="n">
        <f aca="false">IF(K1562="Website",1,0)</f>
        <v>1</v>
      </c>
      <c r="Z1562" s="13" t="n">
        <f aca="false">IF(K1562="Agency",1,0)</f>
        <v>0</v>
      </c>
      <c r="AA1562" s="13" t="n">
        <f aca="false">IF(K1562="Client",1,0)</f>
        <v>0</v>
      </c>
      <c r="AB1562" s="13" t="n">
        <f aca="false">(D1562-AVERAGE(D$2:D$2001))/STDEV(D$2:D$2001)</f>
        <v>0.568724798479635</v>
      </c>
      <c r="AC1562" s="13" t="n">
        <f aca="false">(I1562-AVERAGE(I$2:I$2001))/STDEV(I$2:I$2001)</f>
        <v>-0.727948160798201</v>
      </c>
      <c r="AD1562" s="13" t="n">
        <f aca="false">(L1562-AVERAGE(L$2:L$2001))/STDEV(L$2:L$2001)</f>
        <v>0.413838214490712</v>
      </c>
      <c r="AE1562" s="13" t="n">
        <f aca="false">(M1562-AVERAGE(M$2:M$2001))/STDEV(M$2:M$2001)</f>
        <v>0.0531257633341954</v>
      </c>
      <c r="AF1562" s="13" t="n">
        <f aca="false">(N1562-AVERAGE(N$2:N$2001))/STDEV(N$2:N$2001)</f>
        <v>-0.392651721611168</v>
      </c>
      <c r="AG1562" s="13" t="n">
        <f aca="false">(O1562-AVERAGE(O$2:O$2001))/STDEV(O$2:O$2001)</f>
        <v>-0.204797827348717</v>
      </c>
      <c r="AH1562" s="0" t="str">
        <f aca="false">IF(B1562="Company","C3 - Corporate Buyers",IF(AND(H1562="Investment",M1562&gt;'Segmentation Summary'!$C$1),"C1 - Global Investors",IF(AND(I1562&gt;=4,M1562&gt;'Segmentation Summary'!$C$1),"C4 - Luxury Investors",IF(AND(D1562&lt;'Segmentation Summary'!$C$2,J1562=1),"C2 - First-Time Buyers","C5 - Other Individual Buyers"))))</f>
        <v>C5 - Other Individual Buyers</v>
      </c>
    </row>
    <row r="1563" customFormat="false" ht="15" hidden="false" customHeight="true" outlineLevel="0" collapsed="false">
      <c r="A1563" s="13" t="s">
        <v>3122</v>
      </c>
      <c r="B1563" s="13" t="s">
        <v>34</v>
      </c>
      <c r="C1563" s="13" t="s">
        <v>3123</v>
      </c>
      <c r="D1563" s="13" t="n">
        <v>31</v>
      </c>
      <c r="E1563" s="13" t="s">
        <v>90</v>
      </c>
      <c r="F1563" s="13" t="s">
        <v>35</v>
      </c>
      <c r="G1563" s="13" t="s">
        <v>137</v>
      </c>
      <c r="H1563" s="13" t="s">
        <v>41</v>
      </c>
      <c r="I1563" s="13" t="n">
        <v>5</v>
      </c>
      <c r="J1563" s="13" t="n">
        <v>1</v>
      </c>
      <c r="K1563" s="13" t="s">
        <v>85</v>
      </c>
      <c r="L1563" s="13" t="n">
        <v>4</v>
      </c>
      <c r="M1563" s="13" t="n">
        <v>1439584.37</v>
      </c>
      <c r="N1563" s="13" t="n">
        <v>359896.0925</v>
      </c>
      <c r="O1563" s="13" t="n">
        <v>1248.58</v>
      </c>
      <c r="P1563" s="13" t="n">
        <v>0</v>
      </c>
      <c r="Q1563" s="13" t="n">
        <v>4</v>
      </c>
      <c r="R1563" s="13" t="s">
        <v>92</v>
      </c>
      <c r="S1563" s="13" t="s">
        <v>164</v>
      </c>
      <c r="T1563" s="13" t="n">
        <v>1</v>
      </c>
      <c r="U1563" s="13" t="n">
        <f aca="false">IF(B1563="Individual",1,0)</f>
        <v>1</v>
      </c>
      <c r="V1563" s="13" t="n">
        <f aca="false">IF(B1563="Company",1,0)</f>
        <v>0</v>
      </c>
      <c r="W1563" s="13" t="n">
        <f aca="false">IF(H1563="Home",1,0)</f>
        <v>1</v>
      </c>
      <c r="X1563" s="13" t="n">
        <f aca="false">IF(H1563="Investment",1,0)</f>
        <v>0</v>
      </c>
      <c r="Y1563" s="13" t="n">
        <f aca="false">IF(K1563="Website",1,0)</f>
        <v>1</v>
      </c>
      <c r="Z1563" s="13" t="n">
        <f aca="false">IF(K1563="Agency",1,0)</f>
        <v>0</v>
      </c>
      <c r="AA1563" s="13" t="n">
        <f aca="false">IF(K1563="Client",1,0)</f>
        <v>0</v>
      </c>
      <c r="AB1563" s="13" t="n">
        <f aca="false">(D1563-AVERAGE(D$2:D$2001))/STDEV(D$2:D$2001)</f>
        <v>-1.33413623262935</v>
      </c>
      <c r="AC1563" s="13" t="n">
        <f aca="false">(I1563-AVERAGE(I$2:I$2001))/STDEV(I$2:I$2001)</f>
        <v>1.39434968409451</v>
      </c>
      <c r="AD1563" s="13" t="n">
        <f aca="false">(L1563-AVERAGE(L$2:L$2001))/STDEV(L$2:L$2001)</f>
        <v>0.413838214490712</v>
      </c>
      <c r="AE1563" s="13" t="n">
        <f aca="false">(M1563-AVERAGE(M$2:M$2001))/STDEV(M$2:M$2001)</f>
        <v>0.515218776552931</v>
      </c>
      <c r="AF1563" s="13" t="n">
        <f aca="false">(N1563-AVERAGE(N$2:N$2001))/STDEV(N$2:N$2001)</f>
        <v>0.183674727620224</v>
      </c>
      <c r="AG1563" s="13" t="n">
        <f aca="false">(O1563-AVERAGE(O$2:O$2001))/STDEV(O$2:O$2001)</f>
        <v>0.459708724798201</v>
      </c>
      <c r="AH1563" s="0" t="str">
        <f aca="false">IF(B1563="Company","C3 - Corporate Buyers",IF(AND(H1563="Investment",M1563&gt;'Segmentation Summary'!$C$1),"C1 - Global Investors",IF(AND(I1563&gt;=4,M1563&gt;'Segmentation Summary'!$C$1),"C4 - Luxury Investors",IF(AND(D1563&lt;'Segmentation Summary'!$C$2,J1563=1),"C2 - First-Time Buyers","C5 - Other Individual Buyers"))))</f>
        <v>C4 - Luxury Investors</v>
      </c>
    </row>
    <row r="1564" customFormat="false" ht="15" hidden="false" customHeight="true" outlineLevel="0" collapsed="false">
      <c r="A1564" s="13" t="s">
        <v>3124</v>
      </c>
      <c r="B1564" s="13" t="s">
        <v>34</v>
      </c>
      <c r="C1564" s="13" t="s">
        <v>3125</v>
      </c>
      <c r="D1564" s="13" t="n">
        <v>74</v>
      </c>
      <c r="E1564" s="13" t="s">
        <v>90</v>
      </c>
      <c r="F1564" s="13" t="s">
        <v>33</v>
      </c>
      <c r="G1564" s="13" t="s">
        <v>162</v>
      </c>
      <c r="H1564" s="13" t="s">
        <v>43</v>
      </c>
      <c r="I1564" s="13" t="n">
        <v>4</v>
      </c>
      <c r="J1564" s="13" t="n">
        <v>0</v>
      </c>
      <c r="K1564" s="13" t="s">
        <v>91</v>
      </c>
      <c r="L1564" s="13" t="n">
        <v>4</v>
      </c>
      <c r="M1564" s="13" t="n">
        <v>1145122.1</v>
      </c>
      <c r="N1564" s="13" t="n">
        <v>286280.525</v>
      </c>
      <c r="O1564" s="13" t="n">
        <v>939.4875</v>
      </c>
      <c r="P1564" s="13" t="n">
        <v>1</v>
      </c>
      <c r="Q1564" s="13" t="n">
        <v>3</v>
      </c>
      <c r="R1564" s="13" t="s">
        <v>101</v>
      </c>
      <c r="S1564" s="13" t="s">
        <v>112</v>
      </c>
      <c r="T1564" s="13" t="n">
        <v>1</v>
      </c>
      <c r="U1564" s="13" t="n">
        <f aca="false">IF(B1564="Individual",1,0)</f>
        <v>1</v>
      </c>
      <c r="V1564" s="13" t="n">
        <f aca="false">IF(B1564="Company",1,0)</f>
        <v>0</v>
      </c>
      <c r="W1564" s="13" t="n">
        <f aca="false">IF(H1564="Home",1,0)</f>
        <v>0</v>
      </c>
      <c r="X1564" s="13" t="n">
        <f aca="false">IF(H1564="Investment",1,0)</f>
        <v>1</v>
      </c>
      <c r="Y1564" s="13" t="n">
        <f aca="false">IF(K1564="Website",1,0)</f>
        <v>0</v>
      </c>
      <c r="Z1564" s="13" t="n">
        <f aca="false">IF(K1564="Agency",1,0)</f>
        <v>1</v>
      </c>
      <c r="AA1564" s="13" t="n">
        <f aca="false">IF(K1564="Client",1,0)</f>
        <v>0</v>
      </c>
      <c r="AB1564" s="13" t="n">
        <f aca="false">(D1564-AVERAGE(D$2:D$2001))/STDEV(D$2:D$2001)</f>
        <v>1.14534935336115</v>
      </c>
      <c r="AC1564" s="13" t="n">
        <f aca="false">(I1564-AVERAGE(I$2:I$2001))/STDEV(I$2:I$2001)</f>
        <v>0.686917069130275</v>
      </c>
      <c r="AD1564" s="13" t="n">
        <f aca="false">(L1564-AVERAGE(L$2:L$2001))/STDEV(L$2:L$2001)</f>
        <v>0.413838214490712</v>
      </c>
      <c r="AE1564" s="13" t="n">
        <f aca="false">(M1564-AVERAGE(M$2:M$2001))/STDEV(M$2:M$2001)</f>
        <v>-0.331349107696324</v>
      </c>
      <c r="AF1564" s="13" t="n">
        <f aca="false">(N1564-AVERAGE(N$2:N$2001))/STDEV(N$2:N$2001)</f>
        <v>-0.87217214477504</v>
      </c>
      <c r="AG1564" s="13" t="n">
        <f aca="false">(O1564-AVERAGE(O$2:O$2001))/STDEV(O$2:O$2001)</f>
        <v>-0.945751734141662</v>
      </c>
      <c r="AH1564" s="0" t="str">
        <f aca="false">IF(B1564="Company","C3 - Corporate Buyers",IF(AND(H1564="Investment",M1564&gt;'Segmentation Summary'!$C$1),"C1 - Global Investors",IF(AND(I1564&gt;=4,M1564&gt;'Segmentation Summary'!$C$1),"C4 - Luxury Investors",IF(AND(D1564&lt;'Segmentation Summary'!$C$2,J1564=1),"C2 - First-Time Buyers","C5 - Other Individual Buyers"))))</f>
        <v>C5 - Other Individual Buyers</v>
      </c>
    </row>
    <row r="1565" customFormat="false" ht="15" hidden="false" customHeight="true" outlineLevel="0" collapsed="false">
      <c r="A1565" s="13" t="s">
        <v>3126</v>
      </c>
      <c r="B1565" s="13" t="s">
        <v>34</v>
      </c>
      <c r="C1565" s="13" t="s">
        <v>3127</v>
      </c>
      <c r="D1565" s="13" t="n">
        <v>70</v>
      </c>
      <c r="E1565" s="13" t="s">
        <v>90</v>
      </c>
      <c r="F1565" s="13" t="s">
        <v>33</v>
      </c>
      <c r="G1565" s="13" t="s">
        <v>95</v>
      </c>
      <c r="H1565" s="13" t="s">
        <v>41</v>
      </c>
      <c r="I1565" s="13" t="n">
        <v>4</v>
      </c>
      <c r="J1565" s="13" t="n">
        <v>0</v>
      </c>
      <c r="K1565" s="13" t="s">
        <v>85</v>
      </c>
      <c r="L1565" s="13" t="n">
        <v>4</v>
      </c>
      <c r="M1565" s="13" t="n">
        <v>1108935.86</v>
      </c>
      <c r="N1565" s="13" t="n">
        <v>277233.965</v>
      </c>
      <c r="O1565" s="13" t="n">
        <v>972.245</v>
      </c>
      <c r="P1565" s="13" t="n">
        <v>0</v>
      </c>
      <c r="Q1565" s="13" t="n">
        <v>4</v>
      </c>
      <c r="R1565" s="13" t="s">
        <v>86</v>
      </c>
      <c r="S1565" s="13" t="s">
        <v>141</v>
      </c>
      <c r="T1565" s="13" t="n">
        <v>1</v>
      </c>
      <c r="U1565" s="13" t="n">
        <f aca="false">IF(B1565="Individual",1,0)</f>
        <v>1</v>
      </c>
      <c r="V1565" s="13" t="n">
        <f aca="false">IF(B1565="Company",1,0)</f>
        <v>0</v>
      </c>
      <c r="W1565" s="13" t="n">
        <f aca="false">IF(H1565="Home",1,0)</f>
        <v>1</v>
      </c>
      <c r="X1565" s="13" t="n">
        <f aca="false">IF(H1565="Investment",1,0)</f>
        <v>0</v>
      </c>
      <c r="Y1565" s="13" t="n">
        <f aca="false">IF(K1565="Website",1,0)</f>
        <v>1</v>
      </c>
      <c r="Z1565" s="13" t="n">
        <f aca="false">IF(K1565="Agency",1,0)</f>
        <v>0</v>
      </c>
      <c r="AA1565" s="13" t="n">
        <f aca="false">IF(K1565="Client",1,0)</f>
        <v>0</v>
      </c>
      <c r="AB1565" s="13" t="n">
        <f aca="false">(D1565-AVERAGE(D$2:D$2001))/STDEV(D$2:D$2001)</f>
        <v>0.914699531408543</v>
      </c>
      <c r="AC1565" s="13" t="n">
        <f aca="false">(I1565-AVERAGE(I$2:I$2001))/STDEV(I$2:I$2001)</f>
        <v>0.686917069130275</v>
      </c>
      <c r="AD1565" s="13" t="n">
        <f aca="false">(L1565-AVERAGE(L$2:L$2001))/STDEV(L$2:L$2001)</f>
        <v>0.413838214490712</v>
      </c>
      <c r="AE1565" s="13" t="n">
        <f aca="false">(M1565-AVERAGE(M$2:M$2001))/STDEV(M$2:M$2001)</f>
        <v>-0.435383178464493</v>
      </c>
      <c r="AF1565" s="13" t="n">
        <f aca="false">(N1565-AVERAGE(N$2:N$2001))/STDEV(N$2:N$2001)</f>
        <v>-1.0019243480972</v>
      </c>
      <c r="AG1565" s="13" t="n">
        <f aca="false">(O1565-AVERAGE(O$2:O$2001))/STDEV(O$2:O$2001)</f>
        <v>-0.796801594672983</v>
      </c>
      <c r="AH1565" s="0" t="str">
        <f aca="false">IF(B1565="Company","C3 - Corporate Buyers",IF(AND(H1565="Investment",M1565&gt;'Segmentation Summary'!$C$1),"C1 - Global Investors",IF(AND(I1565&gt;=4,M1565&gt;'Segmentation Summary'!$C$1),"C4 - Luxury Investors",IF(AND(D1565&lt;'Segmentation Summary'!$C$2,J1565=1),"C2 - First-Time Buyers","C5 - Other Individual Buyers"))))</f>
        <v>C5 - Other Individual Buyers</v>
      </c>
    </row>
    <row r="1566" customFormat="false" ht="15" hidden="false" customHeight="true" outlineLevel="0" collapsed="false">
      <c r="A1566" s="13" t="s">
        <v>3128</v>
      </c>
      <c r="B1566" s="13" t="s">
        <v>34</v>
      </c>
      <c r="C1566" s="13" t="s">
        <v>3129</v>
      </c>
      <c r="D1566" s="13" t="n">
        <v>52</v>
      </c>
      <c r="E1566" s="13" t="s">
        <v>90</v>
      </c>
      <c r="F1566" s="13" t="s">
        <v>35</v>
      </c>
      <c r="G1566" s="13" t="s">
        <v>374</v>
      </c>
      <c r="H1566" s="13" t="s">
        <v>41</v>
      </c>
      <c r="I1566" s="13" t="n">
        <v>1</v>
      </c>
      <c r="J1566" s="13" t="n">
        <v>1</v>
      </c>
      <c r="K1566" s="13" t="s">
        <v>91</v>
      </c>
      <c r="L1566" s="13" t="n">
        <v>4</v>
      </c>
      <c r="M1566" s="13" t="n">
        <v>1569390.69</v>
      </c>
      <c r="N1566" s="13" t="n">
        <v>392347.6725</v>
      </c>
      <c r="O1566" s="13" t="n">
        <v>1294.645</v>
      </c>
      <c r="P1566" s="13" t="n">
        <v>0</v>
      </c>
      <c r="Q1566" s="13" t="n">
        <v>4</v>
      </c>
      <c r="R1566" s="13" t="s">
        <v>117</v>
      </c>
      <c r="S1566" s="13" t="s">
        <v>164</v>
      </c>
      <c r="T1566" s="13" t="n">
        <v>1</v>
      </c>
      <c r="U1566" s="13" t="n">
        <f aca="false">IF(B1566="Individual",1,0)</f>
        <v>1</v>
      </c>
      <c r="V1566" s="13" t="n">
        <f aca="false">IF(B1566="Company",1,0)</f>
        <v>0</v>
      </c>
      <c r="W1566" s="13" t="n">
        <f aca="false">IF(H1566="Home",1,0)</f>
        <v>1</v>
      </c>
      <c r="X1566" s="13" t="n">
        <f aca="false">IF(H1566="Investment",1,0)</f>
        <v>0</v>
      </c>
      <c r="Y1566" s="13" t="n">
        <f aca="false">IF(K1566="Website",1,0)</f>
        <v>0</v>
      </c>
      <c r="Z1566" s="13" t="n">
        <f aca="false">IF(K1566="Agency",1,0)</f>
        <v>1</v>
      </c>
      <c r="AA1566" s="13" t="n">
        <f aca="false">IF(K1566="Client",1,0)</f>
        <v>0</v>
      </c>
      <c r="AB1566" s="13" t="n">
        <f aca="false">(D1566-AVERAGE(D$2:D$2001))/STDEV(D$2:D$2001)</f>
        <v>-0.123224667378179</v>
      </c>
      <c r="AC1566" s="13" t="n">
        <f aca="false">(I1566-AVERAGE(I$2:I$2001))/STDEV(I$2:I$2001)</f>
        <v>-1.43538077576244</v>
      </c>
      <c r="AD1566" s="13" t="n">
        <f aca="false">(L1566-AVERAGE(L$2:L$2001))/STDEV(L$2:L$2001)</f>
        <v>0.413838214490712</v>
      </c>
      <c r="AE1566" s="13" t="n">
        <f aca="false">(M1566-AVERAGE(M$2:M$2001))/STDEV(M$2:M$2001)</f>
        <v>0.888407034880837</v>
      </c>
      <c r="AF1566" s="13" t="n">
        <f aca="false">(N1566-AVERAGE(N$2:N$2001))/STDEV(N$2:N$2001)</f>
        <v>0.649118388667659</v>
      </c>
      <c r="AG1566" s="13" t="n">
        <f aca="false">(O1566-AVERAGE(O$2:O$2001))/STDEV(O$2:O$2001)</f>
        <v>0.66916879271012</v>
      </c>
      <c r="AH1566" s="0" t="str">
        <f aca="false">IF(B1566="Company","C3 - Corporate Buyers",IF(AND(H1566="Investment",M1566&gt;'Segmentation Summary'!$C$1),"C1 - Global Investors",IF(AND(I1566&gt;=4,M1566&gt;'Segmentation Summary'!$C$1),"C4 - Luxury Investors",IF(AND(D1566&lt;'Segmentation Summary'!$C$2,J1566=1),"C2 - First-Time Buyers","C5 - Other Individual Buyers"))))</f>
        <v>C2 - First-Time Buyers</v>
      </c>
    </row>
    <row r="1567" customFormat="false" ht="15" hidden="false" customHeight="true" outlineLevel="0" collapsed="false">
      <c r="A1567" s="13" t="s">
        <v>3130</v>
      </c>
      <c r="B1567" s="13" t="s">
        <v>34</v>
      </c>
      <c r="C1567" s="13" t="s">
        <v>3131</v>
      </c>
      <c r="D1567" s="13" t="n">
        <v>35</v>
      </c>
      <c r="E1567" s="13" t="s">
        <v>90</v>
      </c>
      <c r="F1567" s="13" t="s">
        <v>33</v>
      </c>
      <c r="G1567" s="13" t="s">
        <v>100</v>
      </c>
      <c r="H1567" s="13" t="s">
        <v>41</v>
      </c>
      <c r="I1567" s="13" t="n">
        <v>1</v>
      </c>
      <c r="J1567" s="13" t="n">
        <v>1</v>
      </c>
      <c r="K1567" s="13" t="s">
        <v>85</v>
      </c>
      <c r="L1567" s="13" t="n">
        <v>4</v>
      </c>
      <c r="M1567" s="13" t="n">
        <v>1939848.53</v>
      </c>
      <c r="N1567" s="13" t="n">
        <v>484962.1325</v>
      </c>
      <c r="O1567" s="13" t="n">
        <v>1524.2725</v>
      </c>
      <c r="P1567" s="13" t="n">
        <v>1</v>
      </c>
      <c r="Q1567" s="13" t="n">
        <v>3</v>
      </c>
      <c r="R1567" s="13" t="s">
        <v>117</v>
      </c>
      <c r="S1567" s="13" t="s">
        <v>128</v>
      </c>
      <c r="T1567" s="13" t="n">
        <v>1</v>
      </c>
      <c r="U1567" s="13" t="n">
        <f aca="false">IF(B1567="Individual",1,0)</f>
        <v>1</v>
      </c>
      <c r="V1567" s="13" t="n">
        <f aca="false">IF(B1567="Company",1,0)</f>
        <v>0</v>
      </c>
      <c r="W1567" s="13" t="n">
        <f aca="false">IF(H1567="Home",1,0)</f>
        <v>1</v>
      </c>
      <c r="X1567" s="13" t="n">
        <f aca="false">IF(H1567="Investment",1,0)</f>
        <v>0</v>
      </c>
      <c r="Y1567" s="13" t="n">
        <f aca="false">IF(K1567="Website",1,0)</f>
        <v>1</v>
      </c>
      <c r="Z1567" s="13" t="n">
        <f aca="false">IF(K1567="Agency",1,0)</f>
        <v>0</v>
      </c>
      <c r="AA1567" s="13" t="n">
        <f aca="false">IF(K1567="Client",1,0)</f>
        <v>0</v>
      </c>
      <c r="AB1567" s="13" t="n">
        <f aca="false">(D1567-AVERAGE(D$2:D$2001))/STDEV(D$2:D$2001)</f>
        <v>-1.10348641067675</v>
      </c>
      <c r="AC1567" s="13" t="n">
        <f aca="false">(I1567-AVERAGE(I$2:I$2001))/STDEV(I$2:I$2001)</f>
        <v>-1.43538077576244</v>
      </c>
      <c r="AD1567" s="13" t="n">
        <f aca="false">(L1567-AVERAGE(L$2:L$2001))/STDEV(L$2:L$2001)</f>
        <v>0.413838214490712</v>
      </c>
      <c r="AE1567" s="13" t="n">
        <f aca="false">(M1567-AVERAGE(M$2:M$2001))/STDEV(M$2:M$2001)</f>
        <v>1.95345930732426</v>
      </c>
      <c r="AF1567" s="13" t="n">
        <f aca="false">(N1567-AVERAGE(N$2:N$2001))/STDEV(N$2:N$2001)</f>
        <v>1.97746090167724</v>
      </c>
      <c r="AG1567" s="13" t="n">
        <f aca="false">(O1567-AVERAGE(O$2:O$2001))/STDEV(O$2:O$2001)</f>
        <v>1.71329756172009</v>
      </c>
      <c r="AH1567" s="0" t="str">
        <f aca="false">IF(B1567="Company","C3 - Corporate Buyers",IF(AND(H1567="Investment",M1567&gt;'Segmentation Summary'!$C$1),"C1 - Global Investors",IF(AND(I1567&gt;=4,M1567&gt;'Segmentation Summary'!$C$1),"C4 - Luxury Investors",IF(AND(D1567&lt;'Segmentation Summary'!$C$2,J1567=1),"C2 - First-Time Buyers","C5 - Other Individual Buyers"))))</f>
        <v>C2 - First-Time Buyers</v>
      </c>
    </row>
    <row r="1568" customFormat="false" ht="15" hidden="false" customHeight="true" outlineLevel="0" collapsed="false">
      <c r="A1568" s="13" t="s">
        <v>3132</v>
      </c>
      <c r="B1568" s="13" t="s">
        <v>34</v>
      </c>
      <c r="C1568" s="13" t="s">
        <v>3133</v>
      </c>
      <c r="D1568" s="13" t="n">
        <v>28</v>
      </c>
      <c r="E1568" s="13" t="s">
        <v>90</v>
      </c>
      <c r="F1568" s="13" t="s">
        <v>33</v>
      </c>
      <c r="G1568" s="13" t="s">
        <v>162</v>
      </c>
      <c r="H1568" s="13" t="s">
        <v>41</v>
      </c>
      <c r="I1568" s="13" t="n">
        <v>1</v>
      </c>
      <c r="J1568" s="13" t="n">
        <v>1</v>
      </c>
      <c r="K1568" s="13" t="s">
        <v>116</v>
      </c>
      <c r="L1568" s="13" t="n">
        <v>4</v>
      </c>
      <c r="M1568" s="13" t="n">
        <v>1734167.51</v>
      </c>
      <c r="N1568" s="13" t="n">
        <v>433541.8775</v>
      </c>
      <c r="O1568" s="13" t="n">
        <v>1577.2325</v>
      </c>
      <c r="P1568" s="13" t="n">
        <v>0</v>
      </c>
      <c r="Q1568" s="13" t="n">
        <v>4</v>
      </c>
      <c r="R1568" s="13" t="s">
        <v>101</v>
      </c>
      <c r="S1568" s="13" t="s">
        <v>215</v>
      </c>
      <c r="T1568" s="13" t="n">
        <v>1</v>
      </c>
      <c r="U1568" s="13" t="n">
        <f aca="false">IF(B1568="Individual",1,0)</f>
        <v>1</v>
      </c>
      <c r="V1568" s="13" t="n">
        <f aca="false">IF(B1568="Company",1,0)</f>
        <v>0</v>
      </c>
      <c r="W1568" s="13" t="n">
        <f aca="false">IF(H1568="Home",1,0)</f>
        <v>1</v>
      </c>
      <c r="X1568" s="13" t="n">
        <f aca="false">IF(H1568="Investment",1,0)</f>
        <v>0</v>
      </c>
      <c r="Y1568" s="13" t="n">
        <f aca="false">IF(K1568="Website",1,0)</f>
        <v>0</v>
      </c>
      <c r="Z1568" s="13" t="n">
        <f aca="false">IF(K1568="Agency",1,0)</f>
        <v>0</v>
      </c>
      <c r="AA1568" s="13" t="n">
        <f aca="false">IF(K1568="Client",1,0)</f>
        <v>1</v>
      </c>
      <c r="AB1568" s="13" t="n">
        <f aca="false">(D1568-AVERAGE(D$2:D$2001))/STDEV(D$2:D$2001)</f>
        <v>-1.50712359909381</v>
      </c>
      <c r="AC1568" s="13" t="n">
        <f aca="false">(I1568-AVERAGE(I$2:I$2001))/STDEV(I$2:I$2001)</f>
        <v>-1.43538077576244</v>
      </c>
      <c r="AD1568" s="13" t="n">
        <f aca="false">(L1568-AVERAGE(L$2:L$2001))/STDEV(L$2:L$2001)</f>
        <v>0.413838214490712</v>
      </c>
      <c r="AE1568" s="13" t="n">
        <f aca="false">(M1568-AVERAGE(M$2:M$2001))/STDEV(M$2:M$2001)</f>
        <v>1.36213415747865</v>
      </c>
      <c r="AF1568" s="13" t="n">
        <f aca="false">(N1568-AVERAGE(N$2:N$2001))/STDEV(N$2:N$2001)</f>
        <v>1.23995500091084</v>
      </c>
      <c r="AG1568" s="13" t="n">
        <f aca="false">(O1568-AVERAGE(O$2:O$2001))/STDEV(O$2:O$2001)</f>
        <v>1.95410957076416</v>
      </c>
      <c r="AH1568" s="0" t="str">
        <f aca="false">IF(B1568="Company","C3 - Corporate Buyers",IF(AND(H1568="Investment",M1568&gt;'Segmentation Summary'!$C$1),"C1 - Global Investors",IF(AND(I1568&gt;=4,M1568&gt;'Segmentation Summary'!$C$1),"C4 - Luxury Investors",IF(AND(D1568&lt;'Segmentation Summary'!$C$2,J1568=1),"C2 - First-Time Buyers","C5 - Other Individual Buyers"))))</f>
        <v>C2 - First-Time Buyers</v>
      </c>
    </row>
    <row r="1569" customFormat="false" ht="15" hidden="false" customHeight="true" outlineLevel="0" collapsed="false">
      <c r="A1569" s="13" t="s">
        <v>3134</v>
      </c>
      <c r="B1569" s="13" t="s">
        <v>34</v>
      </c>
      <c r="C1569" s="13" t="s">
        <v>3135</v>
      </c>
      <c r="D1569" s="13" t="n">
        <v>32</v>
      </c>
      <c r="E1569" s="13" t="s">
        <v>90</v>
      </c>
      <c r="F1569" s="13" t="s">
        <v>33</v>
      </c>
      <c r="G1569" s="13" t="s">
        <v>207</v>
      </c>
      <c r="H1569" s="13" t="s">
        <v>41</v>
      </c>
      <c r="I1569" s="13" t="n">
        <v>4</v>
      </c>
      <c r="J1569" s="13" t="n">
        <v>0</v>
      </c>
      <c r="K1569" s="13" t="s">
        <v>85</v>
      </c>
      <c r="L1569" s="13" t="n">
        <v>4</v>
      </c>
      <c r="M1569" s="13" t="n">
        <v>1093439.84</v>
      </c>
      <c r="N1569" s="13" t="n">
        <v>273359.96</v>
      </c>
      <c r="O1569" s="13" t="n">
        <v>911.785</v>
      </c>
      <c r="P1569" s="13" t="n">
        <v>0</v>
      </c>
      <c r="Q1569" s="13" t="n">
        <v>4</v>
      </c>
      <c r="R1569" s="13" t="s">
        <v>103</v>
      </c>
      <c r="S1569" s="13" t="s">
        <v>114</v>
      </c>
      <c r="T1569" s="13" t="n">
        <v>1</v>
      </c>
      <c r="U1569" s="13" t="n">
        <f aca="false">IF(B1569="Individual",1,0)</f>
        <v>1</v>
      </c>
      <c r="V1569" s="13" t="n">
        <f aca="false">IF(B1569="Company",1,0)</f>
        <v>0</v>
      </c>
      <c r="W1569" s="13" t="n">
        <f aca="false">IF(H1569="Home",1,0)</f>
        <v>1</v>
      </c>
      <c r="X1569" s="13" t="n">
        <f aca="false">IF(H1569="Investment",1,0)</f>
        <v>0</v>
      </c>
      <c r="Y1569" s="13" t="n">
        <f aca="false">IF(K1569="Website",1,0)</f>
        <v>1</v>
      </c>
      <c r="Z1569" s="13" t="n">
        <f aca="false">IF(K1569="Agency",1,0)</f>
        <v>0</v>
      </c>
      <c r="AA1569" s="13" t="n">
        <f aca="false">IF(K1569="Client",1,0)</f>
        <v>0</v>
      </c>
      <c r="AB1569" s="13" t="n">
        <f aca="false">(D1569-AVERAGE(D$2:D$2001))/STDEV(D$2:D$2001)</f>
        <v>-1.2764737771412</v>
      </c>
      <c r="AC1569" s="13" t="n">
        <f aca="false">(I1569-AVERAGE(I$2:I$2001))/STDEV(I$2:I$2001)</f>
        <v>0.686917069130275</v>
      </c>
      <c r="AD1569" s="13" t="n">
        <f aca="false">(L1569-AVERAGE(L$2:L$2001))/STDEV(L$2:L$2001)</f>
        <v>0.413838214490712</v>
      </c>
      <c r="AE1569" s="13" t="n">
        <f aca="false">(M1569-AVERAGE(M$2:M$2001))/STDEV(M$2:M$2001)</f>
        <v>-0.479933649618859</v>
      </c>
      <c r="AF1569" s="13" t="n">
        <f aca="false">(N1569-AVERAGE(N$2:N$2001))/STDEV(N$2:N$2001)</f>
        <v>-1.05748808552126</v>
      </c>
      <c r="AG1569" s="13" t="n">
        <f aca="false">(O1569-AVERAGE(O$2:O$2001))/STDEV(O$2:O$2001)</f>
        <v>-1.07171651285283</v>
      </c>
      <c r="AH1569" s="0" t="str">
        <f aca="false">IF(B1569="Company","C3 - Corporate Buyers",IF(AND(H1569="Investment",M1569&gt;'Segmentation Summary'!$C$1),"C1 - Global Investors",IF(AND(I1569&gt;=4,M1569&gt;'Segmentation Summary'!$C$1),"C4 - Luxury Investors",IF(AND(D1569&lt;'Segmentation Summary'!$C$2,J1569=1),"C2 - First-Time Buyers","C5 - Other Individual Buyers"))))</f>
        <v>C5 - Other Individual Buyers</v>
      </c>
    </row>
    <row r="1570" customFormat="false" ht="15" hidden="false" customHeight="true" outlineLevel="0" collapsed="false">
      <c r="A1570" s="13" t="s">
        <v>3136</v>
      </c>
      <c r="B1570" s="13" t="s">
        <v>34</v>
      </c>
      <c r="C1570" s="13" t="s">
        <v>3137</v>
      </c>
      <c r="D1570" s="13" t="n">
        <v>64</v>
      </c>
      <c r="E1570" s="13" t="s">
        <v>90</v>
      </c>
      <c r="F1570" s="13" t="s">
        <v>33</v>
      </c>
      <c r="G1570" s="13" t="s">
        <v>84</v>
      </c>
      <c r="H1570" s="13" t="s">
        <v>41</v>
      </c>
      <c r="I1570" s="13" t="n">
        <v>3</v>
      </c>
      <c r="J1570" s="13" t="n">
        <v>0</v>
      </c>
      <c r="K1570" s="13" t="s">
        <v>91</v>
      </c>
      <c r="L1570" s="13" t="n">
        <v>4</v>
      </c>
      <c r="M1570" s="13" t="n">
        <v>1491785.87</v>
      </c>
      <c r="N1570" s="13" t="n">
        <v>372946.4675</v>
      </c>
      <c r="O1570" s="13" t="n">
        <v>1329.6025</v>
      </c>
      <c r="P1570" s="13" t="n">
        <v>0</v>
      </c>
      <c r="Q1570" s="13" t="n">
        <v>4</v>
      </c>
      <c r="R1570" s="13" t="s">
        <v>86</v>
      </c>
      <c r="S1570" s="13" t="s">
        <v>125</v>
      </c>
      <c r="T1570" s="13" t="n">
        <v>1</v>
      </c>
      <c r="U1570" s="13" t="n">
        <f aca="false">IF(B1570="Individual",1,0)</f>
        <v>1</v>
      </c>
      <c r="V1570" s="13" t="n">
        <f aca="false">IF(B1570="Company",1,0)</f>
        <v>0</v>
      </c>
      <c r="W1570" s="13" t="n">
        <f aca="false">IF(H1570="Home",1,0)</f>
        <v>1</v>
      </c>
      <c r="X1570" s="13" t="n">
        <f aca="false">IF(H1570="Investment",1,0)</f>
        <v>0</v>
      </c>
      <c r="Y1570" s="13" t="n">
        <f aca="false">IF(K1570="Website",1,0)</f>
        <v>0</v>
      </c>
      <c r="Z1570" s="13" t="n">
        <f aca="false">IF(K1570="Agency",1,0)</f>
        <v>1</v>
      </c>
      <c r="AA1570" s="13" t="n">
        <f aca="false">IF(K1570="Client",1,0)</f>
        <v>0</v>
      </c>
      <c r="AB1570" s="13" t="n">
        <f aca="false">(D1570-AVERAGE(D$2:D$2001))/STDEV(D$2:D$2001)</f>
        <v>0.568724798479635</v>
      </c>
      <c r="AC1570" s="13" t="n">
        <f aca="false">(I1570-AVERAGE(I$2:I$2001))/STDEV(I$2:I$2001)</f>
        <v>-0.0205155458339628</v>
      </c>
      <c r="AD1570" s="13" t="n">
        <f aca="false">(L1570-AVERAGE(L$2:L$2001))/STDEV(L$2:L$2001)</f>
        <v>0.413838214490712</v>
      </c>
      <c r="AE1570" s="13" t="n">
        <f aca="false">(M1570-AVERAGE(M$2:M$2001))/STDEV(M$2:M$2001)</f>
        <v>0.665296113828221</v>
      </c>
      <c r="AF1570" s="13" t="n">
        <f aca="false">(N1570-AVERAGE(N$2:N$2001))/STDEV(N$2:N$2001)</f>
        <v>0.370852495791818</v>
      </c>
      <c r="AG1570" s="13" t="n">
        <f aca="false">(O1570-AVERAGE(O$2:O$2001))/STDEV(O$2:O$2001)</f>
        <v>0.828122452191959</v>
      </c>
      <c r="AH1570" s="0" t="str">
        <f aca="false">IF(B1570="Company","C3 - Corporate Buyers",IF(AND(H1570="Investment",M1570&gt;'Segmentation Summary'!$C$1),"C1 - Global Investors",IF(AND(I1570&gt;=4,M1570&gt;'Segmentation Summary'!$C$1),"C4 - Luxury Investors",IF(AND(D1570&lt;'Segmentation Summary'!$C$2,J1570=1),"C2 - First-Time Buyers","C5 - Other Individual Buyers"))))</f>
        <v>C5 - Other Individual Buyers</v>
      </c>
    </row>
    <row r="1571" customFormat="false" ht="15" hidden="false" customHeight="true" outlineLevel="0" collapsed="false">
      <c r="A1571" s="13" t="s">
        <v>3138</v>
      </c>
      <c r="B1571" s="13" t="s">
        <v>34</v>
      </c>
      <c r="C1571" s="13" t="s">
        <v>3139</v>
      </c>
      <c r="D1571" s="13" t="n">
        <v>41</v>
      </c>
      <c r="E1571" s="13" t="s">
        <v>90</v>
      </c>
      <c r="F1571" s="13" t="s">
        <v>33</v>
      </c>
      <c r="G1571" s="13" t="s">
        <v>157</v>
      </c>
      <c r="H1571" s="13" t="s">
        <v>41</v>
      </c>
      <c r="I1571" s="13" t="n">
        <v>2</v>
      </c>
      <c r="J1571" s="13" t="n">
        <v>0</v>
      </c>
      <c r="K1571" s="13" t="s">
        <v>85</v>
      </c>
      <c r="L1571" s="13" t="n">
        <v>4</v>
      </c>
      <c r="M1571" s="13" t="n">
        <v>1463350.69</v>
      </c>
      <c r="N1571" s="13" t="n">
        <v>365837.6725</v>
      </c>
      <c r="O1571" s="13" t="n">
        <v>1210.7375</v>
      </c>
      <c r="P1571" s="13" t="n">
        <v>0</v>
      </c>
      <c r="Q1571" s="13" t="n">
        <v>4</v>
      </c>
      <c r="R1571" s="13" t="s">
        <v>98</v>
      </c>
      <c r="S1571" s="13" t="s">
        <v>87</v>
      </c>
      <c r="T1571" s="13" t="n">
        <v>1</v>
      </c>
      <c r="U1571" s="13" t="n">
        <f aca="false">IF(B1571="Individual",1,0)</f>
        <v>1</v>
      </c>
      <c r="V1571" s="13" t="n">
        <f aca="false">IF(B1571="Company",1,0)</f>
        <v>0</v>
      </c>
      <c r="W1571" s="13" t="n">
        <f aca="false">IF(H1571="Home",1,0)</f>
        <v>1</v>
      </c>
      <c r="X1571" s="13" t="n">
        <f aca="false">IF(H1571="Investment",1,0)</f>
        <v>0</v>
      </c>
      <c r="Y1571" s="13" t="n">
        <f aca="false">IF(K1571="Website",1,0)</f>
        <v>1</v>
      </c>
      <c r="Z1571" s="13" t="n">
        <f aca="false">IF(K1571="Agency",1,0)</f>
        <v>0</v>
      </c>
      <c r="AA1571" s="13" t="n">
        <f aca="false">IF(K1571="Client",1,0)</f>
        <v>0</v>
      </c>
      <c r="AB1571" s="13" t="n">
        <f aca="false">(D1571-AVERAGE(D$2:D$2001))/STDEV(D$2:D$2001)</f>
        <v>-0.757511677747842</v>
      </c>
      <c r="AC1571" s="13" t="n">
        <f aca="false">(I1571-AVERAGE(I$2:I$2001))/STDEV(I$2:I$2001)</f>
        <v>-0.727948160798201</v>
      </c>
      <c r="AD1571" s="13" t="n">
        <f aca="false">(L1571-AVERAGE(L$2:L$2001))/STDEV(L$2:L$2001)</f>
        <v>0.413838214490712</v>
      </c>
      <c r="AE1571" s="13" t="n">
        <f aca="false">(M1571-AVERAGE(M$2:M$2001))/STDEV(M$2:M$2001)</f>
        <v>0.583546047271827</v>
      </c>
      <c r="AF1571" s="13" t="n">
        <f aca="false">(N1571-AVERAGE(N$2:N$2001))/STDEV(N$2:N$2001)</f>
        <v>0.268893097499478</v>
      </c>
      <c r="AG1571" s="13" t="n">
        <f aca="false">(O1571-AVERAGE(O$2:O$2001))/STDEV(O$2:O$2001)</f>
        <v>0.287636812935468</v>
      </c>
      <c r="AH1571" s="0" t="str">
        <f aca="false">IF(B1571="Company","C3 - Corporate Buyers",IF(AND(H1571="Investment",M1571&gt;'Segmentation Summary'!$C$1),"C1 - Global Investors",IF(AND(I1571&gt;=4,M1571&gt;'Segmentation Summary'!$C$1),"C4 - Luxury Investors",IF(AND(D1571&lt;'Segmentation Summary'!$C$2,J1571=1),"C2 - First-Time Buyers","C5 - Other Individual Buyers"))))</f>
        <v>C5 - Other Individual Buyers</v>
      </c>
    </row>
    <row r="1572" customFormat="false" ht="15" hidden="false" customHeight="true" outlineLevel="0" collapsed="false">
      <c r="A1572" s="13" t="s">
        <v>3140</v>
      </c>
      <c r="B1572" s="13" t="s">
        <v>34</v>
      </c>
      <c r="C1572" s="13" t="s">
        <v>3141</v>
      </c>
      <c r="D1572" s="13" t="n">
        <v>31</v>
      </c>
      <c r="E1572" s="13" t="s">
        <v>90</v>
      </c>
      <c r="F1572" s="13" t="s">
        <v>33</v>
      </c>
      <c r="G1572" s="13" t="s">
        <v>95</v>
      </c>
      <c r="H1572" s="13" t="s">
        <v>43</v>
      </c>
      <c r="I1572" s="13" t="n">
        <v>1</v>
      </c>
      <c r="J1572" s="13" t="n">
        <v>1</v>
      </c>
      <c r="K1572" s="13" t="s">
        <v>85</v>
      </c>
      <c r="L1572" s="13" t="n">
        <v>3</v>
      </c>
      <c r="M1572" s="13" t="n">
        <v>1175242.55</v>
      </c>
      <c r="N1572" s="13" t="n">
        <v>391747.516666667</v>
      </c>
      <c r="O1572" s="13" t="n">
        <v>1258.29</v>
      </c>
      <c r="P1572" s="13" t="n">
        <v>0</v>
      </c>
      <c r="Q1572" s="13" t="n">
        <v>3</v>
      </c>
      <c r="R1572" s="13" t="s">
        <v>101</v>
      </c>
      <c r="S1572" s="13" t="s">
        <v>154</v>
      </c>
      <c r="T1572" s="13" t="n">
        <v>1</v>
      </c>
      <c r="U1572" s="13" t="n">
        <f aca="false">IF(B1572="Individual",1,0)</f>
        <v>1</v>
      </c>
      <c r="V1572" s="13" t="n">
        <f aca="false">IF(B1572="Company",1,0)</f>
        <v>0</v>
      </c>
      <c r="W1572" s="13" t="n">
        <f aca="false">IF(H1572="Home",1,0)</f>
        <v>0</v>
      </c>
      <c r="X1572" s="13" t="n">
        <f aca="false">IF(H1572="Investment",1,0)</f>
        <v>1</v>
      </c>
      <c r="Y1572" s="13" t="n">
        <f aca="false">IF(K1572="Website",1,0)</f>
        <v>1</v>
      </c>
      <c r="Z1572" s="13" t="n">
        <f aca="false">IF(K1572="Agency",1,0)</f>
        <v>0</v>
      </c>
      <c r="AA1572" s="13" t="n">
        <f aca="false">IF(K1572="Client",1,0)</f>
        <v>0</v>
      </c>
      <c r="AB1572" s="13" t="n">
        <f aca="false">(D1572-AVERAGE(D$2:D$2001))/STDEV(D$2:D$2001)</f>
        <v>-1.33413623262935</v>
      </c>
      <c r="AC1572" s="13" t="n">
        <f aca="false">(I1572-AVERAGE(I$2:I$2001))/STDEV(I$2:I$2001)</f>
        <v>-1.43538077576244</v>
      </c>
      <c r="AD1572" s="13" t="n">
        <f aca="false">(L1572-AVERAGE(L$2:L$2001))/STDEV(L$2:L$2001)</f>
        <v>-0.777063122173208</v>
      </c>
      <c r="AE1572" s="13" t="n">
        <f aca="false">(M1572-AVERAGE(M$2:M$2001))/STDEV(M$2:M$2001)</f>
        <v>-0.244753953657963</v>
      </c>
      <c r="AF1572" s="13" t="n">
        <f aca="false">(N1572-AVERAGE(N$2:N$2001))/STDEV(N$2:N$2001)</f>
        <v>0.640510526484509</v>
      </c>
      <c r="AG1572" s="13" t="n">
        <f aca="false">(O1572-AVERAGE(O$2:O$2001))/STDEV(O$2:O$2001)</f>
        <v>0.503860624492649</v>
      </c>
      <c r="AH1572" s="0" t="str">
        <f aca="false">IF(B1572="Company","C3 - Corporate Buyers",IF(AND(H1572="Investment",M1572&gt;'Segmentation Summary'!$C$1),"C1 - Global Investors",IF(AND(I1572&gt;=4,M1572&gt;'Segmentation Summary'!$C$1),"C4 - Luxury Investors",IF(AND(D1572&lt;'Segmentation Summary'!$C$2,J1572=1),"C2 - First-Time Buyers","C5 - Other Individual Buyers"))))</f>
        <v>C2 - First-Time Buyers</v>
      </c>
    </row>
    <row r="1573" customFormat="false" ht="15" hidden="false" customHeight="true" outlineLevel="0" collapsed="false">
      <c r="A1573" s="13" t="s">
        <v>3142</v>
      </c>
      <c r="B1573" s="13" t="s">
        <v>34</v>
      </c>
      <c r="C1573" s="13" t="s">
        <v>3143</v>
      </c>
      <c r="D1573" s="13" t="n">
        <v>28</v>
      </c>
      <c r="E1573" s="13" t="s">
        <v>90</v>
      </c>
      <c r="F1573" s="13" t="s">
        <v>33</v>
      </c>
      <c r="G1573" s="13" t="s">
        <v>100</v>
      </c>
      <c r="H1573" s="13" t="s">
        <v>41</v>
      </c>
      <c r="I1573" s="13" t="n">
        <v>5</v>
      </c>
      <c r="J1573" s="13" t="n">
        <v>0</v>
      </c>
      <c r="K1573" s="13" t="s">
        <v>85</v>
      </c>
      <c r="L1573" s="13" t="n">
        <v>3</v>
      </c>
      <c r="M1573" s="13" t="n">
        <v>1028509.6</v>
      </c>
      <c r="N1573" s="13" t="n">
        <v>342836.533333333</v>
      </c>
      <c r="O1573" s="13" t="n">
        <v>1037.58333333333</v>
      </c>
      <c r="P1573" s="13" t="n">
        <v>0</v>
      </c>
      <c r="Q1573" s="13" t="n">
        <v>3</v>
      </c>
      <c r="R1573" s="13" t="s">
        <v>98</v>
      </c>
      <c r="S1573" s="13" t="s">
        <v>133</v>
      </c>
      <c r="T1573" s="13" t="n">
        <v>1</v>
      </c>
      <c r="U1573" s="13" t="n">
        <f aca="false">IF(B1573="Individual",1,0)</f>
        <v>1</v>
      </c>
      <c r="V1573" s="13" t="n">
        <f aca="false">IF(B1573="Company",1,0)</f>
        <v>0</v>
      </c>
      <c r="W1573" s="13" t="n">
        <f aca="false">IF(H1573="Home",1,0)</f>
        <v>1</v>
      </c>
      <c r="X1573" s="13" t="n">
        <f aca="false">IF(H1573="Investment",1,0)</f>
        <v>0</v>
      </c>
      <c r="Y1573" s="13" t="n">
        <f aca="false">IF(K1573="Website",1,0)</f>
        <v>1</v>
      </c>
      <c r="Z1573" s="13" t="n">
        <f aca="false">IF(K1573="Agency",1,0)</f>
        <v>0</v>
      </c>
      <c r="AA1573" s="13" t="n">
        <f aca="false">IF(K1573="Client",1,0)</f>
        <v>0</v>
      </c>
      <c r="AB1573" s="13" t="n">
        <f aca="false">(D1573-AVERAGE(D$2:D$2001))/STDEV(D$2:D$2001)</f>
        <v>-1.50712359909381</v>
      </c>
      <c r="AC1573" s="13" t="n">
        <f aca="false">(I1573-AVERAGE(I$2:I$2001))/STDEV(I$2:I$2001)</f>
        <v>1.39434968409451</v>
      </c>
      <c r="AD1573" s="13" t="n">
        <f aca="false">(L1573-AVERAGE(L$2:L$2001))/STDEV(L$2:L$2001)</f>
        <v>-0.777063122173208</v>
      </c>
      <c r="AE1573" s="13" t="n">
        <f aca="false">(M1573-AVERAGE(M$2:M$2001))/STDEV(M$2:M$2001)</f>
        <v>-0.666605632758146</v>
      </c>
      <c r="AF1573" s="13" t="n">
        <f aca="false">(N1573-AVERAGE(N$2:N$2001))/STDEV(N$2:N$2001)</f>
        <v>-0.061005613811191</v>
      </c>
      <c r="AG1573" s="13" t="n">
        <f aca="false">(O1573-AVERAGE(O$2:O$2001))/STDEV(O$2:O$2001)</f>
        <v>-0.499704628706394</v>
      </c>
      <c r="AH1573" s="0" t="str">
        <f aca="false">IF(B1573="Company","C3 - Corporate Buyers",IF(AND(H1573="Investment",M1573&gt;'Segmentation Summary'!$C$1),"C1 - Global Investors",IF(AND(I1573&gt;=4,M1573&gt;'Segmentation Summary'!$C$1),"C4 - Luxury Investors",IF(AND(D1573&lt;'Segmentation Summary'!$C$2,J1573=1),"C2 - First-Time Buyers","C5 - Other Individual Buyers"))))</f>
        <v>C5 - Other Individual Buyers</v>
      </c>
    </row>
    <row r="1574" customFormat="false" ht="15" hidden="false" customHeight="true" outlineLevel="0" collapsed="false">
      <c r="A1574" s="13" t="s">
        <v>3144</v>
      </c>
      <c r="B1574" s="13" t="s">
        <v>34</v>
      </c>
      <c r="C1574" s="13" t="s">
        <v>3145</v>
      </c>
      <c r="D1574" s="13" t="n">
        <v>73</v>
      </c>
      <c r="E1574" s="13" t="s">
        <v>83</v>
      </c>
      <c r="F1574" s="13" t="s">
        <v>33</v>
      </c>
      <c r="G1574" s="13" t="s">
        <v>95</v>
      </c>
      <c r="H1574" s="13" t="s">
        <v>41</v>
      </c>
      <c r="I1574" s="13" t="n">
        <v>5</v>
      </c>
      <c r="J1574" s="13" t="n">
        <v>0</v>
      </c>
      <c r="K1574" s="13" t="s">
        <v>85</v>
      </c>
      <c r="L1574" s="13" t="n">
        <v>9</v>
      </c>
      <c r="M1574" s="13" t="n">
        <v>2534264.26</v>
      </c>
      <c r="N1574" s="13" t="n">
        <v>281584.917777778</v>
      </c>
      <c r="O1574" s="13" t="n">
        <v>939.414444444444</v>
      </c>
      <c r="P1574" s="13" t="n">
        <v>1</v>
      </c>
      <c r="Q1574" s="13" t="n">
        <v>8</v>
      </c>
      <c r="R1574" s="13" t="s">
        <v>92</v>
      </c>
      <c r="S1574" s="13" t="s">
        <v>141</v>
      </c>
      <c r="T1574" s="13" t="n">
        <v>1</v>
      </c>
      <c r="U1574" s="13" t="n">
        <f aca="false">IF(B1574="Individual",1,0)</f>
        <v>1</v>
      </c>
      <c r="V1574" s="13" t="n">
        <f aca="false">IF(B1574="Company",1,0)</f>
        <v>0</v>
      </c>
      <c r="W1574" s="13" t="n">
        <f aca="false">IF(H1574="Home",1,0)</f>
        <v>1</v>
      </c>
      <c r="X1574" s="13" t="n">
        <f aca="false">IF(H1574="Investment",1,0)</f>
        <v>0</v>
      </c>
      <c r="Y1574" s="13" t="n">
        <f aca="false">IF(K1574="Website",1,0)</f>
        <v>1</v>
      </c>
      <c r="Z1574" s="13" t="n">
        <f aca="false">IF(K1574="Agency",1,0)</f>
        <v>0</v>
      </c>
      <c r="AA1574" s="13" t="n">
        <f aca="false">IF(K1574="Client",1,0)</f>
        <v>0</v>
      </c>
      <c r="AB1574" s="13" t="n">
        <f aca="false">(D1574-AVERAGE(D$2:D$2001))/STDEV(D$2:D$2001)</f>
        <v>1.087686897873</v>
      </c>
      <c r="AC1574" s="13" t="n">
        <f aca="false">(I1574-AVERAGE(I$2:I$2001))/STDEV(I$2:I$2001)</f>
        <v>1.39434968409451</v>
      </c>
      <c r="AD1574" s="13" t="n">
        <f aca="false">(L1574-AVERAGE(L$2:L$2001))/STDEV(L$2:L$2001)</f>
        <v>6.36834489781031</v>
      </c>
      <c r="AE1574" s="13" t="n">
        <f aca="false">(M1574-AVERAGE(M$2:M$2001))/STDEV(M$2:M$2001)</f>
        <v>3.66238203929456</v>
      </c>
      <c r="AF1574" s="13" t="n">
        <f aca="false">(N1574-AVERAGE(N$2:N$2001))/STDEV(N$2:N$2001)</f>
        <v>-0.939519886128521</v>
      </c>
      <c r="AG1574" s="13" t="n">
        <f aca="false">(O1574-AVERAGE(O$2:O$2001))/STDEV(O$2:O$2001)</f>
        <v>-0.94608392173806</v>
      </c>
      <c r="AH1574" s="0" t="str">
        <f aca="false">IF(B1574="Company","C3 - Corporate Buyers",IF(AND(H1574="Investment",M1574&gt;'Segmentation Summary'!$C$1),"C1 - Global Investors",IF(AND(I1574&gt;=4,M1574&gt;'Segmentation Summary'!$C$1),"C4 - Luxury Investors",IF(AND(D1574&lt;'Segmentation Summary'!$C$2,J1574=1),"C2 - First-Time Buyers","C5 - Other Individual Buyers"))))</f>
        <v>C4 - Luxury Investors</v>
      </c>
    </row>
    <row r="1575" customFormat="false" ht="15" hidden="false" customHeight="true" outlineLevel="0" collapsed="false">
      <c r="A1575" s="13" t="s">
        <v>3146</v>
      </c>
      <c r="B1575" s="13" t="s">
        <v>34</v>
      </c>
      <c r="C1575" s="13" t="s">
        <v>3147</v>
      </c>
      <c r="D1575" s="13" t="n">
        <v>36</v>
      </c>
      <c r="E1575" s="13" t="s">
        <v>90</v>
      </c>
      <c r="F1575" s="13" t="s">
        <v>33</v>
      </c>
      <c r="G1575" s="13" t="s">
        <v>100</v>
      </c>
      <c r="H1575" s="13" t="s">
        <v>43</v>
      </c>
      <c r="I1575" s="13" t="n">
        <v>2</v>
      </c>
      <c r="J1575" s="13" t="n">
        <v>0</v>
      </c>
      <c r="K1575" s="13" t="s">
        <v>85</v>
      </c>
      <c r="L1575" s="13" t="n">
        <v>4</v>
      </c>
      <c r="M1575" s="13" t="n">
        <v>1228651.21</v>
      </c>
      <c r="N1575" s="13" t="n">
        <v>307162.8025</v>
      </c>
      <c r="O1575" s="13" t="n">
        <v>1030.21</v>
      </c>
      <c r="P1575" s="13" t="n">
        <v>1</v>
      </c>
      <c r="Q1575" s="13" t="n">
        <v>3</v>
      </c>
      <c r="R1575" s="13" t="s">
        <v>92</v>
      </c>
      <c r="S1575" s="13" t="s">
        <v>125</v>
      </c>
      <c r="T1575" s="13" t="n">
        <v>1</v>
      </c>
      <c r="U1575" s="13" t="n">
        <f aca="false">IF(B1575="Individual",1,0)</f>
        <v>1</v>
      </c>
      <c r="V1575" s="13" t="n">
        <f aca="false">IF(B1575="Company",1,0)</f>
        <v>0</v>
      </c>
      <c r="W1575" s="13" t="n">
        <f aca="false">IF(H1575="Home",1,0)</f>
        <v>0</v>
      </c>
      <c r="X1575" s="13" t="n">
        <f aca="false">IF(H1575="Investment",1,0)</f>
        <v>1</v>
      </c>
      <c r="Y1575" s="13" t="n">
        <f aca="false">IF(K1575="Website",1,0)</f>
        <v>1</v>
      </c>
      <c r="Z1575" s="13" t="n">
        <f aca="false">IF(K1575="Agency",1,0)</f>
        <v>0</v>
      </c>
      <c r="AA1575" s="13" t="n">
        <f aca="false">IF(K1575="Client",1,0)</f>
        <v>0</v>
      </c>
      <c r="AB1575" s="13" t="n">
        <f aca="false">(D1575-AVERAGE(D$2:D$2001))/STDEV(D$2:D$2001)</f>
        <v>-1.0458239551886</v>
      </c>
      <c r="AC1575" s="13" t="n">
        <f aca="false">(I1575-AVERAGE(I$2:I$2001))/STDEV(I$2:I$2001)</f>
        <v>-0.727948160798201</v>
      </c>
      <c r="AD1575" s="13" t="n">
        <f aca="false">(L1575-AVERAGE(L$2:L$2001))/STDEV(L$2:L$2001)</f>
        <v>0.413838214490712</v>
      </c>
      <c r="AE1575" s="13" t="n">
        <f aca="false">(M1575-AVERAGE(M$2:M$2001))/STDEV(M$2:M$2001)</f>
        <v>-0.0912060770597563</v>
      </c>
      <c r="AF1575" s="13" t="n">
        <f aca="false">(N1575-AVERAGE(N$2:N$2001))/STDEV(N$2:N$2001)</f>
        <v>-0.57266365580136</v>
      </c>
      <c r="AG1575" s="13" t="n">
        <f aca="false">(O1575-AVERAGE(O$2:O$2001))/STDEV(O$2:O$2001)</f>
        <v>-0.53323157759897</v>
      </c>
      <c r="AH1575" s="0" t="str">
        <f aca="false">IF(B1575="Company","C3 - Corporate Buyers",IF(AND(H1575="Investment",M1575&gt;'Segmentation Summary'!$C$1),"C1 - Global Investors",IF(AND(I1575&gt;=4,M1575&gt;'Segmentation Summary'!$C$1),"C4 - Luxury Investors",IF(AND(D1575&lt;'Segmentation Summary'!$C$2,J1575=1),"C2 - First-Time Buyers","C5 - Other Individual Buyers"))))</f>
        <v>C1 - Global Investors</v>
      </c>
    </row>
    <row r="1576" customFormat="false" ht="15" hidden="false" customHeight="true" outlineLevel="0" collapsed="false">
      <c r="A1576" s="13" t="s">
        <v>3148</v>
      </c>
      <c r="B1576" s="13" t="s">
        <v>34</v>
      </c>
      <c r="C1576" s="13" t="s">
        <v>3149</v>
      </c>
      <c r="D1576" s="13" t="n">
        <v>68</v>
      </c>
      <c r="E1576" s="13" t="s">
        <v>90</v>
      </c>
      <c r="F1576" s="13" t="s">
        <v>33</v>
      </c>
      <c r="G1576" s="13" t="s">
        <v>207</v>
      </c>
      <c r="H1576" s="13" t="s">
        <v>41</v>
      </c>
      <c r="I1576" s="13" t="n">
        <v>2</v>
      </c>
      <c r="J1576" s="13" t="n">
        <v>0</v>
      </c>
      <c r="K1576" s="13" t="s">
        <v>85</v>
      </c>
      <c r="L1576" s="13" t="n">
        <v>3</v>
      </c>
      <c r="M1576" s="13" t="n">
        <v>1543592.15</v>
      </c>
      <c r="N1576" s="13" t="n">
        <v>514530.716666667</v>
      </c>
      <c r="O1576" s="13" t="n">
        <v>1680.52666666667</v>
      </c>
      <c r="P1576" s="13" t="n">
        <v>1</v>
      </c>
      <c r="Q1576" s="13" t="n">
        <v>2</v>
      </c>
      <c r="R1576" s="13" t="s">
        <v>117</v>
      </c>
      <c r="S1576" s="13" t="s">
        <v>154</v>
      </c>
      <c r="T1576" s="13" t="n">
        <v>1</v>
      </c>
      <c r="U1576" s="13" t="n">
        <f aca="false">IF(B1576="Individual",1,0)</f>
        <v>1</v>
      </c>
      <c r="V1576" s="13" t="n">
        <f aca="false">IF(B1576="Company",1,0)</f>
        <v>0</v>
      </c>
      <c r="W1576" s="13" t="n">
        <f aca="false">IF(H1576="Home",1,0)</f>
        <v>1</v>
      </c>
      <c r="X1576" s="13" t="n">
        <f aca="false">IF(H1576="Investment",1,0)</f>
        <v>0</v>
      </c>
      <c r="Y1576" s="13" t="n">
        <f aca="false">IF(K1576="Website",1,0)</f>
        <v>1</v>
      </c>
      <c r="Z1576" s="13" t="n">
        <f aca="false">IF(K1576="Agency",1,0)</f>
        <v>0</v>
      </c>
      <c r="AA1576" s="13" t="n">
        <f aca="false">IF(K1576="Client",1,0)</f>
        <v>0</v>
      </c>
      <c r="AB1576" s="13" t="n">
        <f aca="false">(D1576-AVERAGE(D$2:D$2001))/STDEV(D$2:D$2001)</f>
        <v>0.79937462043224</v>
      </c>
      <c r="AC1576" s="13" t="n">
        <f aca="false">(I1576-AVERAGE(I$2:I$2001))/STDEV(I$2:I$2001)</f>
        <v>-0.727948160798201</v>
      </c>
      <c r="AD1576" s="13" t="n">
        <f aca="false">(L1576-AVERAGE(L$2:L$2001))/STDEV(L$2:L$2001)</f>
        <v>-0.777063122173208</v>
      </c>
      <c r="AE1576" s="13" t="n">
        <f aca="false">(M1576-AVERAGE(M$2:M$2001))/STDEV(M$2:M$2001)</f>
        <v>0.814237208558029</v>
      </c>
      <c r="AF1576" s="13" t="n">
        <f aca="false">(N1576-AVERAGE(N$2:N$2001))/STDEV(N$2:N$2001)</f>
        <v>2.40155458421974</v>
      </c>
      <c r="AG1576" s="13" t="n">
        <f aca="false">(O1576-AVERAGE(O$2:O$2001))/STDEV(O$2:O$2001)</f>
        <v>2.42379378144268</v>
      </c>
      <c r="AH1576" s="0" t="str">
        <f aca="false">IF(B1576="Company","C3 - Corporate Buyers",IF(AND(H1576="Investment",M1576&gt;'Segmentation Summary'!$C$1),"C1 - Global Investors",IF(AND(I1576&gt;=4,M1576&gt;'Segmentation Summary'!$C$1),"C4 - Luxury Investors",IF(AND(D1576&lt;'Segmentation Summary'!$C$2,J1576=1),"C2 - First-Time Buyers","C5 - Other Individual Buyers"))))</f>
        <v>C5 - Other Individual Buyers</v>
      </c>
    </row>
    <row r="1577" customFormat="false" ht="15" hidden="false" customHeight="true" outlineLevel="0" collapsed="false">
      <c r="A1577" s="13" t="s">
        <v>3150</v>
      </c>
      <c r="B1577" s="13" t="s">
        <v>34</v>
      </c>
      <c r="C1577" s="13" t="s">
        <v>3151</v>
      </c>
      <c r="D1577" s="13" t="n">
        <v>74</v>
      </c>
      <c r="E1577" s="13" t="s">
        <v>90</v>
      </c>
      <c r="F1577" s="13" t="s">
        <v>33</v>
      </c>
      <c r="G1577" s="13" t="s">
        <v>84</v>
      </c>
      <c r="H1577" s="13" t="s">
        <v>41</v>
      </c>
      <c r="I1577" s="13" t="n">
        <v>1</v>
      </c>
      <c r="J1577" s="13" t="n">
        <v>1</v>
      </c>
      <c r="K1577" s="13" t="s">
        <v>91</v>
      </c>
      <c r="L1577" s="13" t="n">
        <v>3</v>
      </c>
      <c r="M1577" s="13" t="n">
        <v>1071763.22</v>
      </c>
      <c r="N1577" s="13" t="n">
        <v>357254.406666667</v>
      </c>
      <c r="O1577" s="13" t="n">
        <v>1138.42333333333</v>
      </c>
      <c r="P1577" s="13" t="n">
        <v>0</v>
      </c>
      <c r="Q1577" s="13" t="n">
        <v>3</v>
      </c>
      <c r="R1577" s="13" t="s">
        <v>121</v>
      </c>
      <c r="S1577" s="13" t="s">
        <v>135</v>
      </c>
      <c r="T1577" s="13" t="n">
        <v>1</v>
      </c>
      <c r="U1577" s="13" t="n">
        <f aca="false">IF(B1577="Individual",1,0)</f>
        <v>1</v>
      </c>
      <c r="V1577" s="13" t="n">
        <f aca="false">IF(B1577="Company",1,0)</f>
        <v>0</v>
      </c>
      <c r="W1577" s="13" t="n">
        <f aca="false">IF(H1577="Home",1,0)</f>
        <v>1</v>
      </c>
      <c r="X1577" s="13" t="n">
        <f aca="false">IF(H1577="Investment",1,0)</f>
        <v>0</v>
      </c>
      <c r="Y1577" s="13" t="n">
        <f aca="false">IF(K1577="Website",1,0)</f>
        <v>0</v>
      </c>
      <c r="Z1577" s="13" t="n">
        <f aca="false">IF(K1577="Agency",1,0)</f>
        <v>1</v>
      </c>
      <c r="AA1577" s="13" t="n">
        <f aca="false">IF(K1577="Client",1,0)</f>
        <v>0</v>
      </c>
      <c r="AB1577" s="13" t="n">
        <f aca="false">(D1577-AVERAGE(D$2:D$2001))/STDEV(D$2:D$2001)</f>
        <v>1.14534935336115</v>
      </c>
      <c r="AC1577" s="13" t="n">
        <f aca="false">(I1577-AVERAGE(I$2:I$2001))/STDEV(I$2:I$2001)</f>
        <v>-1.43538077576244</v>
      </c>
      <c r="AD1577" s="13" t="n">
        <f aca="false">(L1577-AVERAGE(L$2:L$2001))/STDEV(L$2:L$2001)</f>
        <v>-0.777063122173208</v>
      </c>
      <c r="AE1577" s="13" t="n">
        <f aca="false">(M1577-AVERAGE(M$2:M$2001))/STDEV(M$2:M$2001)</f>
        <v>-0.542253111908799</v>
      </c>
      <c r="AF1577" s="13" t="n">
        <f aca="false">(N1577-AVERAGE(N$2:N$2001))/STDEV(N$2:N$2001)</f>
        <v>0.145785788912042</v>
      </c>
      <c r="AG1577" s="13" t="n">
        <f aca="false">(O1577-AVERAGE(O$2:O$2001))/STDEV(O$2:O$2001)</f>
        <v>-0.0411796477395454</v>
      </c>
      <c r="AH1577" s="0" t="str">
        <f aca="false">IF(B1577="Company","C3 - Corporate Buyers",IF(AND(H1577="Investment",M1577&gt;'Segmentation Summary'!$C$1),"C1 - Global Investors",IF(AND(I1577&gt;=4,M1577&gt;'Segmentation Summary'!$C$1),"C4 - Luxury Investors",IF(AND(D1577&lt;'Segmentation Summary'!$C$2,J1577=1),"C2 - First-Time Buyers","C5 - Other Individual Buyers"))))</f>
        <v>C5 - Other Individual Buyers</v>
      </c>
    </row>
    <row r="1578" customFormat="false" ht="15" hidden="false" customHeight="true" outlineLevel="0" collapsed="false">
      <c r="A1578" s="13" t="s">
        <v>3152</v>
      </c>
      <c r="B1578" s="13" t="s">
        <v>34</v>
      </c>
      <c r="C1578" s="13" t="s">
        <v>3153</v>
      </c>
      <c r="D1578" s="13" t="n">
        <v>31</v>
      </c>
      <c r="E1578" s="13" t="s">
        <v>90</v>
      </c>
      <c r="F1578" s="13" t="s">
        <v>33</v>
      </c>
      <c r="G1578" s="13" t="s">
        <v>157</v>
      </c>
      <c r="H1578" s="13" t="s">
        <v>43</v>
      </c>
      <c r="I1578" s="13" t="n">
        <v>5</v>
      </c>
      <c r="J1578" s="13" t="n">
        <v>1</v>
      </c>
      <c r="K1578" s="13" t="s">
        <v>85</v>
      </c>
      <c r="L1578" s="13" t="n">
        <v>3</v>
      </c>
      <c r="M1578" s="13" t="n">
        <v>829499.85</v>
      </c>
      <c r="N1578" s="13" t="n">
        <v>276499.95</v>
      </c>
      <c r="O1578" s="13" t="n">
        <v>953.113333333333</v>
      </c>
      <c r="P1578" s="13" t="n">
        <v>0</v>
      </c>
      <c r="Q1578" s="13" t="n">
        <v>3</v>
      </c>
      <c r="R1578" s="13" t="s">
        <v>98</v>
      </c>
      <c r="S1578" s="13" t="s">
        <v>215</v>
      </c>
      <c r="T1578" s="13" t="n">
        <v>1</v>
      </c>
      <c r="U1578" s="13" t="n">
        <f aca="false">IF(B1578="Individual",1,0)</f>
        <v>1</v>
      </c>
      <c r="V1578" s="13" t="n">
        <f aca="false">IF(B1578="Company",1,0)</f>
        <v>0</v>
      </c>
      <c r="W1578" s="13" t="n">
        <f aca="false">IF(H1578="Home",1,0)</f>
        <v>0</v>
      </c>
      <c r="X1578" s="13" t="n">
        <f aca="false">IF(H1578="Investment",1,0)</f>
        <v>1</v>
      </c>
      <c r="Y1578" s="13" t="n">
        <f aca="false">IF(K1578="Website",1,0)</f>
        <v>1</v>
      </c>
      <c r="Z1578" s="13" t="n">
        <f aca="false">IF(K1578="Agency",1,0)</f>
        <v>0</v>
      </c>
      <c r="AA1578" s="13" t="n">
        <f aca="false">IF(K1578="Client",1,0)</f>
        <v>0</v>
      </c>
      <c r="AB1578" s="13" t="n">
        <f aca="false">(D1578-AVERAGE(D$2:D$2001))/STDEV(D$2:D$2001)</f>
        <v>-1.33413623262935</v>
      </c>
      <c r="AC1578" s="13" t="n">
        <f aca="false">(I1578-AVERAGE(I$2:I$2001))/STDEV(I$2:I$2001)</f>
        <v>1.39434968409451</v>
      </c>
      <c r="AD1578" s="13" t="n">
        <f aca="false">(L1578-AVERAGE(L$2:L$2001))/STDEV(L$2:L$2001)</f>
        <v>-0.777063122173208</v>
      </c>
      <c r="AE1578" s="13" t="n">
        <f aca="false">(M1578-AVERAGE(M$2:M$2001))/STDEV(M$2:M$2001)</f>
        <v>-1.23875113378438</v>
      </c>
      <c r="AF1578" s="13" t="n">
        <f aca="false">(N1578-AVERAGE(N$2:N$2001))/STDEV(N$2:N$2001)</f>
        <v>-1.01245211373646</v>
      </c>
      <c r="AG1578" s="13" t="n">
        <f aca="false">(O1578-AVERAGE(O$2:O$2001))/STDEV(O$2:O$2001)</f>
        <v>-0.883794326666215</v>
      </c>
      <c r="AH1578" s="0" t="str">
        <f aca="false">IF(B1578="Company","C3 - Corporate Buyers",IF(AND(H1578="Investment",M1578&gt;'Segmentation Summary'!$C$1),"C1 - Global Investors",IF(AND(I1578&gt;=4,M1578&gt;'Segmentation Summary'!$C$1),"C4 - Luxury Investors",IF(AND(D1578&lt;'Segmentation Summary'!$C$2,J1578=1),"C2 - First-Time Buyers","C5 - Other Individual Buyers"))))</f>
        <v>C2 - First-Time Buyers</v>
      </c>
    </row>
    <row r="1579" customFormat="false" ht="15" hidden="false" customHeight="true" outlineLevel="0" collapsed="false">
      <c r="A1579" s="13" t="s">
        <v>3154</v>
      </c>
      <c r="B1579" s="13" t="s">
        <v>34</v>
      </c>
      <c r="C1579" s="13" t="s">
        <v>3155</v>
      </c>
      <c r="D1579" s="13" t="n">
        <v>30</v>
      </c>
      <c r="E1579" s="13" t="s">
        <v>90</v>
      </c>
      <c r="F1579" s="13" t="s">
        <v>33</v>
      </c>
      <c r="G1579" s="13" t="s">
        <v>95</v>
      </c>
      <c r="H1579" s="13" t="s">
        <v>41</v>
      </c>
      <c r="I1579" s="13" t="n">
        <v>4</v>
      </c>
      <c r="J1579" s="13" t="n">
        <v>0</v>
      </c>
      <c r="K1579" s="13" t="s">
        <v>91</v>
      </c>
      <c r="L1579" s="13" t="n">
        <v>4</v>
      </c>
      <c r="M1579" s="13" t="n">
        <v>1401448.51</v>
      </c>
      <c r="N1579" s="13" t="n">
        <v>350362.1275</v>
      </c>
      <c r="O1579" s="13" t="n">
        <v>1136.6925</v>
      </c>
      <c r="P1579" s="13" t="n">
        <v>4</v>
      </c>
      <c r="Q1579" s="13" t="n">
        <v>0</v>
      </c>
      <c r="R1579" s="13" t="s">
        <v>117</v>
      </c>
      <c r="S1579" s="13" t="s">
        <v>141</v>
      </c>
      <c r="T1579" s="13" t="n">
        <v>1</v>
      </c>
      <c r="U1579" s="13" t="n">
        <f aca="false">IF(B1579="Individual",1,0)</f>
        <v>1</v>
      </c>
      <c r="V1579" s="13" t="n">
        <f aca="false">IF(B1579="Company",1,0)</f>
        <v>0</v>
      </c>
      <c r="W1579" s="13" t="n">
        <f aca="false">IF(H1579="Home",1,0)</f>
        <v>1</v>
      </c>
      <c r="X1579" s="13" t="n">
        <f aca="false">IF(H1579="Investment",1,0)</f>
        <v>0</v>
      </c>
      <c r="Y1579" s="13" t="n">
        <f aca="false">IF(K1579="Website",1,0)</f>
        <v>0</v>
      </c>
      <c r="Z1579" s="13" t="n">
        <f aca="false">IF(K1579="Agency",1,0)</f>
        <v>1</v>
      </c>
      <c r="AA1579" s="13" t="n">
        <f aca="false">IF(K1579="Client",1,0)</f>
        <v>0</v>
      </c>
      <c r="AB1579" s="13" t="n">
        <f aca="false">(D1579-AVERAGE(D$2:D$2001))/STDEV(D$2:D$2001)</f>
        <v>-1.39179868811751</v>
      </c>
      <c r="AC1579" s="13" t="n">
        <f aca="false">(I1579-AVERAGE(I$2:I$2001))/STDEV(I$2:I$2001)</f>
        <v>0.686917069130275</v>
      </c>
      <c r="AD1579" s="13" t="n">
        <f aca="false">(L1579-AVERAGE(L$2:L$2001))/STDEV(L$2:L$2001)</f>
        <v>0.413838214490712</v>
      </c>
      <c r="AE1579" s="13" t="n">
        <f aca="false">(M1579-AVERAGE(M$2:M$2001))/STDEV(M$2:M$2001)</f>
        <v>0.405579622055393</v>
      </c>
      <c r="AF1579" s="13" t="n">
        <f aca="false">(N1579-AVERAGE(N$2:N$2001))/STDEV(N$2:N$2001)</f>
        <v>0.0469318148283615</v>
      </c>
      <c r="AG1579" s="13" t="n">
        <f aca="false">(O1579-AVERAGE(O$2:O$2001))/STDEV(O$2:O$2001)</f>
        <v>-0.0490498413256409</v>
      </c>
      <c r="AH1579" s="0" t="str">
        <f aca="false">IF(B1579="Company","C3 - Corporate Buyers",IF(AND(H1579="Investment",M1579&gt;'Segmentation Summary'!$C$1),"C1 - Global Investors",IF(AND(I1579&gt;=4,M1579&gt;'Segmentation Summary'!$C$1),"C4 - Luxury Investors",IF(AND(D1579&lt;'Segmentation Summary'!$C$2,J1579=1),"C2 - First-Time Buyers","C5 - Other Individual Buyers"))))</f>
        <v>C4 - Luxury Investors</v>
      </c>
    </row>
    <row r="1580" customFormat="false" ht="15" hidden="false" customHeight="true" outlineLevel="0" collapsed="false">
      <c r="A1580" s="13" t="s">
        <v>3156</v>
      </c>
      <c r="B1580" s="13" t="s">
        <v>34</v>
      </c>
      <c r="C1580" s="13" t="s">
        <v>3157</v>
      </c>
      <c r="D1580" s="13" t="n">
        <v>72</v>
      </c>
      <c r="E1580" s="13" t="s">
        <v>90</v>
      </c>
      <c r="F1580" s="13" t="s">
        <v>33</v>
      </c>
      <c r="G1580" s="13" t="s">
        <v>110</v>
      </c>
      <c r="H1580" s="13" t="s">
        <v>41</v>
      </c>
      <c r="I1580" s="13" t="n">
        <v>2</v>
      </c>
      <c r="J1580" s="13" t="n">
        <v>1</v>
      </c>
      <c r="K1580" s="13" t="s">
        <v>91</v>
      </c>
      <c r="L1580" s="13" t="n">
        <v>4</v>
      </c>
      <c r="M1580" s="13" t="n">
        <v>1559124.69</v>
      </c>
      <c r="N1580" s="13" t="n">
        <v>389781.1725</v>
      </c>
      <c r="O1580" s="13" t="n">
        <v>1246.7075</v>
      </c>
      <c r="P1580" s="13" t="n">
        <v>0</v>
      </c>
      <c r="Q1580" s="13" t="n">
        <v>4</v>
      </c>
      <c r="R1580" s="13" t="s">
        <v>101</v>
      </c>
      <c r="S1580" s="13" t="s">
        <v>164</v>
      </c>
      <c r="T1580" s="13" t="n">
        <v>1</v>
      </c>
      <c r="U1580" s="13" t="n">
        <f aca="false">IF(B1580="Individual",1,0)</f>
        <v>1</v>
      </c>
      <c r="V1580" s="13" t="n">
        <f aca="false">IF(B1580="Company",1,0)</f>
        <v>0</v>
      </c>
      <c r="W1580" s="13" t="n">
        <f aca="false">IF(H1580="Home",1,0)</f>
        <v>1</v>
      </c>
      <c r="X1580" s="13" t="n">
        <f aca="false">IF(H1580="Investment",1,0)</f>
        <v>0</v>
      </c>
      <c r="Y1580" s="13" t="n">
        <f aca="false">IF(K1580="Website",1,0)</f>
        <v>0</v>
      </c>
      <c r="Z1580" s="13" t="n">
        <f aca="false">IF(K1580="Agency",1,0)</f>
        <v>1</v>
      </c>
      <c r="AA1580" s="13" t="n">
        <f aca="false">IF(K1580="Client",1,0)</f>
        <v>0</v>
      </c>
      <c r="AB1580" s="13" t="n">
        <f aca="false">(D1580-AVERAGE(D$2:D$2001))/STDEV(D$2:D$2001)</f>
        <v>1.03002444238485</v>
      </c>
      <c r="AC1580" s="13" t="n">
        <f aca="false">(I1580-AVERAGE(I$2:I$2001))/STDEV(I$2:I$2001)</f>
        <v>-0.727948160798201</v>
      </c>
      <c r="AD1580" s="13" t="n">
        <f aca="false">(L1580-AVERAGE(L$2:L$2001))/STDEV(L$2:L$2001)</f>
        <v>0.413838214490712</v>
      </c>
      <c r="AE1580" s="13" t="n">
        <f aca="false">(M1580-AVERAGE(M$2:M$2001))/STDEV(M$2:M$2001)</f>
        <v>0.858892673330534</v>
      </c>
      <c r="AF1580" s="13" t="n">
        <f aca="false">(N1580-AVERAGE(N$2:N$2001))/STDEV(N$2:N$2001)</f>
        <v>0.612307818702245</v>
      </c>
      <c r="AG1580" s="13" t="n">
        <f aca="false">(O1580-AVERAGE(O$2:O$2001))/STDEV(O$2:O$2001)</f>
        <v>0.451194365150637</v>
      </c>
      <c r="AH1580" s="0" t="str">
        <f aca="false">IF(B1580="Company","C3 - Corporate Buyers",IF(AND(H1580="Investment",M1580&gt;'Segmentation Summary'!$C$1),"C1 - Global Investors",IF(AND(I1580&gt;=4,M1580&gt;'Segmentation Summary'!$C$1),"C4 - Luxury Investors",IF(AND(D1580&lt;'Segmentation Summary'!$C$2,J1580=1),"C2 - First-Time Buyers","C5 - Other Individual Buyers"))))</f>
        <v>C5 - Other Individual Buyers</v>
      </c>
    </row>
    <row r="1581" customFormat="false" ht="15" hidden="false" customHeight="true" outlineLevel="0" collapsed="false">
      <c r="A1581" s="13" t="s">
        <v>3158</v>
      </c>
      <c r="B1581" s="13" t="s">
        <v>34</v>
      </c>
      <c r="C1581" s="13" t="s">
        <v>3159</v>
      </c>
      <c r="D1581" s="13" t="n">
        <v>44</v>
      </c>
      <c r="E1581" s="13" t="s">
        <v>90</v>
      </c>
      <c r="F1581" s="13" t="s">
        <v>33</v>
      </c>
      <c r="G1581" s="13" t="s">
        <v>110</v>
      </c>
      <c r="H1581" s="13" t="s">
        <v>43</v>
      </c>
      <c r="I1581" s="13" t="n">
        <v>5</v>
      </c>
      <c r="J1581" s="13" t="n">
        <v>0</v>
      </c>
      <c r="K1581" s="13" t="s">
        <v>85</v>
      </c>
      <c r="L1581" s="13" t="n">
        <v>3</v>
      </c>
      <c r="M1581" s="13" t="n">
        <v>957201.31</v>
      </c>
      <c r="N1581" s="13" t="n">
        <v>319067.103333333</v>
      </c>
      <c r="O1581" s="13" t="n">
        <v>1104.51</v>
      </c>
      <c r="P1581" s="13" t="n">
        <v>0</v>
      </c>
      <c r="Q1581" s="13" t="n">
        <v>3</v>
      </c>
      <c r="R1581" s="13" t="s">
        <v>92</v>
      </c>
      <c r="S1581" s="13" t="s">
        <v>107</v>
      </c>
      <c r="T1581" s="13" t="n">
        <v>1</v>
      </c>
      <c r="U1581" s="13" t="n">
        <f aca="false">IF(B1581="Individual",1,0)</f>
        <v>1</v>
      </c>
      <c r="V1581" s="13" t="n">
        <f aca="false">IF(B1581="Company",1,0)</f>
        <v>0</v>
      </c>
      <c r="W1581" s="13" t="n">
        <f aca="false">IF(H1581="Home",1,0)</f>
        <v>0</v>
      </c>
      <c r="X1581" s="13" t="n">
        <f aca="false">IF(H1581="Investment",1,0)</f>
        <v>1</v>
      </c>
      <c r="Y1581" s="13" t="n">
        <f aca="false">IF(K1581="Website",1,0)</f>
        <v>1</v>
      </c>
      <c r="Z1581" s="13" t="n">
        <f aca="false">IF(K1581="Agency",1,0)</f>
        <v>0</v>
      </c>
      <c r="AA1581" s="13" t="n">
        <f aca="false">IF(K1581="Client",1,0)</f>
        <v>0</v>
      </c>
      <c r="AB1581" s="13" t="n">
        <f aca="false">(D1581-AVERAGE(D$2:D$2001))/STDEV(D$2:D$2001)</f>
        <v>-0.584524311283389</v>
      </c>
      <c r="AC1581" s="13" t="n">
        <f aca="false">(I1581-AVERAGE(I$2:I$2001))/STDEV(I$2:I$2001)</f>
        <v>1.39434968409451</v>
      </c>
      <c r="AD1581" s="13" t="n">
        <f aca="false">(L1581-AVERAGE(L$2:L$2001))/STDEV(L$2:L$2001)</f>
        <v>-0.777063122173208</v>
      </c>
      <c r="AE1581" s="13" t="n">
        <f aca="false">(M1581-AVERAGE(M$2:M$2001))/STDEV(M$2:M$2001)</f>
        <v>-0.871614268311802</v>
      </c>
      <c r="AF1581" s="13" t="n">
        <f aca="false">(N1581-AVERAGE(N$2:N$2001))/STDEV(N$2:N$2001)</f>
        <v>-0.401923699162066</v>
      </c>
      <c r="AG1581" s="13" t="n">
        <f aca="false">(O1581-AVERAGE(O$2:O$2001))/STDEV(O$2:O$2001)</f>
        <v>-0.195385424427244</v>
      </c>
      <c r="AH1581" s="0" t="str">
        <f aca="false">IF(B1581="Company","C3 - Corporate Buyers",IF(AND(H1581="Investment",M1581&gt;'Segmentation Summary'!$C$1),"C1 - Global Investors",IF(AND(I1581&gt;=4,M1581&gt;'Segmentation Summary'!$C$1),"C4 - Luxury Investors",IF(AND(D1581&lt;'Segmentation Summary'!$C$2,J1581=1),"C2 - First-Time Buyers","C5 - Other Individual Buyers"))))</f>
        <v>C5 - Other Individual Buyers</v>
      </c>
    </row>
    <row r="1582" customFormat="false" ht="15" hidden="false" customHeight="true" outlineLevel="0" collapsed="false">
      <c r="A1582" s="13" t="s">
        <v>3160</v>
      </c>
      <c r="B1582" s="13" t="s">
        <v>34</v>
      </c>
      <c r="C1582" s="13" t="s">
        <v>3161</v>
      </c>
      <c r="D1582" s="13" t="n">
        <v>61</v>
      </c>
      <c r="E1582" s="13" t="s">
        <v>83</v>
      </c>
      <c r="F1582" s="13" t="s">
        <v>33</v>
      </c>
      <c r="G1582" s="13" t="s">
        <v>84</v>
      </c>
      <c r="H1582" s="13" t="s">
        <v>41</v>
      </c>
      <c r="I1582" s="13" t="n">
        <v>4</v>
      </c>
      <c r="J1582" s="13" t="n">
        <v>0</v>
      </c>
      <c r="K1582" s="13" t="s">
        <v>85</v>
      </c>
      <c r="L1582" s="13" t="n">
        <v>3</v>
      </c>
      <c r="M1582" s="13" t="n">
        <v>928463.2</v>
      </c>
      <c r="N1582" s="13" t="n">
        <v>309487.733333333</v>
      </c>
      <c r="O1582" s="13" t="n">
        <v>1022.67</v>
      </c>
      <c r="P1582" s="13" t="n">
        <v>0</v>
      </c>
      <c r="Q1582" s="13" t="n">
        <v>3</v>
      </c>
      <c r="R1582" s="13" t="s">
        <v>124</v>
      </c>
      <c r="S1582" s="13" t="s">
        <v>154</v>
      </c>
      <c r="T1582" s="13" t="n">
        <v>1</v>
      </c>
      <c r="U1582" s="13" t="n">
        <f aca="false">IF(B1582="Individual",1,0)</f>
        <v>1</v>
      </c>
      <c r="V1582" s="13" t="n">
        <f aca="false">IF(B1582="Company",1,0)</f>
        <v>0</v>
      </c>
      <c r="W1582" s="13" t="n">
        <f aca="false">IF(H1582="Home",1,0)</f>
        <v>1</v>
      </c>
      <c r="X1582" s="13" t="n">
        <f aca="false">IF(H1582="Investment",1,0)</f>
        <v>0</v>
      </c>
      <c r="Y1582" s="13" t="n">
        <f aca="false">IF(K1582="Website",1,0)</f>
        <v>1</v>
      </c>
      <c r="Z1582" s="13" t="n">
        <f aca="false">IF(K1582="Agency",1,0)</f>
        <v>0</v>
      </c>
      <c r="AA1582" s="13" t="n">
        <f aca="false">IF(K1582="Client",1,0)</f>
        <v>0</v>
      </c>
      <c r="AB1582" s="13" t="n">
        <f aca="false">(D1582-AVERAGE(D$2:D$2001))/STDEV(D$2:D$2001)</f>
        <v>0.395737432015182</v>
      </c>
      <c r="AC1582" s="13" t="n">
        <f aca="false">(I1582-AVERAGE(I$2:I$2001))/STDEV(I$2:I$2001)</f>
        <v>0.686917069130275</v>
      </c>
      <c r="AD1582" s="13" t="n">
        <f aca="false">(L1582-AVERAGE(L$2:L$2001))/STDEV(L$2:L$2001)</f>
        <v>-0.777063122173208</v>
      </c>
      <c r="AE1582" s="13" t="n">
        <f aca="false">(M1582-AVERAGE(M$2:M$2001))/STDEV(M$2:M$2001)</f>
        <v>-0.954235247155789</v>
      </c>
      <c r="AF1582" s="13" t="n">
        <f aca="false">(N1582-AVERAGE(N$2:N$2001))/STDEV(N$2:N$2001)</f>
        <v>-0.539317842785519</v>
      </c>
      <c r="AG1582" s="13" t="n">
        <f aca="false">(O1582-AVERAGE(O$2:O$2001))/STDEV(O$2:O$2001)</f>
        <v>-0.567516368916801</v>
      </c>
      <c r="AH1582" s="0" t="str">
        <f aca="false">IF(B1582="Company","C3 - Corporate Buyers",IF(AND(H1582="Investment",M1582&gt;'Segmentation Summary'!$C$1),"C1 - Global Investors",IF(AND(I1582&gt;=4,M1582&gt;'Segmentation Summary'!$C$1),"C4 - Luxury Investors",IF(AND(D1582&lt;'Segmentation Summary'!$C$2,J1582=1),"C2 - First-Time Buyers","C5 - Other Individual Buyers"))))</f>
        <v>C5 - Other Individual Buyers</v>
      </c>
    </row>
    <row r="1583" customFormat="false" ht="15" hidden="false" customHeight="true" outlineLevel="0" collapsed="false">
      <c r="A1583" s="13" t="s">
        <v>3162</v>
      </c>
      <c r="B1583" s="13" t="s">
        <v>34</v>
      </c>
      <c r="C1583" s="13" t="s">
        <v>3163</v>
      </c>
      <c r="D1583" s="13" t="n">
        <v>69</v>
      </c>
      <c r="E1583" s="13" t="s">
        <v>83</v>
      </c>
      <c r="F1583" s="13" t="s">
        <v>33</v>
      </c>
      <c r="G1583" s="13" t="s">
        <v>95</v>
      </c>
      <c r="H1583" s="13" t="s">
        <v>41</v>
      </c>
      <c r="I1583" s="13" t="n">
        <v>2</v>
      </c>
      <c r="J1583" s="13" t="n">
        <v>0</v>
      </c>
      <c r="K1583" s="13" t="s">
        <v>85</v>
      </c>
      <c r="L1583" s="13" t="n">
        <v>4</v>
      </c>
      <c r="M1583" s="13" t="n">
        <v>1443865.51</v>
      </c>
      <c r="N1583" s="13" t="n">
        <v>360966.3775</v>
      </c>
      <c r="O1583" s="13" t="n">
        <v>1111.6475</v>
      </c>
      <c r="P1583" s="13" t="n">
        <v>1</v>
      </c>
      <c r="Q1583" s="13" t="n">
        <v>3</v>
      </c>
      <c r="R1583" s="13" t="s">
        <v>111</v>
      </c>
      <c r="S1583" s="13" t="s">
        <v>87</v>
      </c>
      <c r="T1583" s="13" t="n">
        <v>1</v>
      </c>
      <c r="U1583" s="13" t="n">
        <f aca="false">IF(B1583="Individual",1,0)</f>
        <v>1</v>
      </c>
      <c r="V1583" s="13" t="n">
        <f aca="false">IF(B1583="Company",1,0)</f>
        <v>0</v>
      </c>
      <c r="W1583" s="13" t="n">
        <f aca="false">IF(H1583="Home",1,0)</f>
        <v>1</v>
      </c>
      <c r="X1583" s="13" t="n">
        <f aca="false">IF(H1583="Investment",1,0)</f>
        <v>0</v>
      </c>
      <c r="Y1583" s="13" t="n">
        <f aca="false">IF(K1583="Website",1,0)</f>
        <v>1</v>
      </c>
      <c r="Z1583" s="13" t="n">
        <f aca="false">IF(K1583="Agency",1,0)</f>
        <v>0</v>
      </c>
      <c r="AA1583" s="13" t="n">
        <f aca="false">IF(K1583="Client",1,0)</f>
        <v>0</v>
      </c>
      <c r="AB1583" s="13" t="n">
        <f aca="false">(D1583-AVERAGE(D$2:D$2001))/STDEV(D$2:D$2001)</f>
        <v>0.857037075920391</v>
      </c>
      <c r="AC1583" s="13" t="n">
        <f aca="false">(I1583-AVERAGE(I$2:I$2001))/STDEV(I$2:I$2001)</f>
        <v>-0.727948160798201</v>
      </c>
      <c r="AD1583" s="13" t="n">
        <f aca="false">(L1583-AVERAGE(L$2:L$2001))/STDEV(L$2:L$2001)</f>
        <v>0.413838214490712</v>
      </c>
      <c r="AE1583" s="13" t="n">
        <f aca="false">(M1583-AVERAGE(M$2:M$2001))/STDEV(M$2:M$2001)</f>
        <v>0.527526892061158</v>
      </c>
      <c r="AF1583" s="13" t="n">
        <f aca="false">(N1583-AVERAGE(N$2:N$2001))/STDEV(N$2:N$2001)</f>
        <v>0.199025516973597</v>
      </c>
      <c r="AG1583" s="13" t="n">
        <f aca="false">(O1583-AVERAGE(O$2:O$2001))/STDEV(O$2:O$2001)</f>
        <v>-0.162930822566366</v>
      </c>
      <c r="AH1583" s="0" t="str">
        <f aca="false">IF(B1583="Company","C3 - Corporate Buyers",IF(AND(H1583="Investment",M1583&gt;'Segmentation Summary'!$C$1),"C1 - Global Investors",IF(AND(I1583&gt;=4,M1583&gt;'Segmentation Summary'!$C$1),"C4 - Luxury Investors",IF(AND(D1583&lt;'Segmentation Summary'!$C$2,J1583=1),"C2 - First-Time Buyers","C5 - Other Individual Buyers"))))</f>
        <v>C5 - Other Individual Buyers</v>
      </c>
    </row>
    <row r="1584" customFormat="false" ht="15" hidden="false" customHeight="true" outlineLevel="0" collapsed="false">
      <c r="A1584" s="13" t="s">
        <v>3164</v>
      </c>
      <c r="B1584" s="13" t="s">
        <v>34</v>
      </c>
      <c r="C1584" s="13" t="s">
        <v>3165</v>
      </c>
      <c r="D1584" s="13" t="n">
        <v>81</v>
      </c>
      <c r="E1584" s="13" t="s">
        <v>83</v>
      </c>
      <c r="F1584" s="13" t="s">
        <v>33</v>
      </c>
      <c r="G1584" s="13" t="s">
        <v>95</v>
      </c>
      <c r="H1584" s="13" t="s">
        <v>41</v>
      </c>
      <c r="I1584" s="13" t="n">
        <v>5</v>
      </c>
      <c r="J1584" s="13" t="n">
        <v>1</v>
      </c>
      <c r="K1584" s="13" t="s">
        <v>85</v>
      </c>
      <c r="L1584" s="13" t="n">
        <v>4</v>
      </c>
      <c r="M1584" s="13" t="n">
        <v>1488671.13</v>
      </c>
      <c r="N1584" s="13" t="n">
        <v>372167.7825</v>
      </c>
      <c r="O1584" s="13" t="n">
        <v>1227.17</v>
      </c>
      <c r="P1584" s="13" t="n">
        <v>2</v>
      </c>
      <c r="Q1584" s="13" t="n">
        <v>2</v>
      </c>
      <c r="R1584" s="13" t="s">
        <v>101</v>
      </c>
      <c r="S1584" s="13" t="s">
        <v>87</v>
      </c>
      <c r="T1584" s="13" t="n">
        <v>1</v>
      </c>
      <c r="U1584" s="13" t="n">
        <f aca="false">IF(B1584="Individual",1,0)</f>
        <v>1</v>
      </c>
      <c r="V1584" s="13" t="n">
        <f aca="false">IF(B1584="Company",1,0)</f>
        <v>0</v>
      </c>
      <c r="W1584" s="13" t="n">
        <f aca="false">IF(H1584="Home",1,0)</f>
        <v>1</v>
      </c>
      <c r="X1584" s="13" t="n">
        <f aca="false">IF(H1584="Investment",1,0)</f>
        <v>0</v>
      </c>
      <c r="Y1584" s="13" t="n">
        <f aca="false">IF(K1584="Website",1,0)</f>
        <v>1</v>
      </c>
      <c r="Z1584" s="13" t="n">
        <f aca="false">IF(K1584="Agency",1,0)</f>
        <v>0</v>
      </c>
      <c r="AA1584" s="13" t="n">
        <f aca="false">IF(K1584="Client",1,0)</f>
        <v>0</v>
      </c>
      <c r="AB1584" s="13" t="n">
        <f aca="false">(D1584-AVERAGE(D$2:D$2001))/STDEV(D$2:D$2001)</f>
        <v>1.54898654177821</v>
      </c>
      <c r="AC1584" s="13" t="n">
        <f aca="false">(I1584-AVERAGE(I$2:I$2001))/STDEV(I$2:I$2001)</f>
        <v>1.39434968409451</v>
      </c>
      <c r="AD1584" s="13" t="n">
        <f aca="false">(L1584-AVERAGE(L$2:L$2001))/STDEV(L$2:L$2001)</f>
        <v>0.413838214490712</v>
      </c>
      <c r="AE1584" s="13" t="n">
        <f aca="false">(M1584-AVERAGE(M$2:M$2001))/STDEV(M$2:M$2001)</f>
        <v>0.656341354185205</v>
      </c>
      <c r="AF1584" s="13" t="n">
        <f aca="false">(N1584-AVERAGE(N$2:N$2001))/STDEV(N$2:N$2001)</f>
        <v>0.359684041214174</v>
      </c>
      <c r="AG1584" s="13" t="n">
        <f aca="false">(O1584-AVERAGE(O$2:O$2001))/STDEV(O$2:O$2001)</f>
        <v>0.362356286851948</v>
      </c>
      <c r="AH1584" s="0" t="str">
        <f aca="false">IF(B1584="Company","C3 - Corporate Buyers",IF(AND(H1584="Investment",M1584&gt;'Segmentation Summary'!$C$1),"C1 - Global Investors",IF(AND(I1584&gt;=4,M1584&gt;'Segmentation Summary'!$C$1),"C4 - Luxury Investors",IF(AND(D1584&lt;'Segmentation Summary'!$C$2,J1584=1),"C2 - First-Time Buyers","C5 - Other Individual Buyers"))))</f>
        <v>C4 - Luxury Investors</v>
      </c>
    </row>
    <row r="1585" customFormat="false" ht="15" hidden="false" customHeight="true" outlineLevel="0" collapsed="false">
      <c r="A1585" s="13" t="s">
        <v>3166</v>
      </c>
      <c r="B1585" s="13" t="s">
        <v>34</v>
      </c>
      <c r="C1585" s="13" t="s">
        <v>3167</v>
      </c>
      <c r="D1585" s="13" t="n">
        <v>79</v>
      </c>
      <c r="E1585" s="13" t="s">
        <v>83</v>
      </c>
      <c r="F1585" s="13" t="s">
        <v>33</v>
      </c>
      <c r="G1585" s="13" t="s">
        <v>110</v>
      </c>
      <c r="H1585" s="13" t="s">
        <v>41</v>
      </c>
      <c r="I1585" s="13" t="n">
        <v>1</v>
      </c>
      <c r="J1585" s="13" t="n">
        <v>0</v>
      </c>
      <c r="K1585" s="13" t="s">
        <v>85</v>
      </c>
      <c r="L1585" s="13" t="n">
        <v>4</v>
      </c>
      <c r="M1585" s="13" t="n">
        <v>1425469.02</v>
      </c>
      <c r="N1585" s="13" t="n">
        <v>356367.255</v>
      </c>
      <c r="O1585" s="13" t="n">
        <v>1187.8925</v>
      </c>
      <c r="P1585" s="13" t="n">
        <v>0</v>
      </c>
      <c r="Q1585" s="13" t="n">
        <v>4</v>
      </c>
      <c r="R1585" s="13" t="s">
        <v>98</v>
      </c>
      <c r="S1585" s="13" t="s">
        <v>135</v>
      </c>
      <c r="T1585" s="13" t="n">
        <v>1</v>
      </c>
      <c r="U1585" s="13" t="n">
        <f aca="false">IF(B1585="Individual",1,0)</f>
        <v>1</v>
      </c>
      <c r="V1585" s="13" t="n">
        <f aca="false">IF(B1585="Company",1,0)</f>
        <v>0</v>
      </c>
      <c r="W1585" s="13" t="n">
        <f aca="false">IF(H1585="Home",1,0)</f>
        <v>1</v>
      </c>
      <c r="X1585" s="13" t="n">
        <f aca="false">IF(H1585="Investment",1,0)</f>
        <v>0</v>
      </c>
      <c r="Y1585" s="13" t="n">
        <f aca="false">IF(K1585="Website",1,0)</f>
        <v>1</v>
      </c>
      <c r="Z1585" s="13" t="n">
        <f aca="false">IF(K1585="Agency",1,0)</f>
        <v>0</v>
      </c>
      <c r="AA1585" s="13" t="n">
        <f aca="false">IF(K1585="Client",1,0)</f>
        <v>0</v>
      </c>
      <c r="AB1585" s="13" t="n">
        <f aca="false">(D1585-AVERAGE(D$2:D$2001))/STDEV(D$2:D$2001)</f>
        <v>1.4336616308019</v>
      </c>
      <c r="AC1585" s="13" t="n">
        <f aca="false">(I1585-AVERAGE(I$2:I$2001))/STDEV(I$2:I$2001)</f>
        <v>-1.43538077576244</v>
      </c>
      <c r="AD1585" s="13" t="n">
        <f aca="false">(L1585-AVERAGE(L$2:L$2001))/STDEV(L$2:L$2001)</f>
        <v>0.413838214490712</v>
      </c>
      <c r="AE1585" s="13" t="n">
        <f aca="false">(M1585-AVERAGE(M$2:M$2001))/STDEV(M$2:M$2001)</f>
        <v>0.474637679406129</v>
      </c>
      <c r="AF1585" s="13" t="n">
        <f aca="false">(N1585-AVERAGE(N$2:N$2001))/STDEV(N$2:N$2001)</f>
        <v>0.133061628188963</v>
      </c>
      <c r="AG1585" s="13" t="n">
        <f aca="false">(O1585-AVERAGE(O$2:O$2001))/STDEV(O$2:O$2001)</f>
        <v>0.183759351707903</v>
      </c>
      <c r="AH1585" s="0" t="str">
        <f aca="false">IF(B1585="Company","C3 - Corporate Buyers",IF(AND(H1585="Investment",M1585&gt;'Segmentation Summary'!$C$1),"C1 - Global Investors",IF(AND(I1585&gt;=4,M1585&gt;'Segmentation Summary'!$C$1),"C4 - Luxury Investors",IF(AND(D1585&lt;'Segmentation Summary'!$C$2,J1585=1),"C2 - First-Time Buyers","C5 - Other Individual Buyers"))))</f>
        <v>C5 - Other Individual Buyers</v>
      </c>
    </row>
    <row r="1586" customFormat="false" ht="15" hidden="false" customHeight="true" outlineLevel="0" collapsed="false">
      <c r="A1586" s="13" t="s">
        <v>3168</v>
      </c>
      <c r="B1586" s="13" t="s">
        <v>34</v>
      </c>
      <c r="C1586" s="13" t="s">
        <v>3169</v>
      </c>
      <c r="D1586" s="13" t="n">
        <v>51</v>
      </c>
      <c r="E1586" s="13" t="s">
        <v>83</v>
      </c>
      <c r="F1586" s="13" t="s">
        <v>33</v>
      </c>
      <c r="G1586" s="13" t="s">
        <v>162</v>
      </c>
      <c r="H1586" s="13" t="s">
        <v>43</v>
      </c>
      <c r="I1586" s="13" t="n">
        <v>3</v>
      </c>
      <c r="J1586" s="13" t="n">
        <v>1</v>
      </c>
      <c r="K1586" s="13" t="s">
        <v>85</v>
      </c>
      <c r="L1586" s="13" t="n">
        <v>4</v>
      </c>
      <c r="M1586" s="13" t="n">
        <v>969341.87</v>
      </c>
      <c r="N1586" s="13" t="n">
        <v>242335.4675</v>
      </c>
      <c r="O1586" s="13" t="n">
        <v>837.5225</v>
      </c>
      <c r="P1586" s="13" t="n">
        <v>0</v>
      </c>
      <c r="Q1586" s="13" t="n">
        <v>4</v>
      </c>
      <c r="R1586" s="13" t="s">
        <v>98</v>
      </c>
      <c r="S1586" s="13" t="s">
        <v>164</v>
      </c>
      <c r="T1586" s="13" t="n">
        <v>1</v>
      </c>
      <c r="U1586" s="13" t="n">
        <f aca="false">IF(B1586="Individual",1,0)</f>
        <v>1</v>
      </c>
      <c r="V1586" s="13" t="n">
        <f aca="false">IF(B1586="Company",1,0)</f>
        <v>0</v>
      </c>
      <c r="W1586" s="13" t="n">
        <f aca="false">IF(H1586="Home",1,0)</f>
        <v>0</v>
      </c>
      <c r="X1586" s="13" t="n">
        <f aca="false">IF(H1586="Investment",1,0)</f>
        <v>1</v>
      </c>
      <c r="Y1586" s="13" t="n">
        <f aca="false">IF(K1586="Website",1,0)</f>
        <v>1</v>
      </c>
      <c r="Z1586" s="13" t="n">
        <f aca="false">IF(K1586="Agency",1,0)</f>
        <v>0</v>
      </c>
      <c r="AA1586" s="13" t="n">
        <f aca="false">IF(K1586="Client",1,0)</f>
        <v>0</v>
      </c>
      <c r="AB1586" s="13" t="n">
        <f aca="false">(D1586-AVERAGE(D$2:D$2001))/STDEV(D$2:D$2001)</f>
        <v>-0.18088712286633</v>
      </c>
      <c r="AC1586" s="13" t="n">
        <f aca="false">(I1586-AVERAGE(I$2:I$2001))/STDEV(I$2:I$2001)</f>
        <v>-0.0205155458339628</v>
      </c>
      <c r="AD1586" s="13" t="n">
        <f aca="false">(L1586-AVERAGE(L$2:L$2001))/STDEV(L$2:L$2001)</f>
        <v>0.413838214490712</v>
      </c>
      <c r="AE1586" s="13" t="n">
        <f aca="false">(M1586-AVERAGE(M$2:M$2001))/STDEV(M$2:M$2001)</f>
        <v>-0.836710617691976</v>
      </c>
      <c r="AF1586" s="13" t="n">
        <f aca="false">(N1586-AVERAGE(N$2:N$2001))/STDEV(N$2:N$2001)</f>
        <v>-1.50246344177014</v>
      </c>
      <c r="AG1586" s="13" t="n">
        <f aca="false">(O1586-AVERAGE(O$2:O$2001))/STDEV(O$2:O$2001)</f>
        <v>-1.40939215147888</v>
      </c>
      <c r="AH1586" s="0" t="str">
        <f aca="false">IF(B1586="Company","C3 - Corporate Buyers",IF(AND(H1586="Investment",M1586&gt;'Segmentation Summary'!$C$1),"C1 - Global Investors",IF(AND(I1586&gt;=4,M1586&gt;'Segmentation Summary'!$C$1),"C4 - Luxury Investors",IF(AND(D1586&lt;'Segmentation Summary'!$C$2,J1586=1),"C2 - First-Time Buyers","C5 - Other Individual Buyers"))))</f>
        <v>C2 - First-Time Buyers</v>
      </c>
    </row>
    <row r="1587" customFormat="false" ht="15" hidden="false" customHeight="true" outlineLevel="0" collapsed="false">
      <c r="A1587" s="13" t="s">
        <v>3170</v>
      </c>
      <c r="B1587" s="13" t="s">
        <v>34</v>
      </c>
      <c r="C1587" s="13" t="s">
        <v>3171</v>
      </c>
      <c r="D1587" s="13" t="n">
        <v>78</v>
      </c>
      <c r="E1587" s="13" t="s">
        <v>83</v>
      </c>
      <c r="F1587" s="13" t="s">
        <v>33</v>
      </c>
      <c r="G1587" s="13" t="s">
        <v>95</v>
      </c>
      <c r="H1587" s="13" t="s">
        <v>41</v>
      </c>
      <c r="I1587" s="13" t="n">
        <v>4</v>
      </c>
      <c r="J1587" s="13" t="n">
        <v>0</v>
      </c>
      <c r="K1587" s="13" t="s">
        <v>85</v>
      </c>
      <c r="L1587" s="13" t="n">
        <v>3</v>
      </c>
      <c r="M1587" s="13" t="n">
        <v>871805.96</v>
      </c>
      <c r="N1587" s="13" t="n">
        <v>290601.986666667</v>
      </c>
      <c r="O1587" s="13" t="n">
        <v>979.086666666667</v>
      </c>
      <c r="P1587" s="13" t="n">
        <v>0</v>
      </c>
      <c r="Q1587" s="13" t="n">
        <v>3</v>
      </c>
      <c r="R1587" s="13" t="s">
        <v>128</v>
      </c>
      <c r="S1587" s="13" t="s">
        <v>152</v>
      </c>
      <c r="T1587" s="13" t="n">
        <v>1</v>
      </c>
      <c r="U1587" s="13" t="n">
        <f aca="false">IF(B1587="Individual",1,0)</f>
        <v>1</v>
      </c>
      <c r="V1587" s="13" t="n">
        <f aca="false">IF(B1587="Company",1,0)</f>
        <v>0</v>
      </c>
      <c r="W1587" s="13" t="n">
        <f aca="false">IF(H1587="Home",1,0)</f>
        <v>1</v>
      </c>
      <c r="X1587" s="13" t="n">
        <f aca="false">IF(H1587="Investment",1,0)</f>
        <v>0</v>
      </c>
      <c r="Y1587" s="13" t="n">
        <f aca="false">IF(K1587="Website",1,0)</f>
        <v>1</v>
      </c>
      <c r="Z1587" s="13" t="n">
        <f aca="false">IF(K1587="Agency",1,0)</f>
        <v>0</v>
      </c>
      <c r="AA1587" s="13" t="n">
        <f aca="false">IF(K1587="Client",1,0)</f>
        <v>0</v>
      </c>
      <c r="AB1587" s="13" t="n">
        <f aca="false">(D1587-AVERAGE(D$2:D$2001))/STDEV(D$2:D$2001)</f>
        <v>1.37599917531375</v>
      </c>
      <c r="AC1587" s="13" t="n">
        <f aca="false">(I1587-AVERAGE(I$2:I$2001))/STDEV(I$2:I$2001)</f>
        <v>0.686917069130275</v>
      </c>
      <c r="AD1587" s="13" t="n">
        <f aca="false">(L1587-AVERAGE(L$2:L$2001))/STDEV(L$2:L$2001)</f>
        <v>-0.777063122173208</v>
      </c>
      <c r="AE1587" s="13" t="n">
        <f aca="false">(M1587-AVERAGE(M$2:M$2001))/STDEV(M$2:M$2001)</f>
        <v>-1.11712266833271</v>
      </c>
      <c r="AF1587" s="13" t="n">
        <f aca="false">(N1587-AVERAGE(N$2:N$2001))/STDEV(N$2:N$2001)</f>
        <v>-0.810190665315191</v>
      </c>
      <c r="AG1587" s="13" t="n">
        <f aca="false">(O1587-AVERAGE(O$2:O$2001))/STDEV(O$2:O$2001)</f>
        <v>-0.765692163116904</v>
      </c>
      <c r="AH1587" s="0" t="str">
        <f aca="false">IF(B1587="Company","C3 - Corporate Buyers",IF(AND(H1587="Investment",M1587&gt;'Segmentation Summary'!$C$1),"C1 - Global Investors",IF(AND(I1587&gt;=4,M1587&gt;'Segmentation Summary'!$C$1),"C4 - Luxury Investors",IF(AND(D1587&lt;'Segmentation Summary'!$C$2,J1587=1),"C2 - First-Time Buyers","C5 - Other Individual Buyers"))))</f>
        <v>C5 - Other Individual Buyers</v>
      </c>
    </row>
    <row r="1588" customFormat="false" ht="15" hidden="false" customHeight="true" outlineLevel="0" collapsed="false">
      <c r="A1588" s="13" t="s">
        <v>3172</v>
      </c>
      <c r="B1588" s="13" t="s">
        <v>34</v>
      </c>
      <c r="C1588" s="13" t="s">
        <v>3173</v>
      </c>
      <c r="D1588" s="13" t="n">
        <v>83</v>
      </c>
      <c r="E1588" s="13" t="s">
        <v>83</v>
      </c>
      <c r="F1588" s="13" t="s">
        <v>33</v>
      </c>
      <c r="G1588" s="13" t="s">
        <v>145</v>
      </c>
      <c r="H1588" s="13" t="s">
        <v>41</v>
      </c>
      <c r="I1588" s="13" t="n">
        <v>5</v>
      </c>
      <c r="J1588" s="13" t="n">
        <v>0</v>
      </c>
      <c r="K1588" s="13" t="s">
        <v>85</v>
      </c>
      <c r="L1588" s="13" t="n">
        <v>3</v>
      </c>
      <c r="M1588" s="13" t="n">
        <v>1545799.94</v>
      </c>
      <c r="N1588" s="13" t="n">
        <v>515266.646666667</v>
      </c>
      <c r="O1588" s="13" t="n">
        <v>1685.27666666667</v>
      </c>
      <c r="P1588" s="13" t="n">
        <v>1</v>
      </c>
      <c r="Q1588" s="13" t="n">
        <v>2</v>
      </c>
      <c r="R1588" s="13" t="s">
        <v>103</v>
      </c>
      <c r="S1588" s="13" t="s">
        <v>87</v>
      </c>
      <c r="T1588" s="13" t="n">
        <v>1</v>
      </c>
      <c r="U1588" s="13" t="n">
        <f aca="false">IF(B1588="Individual",1,0)</f>
        <v>1</v>
      </c>
      <c r="V1588" s="13" t="n">
        <f aca="false">IF(B1588="Company",1,0)</f>
        <v>0</v>
      </c>
      <c r="W1588" s="13" t="n">
        <f aca="false">IF(H1588="Home",1,0)</f>
        <v>1</v>
      </c>
      <c r="X1588" s="13" t="n">
        <f aca="false">IF(H1588="Investment",1,0)</f>
        <v>0</v>
      </c>
      <c r="Y1588" s="13" t="n">
        <f aca="false">IF(K1588="Website",1,0)</f>
        <v>1</v>
      </c>
      <c r="Z1588" s="13" t="n">
        <f aca="false">IF(K1588="Agency",1,0)</f>
        <v>0</v>
      </c>
      <c r="AA1588" s="13" t="n">
        <f aca="false">IF(K1588="Client",1,0)</f>
        <v>0</v>
      </c>
      <c r="AB1588" s="13" t="n">
        <f aca="false">(D1588-AVERAGE(D$2:D$2001))/STDEV(D$2:D$2001)</f>
        <v>1.66431145275451</v>
      </c>
      <c r="AC1588" s="13" t="n">
        <f aca="false">(I1588-AVERAGE(I$2:I$2001))/STDEV(I$2:I$2001)</f>
        <v>1.39434968409451</v>
      </c>
      <c r="AD1588" s="13" t="n">
        <f aca="false">(L1588-AVERAGE(L$2:L$2001))/STDEV(L$2:L$2001)</f>
        <v>-0.777063122173208</v>
      </c>
      <c r="AE1588" s="13" t="n">
        <f aca="false">(M1588-AVERAGE(M$2:M$2001))/STDEV(M$2:M$2001)</f>
        <v>0.820584521268641</v>
      </c>
      <c r="AF1588" s="13" t="n">
        <f aca="false">(N1588-AVERAGE(N$2:N$2001))/STDEV(N$2:N$2001)</f>
        <v>2.4121098161522</v>
      </c>
      <c r="AG1588" s="13" t="n">
        <f aca="false">(O1588-AVERAGE(O$2:O$2001))/STDEV(O$2:O$2001)</f>
        <v>2.445392290562</v>
      </c>
      <c r="AH1588" s="0" t="str">
        <f aca="false">IF(B1588="Company","C3 - Corporate Buyers",IF(AND(H1588="Investment",M1588&gt;'Segmentation Summary'!$C$1),"C1 - Global Investors",IF(AND(I1588&gt;=4,M1588&gt;'Segmentation Summary'!$C$1),"C4 - Luxury Investors",IF(AND(D1588&lt;'Segmentation Summary'!$C$2,J1588=1),"C2 - First-Time Buyers","C5 - Other Individual Buyers"))))</f>
        <v>C4 - Luxury Investors</v>
      </c>
    </row>
    <row r="1589" customFormat="false" ht="15" hidden="false" customHeight="true" outlineLevel="0" collapsed="false">
      <c r="A1589" s="13" t="s">
        <v>3174</v>
      </c>
      <c r="B1589" s="13" t="s">
        <v>34</v>
      </c>
      <c r="C1589" s="13" t="s">
        <v>3175</v>
      </c>
      <c r="D1589" s="13" t="n">
        <v>76</v>
      </c>
      <c r="E1589" s="13" t="s">
        <v>83</v>
      </c>
      <c r="F1589" s="13" t="s">
        <v>33</v>
      </c>
      <c r="G1589" s="13" t="s">
        <v>162</v>
      </c>
      <c r="H1589" s="13" t="s">
        <v>41</v>
      </c>
      <c r="I1589" s="13" t="n">
        <v>2</v>
      </c>
      <c r="J1589" s="13" t="n">
        <v>1</v>
      </c>
      <c r="K1589" s="13" t="s">
        <v>91</v>
      </c>
      <c r="L1589" s="13" t="n">
        <v>3</v>
      </c>
      <c r="M1589" s="13" t="n">
        <v>1216565.53</v>
      </c>
      <c r="N1589" s="13" t="n">
        <v>405521.843333333</v>
      </c>
      <c r="O1589" s="13" t="n">
        <v>1463.22</v>
      </c>
      <c r="P1589" s="13" t="n">
        <v>0</v>
      </c>
      <c r="Q1589" s="13" t="n">
        <v>3</v>
      </c>
      <c r="R1589" s="13" t="s">
        <v>117</v>
      </c>
      <c r="S1589" s="13" t="s">
        <v>141</v>
      </c>
      <c r="T1589" s="13" t="n">
        <v>1</v>
      </c>
      <c r="U1589" s="13" t="n">
        <f aca="false">IF(B1589="Individual",1,0)</f>
        <v>1</v>
      </c>
      <c r="V1589" s="13" t="n">
        <f aca="false">IF(B1589="Company",1,0)</f>
        <v>0</v>
      </c>
      <c r="W1589" s="13" t="n">
        <f aca="false">IF(H1589="Home",1,0)</f>
        <v>1</v>
      </c>
      <c r="X1589" s="13" t="n">
        <f aca="false">IF(H1589="Investment",1,0)</f>
        <v>0</v>
      </c>
      <c r="Y1589" s="13" t="n">
        <f aca="false">IF(K1589="Website",1,0)</f>
        <v>0</v>
      </c>
      <c r="Z1589" s="13" t="n">
        <f aca="false">IF(K1589="Agency",1,0)</f>
        <v>1</v>
      </c>
      <c r="AA1589" s="13" t="n">
        <f aca="false">IF(K1589="Client",1,0)</f>
        <v>0</v>
      </c>
      <c r="AB1589" s="13" t="n">
        <f aca="false">(D1589-AVERAGE(D$2:D$2001))/STDEV(D$2:D$2001)</f>
        <v>1.26067426433745</v>
      </c>
      <c r="AC1589" s="13" t="n">
        <f aca="false">(I1589-AVERAGE(I$2:I$2001))/STDEV(I$2:I$2001)</f>
        <v>-0.727948160798201</v>
      </c>
      <c r="AD1589" s="13" t="n">
        <f aca="false">(L1589-AVERAGE(L$2:L$2001))/STDEV(L$2:L$2001)</f>
        <v>-0.777063122173208</v>
      </c>
      <c r="AE1589" s="13" t="n">
        <f aca="false">(M1589-AVERAGE(M$2:M$2001))/STDEV(M$2:M$2001)</f>
        <v>-0.125951949756158</v>
      </c>
      <c r="AF1589" s="13" t="n">
        <f aca="false">(N1589-AVERAGE(N$2:N$2001))/STDEV(N$2:N$2001)</f>
        <v>0.838071724805094</v>
      </c>
      <c r="AG1589" s="13" t="n">
        <f aca="false">(O1589-AVERAGE(O$2:O$2001))/STDEV(O$2:O$2001)</f>
        <v>1.43568851371852</v>
      </c>
      <c r="AH1589" s="0" t="str">
        <f aca="false">IF(B1589="Company","C3 - Corporate Buyers",IF(AND(H1589="Investment",M1589&gt;'Segmentation Summary'!$C$1),"C1 - Global Investors",IF(AND(I1589&gt;=4,M1589&gt;'Segmentation Summary'!$C$1),"C4 - Luxury Investors",IF(AND(D1589&lt;'Segmentation Summary'!$C$2,J1589=1),"C2 - First-Time Buyers","C5 - Other Individual Buyers"))))</f>
        <v>C5 - Other Individual Buyers</v>
      </c>
    </row>
    <row r="1590" customFormat="false" ht="15" hidden="false" customHeight="true" outlineLevel="0" collapsed="false">
      <c r="A1590" s="13" t="s">
        <v>3176</v>
      </c>
      <c r="B1590" s="13" t="s">
        <v>34</v>
      </c>
      <c r="C1590" s="13" t="s">
        <v>3177</v>
      </c>
      <c r="D1590" s="13" t="n">
        <v>48</v>
      </c>
      <c r="E1590" s="13" t="s">
        <v>83</v>
      </c>
      <c r="F1590" s="13" t="s">
        <v>33</v>
      </c>
      <c r="G1590" s="13" t="s">
        <v>110</v>
      </c>
      <c r="H1590" s="13" t="s">
        <v>41</v>
      </c>
      <c r="I1590" s="13" t="n">
        <v>3</v>
      </c>
      <c r="J1590" s="13" t="n">
        <v>0</v>
      </c>
      <c r="K1590" s="13" t="s">
        <v>116</v>
      </c>
      <c r="L1590" s="13" t="n">
        <v>3</v>
      </c>
      <c r="M1590" s="13" t="n">
        <v>1491163.72</v>
      </c>
      <c r="N1590" s="13" t="n">
        <v>497054.573333333</v>
      </c>
      <c r="O1590" s="13" t="n">
        <v>1504.28</v>
      </c>
      <c r="P1590" s="13" t="n">
        <v>0</v>
      </c>
      <c r="Q1590" s="13" t="n">
        <v>3</v>
      </c>
      <c r="R1590" s="13" t="s">
        <v>107</v>
      </c>
      <c r="S1590" s="13" t="s">
        <v>133</v>
      </c>
      <c r="T1590" s="13" t="n">
        <v>1</v>
      </c>
      <c r="U1590" s="13" t="n">
        <f aca="false">IF(B1590="Individual",1,0)</f>
        <v>1</v>
      </c>
      <c r="V1590" s="13" t="n">
        <f aca="false">IF(B1590="Company",1,0)</f>
        <v>0</v>
      </c>
      <c r="W1590" s="13" t="n">
        <f aca="false">IF(H1590="Home",1,0)</f>
        <v>1</v>
      </c>
      <c r="X1590" s="13" t="n">
        <f aca="false">IF(H1590="Investment",1,0)</f>
        <v>0</v>
      </c>
      <c r="Y1590" s="13" t="n">
        <f aca="false">IF(K1590="Website",1,0)</f>
        <v>0</v>
      </c>
      <c r="Z1590" s="13" t="n">
        <f aca="false">IF(K1590="Agency",1,0)</f>
        <v>0</v>
      </c>
      <c r="AA1590" s="13" t="n">
        <f aca="false">IF(K1590="Client",1,0)</f>
        <v>1</v>
      </c>
      <c r="AB1590" s="13" t="n">
        <f aca="false">(D1590-AVERAGE(D$2:D$2001))/STDEV(D$2:D$2001)</f>
        <v>-0.353874489330784</v>
      </c>
      <c r="AC1590" s="13" t="n">
        <f aca="false">(I1590-AVERAGE(I$2:I$2001))/STDEV(I$2:I$2001)</f>
        <v>-0.0205155458339628</v>
      </c>
      <c r="AD1590" s="13" t="n">
        <f aca="false">(L1590-AVERAGE(L$2:L$2001))/STDEV(L$2:L$2001)</f>
        <v>-0.777063122173208</v>
      </c>
      <c r="AE1590" s="13" t="n">
        <f aca="false">(M1590-AVERAGE(M$2:M$2001))/STDEV(M$2:M$2001)</f>
        <v>0.663507456119422</v>
      </c>
      <c r="AF1590" s="13" t="n">
        <f aca="false">(N1590-AVERAGE(N$2:N$2001))/STDEV(N$2:N$2001)</f>
        <v>2.15089929612416</v>
      </c>
      <c r="AG1590" s="13" t="n">
        <f aca="false">(O1590-AVERAGE(O$2:O$2001))/STDEV(O$2:O$2001)</f>
        <v>1.62239057360049</v>
      </c>
      <c r="AH1590" s="0" t="str">
        <f aca="false">IF(B1590="Company","C3 - Corporate Buyers",IF(AND(H1590="Investment",M1590&gt;'Segmentation Summary'!$C$1),"C1 - Global Investors",IF(AND(I1590&gt;=4,M1590&gt;'Segmentation Summary'!$C$1),"C4 - Luxury Investors",IF(AND(D1590&lt;'Segmentation Summary'!$C$2,J1590=1),"C2 - First-Time Buyers","C5 - Other Individual Buyers"))))</f>
        <v>C5 - Other Individual Buyers</v>
      </c>
    </row>
    <row r="1591" customFormat="false" ht="15" hidden="false" customHeight="true" outlineLevel="0" collapsed="false">
      <c r="A1591" s="13" t="s">
        <v>3178</v>
      </c>
      <c r="B1591" s="13" t="s">
        <v>34</v>
      </c>
      <c r="C1591" s="13" t="s">
        <v>3179</v>
      </c>
      <c r="D1591" s="13" t="n">
        <v>65</v>
      </c>
      <c r="E1591" s="13" t="s">
        <v>83</v>
      </c>
      <c r="F1591" s="13" t="s">
        <v>33</v>
      </c>
      <c r="G1591" s="13" t="s">
        <v>95</v>
      </c>
      <c r="H1591" s="13" t="s">
        <v>43</v>
      </c>
      <c r="I1591" s="13" t="n">
        <v>1</v>
      </c>
      <c r="J1591" s="13" t="n">
        <v>0</v>
      </c>
      <c r="K1591" s="13" t="s">
        <v>91</v>
      </c>
      <c r="L1591" s="13" t="n">
        <v>4</v>
      </c>
      <c r="M1591" s="13" t="n">
        <v>1685753.28</v>
      </c>
      <c r="N1591" s="13" t="n">
        <v>421438.32</v>
      </c>
      <c r="O1591" s="13" t="n">
        <v>1333.5625</v>
      </c>
      <c r="P1591" s="13" t="n">
        <v>0</v>
      </c>
      <c r="Q1591" s="13" t="n">
        <v>4</v>
      </c>
      <c r="R1591" s="13" t="s">
        <v>111</v>
      </c>
      <c r="S1591" s="13" t="s">
        <v>125</v>
      </c>
      <c r="T1591" s="13" t="n">
        <v>1</v>
      </c>
      <c r="U1591" s="13" t="n">
        <f aca="false">IF(B1591="Individual",1,0)</f>
        <v>1</v>
      </c>
      <c r="V1591" s="13" t="n">
        <f aca="false">IF(B1591="Company",1,0)</f>
        <v>0</v>
      </c>
      <c r="W1591" s="13" t="n">
        <f aca="false">IF(H1591="Home",1,0)</f>
        <v>0</v>
      </c>
      <c r="X1591" s="13" t="n">
        <f aca="false">IF(H1591="Investment",1,0)</f>
        <v>1</v>
      </c>
      <c r="Y1591" s="13" t="n">
        <f aca="false">IF(K1591="Website",1,0)</f>
        <v>0</v>
      </c>
      <c r="Z1591" s="13" t="n">
        <f aca="false">IF(K1591="Agency",1,0)</f>
        <v>1</v>
      </c>
      <c r="AA1591" s="13" t="n">
        <f aca="false">IF(K1591="Client",1,0)</f>
        <v>0</v>
      </c>
      <c r="AB1591" s="13" t="n">
        <f aca="false">(D1591-AVERAGE(D$2:D$2001))/STDEV(D$2:D$2001)</f>
        <v>0.626387253967787</v>
      </c>
      <c r="AC1591" s="13" t="n">
        <f aca="false">(I1591-AVERAGE(I$2:I$2001))/STDEV(I$2:I$2001)</f>
        <v>-1.43538077576244</v>
      </c>
      <c r="AD1591" s="13" t="n">
        <f aca="false">(L1591-AVERAGE(L$2:L$2001))/STDEV(L$2:L$2001)</f>
        <v>0.413838214490712</v>
      </c>
      <c r="AE1591" s="13" t="n">
        <f aca="false">(M1591-AVERAGE(M$2:M$2001))/STDEV(M$2:M$2001)</f>
        <v>1.22294507814887</v>
      </c>
      <c r="AF1591" s="13" t="n">
        <f aca="false">(N1591-AVERAGE(N$2:N$2001))/STDEV(N$2:N$2001)</f>
        <v>1.06635716331717</v>
      </c>
      <c r="AG1591" s="13" t="n">
        <f aca="false">(O1591-AVERAGE(O$2:O$2001))/STDEV(O$2:O$2001)</f>
        <v>0.846128788215647</v>
      </c>
      <c r="AH1591" s="0" t="str">
        <f aca="false">IF(B1591="Company","C3 - Corporate Buyers",IF(AND(H1591="Investment",M1591&gt;'Segmentation Summary'!$C$1),"C1 - Global Investors",IF(AND(I1591&gt;=4,M1591&gt;'Segmentation Summary'!$C$1),"C4 - Luxury Investors",IF(AND(D1591&lt;'Segmentation Summary'!$C$2,J1591=1),"C2 - First-Time Buyers","C5 - Other Individual Buyers"))))</f>
        <v>C1 - Global Investors</v>
      </c>
    </row>
    <row r="1592" customFormat="false" ht="15" hidden="false" customHeight="true" outlineLevel="0" collapsed="false">
      <c r="A1592" s="13" t="s">
        <v>3180</v>
      </c>
      <c r="B1592" s="13" t="s">
        <v>34</v>
      </c>
      <c r="C1592" s="13" t="s">
        <v>3181</v>
      </c>
      <c r="D1592" s="13" t="n">
        <v>47</v>
      </c>
      <c r="E1592" s="13" t="s">
        <v>83</v>
      </c>
      <c r="F1592" s="13" t="s">
        <v>33</v>
      </c>
      <c r="G1592" s="13" t="s">
        <v>120</v>
      </c>
      <c r="H1592" s="13" t="s">
        <v>41</v>
      </c>
      <c r="I1592" s="13" t="n">
        <v>4</v>
      </c>
      <c r="J1592" s="13" t="n">
        <v>0</v>
      </c>
      <c r="K1592" s="13" t="s">
        <v>116</v>
      </c>
      <c r="L1592" s="13" t="n">
        <v>4</v>
      </c>
      <c r="M1592" s="13" t="n">
        <v>1251975.85</v>
      </c>
      <c r="N1592" s="13" t="n">
        <v>312993.9625</v>
      </c>
      <c r="O1592" s="13" t="n">
        <v>994.0725</v>
      </c>
      <c r="P1592" s="13" t="n">
        <v>0</v>
      </c>
      <c r="Q1592" s="13" t="n">
        <v>4</v>
      </c>
      <c r="R1592" s="13" t="s">
        <v>111</v>
      </c>
      <c r="S1592" s="13" t="s">
        <v>141</v>
      </c>
      <c r="T1592" s="13" t="n">
        <v>1</v>
      </c>
      <c r="U1592" s="13" t="n">
        <f aca="false">IF(B1592="Individual",1,0)</f>
        <v>1</v>
      </c>
      <c r="V1592" s="13" t="n">
        <f aca="false">IF(B1592="Company",1,0)</f>
        <v>0</v>
      </c>
      <c r="W1592" s="13" t="n">
        <f aca="false">IF(H1592="Home",1,0)</f>
        <v>1</v>
      </c>
      <c r="X1592" s="13" t="n">
        <f aca="false">IF(H1592="Investment",1,0)</f>
        <v>0</v>
      </c>
      <c r="Y1592" s="13" t="n">
        <f aca="false">IF(K1592="Website",1,0)</f>
        <v>0</v>
      </c>
      <c r="Z1592" s="13" t="n">
        <f aca="false">IF(K1592="Agency",1,0)</f>
        <v>0</v>
      </c>
      <c r="AA1592" s="13" t="n">
        <f aca="false">IF(K1592="Client",1,0)</f>
        <v>1</v>
      </c>
      <c r="AB1592" s="13" t="n">
        <f aca="false">(D1592-AVERAGE(D$2:D$2001))/STDEV(D$2:D$2001)</f>
        <v>-0.411536944818935</v>
      </c>
      <c r="AC1592" s="13" t="n">
        <f aca="false">(I1592-AVERAGE(I$2:I$2001))/STDEV(I$2:I$2001)</f>
        <v>0.686917069130275</v>
      </c>
      <c r="AD1592" s="13" t="n">
        <f aca="false">(L1592-AVERAGE(L$2:L$2001))/STDEV(L$2:L$2001)</f>
        <v>0.413838214490712</v>
      </c>
      <c r="AE1592" s="13" t="n">
        <f aca="false">(M1592-AVERAGE(M$2:M$2001))/STDEV(M$2:M$2001)</f>
        <v>-0.0241486196283657</v>
      </c>
      <c r="AF1592" s="13" t="n">
        <f aca="false">(N1592-AVERAGE(N$2:N$2001))/STDEV(N$2:N$2001)</f>
        <v>-0.489029008164684</v>
      </c>
      <c r="AG1592" s="13" t="n">
        <f aca="false">(O1592-AVERAGE(O$2:O$2001))/STDEV(O$2:O$2001)</f>
        <v>-0.697550761451504</v>
      </c>
      <c r="AH1592" s="0" t="str">
        <f aca="false">IF(B1592="Company","C3 - Corporate Buyers",IF(AND(H1592="Investment",M1592&gt;'Segmentation Summary'!$C$1),"C1 - Global Investors",IF(AND(I1592&gt;=4,M1592&gt;'Segmentation Summary'!$C$1),"C4 - Luxury Investors",IF(AND(D1592&lt;'Segmentation Summary'!$C$2,J1592=1),"C2 - First-Time Buyers","C5 - Other Individual Buyers"))))</f>
        <v>C4 - Luxury Investors</v>
      </c>
    </row>
    <row r="1593" customFormat="false" ht="15" hidden="false" customHeight="true" outlineLevel="0" collapsed="false">
      <c r="A1593" s="13" t="s">
        <v>3182</v>
      </c>
      <c r="B1593" s="13" t="s">
        <v>34</v>
      </c>
      <c r="C1593" s="13" t="s">
        <v>3183</v>
      </c>
      <c r="D1593" s="13" t="n">
        <v>65</v>
      </c>
      <c r="E1593" s="13" t="s">
        <v>83</v>
      </c>
      <c r="F1593" s="13" t="s">
        <v>42</v>
      </c>
      <c r="G1593" s="13" t="s">
        <v>143</v>
      </c>
      <c r="H1593" s="13" t="s">
        <v>41</v>
      </c>
      <c r="I1593" s="13" t="n">
        <v>4</v>
      </c>
      <c r="J1593" s="13" t="n">
        <v>0</v>
      </c>
      <c r="K1593" s="13" t="s">
        <v>85</v>
      </c>
      <c r="L1593" s="13" t="n">
        <v>3</v>
      </c>
      <c r="M1593" s="13" t="n">
        <v>968123.38</v>
      </c>
      <c r="N1593" s="13" t="n">
        <v>322707.793333333</v>
      </c>
      <c r="O1593" s="13" t="n">
        <v>1076.69</v>
      </c>
      <c r="P1593" s="13" t="n">
        <v>0</v>
      </c>
      <c r="Q1593" s="13" t="n">
        <v>3</v>
      </c>
      <c r="R1593" s="13" t="s">
        <v>98</v>
      </c>
      <c r="S1593" s="13" t="s">
        <v>87</v>
      </c>
      <c r="T1593" s="13" t="n">
        <v>1</v>
      </c>
      <c r="U1593" s="13" t="n">
        <f aca="false">IF(B1593="Individual",1,0)</f>
        <v>1</v>
      </c>
      <c r="V1593" s="13" t="n">
        <f aca="false">IF(B1593="Company",1,0)</f>
        <v>0</v>
      </c>
      <c r="W1593" s="13" t="n">
        <f aca="false">IF(H1593="Home",1,0)</f>
        <v>1</v>
      </c>
      <c r="X1593" s="13" t="n">
        <f aca="false">IF(H1593="Investment",1,0)</f>
        <v>0</v>
      </c>
      <c r="Y1593" s="13" t="n">
        <f aca="false">IF(K1593="Website",1,0)</f>
        <v>1</v>
      </c>
      <c r="Z1593" s="13" t="n">
        <f aca="false">IF(K1593="Agency",1,0)</f>
        <v>0</v>
      </c>
      <c r="AA1593" s="13" t="n">
        <f aca="false">IF(K1593="Client",1,0)</f>
        <v>0</v>
      </c>
      <c r="AB1593" s="13" t="n">
        <f aca="false">(D1593-AVERAGE(D$2:D$2001))/STDEV(D$2:D$2001)</f>
        <v>0.626387253967787</v>
      </c>
      <c r="AC1593" s="13" t="n">
        <f aca="false">(I1593-AVERAGE(I$2:I$2001))/STDEV(I$2:I$2001)</f>
        <v>0.686917069130275</v>
      </c>
      <c r="AD1593" s="13" t="n">
        <f aca="false">(L1593-AVERAGE(L$2:L$2001))/STDEV(L$2:L$2001)</f>
        <v>-0.777063122173208</v>
      </c>
      <c r="AE1593" s="13" t="n">
        <f aca="false">(M1593-AVERAGE(M$2:M$2001))/STDEV(M$2:M$2001)</f>
        <v>-0.840213730336182</v>
      </c>
      <c r="AF1593" s="13" t="n">
        <f aca="false">(N1593-AVERAGE(N$2:N$2001))/STDEV(N$2:N$2001)</f>
        <v>-0.3497063315535</v>
      </c>
      <c r="AG1593" s="13" t="n">
        <f aca="false">(O1593-AVERAGE(O$2:O$2001))/STDEV(O$2:O$2001)</f>
        <v>-0.321884482048205</v>
      </c>
      <c r="AH1593" s="0" t="str">
        <f aca="false">IF(B1593="Company","C3 - Corporate Buyers",IF(AND(H1593="Investment",M1593&gt;'Segmentation Summary'!$C$1),"C1 - Global Investors",IF(AND(I1593&gt;=4,M1593&gt;'Segmentation Summary'!$C$1),"C4 - Luxury Investors",IF(AND(D1593&lt;'Segmentation Summary'!$C$2,J1593=1),"C2 - First-Time Buyers","C5 - Other Individual Buyers"))))</f>
        <v>C5 - Other Individual Buyers</v>
      </c>
    </row>
    <row r="1594" customFormat="false" ht="15" hidden="false" customHeight="true" outlineLevel="0" collapsed="false">
      <c r="A1594" s="13" t="s">
        <v>3184</v>
      </c>
      <c r="B1594" s="13" t="s">
        <v>34</v>
      </c>
      <c r="C1594" s="13" t="s">
        <v>3185</v>
      </c>
      <c r="D1594" s="13" t="n">
        <v>56</v>
      </c>
      <c r="E1594" s="13" t="s">
        <v>83</v>
      </c>
      <c r="F1594" s="13" t="s">
        <v>33</v>
      </c>
      <c r="G1594" s="13" t="s">
        <v>95</v>
      </c>
      <c r="H1594" s="13" t="s">
        <v>43</v>
      </c>
      <c r="I1594" s="13" t="n">
        <v>1</v>
      </c>
      <c r="J1594" s="13" t="n">
        <v>0</v>
      </c>
      <c r="K1594" s="13" t="s">
        <v>85</v>
      </c>
      <c r="L1594" s="13" t="n">
        <v>4</v>
      </c>
      <c r="M1594" s="13" t="n">
        <v>1275455.51</v>
      </c>
      <c r="N1594" s="13" t="n">
        <v>318863.8775</v>
      </c>
      <c r="O1594" s="13" t="n">
        <v>1018.5225</v>
      </c>
      <c r="P1594" s="13" t="n">
        <v>0</v>
      </c>
      <c r="Q1594" s="13" t="n">
        <v>4</v>
      </c>
      <c r="R1594" s="13" t="s">
        <v>86</v>
      </c>
      <c r="S1594" s="13" t="s">
        <v>87</v>
      </c>
      <c r="T1594" s="13" t="n">
        <v>1</v>
      </c>
      <c r="U1594" s="13" t="n">
        <f aca="false">IF(B1594="Individual",1,0)</f>
        <v>1</v>
      </c>
      <c r="V1594" s="13" t="n">
        <f aca="false">IF(B1594="Company",1,0)</f>
        <v>0</v>
      </c>
      <c r="W1594" s="13" t="n">
        <f aca="false">IF(H1594="Home",1,0)</f>
        <v>0</v>
      </c>
      <c r="X1594" s="13" t="n">
        <f aca="false">IF(H1594="Investment",1,0)</f>
        <v>1</v>
      </c>
      <c r="Y1594" s="13" t="n">
        <f aca="false">IF(K1594="Website",1,0)</f>
        <v>1</v>
      </c>
      <c r="Z1594" s="13" t="n">
        <f aca="false">IF(K1594="Agency",1,0)</f>
        <v>0</v>
      </c>
      <c r="AA1594" s="13" t="n">
        <f aca="false">IF(K1594="Client",1,0)</f>
        <v>0</v>
      </c>
      <c r="AB1594" s="13" t="n">
        <f aca="false">(D1594-AVERAGE(D$2:D$2001))/STDEV(D$2:D$2001)</f>
        <v>0.107425154574426</v>
      </c>
      <c r="AC1594" s="13" t="n">
        <f aca="false">(I1594-AVERAGE(I$2:I$2001))/STDEV(I$2:I$2001)</f>
        <v>-1.43538077576244</v>
      </c>
      <c r="AD1594" s="13" t="n">
        <f aca="false">(L1594-AVERAGE(L$2:L$2001))/STDEV(L$2:L$2001)</f>
        <v>0.413838214490712</v>
      </c>
      <c r="AE1594" s="13" t="n">
        <f aca="false">(M1594-AVERAGE(M$2:M$2001))/STDEV(M$2:M$2001)</f>
        <v>0.0433545144373052</v>
      </c>
      <c r="AF1594" s="13" t="n">
        <f aca="false">(N1594-AVERAGE(N$2:N$2001))/STDEV(N$2:N$2001)</f>
        <v>-0.404838508730227</v>
      </c>
      <c r="AG1594" s="13" t="n">
        <f aca="false">(O1594-AVERAGE(O$2:O$2001))/STDEV(O$2:O$2001)</f>
        <v>-0.586375277668883</v>
      </c>
      <c r="AH1594" s="0" t="str">
        <f aca="false">IF(B1594="Company","C3 - Corporate Buyers",IF(AND(H1594="Investment",M1594&gt;'Segmentation Summary'!$C$1),"C1 - Global Investors",IF(AND(I1594&gt;=4,M1594&gt;'Segmentation Summary'!$C$1),"C4 - Luxury Investors",IF(AND(D1594&lt;'Segmentation Summary'!$C$2,J1594=1),"C2 - First-Time Buyers","C5 - Other Individual Buyers"))))</f>
        <v>C1 - Global Investors</v>
      </c>
    </row>
    <row r="1595" customFormat="false" ht="15" hidden="false" customHeight="true" outlineLevel="0" collapsed="false">
      <c r="A1595" s="13" t="s">
        <v>3186</v>
      </c>
      <c r="B1595" s="13" t="s">
        <v>34</v>
      </c>
      <c r="C1595" s="13" t="s">
        <v>3185</v>
      </c>
      <c r="D1595" s="13" t="n">
        <v>82</v>
      </c>
      <c r="E1595" s="13" t="s">
        <v>83</v>
      </c>
      <c r="F1595" s="13" t="s">
        <v>33</v>
      </c>
      <c r="G1595" s="13" t="s">
        <v>207</v>
      </c>
      <c r="H1595" s="13" t="s">
        <v>43</v>
      </c>
      <c r="I1595" s="13" t="n">
        <v>5</v>
      </c>
      <c r="J1595" s="13" t="n">
        <v>1</v>
      </c>
      <c r="K1595" s="13" t="s">
        <v>116</v>
      </c>
      <c r="L1595" s="13" t="n">
        <v>3</v>
      </c>
      <c r="M1595" s="13" t="n">
        <v>827238.27</v>
      </c>
      <c r="N1595" s="13" t="n">
        <v>275746.09</v>
      </c>
      <c r="O1595" s="13" t="n">
        <v>964.266666666667</v>
      </c>
      <c r="P1595" s="13" t="n">
        <v>0</v>
      </c>
      <c r="Q1595" s="13" t="n">
        <v>3</v>
      </c>
      <c r="R1595" s="13" t="s">
        <v>92</v>
      </c>
      <c r="S1595" s="13" t="s">
        <v>117</v>
      </c>
      <c r="T1595" s="13" t="n">
        <v>1</v>
      </c>
      <c r="U1595" s="13" t="n">
        <f aca="false">IF(B1595="Individual",1,0)</f>
        <v>1</v>
      </c>
      <c r="V1595" s="13" t="n">
        <f aca="false">IF(B1595="Company",1,0)</f>
        <v>0</v>
      </c>
      <c r="W1595" s="13" t="n">
        <f aca="false">IF(H1595="Home",1,0)</f>
        <v>0</v>
      </c>
      <c r="X1595" s="13" t="n">
        <f aca="false">IF(H1595="Investment",1,0)</f>
        <v>1</v>
      </c>
      <c r="Y1595" s="13" t="n">
        <f aca="false">IF(K1595="Website",1,0)</f>
        <v>0</v>
      </c>
      <c r="Z1595" s="13" t="n">
        <f aca="false">IF(K1595="Agency",1,0)</f>
        <v>0</v>
      </c>
      <c r="AA1595" s="13" t="n">
        <f aca="false">IF(K1595="Client",1,0)</f>
        <v>1</v>
      </c>
      <c r="AB1595" s="13" t="n">
        <f aca="false">(D1595-AVERAGE(D$2:D$2001))/STDEV(D$2:D$2001)</f>
        <v>1.60664899726636</v>
      </c>
      <c r="AC1595" s="13" t="n">
        <f aca="false">(I1595-AVERAGE(I$2:I$2001))/STDEV(I$2:I$2001)</f>
        <v>1.39434968409451</v>
      </c>
      <c r="AD1595" s="13" t="n">
        <f aca="false">(L1595-AVERAGE(L$2:L$2001))/STDEV(L$2:L$2001)</f>
        <v>-0.777063122173208</v>
      </c>
      <c r="AE1595" s="13" t="n">
        <f aca="false">(M1595-AVERAGE(M$2:M$2001))/STDEV(M$2:M$2001)</f>
        <v>-1.24525309070966</v>
      </c>
      <c r="AF1595" s="13" t="n">
        <f aca="false">(N1595-AVERAGE(N$2:N$2001))/STDEV(N$2:N$2001)</f>
        <v>-1.0232645104924</v>
      </c>
      <c r="AG1595" s="13" t="n">
        <f aca="false">(O1595-AVERAGE(O$2:O$2001))/STDEV(O$2:O$2001)</f>
        <v>-0.833079511569192</v>
      </c>
      <c r="AH1595" s="0" t="str">
        <f aca="false">IF(B1595="Company","C3 - Corporate Buyers",IF(AND(H1595="Investment",M1595&gt;'Segmentation Summary'!$C$1),"C1 - Global Investors",IF(AND(I1595&gt;=4,M1595&gt;'Segmentation Summary'!$C$1),"C4 - Luxury Investors",IF(AND(D1595&lt;'Segmentation Summary'!$C$2,J1595=1),"C2 - First-Time Buyers","C5 - Other Individual Buyers"))))</f>
        <v>C5 - Other Individual Buyers</v>
      </c>
    </row>
    <row r="1596" customFormat="false" ht="15" hidden="false" customHeight="true" outlineLevel="0" collapsed="false">
      <c r="A1596" s="13" t="s">
        <v>3187</v>
      </c>
      <c r="B1596" s="13" t="s">
        <v>34</v>
      </c>
      <c r="C1596" s="13" t="s">
        <v>3188</v>
      </c>
      <c r="D1596" s="13" t="n">
        <v>33</v>
      </c>
      <c r="E1596" s="13" t="s">
        <v>83</v>
      </c>
      <c r="F1596" s="13" t="s">
        <v>33</v>
      </c>
      <c r="G1596" s="13" t="s">
        <v>106</v>
      </c>
      <c r="H1596" s="13" t="s">
        <v>41</v>
      </c>
      <c r="I1596" s="13" t="n">
        <v>1</v>
      </c>
      <c r="J1596" s="13" t="n">
        <v>0</v>
      </c>
      <c r="K1596" s="13" t="s">
        <v>85</v>
      </c>
      <c r="L1596" s="13" t="n">
        <v>4</v>
      </c>
      <c r="M1596" s="13" t="n">
        <v>1610320.87</v>
      </c>
      <c r="N1596" s="13" t="n">
        <v>402580.2175</v>
      </c>
      <c r="O1596" s="13" t="n">
        <v>1237.1025</v>
      </c>
      <c r="P1596" s="13" t="n">
        <v>0</v>
      </c>
      <c r="Q1596" s="13" t="n">
        <v>4</v>
      </c>
      <c r="R1596" s="13" t="s">
        <v>86</v>
      </c>
      <c r="S1596" s="13" t="s">
        <v>164</v>
      </c>
      <c r="T1596" s="13" t="n">
        <v>1</v>
      </c>
      <c r="U1596" s="13" t="n">
        <f aca="false">IF(B1596="Individual",1,0)</f>
        <v>1</v>
      </c>
      <c r="V1596" s="13" t="n">
        <f aca="false">IF(B1596="Company",1,0)</f>
        <v>0</v>
      </c>
      <c r="W1596" s="13" t="n">
        <f aca="false">IF(H1596="Home",1,0)</f>
        <v>1</v>
      </c>
      <c r="X1596" s="13" t="n">
        <f aca="false">IF(H1596="Investment",1,0)</f>
        <v>0</v>
      </c>
      <c r="Y1596" s="13" t="n">
        <f aca="false">IF(K1596="Website",1,0)</f>
        <v>1</v>
      </c>
      <c r="Z1596" s="13" t="n">
        <f aca="false">IF(K1596="Agency",1,0)</f>
        <v>0</v>
      </c>
      <c r="AA1596" s="13" t="n">
        <f aca="false">IF(K1596="Client",1,0)</f>
        <v>0</v>
      </c>
      <c r="AB1596" s="13" t="n">
        <f aca="false">(D1596-AVERAGE(D$2:D$2001))/STDEV(D$2:D$2001)</f>
        <v>-1.21881132165305</v>
      </c>
      <c r="AC1596" s="13" t="n">
        <f aca="false">(I1596-AVERAGE(I$2:I$2001))/STDEV(I$2:I$2001)</f>
        <v>-1.43538077576244</v>
      </c>
      <c r="AD1596" s="13" t="n">
        <f aca="false">(L1596-AVERAGE(L$2:L$2001))/STDEV(L$2:L$2001)</f>
        <v>0.413838214490712</v>
      </c>
      <c r="AE1596" s="13" t="n">
        <f aca="false">(M1596-AVERAGE(M$2:M$2001))/STDEV(M$2:M$2001)</f>
        <v>1.00607975364559</v>
      </c>
      <c r="AF1596" s="13" t="n">
        <f aca="false">(N1596-AVERAGE(N$2:N$2001))/STDEV(N$2:N$2001)</f>
        <v>0.795880833104345</v>
      </c>
      <c r="AG1596" s="13" t="n">
        <f aca="false">(O1596-AVERAGE(O$2:O$2001))/STDEV(O$2:O$2001)</f>
        <v>0.40751990618409</v>
      </c>
      <c r="AH1596" s="0" t="str">
        <f aca="false">IF(B1596="Company","C3 - Corporate Buyers",IF(AND(H1596="Investment",M1596&gt;'Segmentation Summary'!$C$1),"C1 - Global Investors",IF(AND(I1596&gt;=4,M1596&gt;'Segmentation Summary'!$C$1),"C4 - Luxury Investors",IF(AND(D1596&lt;'Segmentation Summary'!$C$2,J1596=1),"C2 - First-Time Buyers","C5 - Other Individual Buyers"))))</f>
        <v>C5 - Other Individual Buyers</v>
      </c>
    </row>
    <row r="1597" customFormat="false" ht="15" hidden="false" customHeight="true" outlineLevel="0" collapsed="false">
      <c r="A1597" s="13" t="s">
        <v>3189</v>
      </c>
      <c r="B1597" s="13" t="s">
        <v>34</v>
      </c>
      <c r="C1597" s="13" t="s">
        <v>3190</v>
      </c>
      <c r="D1597" s="13" t="n">
        <v>24</v>
      </c>
      <c r="E1597" s="13" t="s">
        <v>83</v>
      </c>
      <c r="F1597" s="13" t="s">
        <v>33</v>
      </c>
      <c r="G1597" s="13" t="s">
        <v>95</v>
      </c>
      <c r="H1597" s="13" t="s">
        <v>41</v>
      </c>
      <c r="I1597" s="13" t="n">
        <v>2</v>
      </c>
      <c r="J1597" s="13" t="n">
        <v>0</v>
      </c>
      <c r="K1597" s="13" t="s">
        <v>85</v>
      </c>
      <c r="L1597" s="13" t="n">
        <v>4</v>
      </c>
      <c r="M1597" s="13" t="n">
        <v>1395067.16</v>
      </c>
      <c r="N1597" s="13" t="n">
        <v>348766.79</v>
      </c>
      <c r="O1597" s="13" t="n">
        <v>1158.7275</v>
      </c>
      <c r="P1597" s="13" t="n">
        <v>0</v>
      </c>
      <c r="Q1597" s="13" t="n">
        <v>4</v>
      </c>
      <c r="R1597" s="13" t="s">
        <v>86</v>
      </c>
      <c r="S1597" s="13" t="s">
        <v>114</v>
      </c>
      <c r="T1597" s="13" t="n">
        <v>1</v>
      </c>
      <c r="U1597" s="13" t="n">
        <f aca="false">IF(B1597="Individual",1,0)</f>
        <v>1</v>
      </c>
      <c r="V1597" s="13" t="n">
        <f aca="false">IF(B1597="Company",1,0)</f>
        <v>0</v>
      </c>
      <c r="W1597" s="13" t="n">
        <f aca="false">IF(H1597="Home",1,0)</f>
        <v>1</v>
      </c>
      <c r="X1597" s="13" t="n">
        <f aca="false">IF(H1597="Investment",1,0)</f>
        <v>0</v>
      </c>
      <c r="Y1597" s="13" t="n">
        <f aca="false">IF(K1597="Website",1,0)</f>
        <v>1</v>
      </c>
      <c r="Z1597" s="13" t="n">
        <f aca="false">IF(K1597="Agency",1,0)</f>
        <v>0</v>
      </c>
      <c r="AA1597" s="13" t="n">
        <f aca="false">IF(K1597="Client",1,0)</f>
        <v>0</v>
      </c>
      <c r="AB1597" s="13" t="n">
        <f aca="false">(D1597-AVERAGE(D$2:D$2001))/STDEV(D$2:D$2001)</f>
        <v>-1.73777342104641</v>
      </c>
      <c r="AC1597" s="13" t="n">
        <f aca="false">(I1597-AVERAGE(I$2:I$2001))/STDEV(I$2:I$2001)</f>
        <v>-0.727948160798201</v>
      </c>
      <c r="AD1597" s="13" t="n">
        <f aca="false">(L1597-AVERAGE(L$2:L$2001))/STDEV(L$2:L$2001)</f>
        <v>0.413838214490712</v>
      </c>
      <c r="AE1597" s="13" t="n">
        <f aca="false">(M1597-AVERAGE(M$2:M$2001))/STDEV(M$2:M$2001)</f>
        <v>0.387233482265891</v>
      </c>
      <c r="AF1597" s="13" t="n">
        <f aca="false">(N1597-AVERAGE(N$2:N$2001))/STDEV(N$2:N$2001)</f>
        <v>0.0240503487608765</v>
      </c>
      <c r="AG1597" s="13" t="n">
        <f aca="false">(O1597-AVERAGE(O$2:O$2001))/STDEV(O$2:O$2001)</f>
        <v>0.05114450571526</v>
      </c>
      <c r="AH1597" s="0" t="str">
        <f aca="false">IF(B1597="Company","C3 - Corporate Buyers",IF(AND(H1597="Investment",M1597&gt;'Segmentation Summary'!$C$1),"C1 - Global Investors",IF(AND(I1597&gt;=4,M1597&gt;'Segmentation Summary'!$C$1),"C4 - Luxury Investors",IF(AND(D1597&lt;'Segmentation Summary'!$C$2,J1597=1),"C2 - First-Time Buyers","C5 - Other Individual Buyers"))))</f>
        <v>C5 - Other Individual Buyers</v>
      </c>
    </row>
    <row r="1598" customFormat="false" ht="15" hidden="false" customHeight="true" outlineLevel="0" collapsed="false">
      <c r="A1598" s="13" t="s">
        <v>3191</v>
      </c>
      <c r="B1598" s="13" t="s">
        <v>34</v>
      </c>
      <c r="C1598" s="13" t="s">
        <v>3192</v>
      </c>
      <c r="D1598" s="13" t="n">
        <v>82</v>
      </c>
      <c r="E1598" s="13" t="s">
        <v>83</v>
      </c>
      <c r="F1598" s="13" t="s">
        <v>33</v>
      </c>
      <c r="G1598" s="13" t="s">
        <v>162</v>
      </c>
      <c r="H1598" s="13" t="s">
        <v>41</v>
      </c>
      <c r="I1598" s="13" t="n">
        <v>1</v>
      </c>
      <c r="J1598" s="13" t="n">
        <v>1</v>
      </c>
      <c r="K1598" s="13" t="s">
        <v>91</v>
      </c>
      <c r="L1598" s="13" t="n">
        <v>3</v>
      </c>
      <c r="M1598" s="13" t="n">
        <v>1260126.39</v>
      </c>
      <c r="N1598" s="13" t="n">
        <v>420042.13</v>
      </c>
      <c r="O1598" s="13" t="n">
        <v>1452.26333333333</v>
      </c>
      <c r="P1598" s="13" t="n">
        <v>0</v>
      </c>
      <c r="Q1598" s="13" t="n">
        <v>3</v>
      </c>
      <c r="R1598" s="13" t="s">
        <v>150</v>
      </c>
      <c r="S1598" s="13" t="s">
        <v>154</v>
      </c>
      <c r="T1598" s="13" t="n">
        <v>1</v>
      </c>
      <c r="U1598" s="13" t="n">
        <f aca="false">IF(B1598="Individual",1,0)</f>
        <v>1</v>
      </c>
      <c r="V1598" s="13" t="n">
        <f aca="false">IF(B1598="Company",1,0)</f>
        <v>0</v>
      </c>
      <c r="W1598" s="13" t="n">
        <f aca="false">IF(H1598="Home",1,0)</f>
        <v>1</v>
      </c>
      <c r="X1598" s="13" t="n">
        <f aca="false">IF(H1598="Investment",1,0)</f>
        <v>0</v>
      </c>
      <c r="Y1598" s="13" t="n">
        <f aca="false">IF(K1598="Website",1,0)</f>
        <v>0</v>
      </c>
      <c r="Z1598" s="13" t="n">
        <f aca="false">IF(K1598="Agency",1,0)</f>
        <v>1</v>
      </c>
      <c r="AA1598" s="13" t="n">
        <f aca="false">IF(K1598="Client",1,0)</f>
        <v>0</v>
      </c>
      <c r="AB1598" s="13" t="n">
        <f aca="false">(D1598-AVERAGE(D$2:D$2001))/STDEV(D$2:D$2001)</f>
        <v>1.60664899726636</v>
      </c>
      <c r="AC1598" s="13" t="n">
        <f aca="false">(I1598-AVERAGE(I$2:I$2001))/STDEV(I$2:I$2001)</f>
        <v>-1.43538077576244</v>
      </c>
      <c r="AD1598" s="13" t="n">
        <f aca="false">(L1598-AVERAGE(L$2:L$2001))/STDEV(L$2:L$2001)</f>
        <v>-0.777063122173208</v>
      </c>
      <c r="AE1598" s="13" t="n">
        <f aca="false">(M1598-AVERAGE(M$2:M$2001))/STDEV(M$2:M$2001)</f>
        <v>-0.000716125532301215</v>
      </c>
      <c r="AF1598" s="13" t="n">
        <f aca="false">(N1598-AVERAGE(N$2:N$2001))/STDEV(N$2:N$2001)</f>
        <v>1.04633201245802</v>
      </c>
      <c r="AG1598" s="13" t="n">
        <f aca="false">(O1598-AVERAGE(O$2:O$2001))/STDEV(O$2:O$2001)</f>
        <v>1.38586795268326</v>
      </c>
      <c r="AH1598" s="0" t="str">
        <f aca="false">IF(B1598="Company","C3 - Corporate Buyers",IF(AND(H1598="Investment",M1598&gt;'Segmentation Summary'!$C$1),"C1 - Global Investors",IF(AND(I1598&gt;=4,M1598&gt;'Segmentation Summary'!$C$1),"C4 - Luxury Investors",IF(AND(D1598&lt;'Segmentation Summary'!$C$2,J1598=1),"C2 - First-Time Buyers","C5 - Other Individual Buyers"))))</f>
        <v>C5 - Other Individual Buyers</v>
      </c>
    </row>
    <row r="1599" customFormat="false" ht="15" hidden="false" customHeight="true" outlineLevel="0" collapsed="false">
      <c r="A1599" s="13" t="s">
        <v>3193</v>
      </c>
      <c r="B1599" s="13" t="s">
        <v>34</v>
      </c>
      <c r="C1599" s="13" t="s">
        <v>3194</v>
      </c>
      <c r="D1599" s="13" t="n">
        <v>49</v>
      </c>
      <c r="E1599" s="13" t="s">
        <v>83</v>
      </c>
      <c r="F1599" s="13" t="s">
        <v>33</v>
      </c>
      <c r="G1599" s="13" t="s">
        <v>120</v>
      </c>
      <c r="H1599" s="13" t="s">
        <v>41</v>
      </c>
      <c r="I1599" s="13" t="n">
        <v>2</v>
      </c>
      <c r="J1599" s="13" t="n">
        <v>1</v>
      </c>
      <c r="K1599" s="13" t="s">
        <v>91</v>
      </c>
      <c r="L1599" s="13" t="n">
        <v>3</v>
      </c>
      <c r="M1599" s="13" t="n">
        <v>1065745.84</v>
      </c>
      <c r="N1599" s="13" t="n">
        <v>355248.613333333</v>
      </c>
      <c r="O1599" s="13" t="n">
        <v>1124.5</v>
      </c>
      <c r="P1599" s="13" t="n">
        <v>1</v>
      </c>
      <c r="Q1599" s="13" t="n">
        <v>2</v>
      </c>
      <c r="R1599" s="13" t="s">
        <v>101</v>
      </c>
      <c r="S1599" s="13" t="s">
        <v>154</v>
      </c>
      <c r="T1599" s="13" t="n">
        <v>1</v>
      </c>
      <c r="U1599" s="13" t="n">
        <f aca="false">IF(B1599="Individual",1,0)</f>
        <v>1</v>
      </c>
      <c r="V1599" s="13" t="n">
        <f aca="false">IF(B1599="Company",1,0)</f>
        <v>0</v>
      </c>
      <c r="W1599" s="13" t="n">
        <f aca="false">IF(H1599="Home",1,0)</f>
        <v>1</v>
      </c>
      <c r="X1599" s="13" t="n">
        <f aca="false">IF(H1599="Investment",1,0)</f>
        <v>0</v>
      </c>
      <c r="Y1599" s="13" t="n">
        <f aca="false">IF(K1599="Website",1,0)</f>
        <v>0</v>
      </c>
      <c r="Z1599" s="13" t="n">
        <f aca="false">IF(K1599="Agency",1,0)</f>
        <v>1</v>
      </c>
      <c r="AA1599" s="13" t="n">
        <f aca="false">IF(K1599="Client",1,0)</f>
        <v>0</v>
      </c>
      <c r="AB1599" s="13" t="n">
        <f aca="false">(D1599-AVERAGE(D$2:D$2001))/STDEV(D$2:D$2001)</f>
        <v>-0.296212033842633</v>
      </c>
      <c r="AC1599" s="13" t="n">
        <f aca="false">(I1599-AVERAGE(I$2:I$2001))/STDEV(I$2:I$2001)</f>
        <v>-0.727948160798201</v>
      </c>
      <c r="AD1599" s="13" t="n">
        <f aca="false">(L1599-AVERAGE(L$2:L$2001))/STDEV(L$2:L$2001)</f>
        <v>-0.777063122173208</v>
      </c>
      <c r="AE1599" s="13" t="n">
        <f aca="false">(M1599-AVERAGE(M$2:M$2001))/STDEV(M$2:M$2001)</f>
        <v>-0.559552851720367</v>
      </c>
      <c r="AF1599" s="13" t="n">
        <f aca="false">(N1599-AVERAGE(N$2:N$2001))/STDEV(N$2:N$2001)</f>
        <v>0.117017273099513</v>
      </c>
      <c r="AG1599" s="13" t="n">
        <f aca="false">(O1599-AVERAGE(O$2:O$2001))/STDEV(O$2:O$2001)</f>
        <v>-0.10448980394403</v>
      </c>
      <c r="AH1599" s="0" t="str">
        <f aca="false">IF(B1599="Company","C3 - Corporate Buyers",IF(AND(H1599="Investment",M1599&gt;'Segmentation Summary'!$C$1),"C1 - Global Investors",IF(AND(I1599&gt;=4,M1599&gt;'Segmentation Summary'!$C$1),"C4 - Luxury Investors",IF(AND(D1599&lt;'Segmentation Summary'!$C$2,J1599=1),"C2 - First-Time Buyers","C5 - Other Individual Buyers"))))</f>
        <v>C2 - First-Time Buyers</v>
      </c>
    </row>
    <row r="1600" customFormat="false" ht="15" hidden="false" customHeight="true" outlineLevel="0" collapsed="false">
      <c r="A1600" s="13" t="s">
        <v>3195</v>
      </c>
      <c r="B1600" s="13" t="s">
        <v>34</v>
      </c>
      <c r="C1600" s="13" t="s">
        <v>3196</v>
      </c>
      <c r="D1600" s="13" t="n">
        <v>41</v>
      </c>
      <c r="E1600" s="13" t="s">
        <v>83</v>
      </c>
      <c r="F1600" s="13" t="s">
        <v>33</v>
      </c>
      <c r="G1600" s="13" t="s">
        <v>95</v>
      </c>
      <c r="H1600" s="13" t="s">
        <v>43</v>
      </c>
      <c r="I1600" s="13" t="n">
        <v>5</v>
      </c>
      <c r="J1600" s="13" t="n">
        <v>1</v>
      </c>
      <c r="K1600" s="13" t="s">
        <v>85</v>
      </c>
      <c r="L1600" s="13" t="n">
        <v>3</v>
      </c>
      <c r="M1600" s="13" t="n">
        <v>1123403.46</v>
      </c>
      <c r="N1600" s="13" t="n">
        <v>374467.82</v>
      </c>
      <c r="O1600" s="13" t="n">
        <v>1240.60666666667</v>
      </c>
      <c r="P1600" s="13" t="n">
        <v>0</v>
      </c>
      <c r="Q1600" s="13" t="n">
        <v>3</v>
      </c>
      <c r="R1600" s="13" t="s">
        <v>98</v>
      </c>
      <c r="S1600" s="13" t="s">
        <v>141</v>
      </c>
      <c r="T1600" s="13" t="n">
        <v>1</v>
      </c>
      <c r="U1600" s="13" t="n">
        <f aca="false">IF(B1600="Individual",1,0)</f>
        <v>1</v>
      </c>
      <c r="V1600" s="13" t="n">
        <f aca="false">IF(B1600="Company",1,0)</f>
        <v>0</v>
      </c>
      <c r="W1600" s="13" t="n">
        <f aca="false">IF(H1600="Home",1,0)</f>
        <v>0</v>
      </c>
      <c r="X1600" s="13" t="n">
        <f aca="false">IF(H1600="Investment",1,0)</f>
        <v>1</v>
      </c>
      <c r="Y1600" s="13" t="n">
        <f aca="false">IF(K1600="Website",1,0)</f>
        <v>1</v>
      </c>
      <c r="Z1600" s="13" t="n">
        <f aca="false">IF(K1600="Agency",1,0)</f>
        <v>0</v>
      </c>
      <c r="AA1600" s="13" t="n">
        <f aca="false">IF(K1600="Client",1,0)</f>
        <v>0</v>
      </c>
      <c r="AB1600" s="13" t="n">
        <f aca="false">(D1600-AVERAGE(D$2:D$2001))/STDEV(D$2:D$2001)</f>
        <v>-0.757511677747842</v>
      </c>
      <c r="AC1600" s="13" t="n">
        <f aca="false">(I1600-AVERAGE(I$2:I$2001))/STDEV(I$2:I$2001)</f>
        <v>1.39434968409451</v>
      </c>
      <c r="AD1600" s="13" t="n">
        <f aca="false">(L1600-AVERAGE(L$2:L$2001))/STDEV(L$2:L$2001)</f>
        <v>-0.777063122173208</v>
      </c>
      <c r="AE1600" s="13" t="n">
        <f aca="false">(M1600-AVERAGE(M$2:M$2001))/STDEV(M$2:M$2001)</f>
        <v>-0.393789375896291</v>
      </c>
      <c r="AF1600" s="13" t="n">
        <f aca="false">(N1600-AVERAGE(N$2:N$2001))/STDEV(N$2:N$2001)</f>
        <v>0.392672816323011</v>
      </c>
      <c r="AG1600" s="13" t="n">
        <f aca="false">(O1600-AVERAGE(O$2:O$2001))/STDEV(O$2:O$2001)</f>
        <v>0.423453543174763</v>
      </c>
      <c r="AH1600" s="0" t="str">
        <f aca="false">IF(B1600="Company","C3 - Corporate Buyers",IF(AND(H1600="Investment",M1600&gt;'Segmentation Summary'!$C$1),"C1 - Global Investors",IF(AND(I1600&gt;=4,M1600&gt;'Segmentation Summary'!$C$1),"C4 - Luxury Investors",IF(AND(D1600&lt;'Segmentation Summary'!$C$2,J1600=1),"C2 - First-Time Buyers","C5 - Other Individual Buyers"))))</f>
        <v>C2 - First-Time Buyers</v>
      </c>
    </row>
    <row r="1601" customFormat="false" ht="15" hidden="false" customHeight="true" outlineLevel="0" collapsed="false">
      <c r="A1601" s="13" t="s">
        <v>3197</v>
      </c>
      <c r="B1601" s="13" t="s">
        <v>34</v>
      </c>
      <c r="C1601" s="13" t="s">
        <v>3198</v>
      </c>
      <c r="D1601" s="13" t="n">
        <v>51</v>
      </c>
      <c r="E1601" s="13" t="s">
        <v>83</v>
      </c>
      <c r="F1601" s="13" t="s">
        <v>33</v>
      </c>
      <c r="G1601" s="13" t="s">
        <v>84</v>
      </c>
      <c r="H1601" s="13" t="s">
        <v>41</v>
      </c>
      <c r="I1601" s="13" t="n">
        <v>4</v>
      </c>
      <c r="J1601" s="13" t="n">
        <v>1</v>
      </c>
      <c r="K1601" s="13" t="s">
        <v>85</v>
      </c>
      <c r="L1601" s="13" t="n">
        <v>4</v>
      </c>
      <c r="M1601" s="13" t="n">
        <v>1268138.95</v>
      </c>
      <c r="N1601" s="13" t="n">
        <v>317034.7375</v>
      </c>
      <c r="O1601" s="13" t="n">
        <v>1098.1675</v>
      </c>
      <c r="P1601" s="13" t="n">
        <v>0</v>
      </c>
      <c r="Q1601" s="13" t="n">
        <v>4</v>
      </c>
      <c r="R1601" s="13" t="s">
        <v>92</v>
      </c>
      <c r="S1601" s="13" t="s">
        <v>152</v>
      </c>
      <c r="T1601" s="13" t="n">
        <v>1</v>
      </c>
      <c r="U1601" s="13" t="n">
        <f aca="false">IF(B1601="Individual",1,0)</f>
        <v>1</v>
      </c>
      <c r="V1601" s="13" t="n">
        <f aca="false">IF(B1601="Company",1,0)</f>
        <v>0</v>
      </c>
      <c r="W1601" s="13" t="n">
        <f aca="false">IF(H1601="Home",1,0)</f>
        <v>1</v>
      </c>
      <c r="X1601" s="13" t="n">
        <f aca="false">IF(H1601="Investment",1,0)</f>
        <v>0</v>
      </c>
      <c r="Y1601" s="13" t="n">
        <f aca="false">IF(K1601="Website",1,0)</f>
        <v>1</v>
      </c>
      <c r="Z1601" s="13" t="n">
        <f aca="false">IF(K1601="Agency",1,0)</f>
        <v>0</v>
      </c>
      <c r="AA1601" s="13" t="n">
        <f aca="false">IF(K1601="Client",1,0)</f>
        <v>0</v>
      </c>
      <c r="AB1601" s="13" t="n">
        <f aca="false">(D1601-AVERAGE(D$2:D$2001))/STDEV(D$2:D$2001)</f>
        <v>-0.18088712286633</v>
      </c>
      <c r="AC1601" s="13" t="n">
        <f aca="false">(I1601-AVERAGE(I$2:I$2001))/STDEV(I$2:I$2001)</f>
        <v>0.686917069130275</v>
      </c>
      <c r="AD1601" s="13" t="n">
        <f aca="false">(L1601-AVERAGE(L$2:L$2001))/STDEV(L$2:L$2001)</f>
        <v>0.413838214490712</v>
      </c>
      <c r="AE1601" s="13" t="n">
        <f aca="false">(M1601-AVERAGE(M$2:M$2001))/STDEV(M$2:M$2001)</f>
        <v>0.0223196812847156</v>
      </c>
      <c r="AF1601" s="13" t="n">
        <f aca="false">(N1601-AVERAGE(N$2:N$2001))/STDEV(N$2:N$2001)</f>
        <v>-0.431073336685239</v>
      </c>
      <c r="AG1601" s="13" t="n">
        <f aca="false">(O1601-AVERAGE(O$2:O$2001))/STDEV(O$2:O$2001)</f>
        <v>-0.22422511791973</v>
      </c>
      <c r="AH1601" s="0" t="str">
        <f aca="false">IF(B1601="Company","C3 - Corporate Buyers",IF(AND(H1601="Investment",M1601&gt;'Segmentation Summary'!$C$1),"C1 - Global Investors",IF(AND(I1601&gt;=4,M1601&gt;'Segmentation Summary'!$C$1),"C4 - Luxury Investors",IF(AND(D1601&lt;'Segmentation Summary'!$C$2,J1601=1),"C2 - First-Time Buyers","C5 - Other Individual Buyers"))))</f>
        <v>C4 - Luxury Investors</v>
      </c>
    </row>
    <row r="1602" customFormat="false" ht="15" hidden="false" customHeight="true" outlineLevel="0" collapsed="false">
      <c r="A1602" s="13" t="s">
        <v>3199</v>
      </c>
      <c r="B1602" s="13" t="s">
        <v>34</v>
      </c>
      <c r="C1602" s="13" t="s">
        <v>3200</v>
      </c>
      <c r="D1602" s="13" t="n">
        <v>37</v>
      </c>
      <c r="E1602" s="13" t="s">
        <v>83</v>
      </c>
      <c r="F1602" s="13" t="s">
        <v>47</v>
      </c>
      <c r="G1602" s="13" t="s">
        <v>2193</v>
      </c>
      <c r="H1602" s="13" t="s">
        <v>43</v>
      </c>
      <c r="I1602" s="13" t="n">
        <v>2</v>
      </c>
      <c r="J1602" s="13" t="n">
        <v>0</v>
      </c>
      <c r="K1602" s="13" t="s">
        <v>85</v>
      </c>
      <c r="L1602" s="13" t="n">
        <v>3</v>
      </c>
      <c r="M1602" s="13" t="n">
        <v>682452.64</v>
      </c>
      <c r="N1602" s="13" t="n">
        <v>227484.213333333</v>
      </c>
      <c r="O1602" s="13" t="n">
        <v>801.46</v>
      </c>
      <c r="P1602" s="13" t="n">
        <v>0</v>
      </c>
      <c r="Q1602" s="13" t="n">
        <v>3</v>
      </c>
      <c r="R1602" s="13" t="s">
        <v>101</v>
      </c>
      <c r="S1602" s="13" t="s">
        <v>164</v>
      </c>
      <c r="T1602" s="13" t="n">
        <v>1</v>
      </c>
      <c r="U1602" s="13" t="n">
        <f aca="false">IF(B1602="Individual",1,0)</f>
        <v>1</v>
      </c>
      <c r="V1602" s="13" t="n">
        <f aca="false">IF(B1602="Company",1,0)</f>
        <v>0</v>
      </c>
      <c r="W1602" s="13" t="n">
        <f aca="false">IF(H1602="Home",1,0)</f>
        <v>0</v>
      </c>
      <c r="X1602" s="13" t="n">
        <f aca="false">IF(H1602="Investment",1,0)</f>
        <v>1</v>
      </c>
      <c r="Y1602" s="13" t="n">
        <f aca="false">IF(K1602="Website",1,0)</f>
        <v>1</v>
      </c>
      <c r="Z1602" s="13" t="n">
        <f aca="false">IF(K1602="Agency",1,0)</f>
        <v>0</v>
      </c>
      <c r="AA1602" s="13" t="n">
        <f aca="false">IF(K1602="Client",1,0)</f>
        <v>0</v>
      </c>
      <c r="AB1602" s="13" t="n">
        <f aca="false">(D1602-AVERAGE(D$2:D$2001))/STDEV(D$2:D$2001)</f>
        <v>-0.988161499700447</v>
      </c>
      <c r="AC1602" s="13" t="n">
        <f aca="false">(I1602-AVERAGE(I$2:I$2001))/STDEV(I$2:I$2001)</f>
        <v>-0.727948160798201</v>
      </c>
      <c r="AD1602" s="13" t="n">
        <f aca="false">(L1602-AVERAGE(L$2:L$2001))/STDEV(L$2:L$2001)</f>
        <v>-0.777063122173208</v>
      </c>
      <c r="AE1602" s="13" t="n">
        <f aca="false">(M1602-AVERAGE(M$2:M$2001))/STDEV(M$2:M$2001)</f>
        <v>-1.66150629849345</v>
      </c>
      <c r="AF1602" s="13" t="n">
        <f aca="false">(N1602-AVERAGE(N$2:N$2001))/STDEV(N$2:N$2001)</f>
        <v>-1.71547070090758</v>
      </c>
      <c r="AG1602" s="13" t="n">
        <f aca="false">(O1602-AVERAGE(O$2:O$2001))/STDEV(O$2:O$2001)</f>
        <v>-1.57337030624005</v>
      </c>
      <c r="AH1602" s="0" t="str">
        <f aca="false">IF(B1602="Company","C3 - Corporate Buyers",IF(AND(H1602="Investment",M1602&gt;'Segmentation Summary'!$C$1),"C1 - Global Investors",IF(AND(I1602&gt;=4,M1602&gt;'Segmentation Summary'!$C$1),"C4 - Luxury Investors",IF(AND(D1602&lt;'Segmentation Summary'!$C$2,J1602=1),"C2 - First-Time Buyers","C5 - Other Individual Buyers"))))</f>
        <v>C5 - Other Individual Buyers</v>
      </c>
    </row>
    <row r="1603" customFormat="false" ht="15" hidden="false" customHeight="true" outlineLevel="0" collapsed="false">
      <c r="A1603" s="13" t="s">
        <v>3201</v>
      </c>
      <c r="B1603" s="13" t="s">
        <v>34</v>
      </c>
      <c r="C1603" s="13" t="s">
        <v>3202</v>
      </c>
      <c r="D1603" s="13" t="n">
        <v>57</v>
      </c>
      <c r="E1603" s="13" t="s">
        <v>83</v>
      </c>
      <c r="F1603" s="13" t="s">
        <v>33</v>
      </c>
      <c r="G1603" s="13" t="s">
        <v>106</v>
      </c>
      <c r="H1603" s="13" t="s">
        <v>41</v>
      </c>
      <c r="I1603" s="13" t="n">
        <v>5</v>
      </c>
      <c r="J1603" s="13" t="n">
        <v>0</v>
      </c>
      <c r="K1603" s="13" t="s">
        <v>91</v>
      </c>
      <c r="L1603" s="13" t="n">
        <v>3</v>
      </c>
      <c r="M1603" s="13" t="n">
        <v>958603.36</v>
      </c>
      <c r="N1603" s="13" t="n">
        <v>319534.453333333</v>
      </c>
      <c r="O1603" s="13" t="n">
        <v>1097.43666666667</v>
      </c>
      <c r="P1603" s="13" t="n">
        <v>0</v>
      </c>
      <c r="Q1603" s="13" t="n">
        <v>3</v>
      </c>
      <c r="R1603" s="13" t="s">
        <v>92</v>
      </c>
      <c r="S1603" s="13" t="s">
        <v>107</v>
      </c>
      <c r="T1603" s="13" t="n">
        <v>1</v>
      </c>
      <c r="U1603" s="13" t="n">
        <f aca="false">IF(B1603="Individual",1,0)</f>
        <v>1</v>
      </c>
      <c r="V1603" s="13" t="n">
        <f aca="false">IF(B1603="Company",1,0)</f>
        <v>0</v>
      </c>
      <c r="W1603" s="13" t="n">
        <f aca="false">IF(H1603="Home",1,0)</f>
        <v>1</v>
      </c>
      <c r="X1603" s="13" t="n">
        <f aca="false">IF(H1603="Investment",1,0)</f>
        <v>0</v>
      </c>
      <c r="Y1603" s="13" t="n">
        <f aca="false">IF(K1603="Website",1,0)</f>
        <v>0</v>
      </c>
      <c r="Z1603" s="13" t="n">
        <f aca="false">IF(K1603="Agency",1,0)</f>
        <v>1</v>
      </c>
      <c r="AA1603" s="13" t="n">
        <f aca="false">IF(K1603="Client",1,0)</f>
        <v>0</v>
      </c>
      <c r="AB1603" s="13" t="n">
        <f aca="false">(D1603-AVERAGE(D$2:D$2001))/STDEV(D$2:D$2001)</f>
        <v>0.165087610062577</v>
      </c>
      <c r="AC1603" s="13" t="n">
        <f aca="false">(I1603-AVERAGE(I$2:I$2001))/STDEV(I$2:I$2001)</f>
        <v>1.39434968409451</v>
      </c>
      <c r="AD1603" s="13" t="n">
        <f aca="false">(L1603-AVERAGE(L$2:L$2001))/STDEV(L$2:L$2001)</f>
        <v>-0.777063122173208</v>
      </c>
      <c r="AE1603" s="13" t="n">
        <f aca="false">(M1603-AVERAGE(M$2:M$2001))/STDEV(M$2:M$2001)</f>
        <v>-0.867583427613224</v>
      </c>
      <c r="AF1603" s="13" t="n">
        <f aca="false">(N1603-AVERAGE(N$2:N$2001))/STDEV(N$2:N$2001)</f>
        <v>-0.395220632778533</v>
      </c>
      <c r="AG1603" s="13" t="n">
        <f aca="false">(O1603-AVERAGE(O$2:O$2001))/STDEV(O$2:O$2001)</f>
        <v>-0.22754825695439</v>
      </c>
      <c r="AH1603" s="0" t="str">
        <f aca="false">IF(B1603="Company","C3 - Corporate Buyers",IF(AND(H1603="Investment",M1603&gt;'Segmentation Summary'!$C$1),"C1 - Global Investors",IF(AND(I1603&gt;=4,M1603&gt;'Segmentation Summary'!$C$1),"C4 - Luxury Investors",IF(AND(D1603&lt;'Segmentation Summary'!$C$2,J1603=1),"C2 - First-Time Buyers","C5 - Other Individual Buyers"))))</f>
        <v>C5 - Other Individual Buyers</v>
      </c>
    </row>
    <row r="1604" customFormat="false" ht="15" hidden="false" customHeight="true" outlineLevel="0" collapsed="false">
      <c r="A1604" s="13" t="s">
        <v>3203</v>
      </c>
      <c r="B1604" s="13" t="s">
        <v>34</v>
      </c>
      <c r="C1604" s="13" t="s">
        <v>3204</v>
      </c>
      <c r="D1604" s="13" t="n">
        <v>26</v>
      </c>
      <c r="E1604" s="13" t="s">
        <v>83</v>
      </c>
      <c r="F1604" s="13" t="s">
        <v>45</v>
      </c>
      <c r="G1604" s="13" t="s">
        <v>405</v>
      </c>
      <c r="H1604" s="13" t="s">
        <v>41</v>
      </c>
      <c r="I1604" s="13" t="n">
        <v>4</v>
      </c>
      <c r="J1604" s="13" t="n">
        <v>1</v>
      </c>
      <c r="K1604" s="13" t="s">
        <v>116</v>
      </c>
      <c r="L1604" s="13" t="n">
        <v>3</v>
      </c>
      <c r="M1604" s="13" t="n">
        <v>741930.22</v>
      </c>
      <c r="N1604" s="13" t="n">
        <v>247310.073333333</v>
      </c>
      <c r="O1604" s="13" t="n">
        <v>736.043333333333</v>
      </c>
      <c r="P1604" s="13" t="n">
        <v>0</v>
      </c>
      <c r="Q1604" s="13" t="n">
        <v>3</v>
      </c>
      <c r="R1604" s="13" t="s">
        <v>92</v>
      </c>
      <c r="S1604" s="13" t="s">
        <v>154</v>
      </c>
      <c r="T1604" s="13" t="n">
        <v>1</v>
      </c>
      <c r="U1604" s="13" t="n">
        <f aca="false">IF(B1604="Individual",1,0)</f>
        <v>1</v>
      </c>
      <c r="V1604" s="13" t="n">
        <f aca="false">IF(B1604="Company",1,0)</f>
        <v>0</v>
      </c>
      <c r="W1604" s="13" t="n">
        <f aca="false">IF(H1604="Home",1,0)</f>
        <v>1</v>
      </c>
      <c r="X1604" s="13" t="n">
        <f aca="false">IF(H1604="Investment",1,0)</f>
        <v>0</v>
      </c>
      <c r="Y1604" s="13" t="n">
        <f aca="false">IF(K1604="Website",1,0)</f>
        <v>0</v>
      </c>
      <c r="Z1604" s="13" t="n">
        <f aca="false">IF(K1604="Agency",1,0)</f>
        <v>0</v>
      </c>
      <c r="AA1604" s="13" t="n">
        <f aca="false">IF(K1604="Client",1,0)</f>
        <v>1</v>
      </c>
      <c r="AB1604" s="13" t="n">
        <f aca="false">(D1604-AVERAGE(D$2:D$2001))/STDEV(D$2:D$2001)</f>
        <v>-1.62244851007011</v>
      </c>
      <c r="AC1604" s="13" t="n">
        <f aca="false">(I1604-AVERAGE(I$2:I$2001))/STDEV(I$2:I$2001)</f>
        <v>0.686917069130275</v>
      </c>
      <c r="AD1604" s="13" t="n">
        <f aca="false">(L1604-AVERAGE(L$2:L$2001))/STDEV(L$2:L$2001)</f>
        <v>-0.777063122173208</v>
      </c>
      <c r="AE1604" s="13" t="n">
        <f aca="false">(M1604-AVERAGE(M$2:M$2001))/STDEV(M$2:M$2001)</f>
        <v>-1.49051050653387</v>
      </c>
      <c r="AF1604" s="13" t="n">
        <f aca="false">(N1604-AVERAGE(N$2:N$2001))/STDEV(N$2:N$2001)</f>
        <v>-1.43111410373068</v>
      </c>
      <c r="AG1604" s="13" t="n">
        <f aca="false">(O1604-AVERAGE(O$2:O$2001))/STDEV(O$2:O$2001)</f>
        <v>-1.87082345814652</v>
      </c>
      <c r="AH1604" s="0" t="str">
        <f aca="false">IF(B1604="Company","C3 - Corporate Buyers",IF(AND(H1604="Investment",M1604&gt;'Segmentation Summary'!$C$1),"C1 - Global Investors",IF(AND(I1604&gt;=4,M1604&gt;'Segmentation Summary'!$C$1),"C4 - Luxury Investors",IF(AND(D1604&lt;'Segmentation Summary'!$C$2,J1604=1),"C2 - First-Time Buyers","C5 - Other Individual Buyers"))))</f>
        <v>C2 - First-Time Buyers</v>
      </c>
    </row>
    <row r="1605" customFormat="false" ht="15" hidden="false" customHeight="true" outlineLevel="0" collapsed="false">
      <c r="A1605" s="13" t="s">
        <v>3205</v>
      </c>
      <c r="B1605" s="13" t="s">
        <v>34</v>
      </c>
      <c r="C1605" s="13" t="s">
        <v>3206</v>
      </c>
      <c r="D1605" s="13" t="n">
        <v>79</v>
      </c>
      <c r="E1605" s="13" t="s">
        <v>83</v>
      </c>
      <c r="F1605" s="13" t="s">
        <v>33</v>
      </c>
      <c r="G1605" s="13" t="s">
        <v>123</v>
      </c>
      <c r="H1605" s="13" t="s">
        <v>41</v>
      </c>
      <c r="I1605" s="13" t="n">
        <v>4</v>
      </c>
      <c r="J1605" s="13" t="n">
        <v>1</v>
      </c>
      <c r="K1605" s="13" t="s">
        <v>91</v>
      </c>
      <c r="L1605" s="13" t="n">
        <v>3</v>
      </c>
      <c r="M1605" s="13" t="n">
        <v>1316368.95</v>
      </c>
      <c r="N1605" s="13" t="n">
        <v>438789.65</v>
      </c>
      <c r="O1605" s="13" t="n">
        <v>1471.9</v>
      </c>
      <c r="P1605" s="13" t="n">
        <v>0</v>
      </c>
      <c r="Q1605" s="13" t="n">
        <v>3</v>
      </c>
      <c r="R1605" s="13" t="s">
        <v>111</v>
      </c>
      <c r="S1605" s="13" t="s">
        <v>135</v>
      </c>
      <c r="T1605" s="13" t="n">
        <v>1</v>
      </c>
      <c r="U1605" s="13" t="n">
        <f aca="false">IF(B1605="Individual",1,0)</f>
        <v>1</v>
      </c>
      <c r="V1605" s="13" t="n">
        <f aca="false">IF(B1605="Company",1,0)</f>
        <v>0</v>
      </c>
      <c r="W1605" s="13" t="n">
        <f aca="false">IF(H1605="Home",1,0)</f>
        <v>1</v>
      </c>
      <c r="X1605" s="13" t="n">
        <f aca="false">IF(H1605="Investment",1,0)</f>
        <v>0</v>
      </c>
      <c r="Y1605" s="13" t="n">
        <f aca="false">IF(K1605="Website",1,0)</f>
        <v>0</v>
      </c>
      <c r="Z1605" s="13" t="n">
        <f aca="false">IF(K1605="Agency",1,0)</f>
        <v>1</v>
      </c>
      <c r="AA1605" s="13" t="n">
        <f aca="false">IF(K1605="Client",1,0)</f>
        <v>0</v>
      </c>
      <c r="AB1605" s="13" t="n">
        <f aca="false">(D1605-AVERAGE(D$2:D$2001))/STDEV(D$2:D$2001)</f>
        <v>1.4336616308019</v>
      </c>
      <c r="AC1605" s="13" t="n">
        <f aca="false">(I1605-AVERAGE(I$2:I$2001))/STDEV(I$2:I$2001)</f>
        <v>0.686917069130275</v>
      </c>
      <c r="AD1605" s="13" t="n">
        <f aca="false">(L1605-AVERAGE(L$2:L$2001))/STDEV(L$2:L$2001)</f>
        <v>-0.777063122173208</v>
      </c>
      <c r="AE1605" s="13" t="n">
        <f aca="false">(M1605-AVERAGE(M$2:M$2001))/STDEV(M$2:M$2001)</f>
        <v>0.160979106335475</v>
      </c>
      <c r="AF1605" s="13" t="n">
        <f aca="false">(N1605-AVERAGE(N$2:N$2001))/STDEV(N$2:N$2001)</f>
        <v>1.31522228973758</v>
      </c>
      <c r="AG1605" s="13" t="n">
        <f aca="false">(O1605-AVERAGE(O$2:O$2001))/STDEV(O$2:O$2001)</f>
        <v>1.47515694722498</v>
      </c>
      <c r="AH1605" s="0" t="str">
        <f aca="false">IF(B1605="Company","C3 - Corporate Buyers",IF(AND(H1605="Investment",M1605&gt;'Segmentation Summary'!$C$1),"C1 - Global Investors",IF(AND(I1605&gt;=4,M1605&gt;'Segmentation Summary'!$C$1),"C4 - Luxury Investors",IF(AND(D1605&lt;'Segmentation Summary'!$C$2,J1605=1),"C2 - First-Time Buyers","C5 - Other Individual Buyers"))))</f>
        <v>C4 - Luxury Investors</v>
      </c>
    </row>
    <row r="1606" customFormat="false" ht="15" hidden="false" customHeight="true" outlineLevel="0" collapsed="false">
      <c r="A1606" s="13" t="s">
        <v>3207</v>
      </c>
      <c r="B1606" s="13" t="s">
        <v>34</v>
      </c>
      <c r="C1606" s="13" t="s">
        <v>3208</v>
      </c>
      <c r="D1606" s="13" t="n">
        <v>60</v>
      </c>
      <c r="E1606" s="13" t="s">
        <v>83</v>
      </c>
      <c r="F1606" s="13" t="s">
        <v>33</v>
      </c>
      <c r="G1606" s="13" t="s">
        <v>84</v>
      </c>
      <c r="H1606" s="13" t="s">
        <v>43</v>
      </c>
      <c r="I1606" s="13" t="n">
        <v>4</v>
      </c>
      <c r="J1606" s="13" t="n">
        <v>1</v>
      </c>
      <c r="K1606" s="13" t="s">
        <v>116</v>
      </c>
      <c r="L1606" s="13" t="n">
        <v>3</v>
      </c>
      <c r="M1606" s="13" t="n">
        <v>1078933.8</v>
      </c>
      <c r="N1606" s="13" t="n">
        <v>359644.6</v>
      </c>
      <c r="O1606" s="13" t="n">
        <v>1168.38333333333</v>
      </c>
      <c r="P1606" s="13" t="n">
        <v>1</v>
      </c>
      <c r="Q1606" s="13" t="n">
        <v>2</v>
      </c>
      <c r="R1606" s="13" t="s">
        <v>92</v>
      </c>
      <c r="S1606" s="13" t="s">
        <v>87</v>
      </c>
      <c r="T1606" s="13" t="n">
        <v>1</v>
      </c>
      <c r="U1606" s="13" t="n">
        <f aca="false">IF(B1606="Individual",1,0)</f>
        <v>1</v>
      </c>
      <c r="V1606" s="13" t="n">
        <f aca="false">IF(B1606="Company",1,0)</f>
        <v>0</v>
      </c>
      <c r="W1606" s="13" t="n">
        <f aca="false">IF(H1606="Home",1,0)</f>
        <v>0</v>
      </c>
      <c r="X1606" s="13" t="n">
        <f aca="false">IF(H1606="Investment",1,0)</f>
        <v>1</v>
      </c>
      <c r="Y1606" s="13" t="n">
        <f aca="false">IF(K1606="Website",1,0)</f>
        <v>0</v>
      </c>
      <c r="Z1606" s="13" t="n">
        <f aca="false">IF(K1606="Agency",1,0)</f>
        <v>0</v>
      </c>
      <c r="AA1606" s="13" t="n">
        <f aca="false">IF(K1606="Client",1,0)</f>
        <v>1</v>
      </c>
      <c r="AB1606" s="13" t="n">
        <f aca="false">(D1606-AVERAGE(D$2:D$2001))/STDEV(D$2:D$2001)</f>
        <v>0.338074976527031</v>
      </c>
      <c r="AC1606" s="13" t="n">
        <f aca="false">(I1606-AVERAGE(I$2:I$2001))/STDEV(I$2:I$2001)</f>
        <v>0.686917069130275</v>
      </c>
      <c r="AD1606" s="13" t="n">
        <f aca="false">(L1606-AVERAGE(L$2:L$2001))/STDEV(L$2:L$2001)</f>
        <v>-0.777063122173208</v>
      </c>
      <c r="AE1606" s="13" t="n">
        <f aca="false">(M1606-AVERAGE(M$2:M$2001))/STDEV(M$2:M$2001)</f>
        <v>-0.52163796573255</v>
      </c>
      <c r="AF1606" s="13" t="n">
        <f aca="false">(N1606-AVERAGE(N$2:N$2001))/STDEV(N$2:N$2001)</f>
        <v>0.180067643160053</v>
      </c>
      <c r="AG1606" s="13" t="n">
        <f aca="false">(O1606-AVERAGE(O$2:O$2001))/STDEV(O$2:O$2001)</f>
        <v>0.09505010662149</v>
      </c>
      <c r="AH1606" s="0" t="str">
        <f aca="false">IF(B1606="Company","C3 - Corporate Buyers",IF(AND(H1606="Investment",M1606&gt;'Segmentation Summary'!$C$1),"C1 - Global Investors",IF(AND(I1606&gt;=4,M1606&gt;'Segmentation Summary'!$C$1),"C4 - Luxury Investors",IF(AND(D1606&lt;'Segmentation Summary'!$C$2,J1606=1),"C2 - First-Time Buyers","C5 - Other Individual Buyers"))))</f>
        <v>C5 - Other Individual Buyers</v>
      </c>
    </row>
    <row r="1607" customFormat="false" ht="15" hidden="false" customHeight="true" outlineLevel="0" collapsed="false">
      <c r="A1607" s="13" t="s">
        <v>3209</v>
      </c>
      <c r="B1607" s="13" t="s">
        <v>34</v>
      </c>
      <c r="C1607" s="13" t="s">
        <v>3210</v>
      </c>
      <c r="D1607" s="13" t="n">
        <v>48</v>
      </c>
      <c r="E1607" s="13" t="s">
        <v>83</v>
      </c>
      <c r="F1607" s="13" t="s">
        <v>33</v>
      </c>
      <c r="G1607" s="13" t="s">
        <v>95</v>
      </c>
      <c r="H1607" s="13" t="s">
        <v>43</v>
      </c>
      <c r="I1607" s="13" t="n">
        <v>3</v>
      </c>
      <c r="J1607" s="13" t="n">
        <v>0</v>
      </c>
      <c r="K1607" s="13" t="s">
        <v>116</v>
      </c>
      <c r="L1607" s="13" t="n">
        <v>3</v>
      </c>
      <c r="M1607" s="13" t="n">
        <v>1187774.23</v>
      </c>
      <c r="N1607" s="13" t="n">
        <v>395924.743333333</v>
      </c>
      <c r="O1607" s="13" t="n">
        <v>1290.08666666667</v>
      </c>
      <c r="P1607" s="13" t="n">
        <v>1</v>
      </c>
      <c r="Q1607" s="13" t="n">
        <v>2</v>
      </c>
      <c r="R1607" s="13" t="s">
        <v>101</v>
      </c>
      <c r="S1607" s="13" t="s">
        <v>133</v>
      </c>
      <c r="T1607" s="13" t="n">
        <v>1</v>
      </c>
      <c r="U1607" s="13" t="n">
        <f aca="false">IF(B1607="Individual",1,0)</f>
        <v>1</v>
      </c>
      <c r="V1607" s="13" t="n">
        <f aca="false">IF(B1607="Company",1,0)</f>
        <v>0</v>
      </c>
      <c r="W1607" s="13" t="n">
        <f aca="false">IF(H1607="Home",1,0)</f>
        <v>0</v>
      </c>
      <c r="X1607" s="13" t="n">
        <f aca="false">IF(H1607="Investment",1,0)</f>
        <v>1</v>
      </c>
      <c r="Y1607" s="13" t="n">
        <f aca="false">IF(K1607="Website",1,0)</f>
        <v>0</v>
      </c>
      <c r="Z1607" s="13" t="n">
        <f aca="false">IF(K1607="Agency",1,0)</f>
        <v>0</v>
      </c>
      <c r="AA1607" s="13" t="n">
        <f aca="false">IF(K1607="Client",1,0)</f>
        <v>1</v>
      </c>
      <c r="AB1607" s="13" t="n">
        <f aca="false">(D1607-AVERAGE(D$2:D$2001))/STDEV(D$2:D$2001)</f>
        <v>-0.353874489330784</v>
      </c>
      <c r="AC1607" s="13" t="n">
        <f aca="false">(I1607-AVERAGE(I$2:I$2001))/STDEV(I$2:I$2001)</f>
        <v>-0.0205155458339628</v>
      </c>
      <c r="AD1607" s="13" t="n">
        <f aca="false">(L1607-AVERAGE(L$2:L$2001))/STDEV(L$2:L$2001)</f>
        <v>-0.777063122173208</v>
      </c>
      <c r="AE1607" s="13" t="n">
        <f aca="false">(M1607-AVERAGE(M$2:M$2001))/STDEV(M$2:M$2001)</f>
        <v>-0.208725847837517</v>
      </c>
      <c r="AF1607" s="13" t="n">
        <f aca="false">(N1607-AVERAGE(N$2:N$2001))/STDEV(N$2:N$2001)</f>
        <v>0.700423284900524</v>
      </c>
      <c r="AG1607" s="13" t="n">
        <f aca="false">(O1607-AVERAGE(O$2:O$2001))/STDEV(O$2:O$2001)</f>
        <v>0.648441802379838</v>
      </c>
      <c r="AH1607" s="0" t="str">
        <f aca="false">IF(B1607="Company","C3 - Corporate Buyers",IF(AND(H1607="Investment",M1607&gt;'Segmentation Summary'!$C$1),"C1 - Global Investors",IF(AND(I1607&gt;=4,M1607&gt;'Segmentation Summary'!$C$1),"C4 - Luxury Investors",IF(AND(D1607&lt;'Segmentation Summary'!$C$2,J1607=1),"C2 - First-Time Buyers","C5 - Other Individual Buyers"))))</f>
        <v>C5 - Other Individual Buyers</v>
      </c>
    </row>
    <row r="1608" customFormat="false" ht="15" hidden="false" customHeight="true" outlineLevel="0" collapsed="false">
      <c r="A1608" s="13" t="s">
        <v>3211</v>
      </c>
      <c r="B1608" s="13" t="s">
        <v>34</v>
      </c>
      <c r="C1608" s="13" t="s">
        <v>3212</v>
      </c>
      <c r="D1608" s="13" t="n">
        <v>61</v>
      </c>
      <c r="E1608" s="13" t="s">
        <v>83</v>
      </c>
      <c r="F1608" s="13" t="s">
        <v>33</v>
      </c>
      <c r="G1608" s="13" t="s">
        <v>145</v>
      </c>
      <c r="H1608" s="13" t="s">
        <v>41</v>
      </c>
      <c r="I1608" s="13" t="n">
        <v>2</v>
      </c>
      <c r="J1608" s="13" t="n">
        <v>1</v>
      </c>
      <c r="K1608" s="13" t="s">
        <v>116</v>
      </c>
      <c r="L1608" s="13" t="n">
        <v>4</v>
      </c>
      <c r="M1608" s="13" t="n">
        <v>1180295.09</v>
      </c>
      <c r="N1608" s="13" t="n">
        <v>295073.7725</v>
      </c>
      <c r="O1608" s="13" t="n">
        <v>989.2175</v>
      </c>
      <c r="P1608" s="13" t="n">
        <v>2</v>
      </c>
      <c r="Q1608" s="13" t="n">
        <v>2</v>
      </c>
      <c r="R1608" s="13" t="s">
        <v>92</v>
      </c>
      <c r="S1608" s="13" t="s">
        <v>141</v>
      </c>
      <c r="T1608" s="13" t="n">
        <v>1</v>
      </c>
      <c r="U1608" s="13" t="n">
        <f aca="false">IF(B1608="Individual",1,0)</f>
        <v>1</v>
      </c>
      <c r="V1608" s="13" t="n">
        <f aca="false">IF(B1608="Company",1,0)</f>
        <v>0</v>
      </c>
      <c r="W1608" s="13" t="n">
        <f aca="false">IF(H1608="Home",1,0)</f>
        <v>1</v>
      </c>
      <c r="X1608" s="13" t="n">
        <f aca="false">IF(H1608="Investment",1,0)</f>
        <v>0</v>
      </c>
      <c r="Y1608" s="13" t="n">
        <f aca="false">IF(K1608="Website",1,0)</f>
        <v>0</v>
      </c>
      <c r="Z1608" s="13" t="n">
        <f aca="false">IF(K1608="Agency",1,0)</f>
        <v>0</v>
      </c>
      <c r="AA1608" s="13" t="n">
        <f aca="false">IF(K1608="Client",1,0)</f>
        <v>1</v>
      </c>
      <c r="AB1608" s="13" t="n">
        <f aca="false">(D1608-AVERAGE(D$2:D$2001))/STDEV(D$2:D$2001)</f>
        <v>0.395737432015182</v>
      </c>
      <c r="AC1608" s="13" t="n">
        <f aca="false">(I1608-AVERAGE(I$2:I$2001))/STDEV(I$2:I$2001)</f>
        <v>-0.727948160798201</v>
      </c>
      <c r="AD1608" s="13" t="n">
        <f aca="false">(L1608-AVERAGE(L$2:L$2001))/STDEV(L$2:L$2001)</f>
        <v>0.413838214490712</v>
      </c>
      <c r="AE1608" s="13" t="n">
        <f aca="false">(M1608-AVERAGE(M$2:M$2001))/STDEV(M$2:M$2001)</f>
        <v>-0.230228092338328</v>
      </c>
      <c r="AF1608" s="13" t="n">
        <f aca="false">(N1608-AVERAGE(N$2:N$2001))/STDEV(N$2:N$2001)</f>
        <v>-0.74605312964862</v>
      </c>
      <c r="AG1608" s="13" t="n">
        <f aca="false">(O1608-AVERAGE(O$2:O$2001))/STDEV(O$2:O$2001)</f>
        <v>-0.719626711298728</v>
      </c>
      <c r="AH1608" s="0" t="str">
        <f aca="false">IF(B1608="Company","C3 - Corporate Buyers",IF(AND(H1608="Investment",M1608&gt;'Segmentation Summary'!$C$1),"C1 - Global Investors",IF(AND(I1608&gt;=4,M1608&gt;'Segmentation Summary'!$C$1),"C4 - Luxury Investors",IF(AND(D1608&lt;'Segmentation Summary'!$C$2,J1608=1),"C2 - First-Time Buyers","C5 - Other Individual Buyers"))))</f>
        <v>C5 - Other Individual Buyers</v>
      </c>
    </row>
    <row r="1609" customFormat="false" ht="15" hidden="false" customHeight="true" outlineLevel="0" collapsed="false">
      <c r="A1609" s="13" t="s">
        <v>3213</v>
      </c>
      <c r="B1609" s="13" t="s">
        <v>34</v>
      </c>
      <c r="C1609" s="13" t="s">
        <v>3214</v>
      </c>
      <c r="D1609" s="13" t="n">
        <v>51</v>
      </c>
      <c r="E1609" s="13" t="s">
        <v>83</v>
      </c>
      <c r="F1609" s="13" t="s">
        <v>37</v>
      </c>
      <c r="G1609" s="13" t="s">
        <v>259</v>
      </c>
      <c r="H1609" s="13" t="s">
        <v>41</v>
      </c>
      <c r="I1609" s="13" t="n">
        <v>4</v>
      </c>
      <c r="J1609" s="13" t="n">
        <v>1</v>
      </c>
      <c r="K1609" s="13" t="s">
        <v>85</v>
      </c>
      <c r="L1609" s="13" t="n">
        <v>3</v>
      </c>
      <c r="M1609" s="13" t="n">
        <v>1154671.2</v>
      </c>
      <c r="N1609" s="13" t="n">
        <v>384890.4</v>
      </c>
      <c r="O1609" s="13" t="n">
        <v>1205.96333333333</v>
      </c>
      <c r="P1609" s="13" t="n">
        <v>1</v>
      </c>
      <c r="Q1609" s="13" t="n">
        <v>2</v>
      </c>
      <c r="R1609" s="13" t="s">
        <v>107</v>
      </c>
      <c r="S1609" s="13" t="s">
        <v>154</v>
      </c>
      <c r="T1609" s="13" t="n">
        <v>1</v>
      </c>
      <c r="U1609" s="13" t="n">
        <f aca="false">IF(B1609="Individual",1,0)</f>
        <v>1</v>
      </c>
      <c r="V1609" s="13" t="n">
        <f aca="false">IF(B1609="Company",1,0)</f>
        <v>0</v>
      </c>
      <c r="W1609" s="13" t="n">
        <f aca="false">IF(H1609="Home",1,0)</f>
        <v>1</v>
      </c>
      <c r="X1609" s="13" t="n">
        <f aca="false">IF(H1609="Investment",1,0)</f>
        <v>0</v>
      </c>
      <c r="Y1609" s="13" t="n">
        <f aca="false">IF(K1609="Website",1,0)</f>
        <v>1</v>
      </c>
      <c r="Z1609" s="13" t="n">
        <f aca="false">IF(K1609="Agency",1,0)</f>
        <v>0</v>
      </c>
      <c r="AA1609" s="13" t="n">
        <f aca="false">IF(K1609="Client",1,0)</f>
        <v>0</v>
      </c>
      <c r="AB1609" s="13" t="n">
        <f aca="false">(D1609-AVERAGE(D$2:D$2001))/STDEV(D$2:D$2001)</f>
        <v>-0.18088712286633</v>
      </c>
      <c r="AC1609" s="13" t="n">
        <f aca="false">(I1609-AVERAGE(I$2:I$2001))/STDEV(I$2:I$2001)</f>
        <v>0.686917069130275</v>
      </c>
      <c r="AD1609" s="13" t="n">
        <f aca="false">(L1609-AVERAGE(L$2:L$2001))/STDEV(L$2:L$2001)</f>
        <v>-0.777063122173208</v>
      </c>
      <c r="AE1609" s="13" t="n">
        <f aca="false">(M1609-AVERAGE(M$2:M$2001))/STDEV(M$2:M$2001)</f>
        <v>-0.303895806519625</v>
      </c>
      <c r="AF1609" s="13" t="n">
        <f aca="false">(N1609-AVERAGE(N$2:N$2001))/STDEV(N$2:N$2001)</f>
        <v>0.542160878006288</v>
      </c>
      <c r="AG1609" s="13" t="n">
        <f aca="false">(O1609-AVERAGE(O$2:O$2001))/STDEV(O$2:O$2001)</f>
        <v>0.265928416664471</v>
      </c>
      <c r="AH1609" s="0" t="str">
        <f aca="false">IF(B1609="Company","C3 - Corporate Buyers",IF(AND(H1609="Investment",M1609&gt;'Segmentation Summary'!$C$1),"C1 - Global Investors",IF(AND(I1609&gt;=4,M1609&gt;'Segmentation Summary'!$C$1),"C4 - Luxury Investors",IF(AND(D1609&lt;'Segmentation Summary'!$C$2,J1609=1),"C2 - First-Time Buyers","C5 - Other Individual Buyers"))))</f>
        <v>C2 - First-Time Buyers</v>
      </c>
    </row>
    <row r="1610" customFormat="false" ht="15" hidden="false" customHeight="true" outlineLevel="0" collapsed="false">
      <c r="A1610" s="13" t="s">
        <v>3215</v>
      </c>
      <c r="B1610" s="13" t="s">
        <v>34</v>
      </c>
      <c r="C1610" s="13" t="s">
        <v>3216</v>
      </c>
      <c r="D1610" s="13" t="n">
        <v>77</v>
      </c>
      <c r="E1610" s="13" t="s">
        <v>83</v>
      </c>
      <c r="F1610" s="13" t="s">
        <v>33</v>
      </c>
      <c r="G1610" s="13" t="s">
        <v>110</v>
      </c>
      <c r="H1610" s="13" t="s">
        <v>41</v>
      </c>
      <c r="I1610" s="13" t="n">
        <v>2</v>
      </c>
      <c r="J1610" s="13" t="n">
        <v>0</v>
      </c>
      <c r="K1610" s="13" t="s">
        <v>85</v>
      </c>
      <c r="L1610" s="13" t="n">
        <v>3</v>
      </c>
      <c r="M1610" s="13" t="n">
        <v>1354773.96</v>
      </c>
      <c r="N1610" s="13" t="n">
        <v>451591.32</v>
      </c>
      <c r="O1610" s="13" t="n">
        <v>1471.9</v>
      </c>
      <c r="P1610" s="13" t="n">
        <v>0</v>
      </c>
      <c r="Q1610" s="13" t="n">
        <v>3</v>
      </c>
      <c r="R1610" s="13" t="s">
        <v>121</v>
      </c>
      <c r="S1610" s="13" t="s">
        <v>128</v>
      </c>
      <c r="T1610" s="13" t="n">
        <v>1</v>
      </c>
      <c r="U1610" s="13" t="n">
        <f aca="false">IF(B1610="Individual",1,0)</f>
        <v>1</v>
      </c>
      <c r="V1610" s="13" t="n">
        <f aca="false">IF(B1610="Company",1,0)</f>
        <v>0</v>
      </c>
      <c r="W1610" s="13" t="n">
        <f aca="false">IF(H1610="Home",1,0)</f>
        <v>1</v>
      </c>
      <c r="X1610" s="13" t="n">
        <f aca="false">IF(H1610="Investment",1,0)</f>
        <v>0</v>
      </c>
      <c r="Y1610" s="13" t="n">
        <f aca="false">IF(K1610="Website",1,0)</f>
        <v>1</v>
      </c>
      <c r="Z1610" s="13" t="n">
        <f aca="false">IF(K1610="Agency",1,0)</f>
        <v>0</v>
      </c>
      <c r="AA1610" s="13" t="n">
        <f aca="false">IF(K1610="Client",1,0)</f>
        <v>0</v>
      </c>
      <c r="AB1610" s="13" t="n">
        <f aca="false">(D1610-AVERAGE(D$2:D$2001))/STDEV(D$2:D$2001)</f>
        <v>1.3183367198256</v>
      </c>
      <c r="AC1610" s="13" t="n">
        <f aca="false">(I1610-AVERAGE(I$2:I$2001))/STDEV(I$2:I$2001)</f>
        <v>-0.727948160798201</v>
      </c>
      <c r="AD1610" s="13" t="n">
        <f aca="false">(L1610-AVERAGE(L$2:L$2001))/STDEV(L$2:L$2001)</f>
        <v>-0.777063122173208</v>
      </c>
      <c r="AE1610" s="13" t="n">
        <f aca="false">(M1610-AVERAGE(M$2:M$2001))/STDEV(M$2:M$2001)</f>
        <v>0.27139205689879</v>
      </c>
      <c r="AF1610" s="13" t="n">
        <f aca="false">(N1610-AVERAGE(N$2:N$2001))/STDEV(N$2:N$2001)</f>
        <v>1.49883295375829</v>
      </c>
      <c r="AG1610" s="13" t="n">
        <f aca="false">(O1610-AVERAGE(O$2:O$2001))/STDEV(O$2:O$2001)</f>
        <v>1.47515694722498</v>
      </c>
      <c r="AH1610" s="0" t="str">
        <f aca="false">IF(B1610="Company","C3 - Corporate Buyers",IF(AND(H1610="Investment",M1610&gt;'Segmentation Summary'!$C$1),"C1 - Global Investors",IF(AND(I1610&gt;=4,M1610&gt;'Segmentation Summary'!$C$1),"C4 - Luxury Investors",IF(AND(D1610&lt;'Segmentation Summary'!$C$2,J1610=1),"C2 - First-Time Buyers","C5 - Other Individual Buyers"))))</f>
        <v>C5 - Other Individual Buyers</v>
      </c>
    </row>
    <row r="1611" customFormat="false" ht="15" hidden="false" customHeight="true" outlineLevel="0" collapsed="false">
      <c r="A1611" s="13" t="s">
        <v>3217</v>
      </c>
      <c r="B1611" s="13" t="s">
        <v>34</v>
      </c>
      <c r="C1611" s="13" t="s">
        <v>3218</v>
      </c>
      <c r="D1611" s="13" t="n">
        <v>41</v>
      </c>
      <c r="E1611" s="13" t="s">
        <v>83</v>
      </c>
      <c r="F1611" s="13" t="s">
        <v>40</v>
      </c>
      <c r="G1611" s="13" t="s">
        <v>219</v>
      </c>
      <c r="H1611" s="13" t="s">
        <v>41</v>
      </c>
      <c r="I1611" s="13" t="n">
        <v>4</v>
      </c>
      <c r="J1611" s="13" t="n">
        <v>1</v>
      </c>
      <c r="K1611" s="13" t="s">
        <v>91</v>
      </c>
      <c r="L1611" s="13" t="n">
        <v>4</v>
      </c>
      <c r="M1611" s="13" t="n">
        <v>1615394.12</v>
      </c>
      <c r="N1611" s="13" t="n">
        <v>403848.53</v>
      </c>
      <c r="O1611" s="13" t="n">
        <v>1338.9</v>
      </c>
      <c r="P1611" s="13" t="n">
        <v>0</v>
      </c>
      <c r="Q1611" s="13" t="n">
        <v>4</v>
      </c>
      <c r="R1611" s="13" t="s">
        <v>98</v>
      </c>
      <c r="S1611" s="13" t="s">
        <v>87</v>
      </c>
      <c r="T1611" s="13" t="n">
        <v>1</v>
      </c>
      <c r="U1611" s="13" t="n">
        <f aca="false">IF(B1611="Individual",1,0)</f>
        <v>1</v>
      </c>
      <c r="V1611" s="13" t="n">
        <f aca="false">IF(B1611="Company",1,0)</f>
        <v>0</v>
      </c>
      <c r="W1611" s="13" t="n">
        <f aca="false">IF(H1611="Home",1,0)</f>
        <v>1</v>
      </c>
      <c r="X1611" s="13" t="n">
        <f aca="false">IF(H1611="Investment",1,0)</f>
        <v>0</v>
      </c>
      <c r="Y1611" s="13" t="n">
        <f aca="false">IF(K1611="Website",1,0)</f>
        <v>0</v>
      </c>
      <c r="Z1611" s="13" t="n">
        <f aca="false">IF(K1611="Agency",1,0)</f>
        <v>1</v>
      </c>
      <c r="AA1611" s="13" t="n">
        <f aca="false">IF(K1611="Client",1,0)</f>
        <v>0</v>
      </c>
      <c r="AB1611" s="13" t="n">
        <f aca="false">(D1611-AVERAGE(D$2:D$2001))/STDEV(D$2:D$2001)</f>
        <v>-0.757511677747842</v>
      </c>
      <c r="AC1611" s="13" t="n">
        <f aca="false">(I1611-AVERAGE(I$2:I$2001))/STDEV(I$2:I$2001)</f>
        <v>0.686917069130275</v>
      </c>
      <c r="AD1611" s="13" t="n">
        <f aca="false">(L1611-AVERAGE(L$2:L$2001))/STDEV(L$2:L$2001)</f>
        <v>0.413838214490712</v>
      </c>
      <c r="AE1611" s="13" t="n">
        <f aca="false">(M1611-AVERAGE(M$2:M$2001))/STDEV(M$2:M$2001)</f>
        <v>1.02066515543159</v>
      </c>
      <c r="AF1611" s="13" t="n">
        <f aca="false">(N1611-AVERAGE(N$2:N$2001))/STDEV(N$2:N$2001)</f>
        <v>0.814071873828779</v>
      </c>
      <c r="AG1611" s="13" t="n">
        <f aca="false">(O1611-AVERAGE(O$2:O$2001))/STDEV(O$2:O$2001)</f>
        <v>0.87039869188394</v>
      </c>
      <c r="AH1611" s="0" t="str">
        <f aca="false">IF(B1611="Company","C3 - Corporate Buyers",IF(AND(H1611="Investment",M1611&gt;'Segmentation Summary'!$C$1),"C1 - Global Investors",IF(AND(I1611&gt;=4,M1611&gt;'Segmentation Summary'!$C$1),"C4 - Luxury Investors",IF(AND(D1611&lt;'Segmentation Summary'!$C$2,J1611=1),"C2 - First-Time Buyers","C5 - Other Individual Buyers"))))</f>
        <v>C4 - Luxury Investors</v>
      </c>
    </row>
    <row r="1612" customFormat="false" ht="15" hidden="false" customHeight="true" outlineLevel="0" collapsed="false">
      <c r="A1612" s="13" t="s">
        <v>3219</v>
      </c>
      <c r="B1612" s="13" t="s">
        <v>34</v>
      </c>
      <c r="C1612" s="13" t="s">
        <v>3220</v>
      </c>
      <c r="D1612" s="13" t="n">
        <v>42</v>
      </c>
      <c r="E1612" s="13" t="s">
        <v>83</v>
      </c>
      <c r="F1612" s="13" t="s">
        <v>33</v>
      </c>
      <c r="G1612" s="13" t="s">
        <v>265</v>
      </c>
      <c r="H1612" s="13" t="s">
        <v>43</v>
      </c>
      <c r="I1612" s="13" t="n">
        <v>2</v>
      </c>
      <c r="J1612" s="13" t="n">
        <v>0</v>
      </c>
      <c r="K1612" s="13" t="s">
        <v>91</v>
      </c>
      <c r="L1612" s="13" t="n">
        <v>4</v>
      </c>
      <c r="M1612" s="13" t="n">
        <v>1467449.24</v>
      </c>
      <c r="N1612" s="13" t="n">
        <v>366862.31</v>
      </c>
      <c r="O1612" s="13" t="n">
        <v>1245.935</v>
      </c>
      <c r="P1612" s="13" t="n">
        <v>1</v>
      </c>
      <c r="Q1612" s="13" t="n">
        <v>3</v>
      </c>
      <c r="R1612" s="13" t="s">
        <v>93</v>
      </c>
      <c r="S1612" s="13" t="s">
        <v>164</v>
      </c>
      <c r="T1612" s="13" t="n">
        <v>1</v>
      </c>
      <c r="U1612" s="13" t="n">
        <f aca="false">IF(B1612="Individual",1,0)</f>
        <v>1</v>
      </c>
      <c r="V1612" s="13" t="n">
        <f aca="false">IF(B1612="Company",1,0)</f>
        <v>0</v>
      </c>
      <c r="W1612" s="13" t="n">
        <f aca="false">IF(H1612="Home",1,0)</f>
        <v>0</v>
      </c>
      <c r="X1612" s="13" t="n">
        <f aca="false">IF(H1612="Investment",1,0)</f>
        <v>1</v>
      </c>
      <c r="Y1612" s="13" t="n">
        <f aca="false">IF(K1612="Website",1,0)</f>
        <v>0</v>
      </c>
      <c r="Z1612" s="13" t="n">
        <f aca="false">IF(K1612="Agency",1,0)</f>
        <v>1</v>
      </c>
      <c r="AA1612" s="13" t="n">
        <f aca="false">IF(K1612="Client",1,0)</f>
        <v>0</v>
      </c>
      <c r="AB1612" s="13" t="n">
        <f aca="false">(D1612-AVERAGE(D$2:D$2001))/STDEV(D$2:D$2001)</f>
        <v>-0.699849222259691</v>
      </c>
      <c r="AC1612" s="13" t="n">
        <f aca="false">(I1612-AVERAGE(I$2:I$2001))/STDEV(I$2:I$2001)</f>
        <v>-0.727948160798201</v>
      </c>
      <c r="AD1612" s="13" t="n">
        <f aca="false">(L1612-AVERAGE(L$2:L$2001))/STDEV(L$2:L$2001)</f>
        <v>0.413838214490712</v>
      </c>
      <c r="AE1612" s="13" t="n">
        <f aca="false">(M1612-AVERAGE(M$2:M$2001))/STDEV(M$2:M$2001)</f>
        <v>0.59532922343898</v>
      </c>
      <c r="AF1612" s="13" t="n">
        <f aca="false">(N1612-AVERAGE(N$2:N$2001))/STDEV(N$2:N$2001)</f>
        <v>0.283589177913636</v>
      </c>
      <c r="AG1612" s="13" t="n">
        <f aca="false">(O1612-AVERAGE(O$2:O$2001))/STDEV(O$2:O$2001)</f>
        <v>0.447681765509652</v>
      </c>
      <c r="AH1612" s="0" t="str">
        <f aca="false">IF(B1612="Company","C3 - Corporate Buyers",IF(AND(H1612="Investment",M1612&gt;'Segmentation Summary'!$C$1),"C1 - Global Investors",IF(AND(I1612&gt;=4,M1612&gt;'Segmentation Summary'!$C$1),"C4 - Luxury Investors",IF(AND(D1612&lt;'Segmentation Summary'!$C$2,J1612=1),"C2 - First-Time Buyers","C5 - Other Individual Buyers"))))</f>
        <v>C1 - Global Investors</v>
      </c>
    </row>
    <row r="1613" customFormat="false" ht="15" hidden="false" customHeight="true" outlineLevel="0" collapsed="false">
      <c r="A1613" s="13" t="s">
        <v>3221</v>
      </c>
      <c r="B1613" s="13" t="s">
        <v>34</v>
      </c>
      <c r="C1613" s="13" t="s">
        <v>3222</v>
      </c>
      <c r="D1613" s="13" t="n">
        <v>26</v>
      </c>
      <c r="E1613" s="13" t="s">
        <v>83</v>
      </c>
      <c r="F1613" s="13" t="s">
        <v>33</v>
      </c>
      <c r="G1613" s="13" t="s">
        <v>157</v>
      </c>
      <c r="H1613" s="13" t="s">
        <v>41</v>
      </c>
      <c r="I1613" s="13" t="n">
        <v>4</v>
      </c>
      <c r="J1613" s="13" t="n">
        <v>1</v>
      </c>
      <c r="K1613" s="13" t="s">
        <v>116</v>
      </c>
      <c r="L1613" s="13" t="n">
        <v>3</v>
      </c>
      <c r="M1613" s="13" t="n">
        <v>1021309.93</v>
      </c>
      <c r="N1613" s="13" t="n">
        <v>340436.643333333</v>
      </c>
      <c r="O1613" s="13" t="n">
        <v>1186.05</v>
      </c>
      <c r="P1613" s="13" t="n">
        <v>0</v>
      </c>
      <c r="Q1613" s="13" t="n">
        <v>3</v>
      </c>
      <c r="R1613" s="13" t="s">
        <v>141</v>
      </c>
      <c r="S1613" s="13" t="s">
        <v>154</v>
      </c>
      <c r="T1613" s="13" t="n">
        <v>1</v>
      </c>
      <c r="U1613" s="13" t="n">
        <f aca="false">IF(B1613="Individual",1,0)</f>
        <v>1</v>
      </c>
      <c r="V1613" s="13" t="n">
        <f aca="false">IF(B1613="Company",1,0)</f>
        <v>0</v>
      </c>
      <c r="W1613" s="13" t="n">
        <f aca="false">IF(H1613="Home",1,0)</f>
        <v>1</v>
      </c>
      <c r="X1613" s="13" t="n">
        <f aca="false">IF(H1613="Investment",1,0)</f>
        <v>0</v>
      </c>
      <c r="Y1613" s="13" t="n">
        <f aca="false">IF(K1613="Website",1,0)</f>
        <v>0</v>
      </c>
      <c r="Z1613" s="13" t="n">
        <f aca="false">IF(K1613="Agency",1,0)</f>
        <v>0</v>
      </c>
      <c r="AA1613" s="13" t="n">
        <f aca="false">IF(K1613="Client",1,0)</f>
        <v>1</v>
      </c>
      <c r="AB1613" s="13" t="n">
        <f aca="false">(D1613-AVERAGE(D$2:D$2001))/STDEV(D$2:D$2001)</f>
        <v>-1.62244851007011</v>
      </c>
      <c r="AC1613" s="13" t="n">
        <f aca="false">(I1613-AVERAGE(I$2:I$2001))/STDEV(I$2:I$2001)</f>
        <v>0.686917069130275</v>
      </c>
      <c r="AD1613" s="13" t="n">
        <f aca="false">(L1613-AVERAGE(L$2:L$2001))/STDEV(L$2:L$2001)</f>
        <v>-0.777063122173208</v>
      </c>
      <c r="AE1613" s="13" t="n">
        <f aca="false">(M1613-AVERAGE(M$2:M$2001))/STDEV(M$2:M$2001)</f>
        <v>-0.687304411583674</v>
      </c>
      <c r="AF1613" s="13" t="n">
        <f aca="false">(N1613-AVERAGE(N$2:N$2001))/STDEV(N$2:N$2001)</f>
        <v>-0.0954265445551213</v>
      </c>
      <c r="AG1613" s="13" t="n">
        <f aca="false">(O1613-AVERAGE(O$2:O$2001))/STDEV(O$2:O$2001)</f>
        <v>0.175381403696882</v>
      </c>
      <c r="AH1613" s="0" t="str">
        <f aca="false">IF(B1613="Company","C3 - Corporate Buyers",IF(AND(H1613="Investment",M1613&gt;'Segmentation Summary'!$C$1),"C1 - Global Investors",IF(AND(I1613&gt;=4,M1613&gt;'Segmentation Summary'!$C$1),"C4 - Luxury Investors",IF(AND(D1613&lt;'Segmentation Summary'!$C$2,J1613=1),"C2 - First-Time Buyers","C5 - Other Individual Buyers"))))</f>
        <v>C2 - First-Time Buyers</v>
      </c>
    </row>
    <row r="1614" customFormat="false" ht="15" hidden="false" customHeight="true" outlineLevel="0" collapsed="false">
      <c r="A1614" s="13" t="s">
        <v>3223</v>
      </c>
      <c r="B1614" s="13" t="s">
        <v>34</v>
      </c>
      <c r="C1614" s="13" t="s">
        <v>3224</v>
      </c>
      <c r="D1614" s="13" t="n">
        <v>39</v>
      </c>
      <c r="E1614" s="13" t="s">
        <v>83</v>
      </c>
      <c r="F1614" s="13" t="s">
        <v>47</v>
      </c>
      <c r="G1614" s="13" t="s">
        <v>982</v>
      </c>
      <c r="H1614" s="13" t="s">
        <v>41</v>
      </c>
      <c r="I1614" s="13" t="n">
        <v>3</v>
      </c>
      <c r="J1614" s="13" t="n">
        <v>1</v>
      </c>
      <c r="K1614" s="13" t="s">
        <v>85</v>
      </c>
      <c r="L1614" s="13" t="n">
        <v>4</v>
      </c>
      <c r="M1614" s="13" t="n">
        <v>1596404.25</v>
      </c>
      <c r="N1614" s="13" t="n">
        <v>399101.0625</v>
      </c>
      <c r="O1614" s="13" t="n">
        <v>1313.38</v>
      </c>
      <c r="P1614" s="13" t="n">
        <v>1</v>
      </c>
      <c r="Q1614" s="13" t="n">
        <v>3</v>
      </c>
      <c r="R1614" s="13" t="s">
        <v>101</v>
      </c>
      <c r="S1614" s="13" t="s">
        <v>87</v>
      </c>
      <c r="T1614" s="13" t="n">
        <v>1</v>
      </c>
      <c r="U1614" s="13" t="n">
        <f aca="false">IF(B1614="Individual",1,0)</f>
        <v>1</v>
      </c>
      <c r="V1614" s="13" t="n">
        <f aca="false">IF(B1614="Company",1,0)</f>
        <v>0</v>
      </c>
      <c r="W1614" s="13" t="n">
        <f aca="false">IF(H1614="Home",1,0)</f>
        <v>1</v>
      </c>
      <c r="X1614" s="13" t="n">
        <f aca="false">IF(H1614="Investment",1,0)</f>
        <v>0</v>
      </c>
      <c r="Y1614" s="13" t="n">
        <f aca="false">IF(K1614="Website",1,0)</f>
        <v>1</v>
      </c>
      <c r="Z1614" s="13" t="n">
        <f aca="false">IF(K1614="Agency",1,0)</f>
        <v>0</v>
      </c>
      <c r="AA1614" s="13" t="n">
        <f aca="false">IF(K1614="Client",1,0)</f>
        <v>0</v>
      </c>
      <c r="AB1614" s="13" t="n">
        <f aca="false">(D1614-AVERAGE(D$2:D$2001))/STDEV(D$2:D$2001)</f>
        <v>-0.872836588724145</v>
      </c>
      <c r="AC1614" s="13" t="n">
        <f aca="false">(I1614-AVERAGE(I$2:I$2001))/STDEV(I$2:I$2001)</f>
        <v>-0.0205155458339628</v>
      </c>
      <c r="AD1614" s="13" t="n">
        <f aca="false">(L1614-AVERAGE(L$2:L$2001))/STDEV(L$2:L$2001)</f>
        <v>0.413838214490712</v>
      </c>
      <c r="AE1614" s="13" t="n">
        <f aca="false">(M1614-AVERAGE(M$2:M$2001))/STDEV(M$2:M$2001)</f>
        <v>0.966069997729151</v>
      </c>
      <c r="AF1614" s="13" t="n">
        <f aca="false">(N1614-AVERAGE(N$2:N$2001))/STDEV(N$2:N$2001)</f>
        <v>0.745980315454618</v>
      </c>
      <c r="AG1614" s="13" t="n">
        <f aca="false">(O1614-AVERAGE(O$2:O$2001))/STDEV(O$2:O$2001)</f>
        <v>0.754357859731282</v>
      </c>
      <c r="AH1614" s="0" t="str">
        <f aca="false">IF(B1614="Company","C3 - Corporate Buyers",IF(AND(H1614="Investment",M1614&gt;'Segmentation Summary'!$C$1),"C1 - Global Investors",IF(AND(I1614&gt;=4,M1614&gt;'Segmentation Summary'!$C$1),"C4 - Luxury Investors",IF(AND(D1614&lt;'Segmentation Summary'!$C$2,J1614=1),"C2 - First-Time Buyers","C5 - Other Individual Buyers"))))</f>
        <v>C2 - First-Time Buyers</v>
      </c>
    </row>
    <row r="1615" customFormat="false" ht="15" hidden="false" customHeight="true" outlineLevel="0" collapsed="false">
      <c r="A1615" s="13" t="s">
        <v>3225</v>
      </c>
      <c r="B1615" s="13" t="s">
        <v>34</v>
      </c>
      <c r="C1615" s="13" t="s">
        <v>3226</v>
      </c>
      <c r="D1615" s="13" t="n">
        <v>38</v>
      </c>
      <c r="E1615" s="13" t="s">
        <v>83</v>
      </c>
      <c r="F1615" s="13" t="s">
        <v>35</v>
      </c>
      <c r="G1615" s="13" t="s">
        <v>185</v>
      </c>
      <c r="H1615" s="13" t="s">
        <v>41</v>
      </c>
      <c r="I1615" s="13" t="n">
        <v>2</v>
      </c>
      <c r="J1615" s="13" t="n">
        <v>1</v>
      </c>
      <c r="K1615" s="13" t="s">
        <v>85</v>
      </c>
      <c r="L1615" s="13" t="n">
        <v>3</v>
      </c>
      <c r="M1615" s="13" t="n">
        <v>976844.17</v>
      </c>
      <c r="N1615" s="13" t="n">
        <v>325614.723333333</v>
      </c>
      <c r="O1615" s="13" t="n">
        <v>1033.62</v>
      </c>
      <c r="P1615" s="13" t="n">
        <v>0</v>
      </c>
      <c r="Q1615" s="13" t="n">
        <v>3</v>
      </c>
      <c r="R1615" s="13" t="s">
        <v>121</v>
      </c>
      <c r="S1615" s="13" t="s">
        <v>133</v>
      </c>
      <c r="T1615" s="13" t="n">
        <v>1</v>
      </c>
      <c r="U1615" s="13" t="n">
        <f aca="false">IF(B1615="Individual",1,0)</f>
        <v>1</v>
      </c>
      <c r="V1615" s="13" t="n">
        <f aca="false">IF(B1615="Company",1,0)</f>
        <v>0</v>
      </c>
      <c r="W1615" s="13" t="n">
        <f aca="false">IF(H1615="Home",1,0)</f>
        <v>1</v>
      </c>
      <c r="X1615" s="13" t="n">
        <f aca="false">IF(H1615="Investment",1,0)</f>
        <v>0</v>
      </c>
      <c r="Y1615" s="13" t="n">
        <f aca="false">IF(K1615="Website",1,0)</f>
        <v>1</v>
      </c>
      <c r="Z1615" s="13" t="n">
        <f aca="false">IF(K1615="Agency",1,0)</f>
        <v>0</v>
      </c>
      <c r="AA1615" s="13" t="n">
        <f aca="false">IF(K1615="Client",1,0)</f>
        <v>0</v>
      </c>
      <c r="AB1615" s="13" t="n">
        <f aca="false">(D1615-AVERAGE(D$2:D$2001))/STDEV(D$2:D$2001)</f>
        <v>-0.930499044212296</v>
      </c>
      <c r="AC1615" s="13" t="n">
        <f aca="false">(I1615-AVERAGE(I$2:I$2001))/STDEV(I$2:I$2001)</f>
        <v>-0.727948160798201</v>
      </c>
      <c r="AD1615" s="13" t="n">
        <f aca="false">(L1615-AVERAGE(L$2:L$2001))/STDEV(L$2:L$2001)</f>
        <v>-0.777063122173208</v>
      </c>
      <c r="AE1615" s="13" t="n">
        <f aca="false">(M1615-AVERAGE(M$2:M$2001))/STDEV(M$2:M$2001)</f>
        <v>-0.815141789067503</v>
      </c>
      <c r="AF1615" s="13" t="n">
        <f aca="false">(N1615-AVERAGE(N$2:N$2001))/STDEV(N$2:N$2001)</f>
        <v>-0.308013072192673</v>
      </c>
      <c r="AG1615" s="13" t="n">
        <f aca="false">(O1615-AVERAGE(O$2:O$2001))/STDEV(O$2:O$2001)</f>
        <v>-0.517726121578573</v>
      </c>
      <c r="AH1615" s="0" t="str">
        <f aca="false">IF(B1615="Company","C3 - Corporate Buyers",IF(AND(H1615="Investment",M1615&gt;'Segmentation Summary'!$C$1),"C1 - Global Investors",IF(AND(I1615&gt;=4,M1615&gt;'Segmentation Summary'!$C$1),"C4 - Luxury Investors",IF(AND(D1615&lt;'Segmentation Summary'!$C$2,J1615=1),"C2 - First-Time Buyers","C5 - Other Individual Buyers"))))</f>
        <v>C2 - First-Time Buyers</v>
      </c>
    </row>
    <row r="1616" customFormat="false" ht="15" hidden="false" customHeight="true" outlineLevel="0" collapsed="false">
      <c r="A1616" s="13" t="s">
        <v>3227</v>
      </c>
      <c r="B1616" s="13" t="s">
        <v>34</v>
      </c>
      <c r="C1616" s="13" t="s">
        <v>3228</v>
      </c>
      <c r="D1616" s="13" t="n">
        <v>81</v>
      </c>
      <c r="E1616" s="13" t="s">
        <v>83</v>
      </c>
      <c r="F1616" s="13" t="s">
        <v>33</v>
      </c>
      <c r="G1616" s="13" t="s">
        <v>95</v>
      </c>
      <c r="H1616" s="13" t="s">
        <v>41</v>
      </c>
      <c r="I1616" s="13" t="n">
        <v>4</v>
      </c>
      <c r="J1616" s="13" t="n">
        <v>1</v>
      </c>
      <c r="K1616" s="13" t="s">
        <v>85</v>
      </c>
      <c r="L1616" s="13" t="n">
        <v>3</v>
      </c>
      <c r="M1616" s="13" t="n">
        <v>1278123.59</v>
      </c>
      <c r="N1616" s="13" t="n">
        <v>426041.196666667</v>
      </c>
      <c r="O1616" s="13" t="n">
        <v>1366.56333333333</v>
      </c>
      <c r="P1616" s="13" t="n">
        <v>0</v>
      </c>
      <c r="Q1616" s="13" t="n">
        <v>3</v>
      </c>
      <c r="R1616" s="13" t="s">
        <v>86</v>
      </c>
      <c r="S1616" s="13" t="s">
        <v>164</v>
      </c>
      <c r="T1616" s="13" t="n">
        <v>1</v>
      </c>
      <c r="U1616" s="13" t="n">
        <f aca="false">IF(B1616="Individual",1,0)</f>
        <v>1</v>
      </c>
      <c r="V1616" s="13" t="n">
        <f aca="false">IF(B1616="Company",1,0)</f>
        <v>0</v>
      </c>
      <c r="W1616" s="13" t="n">
        <f aca="false">IF(H1616="Home",1,0)</f>
        <v>1</v>
      </c>
      <c r="X1616" s="13" t="n">
        <f aca="false">IF(H1616="Investment",1,0)</f>
        <v>0</v>
      </c>
      <c r="Y1616" s="13" t="n">
        <f aca="false">IF(K1616="Website",1,0)</f>
        <v>1</v>
      </c>
      <c r="Z1616" s="13" t="n">
        <f aca="false">IF(K1616="Agency",1,0)</f>
        <v>0</v>
      </c>
      <c r="AA1616" s="13" t="n">
        <f aca="false">IF(K1616="Client",1,0)</f>
        <v>0</v>
      </c>
      <c r="AB1616" s="13" t="n">
        <f aca="false">(D1616-AVERAGE(D$2:D$2001))/STDEV(D$2:D$2001)</f>
        <v>1.54898654177821</v>
      </c>
      <c r="AC1616" s="13" t="n">
        <f aca="false">(I1616-AVERAGE(I$2:I$2001))/STDEV(I$2:I$2001)</f>
        <v>0.686917069130275</v>
      </c>
      <c r="AD1616" s="13" t="n">
        <f aca="false">(L1616-AVERAGE(L$2:L$2001))/STDEV(L$2:L$2001)</f>
        <v>-0.777063122173208</v>
      </c>
      <c r="AE1616" s="13" t="n">
        <f aca="false">(M1616-AVERAGE(M$2:M$2001))/STDEV(M$2:M$2001)</f>
        <v>0.0510251434812496</v>
      </c>
      <c r="AF1616" s="13" t="n">
        <f aca="false">(N1616-AVERAGE(N$2:N$2001))/STDEV(N$2:N$2001)</f>
        <v>1.13237489703255</v>
      </c>
      <c r="AG1616" s="13" t="n">
        <f aca="false">(O1616-AVERAGE(O$2:O$2001))/STDEV(O$2:O$2001)</f>
        <v>0.996185377625161</v>
      </c>
      <c r="AH1616" s="0" t="str">
        <f aca="false">IF(B1616="Company","C3 - Corporate Buyers",IF(AND(H1616="Investment",M1616&gt;'Segmentation Summary'!$C$1),"C1 - Global Investors",IF(AND(I1616&gt;=4,M1616&gt;'Segmentation Summary'!$C$1),"C4 - Luxury Investors",IF(AND(D1616&lt;'Segmentation Summary'!$C$2,J1616=1),"C2 - First-Time Buyers","C5 - Other Individual Buyers"))))</f>
        <v>C4 - Luxury Investors</v>
      </c>
    </row>
    <row r="1617" customFormat="false" ht="15" hidden="false" customHeight="true" outlineLevel="0" collapsed="false">
      <c r="A1617" s="13" t="s">
        <v>3229</v>
      </c>
      <c r="B1617" s="13" t="s">
        <v>34</v>
      </c>
      <c r="C1617" s="13" t="s">
        <v>3230</v>
      </c>
      <c r="D1617" s="13" t="n">
        <v>57</v>
      </c>
      <c r="E1617" s="13" t="s">
        <v>83</v>
      </c>
      <c r="F1617" s="13" t="s">
        <v>40</v>
      </c>
      <c r="G1617" s="13" t="s">
        <v>219</v>
      </c>
      <c r="H1617" s="13" t="s">
        <v>41</v>
      </c>
      <c r="I1617" s="13" t="n">
        <v>1</v>
      </c>
      <c r="J1617" s="13" t="n">
        <v>0</v>
      </c>
      <c r="K1617" s="13" t="s">
        <v>85</v>
      </c>
      <c r="L1617" s="13" t="n">
        <v>4</v>
      </c>
      <c r="M1617" s="13" t="n">
        <v>1415445.71</v>
      </c>
      <c r="N1617" s="13" t="n">
        <v>353861.4275</v>
      </c>
      <c r="O1617" s="13" t="n">
        <v>1253.3075</v>
      </c>
      <c r="P1617" s="13" t="n">
        <v>0</v>
      </c>
      <c r="Q1617" s="13" t="n">
        <v>4</v>
      </c>
      <c r="R1617" s="13" t="s">
        <v>117</v>
      </c>
      <c r="S1617" s="13" t="s">
        <v>135</v>
      </c>
      <c r="T1617" s="13" t="n">
        <v>1</v>
      </c>
      <c r="U1617" s="13" t="n">
        <f aca="false">IF(B1617="Individual",1,0)</f>
        <v>1</v>
      </c>
      <c r="V1617" s="13" t="n">
        <f aca="false">IF(B1617="Company",1,0)</f>
        <v>0</v>
      </c>
      <c r="W1617" s="13" t="n">
        <f aca="false">IF(H1617="Home",1,0)</f>
        <v>1</v>
      </c>
      <c r="X1617" s="13" t="n">
        <f aca="false">IF(H1617="Investment",1,0)</f>
        <v>0</v>
      </c>
      <c r="Y1617" s="13" t="n">
        <f aca="false">IF(K1617="Website",1,0)</f>
        <v>1</v>
      </c>
      <c r="Z1617" s="13" t="n">
        <f aca="false">IF(K1617="Agency",1,0)</f>
        <v>0</v>
      </c>
      <c r="AA1617" s="13" t="n">
        <f aca="false">IF(K1617="Client",1,0)</f>
        <v>0</v>
      </c>
      <c r="AB1617" s="13" t="n">
        <f aca="false">(D1617-AVERAGE(D$2:D$2001))/STDEV(D$2:D$2001)</f>
        <v>0.165087610062577</v>
      </c>
      <c r="AC1617" s="13" t="n">
        <f aca="false">(I1617-AVERAGE(I$2:I$2001))/STDEV(I$2:I$2001)</f>
        <v>-1.43538077576244</v>
      </c>
      <c r="AD1617" s="13" t="n">
        <f aca="false">(L1617-AVERAGE(L$2:L$2001))/STDEV(L$2:L$2001)</f>
        <v>0.413838214490712</v>
      </c>
      <c r="AE1617" s="13" t="n">
        <f aca="false">(M1617-AVERAGE(M$2:M$2001))/STDEV(M$2:M$2001)</f>
        <v>0.445821042422809</v>
      </c>
      <c r="AF1617" s="13" t="n">
        <f aca="false">(N1617-AVERAGE(N$2:N$2001))/STDEV(N$2:N$2001)</f>
        <v>0.0971212664083243</v>
      </c>
      <c r="AG1617" s="13" t="n">
        <f aca="false">(O1617-AVERAGE(O$2:O$2001))/STDEV(O$2:O$2001)</f>
        <v>0.481204925190117</v>
      </c>
      <c r="AH1617" s="0" t="str">
        <f aca="false">IF(B1617="Company","C3 - Corporate Buyers",IF(AND(H1617="Investment",M1617&gt;'Segmentation Summary'!$C$1),"C1 - Global Investors",IF(AND(I1617&gt;=4,M1617&gt;'Segmentation Summary'!$C$1),"C4 - Luxury Investors",IF(AND(D1617&lt;'Segmentation Summary'!$C$2,J1617=1),"C2 - First-Time Buyers","C5 - Other Individual Buyers"))))</f>
        <v>C5 - Other Individual Buyers</v>
      </c>
    </row>
    <row r="1618" customFormat="false" ht="15" hidden="false" customHeight="true" outlineLevel="0" collapsed="false">
      <c r="A1618" s="13" t="s">
        <v>3231</v>
      </c>
      <c r="B1618" s="13" t="s">
        <v>34</v>
      </c>
      <c r="C1618" s="13" t="s">
        <v>3232</v>
      </c>
      <c r="D1618" s="13" t="n">
        <v>24</v>
      </c>
      <c r="E1618" s="13" t="s">
        <v>83</v>
      </c>
      <c r="F1618" s="13" t="s">
        <v>35</v>
      </c>
      <c r="G1618" s="13" t="s">
        <v>267</v>
      </c>
      <c r="H1618" s="13" t="s">
        <v>41</v>
      </c>
      <c r="I1618" s="13" t="n">
        <v>3</v>
      </c>
      <c r="J1618" s="13" t="n">
        <v>0</v>
      </c>
      <c r="K1618" s="13" t="s">
        <v>85</v>
      </c>
      <c r="L1618" s="13" t="n">
        <v>3</v>
      </c>
      <c r="M1618" s="13" t="n">
        <v>1142828.14</v>
      </c>
      <c r="N1618" s="13" t="n">
        <v>380942.713333333</v>
      </c>
      <c r="O1618" s="13" t="n">
        <v>1435.66333333333</v>
      </c>
      <c r="P1618" s="13" t="n">
        <v>1</v>
      </c>
      <c r="Q1618" s="13" t="n">
        <v>2</v>
      </c>
      <c r="R1618" s="13" t="s">
        <v>92</v>
      </c>
      <c r="S1618" s="13" t="s">
        <v>133</v>
      </c>
      <c r="T1618" s="13" t="n">
        <v>1</v>
      </c>
      <c r="U1618" s="13" t="n">
        <f aca="false">IF(B1618="Individual",1,0)</f>
        <v>1</v>
      </c>
      <c r="V1618" s="13" t="n">
        <f aca="false">IF(B1618="Company",1,0)</f>
        <v>0</v>
      </c>
      <c r="W1618" s="13" t="n">
        <f aca="false">IF(H1618="Home",1,0)</f>
        <v>1</v>
      </c>
      <c r="X1618" s="13" t="n">
        <f aca="false">IF(H1618="Investment",1,0)</f>
        <v>0</v>
      </c>
      <c r="Y1618" s="13" t="n">
        <f aca="false">IF(K1618="Website",1,0)</f>
        <v>1</v>
      </c>
      <c r="Z1618" s="13" t="n">
        <f aca="false">IF(K1618="Agency",1,0)</f>
        <v>0</v>
      </c>
      <c r="AA1618" s="13" t="n">
        <f aca="false">IF(K1618="Client",1,0)</f>
        <v>0</v>
      </c>
      <c r="AB1618" s="13" t="n">
        <f aca="false">(D1618-AVERAGE(D$2:D$2001))/STDEV(D$2:D$2001)</f>
        <v>-1.73777342104641</v>
      </c>
      <c r="AC1618" s="13" t="n">
        <f aca="false">(I1618-AVERAGE(I$2:I$2001))/STDEV(I$2:I$2001)</f>
        <v>-0.0205155458339628</v>
      </c>
      <c r="AD1618" s="13" t="n">
        <f aca="false">(L1618-AVERAGE(L$2:L$2001))/STDEV(L$2:L$2001)</f>
        <v>-0.777063122173208</v>
      </c>
      <c r="AE1618" s="13" t="n">
        <f aca="false">(M1618-AVERAGE(M$2:M$2001))/STDEV(M$2:M$2001)</f>
        <v>-0.337944155896395</v>
      </c>
      <c r="AF1618" s="13" t="n">
        <f aca="false">(N1618-AVERAGE(N$2:N$2001))/STDEV(N$2:N$2001)</f>
        <v>0.485540345668521</v>
      </c>
      <c r="AG1618" s="13" t="n">
        <f aca="false">(O1618-AVERAGE(O$2:O$2001))/STDEV(O$2:O$2001)</f>
        <v>1.31038684712942</v>
      </c>
      <c r="AH1618" s="0" t="str">
        <f aca="false">IF(B1618="Company","C3 - Corporate Buyers",IF(AND(H1618="Investment",M1618&gt;'Segmentation Summary'!$C$1),"C1 - Global Investors",IF(AND(I1618&gt;=4,M1618&gt;'Segmentation Summary'!$C$1),"C4 - Luxury Investors",IF(AND(D1618&lt;'Segmentation Summary'!$C$2,J1618=1),"C2 - First-Time Buyers","C5 - Other Individual Buyers"))))</f>
        <v>C5 - Other Individual Buyers</v>
      </c>
    </row>
    <row r="1619" customFormat="false" ht="15" hidden="false" customHeight="true" outlineLevel="0" collapsed="false">
      <c r="A1619" s="13" t="s">
        <v>3233</v>
      </c>
      <c r="B1619" s="13" t="s">
        <v>34</v>
      </c>
      <c r="C1619" s="13" t="s">
        <v>3234</v>
      </c>
      <c r="D1619" s="13" t="n">
        <v>55</v>
      </c>
      <c r="E1619" s="13" t="s">
        <v>83</v>
      </c>
      <c r="F1619" s="13" t="s">
        <v>45</v>
      </c>
      <c r="G1619" s="13" t="s">
        <v>347</v>
      </c>
      <c r="H1619" s="13" t="s">
        <v>41</v>
      </c>
      <c r="I1619" s="13" t="n">
        <v>3</v>
      </c>
      <c r="J1619" s="13" t="n">
        <v>1</v>
      </c>
      <c r="K1619" s="13" t="s">
        <v>91</v>
      </c>
      <c r="L1619" s="13" t="n">
        <v>4</v>
      </c>
      <c r="M1619" s="13" t="n">
        <v>1161971.24</v>
      </c>
      <c r="N1619" s="13" t="n">
        <v>290492.81</v>
      </c>
      <c r="O1619" s="13" t="n">
        <v>946.6525</v>
      </c>
      <c r="P1619" s="13" t="n">
        <v>1</v>
      </c>
      <c r="Q1619" s="13" t="n">
        <v>3</v>
      </c>
      <c r="R1619" s="13" t="s">
        <v>101</v>
      </c>
      <c r="S1619" s="13" t="s">
        <v>154</v>
      </c>
      <c r="T1619" s="13" t="n">
        <v>1</v>
      </c>
      <c r="U1619" s="13" t="n">
        <f aca="false">IF(B1619="Individual",1,0)</f>
        <v>1</v>
      </c>
      <c r="V1619" s="13" t="n">
        <f aca="false">IF(B1619="Company",1,0)</f>
        <v>0</v>
      </c>
      <c r="W1619" s="13" t="n">
        <f aca="false">IF(H1619="Home",1,0)</f>
        <v>1</v>
      </c>
      <c r="X1619" s="13" t="n">
        <f aca="false">IF(H1619="Investment",1,0)</f>
        <v>0</v>
      </c>
      <c r="Y1619" s="13" t="n">
        <f aca="false">IF(K1619="Website",1,0)</f>
        <v>0</v>
      </c>
      <c r="Z1619" s="13" t="n">
        <f aca="false">IF(K1619="Agency",1,0)</f>
        <v>1</v>
      </c>
      <c r="AA1619" s="13" t="n">
        <f aca="false">IF(K1619="Client",1,0)</f>
        <v>0</v>
      </c>
      <c r="AB1619" s="13" t="n">
        <f aca="false">(D1619-AVERAGE(D$2:D$2001))/STDEV(D$2:D$2001)</f>
        <v>0.0497626990862745</v>
      </c>
      <c r="AC1619" s="13" t="n">
        <f aca="false">(I1619-AVERAGE(I$2:I$2001))/STDEV(I$2:I$2001)</f>
        <v>-0.0205155458339628</v>
      </c>
      <c r="AD1619" s="13" t="n">
        <f aca="false">(L1619-AVERAGE(L$2:L$2001))/STDEV(L$2:L$2001)</f>
        <v>0.413838214490712</v>
      </c>
      <c r="AE1619" s="13" t="n">
        <f aca="false">(M1619-AVERAGE(M$2:M$2001))/STDEV(M$2:M$2001)</f>
        <v>-0.282908467741944</v>
      </c>
      <c r="AF1619" s="13" t="n">
        <f aca="false">(N1619-AVERAGE(N$2:N$2001))/STDEV(N$2:N$2001)</f>
        <v>-0.811756554786041</v>
      </c>
      <c r="AG1619" s="13" t="n">
        <f aca="false">(O1619-AVERAGE(O$2:O$2001))/STDEV(O$2:O$2001)</f>
        <v>-0.913172088280619</v>
      </c>
      <c r="AH1619" s="0" t="str">
        <f aca="false">IF(B1619="Company","C3 - Corporate Buyers",IF(AND(H1619="Investment",M1619&gt;'Segmentation Summary'!$C$1),"C1 - Global Investors",IF(AND(I1619&gt;=4,M1619&gt;'Segmentation Summary'!$C$1),"C4 - Luxury Investors",IF(AND(D1619&lt;'Segmentation Summary'!$C$2,J1619=1),"C2 - First-Time Buyers","C5 - Other Individual Buyers"))))</f>
        <v>C5 - Other Individual Buyers</v>
      </c>
    </row>
    <row r="1620" customFormat="false" ht="15" hidden="false" customHeight="true" outlineLevel="0" collapsed="false">
      <c r="A1620" s="13" t="s">
        <v>3235</v>
      </c>
      <c r="B1620" s="13" t="s">
        <v>34</v>
      </c>
      <c r="C1620" s="13" t="s">
        <v>3236</v>
      </c>
      <c r="D1620" s="13" t="n">
        <v>30</v>
      </c>
      <c r="E1620" s="13" t="s">
        <v>83</v>
      </c>
      <c r="F1620" s="13" t="s">
        <v>33</v>
      </c>
      <c r="G1620" s="13" t="s">
        <v>145</v>
      </c>
      <c r="H1620" s="13" t="s">
        <v>41</v>
      </c>
      <c r="I1620" s="13" t="n">
        <v>1</v>
      </c>
      <c r="J1620" s="13" t="n">
        <v>0</v>
      </c>
      <c r="K1620" s="13" t="s">
        <v>85</v>
      </c>
      <c r="L1620" s="13" t="n">
        <v>6</v>
      </c>
      <c r="M1620" s="13" t="n">
        <v>2618938.16</v>
      </c>
      <c r="N1620" s="13" t="n">
        <v>436489.693333333</v>
      </c>
      <c r="O1620" s="13" t="n">
        <v>1481.715</v>
      </c>
      <c r="P1620" s="13" t="n">
        <v>0</v>
      </c>
      <c r="Q1620" s="13" t="n">
        <v>6</v>
      </c>
      <c r="R1620" s="13" t="s">
        <v>124</v>
      </c>
      <c r="S1620" s="13" t="s">
        <v>125</v>
      </c>
      <c r="T1620" s="13" t="n">
        <v>1</v>
      </c>
      <c r="U1620" s="13" t="n">
        <f aca="false">IF(B1620="Individual",1,0)</f>
        <v>1</v>
      </c>
      <c r="V1620" s="13" t="n">
        <f aca="false">IF(B1620="Company",1,0)</f>
        <v>0</v>
      </c>
      <c r="W1620" s="13" t="n">
        <f aca="false">IF(H1620="Home",1,0)</f>
        <v>1</v>
      </c>
      <c r="X1620" s="13" t="n">
        <f aca="false">IF(H1620="Investment",1,0)</f>
        <v>0</v>
      </c>
      <c r="Y1620" s="13" t="n">
        <f aca="false">IF(K1620="Website",1,0)</f>
        <v>1</v>
      </c>
      <c r="Z1620" s="13" t="n">
        <f aca="false">IF(K1620="Agency",1,0)</f>
        <v>0</v>
      </c>
      <c r="AA1620" s="13" t="n">
        <f aca="false">IF(K1620="Client",1,0)</f>
        <v>0</v>
      </c>
      <c r="AB1620" s="13" t="n">
        <f aca="false">(D1620-AVERAGE(D$2:D$2001))/STDEV(D$2:D$2001)</f>
        <v>-1.39179868811751</v>
      </c>
      <c r="AC1620" s="13" t="n">
        <f aca="false">(I1620-AVERAGE(I$2:I$2001))/STDEV(I$2:I$2001)</f>
        <v>-1.43538077576244</v>
      </c>
      <c r="AD1620" s="13" t="n">
        <f aca="false">(L1620-AVERAGE(L$2:L$2001))/STDEV(L$2:L$2001)</f>
        <v>2.79564088781855</v>
      </c>
      <c r="AE1620" s="13" t="n">
        <f aca="false">(M1620-AVERAGE(M$2:M$2001))/STDEV(M$2:M$2001)</f>
        <v>3.90581629786403</v>
      </c>
      <c r="AF1620" s="13" t="n">
        <f aca="false">(N1620-AVERAGE(N$2:N$2001))/STDEV(N$2:N$2001)</f>
        <v>1.28223467399795</v>
      </c>
      <c r="AG1620" s="13" t="n">
        <f aca="false">(O1620-AVERAGE(O$2:O$2001))/STDEV(O$2:O$2001)</f>
        <v>1.51978628764733</v>
      </c>
      <c r="AH1620" s="0" t="str">
        <f aca="false">IF(B1620="Company","C3 - Corporate Buyers",IF(AND(H1620="Investment",M1620&gt;'Segmentation Summary'!$C$1),"C1 - Global Investors",IF(AND(I1620&gt;=4,M1620&gt;'Segmentation Summary'!$C$1),"C4 - Luxury Investors",IF(AND(D1620&lt;'Segmentation Summary'!$C$2,J1620=1),"C2 - First-Time Buyers","C5 - Other Individual Buyers"))))</f>
        <v>C5 - Other Individual Buyers</v>
      </c>
    </row>
    <row r="1621" customFormat="false" ht="15" hidden="false" customHeight="true" outlineLevel="0" collapsed="false">
      <c r="A1621" s="13" t="s">
        <v>3237</v>
      </c>
      <c r="B1621" s="13" t="s">
        <v>34</v>
      </c>
      <c r="C1621" s="13" t="s">
        <v>3238</v>
      </c>
      <c r="D1621" s="13" t="n">
        <v>55</v>
      </c>
      <c r="E1621" s="13" t="s">
        <v>83</v>
      </c>
      <c r="F1621" s="13" t="s">
        <v>33</v>
      </c>
      <c r="G1621" s="13" t="s">
        <v>95</v>
      </c>
      <c r="H1621" s="13" t="s">
        <v>43</v>
      </c>
      <c r="I1621" s="13" t="n">
        <v>1</v>
      </c>
      <c r="J1621" s="13" t="n">
        <v>0</v>
      </c>
      <c r="K1621" s="13" t="s">
        <v>85</v>
      </c>
      <c r="L1621" s="13" t="n">
        <v>3</v>
      </c>
      <c r="M1621" s="13" t="n">
        <v>1077693.04</v>
      </c>
      <c r="N1621" s="13" t="n">
        <v>359231.013333333</v>
      </c>
      <c r="O1621" s="13" t="n">
        <v>1129.17666666667</v>
      </c>
      <c r="P1621" s="13" t="n">
        <v>0</v>
      </c>
      <c r="Q1621" s="13" t="n">
        <v>3</v>
      </c>
      <c r="R1621" s="13" t="s">
        <v>98</v>
      </c>
      <c r="S1621" s="13" t="s">
        <v>93</v>
      </c>
      <c r="T1621" s="13" t="n">
        <v>1</v>
      </c>
      <c r="U1621" s="13" t="n">
        <f aca="false">IF(B1621="Individual",1,0)</f>
        <v>1</v>
      </c>
      <c r="V1621" s="13" t="n">
        <f aca="false">IF(B1621="Company",1,0)</f>
        <v>0</v>
      </c>
      <c r="W1621" s="13" t="n">
        <f aca="false">IF(H1621="Home",1,0)</f>
        <v>0</v>
      </c>
      <c r="X1621" s="13" t="n">
        <f aca="false">IF(H1621="Investment",1,0)</f>
        <v>1</v>
      </c>
      <c r="Y1621" s="13" t="n">
        <f aca="false">IF(K1621="Website",1,0)</f>
        <v>1</v>
      </c>
      <c r="Z1621" s="13" t="n">
        <f aca="false">IF(K1621="Agency",1,0)</f>
        <v>0</v>
      </c>
      <c r="AA1621" s="13" t="n">
        <f aca="false">IF(K1621="Client",1,0)</f>
        <v>0</v>
      </c>
      <c r="AB1621" s="13" t="n">
        <f aca="false">(D1621-AVERAGE(D$2:D$2001))/STDEV(D$2:D$2001)</f>
        <v>0.0497626990862745</v>
      </c>
      <c r="AC1621" s="13" t="n">
        <f aca="false">(I1621-AVERAGE(I$2:I$2001))/STDEV(I$2:I$2001)</f>
        <v>-1.43538077576244</v>
      </c>
      <c r="AD1621" s="13" t="n">
        <f aca="false">(L1621-AVERAGE(L$2:L$2001))/STDEV(L$2:L$2001)</f>
        <v>-0.777063122173208</v>
      </c>
      <c r="AE1621" s="13" t="n">
        <f aca="false">(M1621-AVERAGE(M$2:M$2001))/STDEV(M$2:M$2001)</f>
        <v>-0.525205103784094</v>
      </c>
      <c r="AF1621" s="13" t="n">
        <f aca="false">(N1621-AVERAGE(N$2:N$2001))/STDEV(N$2:N$2001)</f>
        <v>0.174135688774661</v>
      </c>
      <c r="AG1621" s="13" t="n">
        <f aca="false">(O1621-AVERAGE(O$2:O$2001))/STDEV(O$2:O$2001)</f>
        <v>-0.0832247454917976</v>
      </c>
      <c r="AH1621" s="0" t="str">
        <f aca="false">IF(B1621="Company","C3 - Corporate Buyers",IF(AND(H1621="Investment",M1621&gt;'Segmentation Summary'!$C$1),"C1 - Global Investors",IF(AND(I1621&gt;=4,M1621&gt;'Segmentation Summary'!$C$1),"C4 - Luxury Investors",IF(AND(D1621&lt;'Segmentation Summary'!$C$2,J1621=1),"C2 - First-Time Buyers","C5 - Other Individual Buyers"))))</f>
        <v>C5 - Other Individual Buyers</v>
      </c>
    </row>
    <row r="1622" customFormat="false" ht="15" hidden="false" customHeight="true" outlineLevel="0" collapsed="false">
      <c r="A1622" s="13" t="s">
        <v>3239</v>
      </c>
      <c r="B1622" s="13" t="s">
        <v>34</v>
      </c>
      <c r="C1622" s="13" t="s">
        <v>3240</v>
      </c>
      <c r="D1622" s="13" t="n">
        <v>56</v>
      </c>
      <c r="E1622" s="13" t="s">
        <v>83</v>
      </c>
      <c r="F1622" s="13" t="s">
        <v>33</v>
      </c>
      <c r="G1622" s="13" t="s">
        <v>95</v>
      </c>
      <c r="H1622" s="13" t="s">
        <v>41</v>
      </c>
      <c r="I1622" s="13" t="n">
        <v>2</v>
      </c>
      <c r="J1622" s="13" t="n">
        <v>0</v>
      </c>
      <c r="K1622" s="13" t="s">
        <v>91</v>
      </c>
      <c r="L1622" s="13" t="n">
        <v>4</v>
      </c>
      <c r="M1622" s="13" t="n">
        <v>1378030.61</v>
      </c>
      <c r="N1622" s="13" t="n">
        <v>344507.6525</v>
      </c>
      <c r="O1622" s="13" t="n">
        <v>1170.135</v>
      </c>
      <c r="P1622" s="13" t="n">
        <v>1</v>
      </c>
      <c r="Q1622" s="13" t="n">
        <v>3</v>
      </c>
      <c r="R1622" s="13" t="s">
        <v>98</v>
      </c>
      <c r="S1622" s="13" t="s">
        <v>135</v>
      </c>
      <c r="T1622" s="13" t="n">
        <v>1</v>
      </c>
      <c r="U1622" s="13" t="n">
        <f aca="false">IF(B1622="Individual",1,0)</f>
        <v>1</v>
      </c>
      <c r="V1622" s="13" t="n">
        <f aca="false">IF(B1622="Company",1,0)</f>
        <v>0</v>
      </c>
      <c r="W1622" s="13" t="n">
        <f aca="false">IF(H1622="Home",1,0)</f>
        <v>1</v>
      </c>
      <c r="X1622" s="13" t="n">
        <f aca="false">IF(H1622="Investment",1,0)</f>
        <v>0</v>
      </c>
      <c r="Y1622" s="13" t="n">
        <f aca="false">IF(K1622="Website",1,0)</f>
        <v>0</v>
      </c>
      <c r="Z1622" s="13" t="n">
        <f aca="false">IF(K1622="Agency",1,0)</f>
        <v>1</v>
      </c>
      <c r="AA1622" s="13" t="n">
        <f aca="false">IF(K1622="Client",1,0)</f>
        <v>0</v>
      </c>
      <c r="AB1622" s="13" t="n">
        <f aca="false">(D1622-AVERAGE(D$2:D$2001))/STDEV(D$2:D$2001)</f>
        <v>0.107425154574426</v>
      </c>
      <c r="AC1622" s="13" t="n">
        <f aca="false">(I1622-AVERAGE(I$2:I$2001))/STDEV(I$2:I$2001)</f>
        <v>-0.727948160798201</v>
      </c>
      <c r="AD1622" s="13" t="n">
        <f aca="false">(L1622-AVERAGE(L$2:L$2001))/STDEV(L$2:L$2001)</f>
        <v>0.413838214490712</v>
      </c>
      <c r="AE1622" s="13" t="n">
        <f aca="false">(M1622-AVERAGE(M$2:M$2001))/STDEV(M$2:M$2001)</f>
        <v>0.338254045652818</v>
      </c>
      <c r="AF1622" s="13" t="n">
        <f aca="false">(N1622-AVERAGE(N$2:N$2001))/STDEV(N$2:N$2001)</f>
        <v>-0.0370372331351176</v>
      </c>
      <c r="AG1622" s="13" t="n">
        <f aca="false">(O1622-AVERAGE(O$2:O$2001))/STDEV(O$2:O$2001)</f>
        <v>0.103015030510771</v>
      </c>
      <c r="AH1622" s="0" t="str">
        <f aca="false">IF(B1622="Company","C3 - Corporate Buyers",IF(AND(H1622="Investment",M1622&gt;'Segmentation Summary'!$C$1),"C1 - Global Investors",IF(AND(I1622&gt;=4,M1622&gt;'Segmentation Summary'!$C$1),"C4 - Luxury Investors",IF(AND(D1622&lt;'Segmentation Summary'!$C$2,J1622=1),"C2 - First-Time Buyers","C5 - Other Individual Buyers"))))</f>
        <v>C5 - Other Individual Buyers</v>
      </c>
    </row>
    <row r="1623" customFormat="false" ht="15" hidden="false" customHeight="true" outlineLevel="0" collapsed="false">
      <c r="A1623" s="13" t="s">
        <v>3241</v>
      </c>
      <c r="B1623" s="13" t="s">
        <v>34</v>
      </c>
      <c r="C1623" s="13" t="s">
        <v>3242</v>
      </c>
      <c r="D1623" s="13" t="n">
        <v>77</v>
      </c>
      <c r="E1623" s="13" t="s">
        <v>83</v>
      </c>
      <c r="F1623" s="13" t="s">
        <v>33</v>
      </c>
      <c r="G1623" s="13" t="s">
        <v>95</v>
      </c>
      <c r="H1623" s="13" t="s">
        <v>43</v>
      </c>
      <c r="I1623" s="13" t="n">
        <v>2</v>
      </c>
      <c r="J1623" s="13" t="n">
        <v>1</v>
      </c>
      <c r="K1623" s="13" t="s">
        <v>91</v>
      </c>
      <c r="L1623" s="13" t="n">
        <v>4</v>
      </c>
      <c r="M1623" s="13" t="n">
        <v>1356450.7</v>
      </c>
      <c r="N1623" s="13" t="n">
        <v>339112.675</v>
      </c>
      <c r="O1623" s="13" t="n">
        <v>1074.0525</v>
      </c>
      <c r="P1623" s="13" t="n">
        <v>1</v>
      </c>
      <c r="Q1623" s="13" t="n">
        <v>3</v>
      </c>
      <c r="R1623" s="13" t="s">
        <v>150</v>
      </c>
      <c r="S1623" s="13" t="s">
        <v>154</v>
      </c>
      <c r="T1623" s="13" t="n">
        <v>1</v>
      </c>
      <c r="U1623" s="13" t="n">
        <f aca="false">IF(B1623="Individual",1,0)</f>
        <v>1</v>
      </c>
      <c r="V1623" s="13" t="n">
        <f aca="false">IF(B1623="Company",1,0)</f>
        <v>0</v>
      </c>
      <c r="W1623" s="13" t="n">
        <f aca="false">IF(H1623="Home",1,0)</f>
        <v>0</v>
      </c>
      <c r="X1623" s="13" t="n">
        <f aca="false">IF(H1623="Investment",1,0)</f>
        <v>1</v>
      </c>
      <c r="Y1623" s="13" t="n">
        <f aca="false">IF(K1623="Website",1,0)</f>
        <v>0</v>
      </c>
      <c r="Z1623" s="13" t="n">
        <f aca="false">IF(K1623="Agency",1,0)</f>
        <v>1</v>
      </c>
      <c r="AA1623" s="13" t="n">
        <f aca="false">IF(K1623="Client",1,0)</f>
        <v>0</v>
      </c>
      <c r="AB1623" s="13" t="n">
        <f aca="false">(D1623-AVERAGE(D$2:D$2001))/STDEV(D$2:D$2001)</f>
        <v>1.3183367198256</v>
      </c>
      <c r="AC1623" s="13" t="n">
        <f aca="false">(I1623-AVERAGE(I$2:I$2001))/STDEV(I$2:I$2001)</f>
        <v>-0.727948160798201</v>
      </c>
      <c r="AD1623" s="13" t="n">
        <f aca="false">(L1623-AVERAGE(L$2:L$2001))/STDEV(L$2:L$2001)</f>
        <v>0.413838214490712</v>
      </c>
      <c r="AE1623" s="13" t="n">
        <f aca="false">(M1623-AVERAGE(M$2:M$2001))/STDEV(M$2:M$2001)</f>
        <v>0.27621262095352</v>
      </c>
      <c r="AF1623" s="13" t="n">
        <f aca="false">(N1623-AVERAGE(N$2:N$2001))/STDEV(N$2:N$2001)</f>
        <v>-0.114415840859874</v>
      </c>
      <c r="AG1623" s="13" t="n">
        <f aca="false">(O1623-AVERAGE(O$2:O$2001))/STDEV(O$2:O$2001)</f>
        <v>-0.333877338427619</v>
      </c>
      <c r="AH1623" s="0" t="str">
        <f aca="false">IF(B1623="Company","C3 - Corporate Buyers",IF(AND(H1623="Investment",M1623&gt;'Segmentation Summary'!$C$1),"C1 - Global Investors",IF(AND(I1623&gt;=4,M1623&gt;'Segmentation Summary'!$C$1),"C4 - Luxury Investors",IF(AND(D1623&lt;'Segmentation Summary'!$C$2,J1623=1),"C2 - First-Time Buyers","C5 - Other Individual Buyers"))))</f>
        <v>C1 - Global Investors</v>
      </c>
    </row>
    <row r="1624" customFormat="false" ht="15" hidden="false" customHeight="true" outlineLevel="0" collapsed="false">
      <c r="A1624" s="13" t="s">
        <v>3243</v>
      </c>
      <c r="B1624" s="13" t="s">
        <v>34</v>
      </c>
      <c r="C1624" s="13" t="s">
        <v>3244</v>
      </c>
      <c r="D1624" s="13" t="n">
        <v>69</v>
      </c>
      <c r="E1624" s="13" t="s">
        <v>83</v>
      </c>
      <c r="F1624" s="13" t="s">
        <v>46</v>
      </c>
      <c r="G1624" s="13" t="s">
        <v>359</v>
      </c>
      <c r="H1624" s="13" t="s">
        <v>43</v>
      </c>
      <c r="I1624" s="13" t="n">
        <v>3</v>
      </c>
      <c r="J1624" s="13" t="n">
        <v>0</v>
      </c>
      <c r="K1624" s="13" t="s">
        <v>91</v>
      </c>
      <c r="L1624" s="13" t="n">
        <v>4</v>
      </c>
      <c r="M1624" s="13" t="n">
        <v>1049009</v>
      </c>
      <c r="N1624" s="13" t="n">
        <v>262252.25</v>
      </c>
      <c r="O1624" s="13" t="n">
        <v>906.485</v>
      </c>
      <c r="P1624" s="13" t="n">
        <v>1</v>
      </c>
      <c r="Q1624" s="13" t="n">
        <v>3</v>
      </c>
      <c r="R1624" s="13" t="s">
        <v>92</v>
      </c>
      <c r="S1624" s="13" t="s">
        <v>93</v>
      </c>
      <c r="T1624" s="13" t="n">
        <v>1</v>
      </c>
      <c r="U1624" s="13" t="n">
        <f aca="false">IF(B1624="Individual",1,0)</f>
        <v>1</v>
      </c>
      <c r="V1624" s="13" t="n">
        <f aca="false">IF(B1624="Company",1,0)</f>
        <v>0</v>
      </c>
      <c r="W1624" s="13" t="n">
        <f aca="false">IF(H1624="Home",1,0)</f>
        <v>0</v>
      </c>
      <c r="X1624" s="13" t="n">
        <f aca="false">IF(H1624="Investment",1,0)</f>
        <v>1</v>
      </c>
      <c r="Y1624" s="13" t="n">
        <f aca="false">IF(K1624="Website",1,0)</f>
        <v>0</v>
      </c>
      <c r="Z1624" s="13" t="n">
        <f aca="false">IF(K1624="Agency",1,0)</f>
        <v>1</v>
      </c>
      <c r="AA1624" s="13" t="n">
        <f aca="false">IF(K1624="Client",1,0)</f>
        <v>0</v>
      </c>
      <c r="AB1624" s="13" t="n">
        <f aca="false">(D1624-AVERAGE(D$2:D$2001))/STDEV(D$2:D$2001)</f>
        <v>0.857037075920391</v>
      </c>
      <c r="AC1624" s="13" t="n">
        <f aca="false">(I1624-AVERAGE(I$2:I$2001))/STDEV(I$2:I$2001)</f>
        <v>-0.0205155458339628</v>
      </c>
      <c r="AD1624" s="13" t="n">
        <f aca="false">(L1624-AVERAGE(L$2:L$2001))/STDEV(L$2:L$2001)</f>
        <v>0.413838214490712</v>
      </c>
      <c r="AE1624" s="13" t="n">
        <f aca="false">(M1624-AVERAGE(M$2:M$2001))/STDEV(M$2:M$2001)</f>
        <v>-0.607670633424007</v>
      </c>
      <c r="AF1624" s="13" t="n">
        <f aca="false">(N1624-AVERAGE(N$2:N$2001))/STDEV(N$2:N$2001)</f>
        <v>-1.21680276937497</v>
      </c>
      <c r="AG1624" s="13" t="n">
        <f aca="false">(O1624-AVERAGE(O$2:O$2001))/STDEV(O$2:O$2001)</f>
        <v>-1.09581590197544</v>
      </c>
      <c r="AH1624" s="0" t="str">
        <f aca="false">IF(B1624="Company","C3 - Corporate Buyers",IF(AND(H1624="Investment",M1624&gt;'Segmentation Summary'!$C$1),"C1 - Global Investors",IF(AND(I1624&gt;=4,M1624&gt;'Segmentation Summary'!$C$1),"C4 - Luxury Investors",IF(AND(D1624&lt;'Segmentation Summary'!$C$2,J1624=1),"C2 - First-Time Buyers","C5 - Other Individual Buyers"))))</f>
        <v>C5 - Other Individual Buyers</v>
      </c>
    </row>
    <row r="1625" customFormat="false" ht="15" hidden="false" customHeight="true" outlineLevel="0" collapsed="false">
      <c r="A1625" s="13" t="s">
        <v>3245</v>
      </c>
      <c r="B1625" s="13" t="s">
        <v>34</v>
      </c>
      <c r="C1625" s="13" t="s">
        <v>3246</v>
      </c>
      <c r="D1625" s="13" t="n">
        <v>58</v>
      </c>
      <c r="E1625" s="13" t="s">
        <v>90</v>
      </c>
      <c r="F1625" s="13" t="s">
        <v>33</v>
      </c>
      <c r="G1625" s="13" t="s">
        <v>162</v>
      </c>
      <c r="H1625" s="13" t="s">
        <v>43</v>
      </c>
      <c r="I1625" s="13" t="n">
        <v>3</v>
      </c>
      <c r="J1625" s="13" t="n">
        <v>0</v>
      </c>
      <c r="K1625" s="13" t="s">
        <v>91</v>
      </c>
      <c r="L1625" s="13" t="n">
        <v>4</v>
      </c>
      <c r="M1625" s="13" t="n">
        <v>1184992.23</v>
      </c>
      <c r="N1625" s="13" t="n">
        <v>296248.0575</v>
      </c>
      <c r="O1625" s="13" t="n">
        <v>990.9875</v>
      </c>
      <c r="P1625" s="13" t="n">
        <v>0</v>
      </c>
      <c r="Q1625" s="13" t="n">
        <v>4</v>
      </c>
      <c r="R1625" s="13" t="s">
        <v>128</v>
      </c>
      <c r="S1625" s="13" t="s">
        <v>87</v>
      </c>
      <c r="T1625" s="13" t="n">
        <v>1</v>
      </c>
      <c r="U1625" s="13" t="n">
        <f aca="false">IF(B1625="Individual",1,0)</f>
        <v>1</v>
      </c>
      <c r="V1625" s="13" t="n">
        <f aca="false">IF(B1625="Company",1,0)</f>
        <v>0</v>
      </c>
      <c r="W1625" s="13" t="n">
        <f aca="false">IF(H1625="Home",1,0)</f>
        <v>0</v>
      </c>
      <c r="X1625" s="13" t="n">
        <f aca="false">IF(H1625="Investment",1,0)</f>
        <v>1</v>
      </c>
      <c r="Y1625" s="13" t="n">
        <f aca="false">IF(K1625="Website",1,0)</f>
        <v>0</v>
      </c>
      <c r="Z1625" s="13" t="n">
        <f aca="false">IF(K1625="Agency",1,0)</f>
        <v>1</v>
      </c>
      <c r="AA1625" s="13" t="n">
        <f aca="false">IF(K1625="Client",1,0)</f>
        <v>0</v>
      </c>
      <c r="AB1625" s="13" t="n">
        <f aca="false">(D1625-AVERAGE(D$2:D$2001))/STDEV(D$2:D$2001)</f>
        <v>0.222750065550728</v>
      </c>
      <c r="AC1625" s="13" t="n">
        <f aca="false">(I1625-AVERAGE(I$2:I$2001))/STDEV(I$2:I$2001)</f>
        <v>-0.0205155458339628</v>
      </c>
      <c r="AD1625" s="13" t="n">
        <f aca="false">(L1625-AVERAGE(L$2:L$2001))/STDEV(L$2:L$2001)</f>
        <v>0.413838214490712</v>
      </c>
      <c r="AE1625" s="13" t="n">
        <f aca="false">(M1625-AVERAGE(M$2:M$2001))/STDEV(M$2:M$2001)</f>
        <v>-0.216723992570903</v>
      </c>
      <c r="AF1625" s="13" t="n">
        <f aca="false">(N1625-AVERAGE(N$2:N$2001))/STDEV(N$2:N$2001)</f>
        <v>-0.72921069826275</v>
      </c>
      <c r="AG1625" s="13" t="n">
        <f aca="false">(O1625-AVERAGE(O$2:O$2001))/STDEV(O$2:O$2001)</f>
        <v>-0.711578424742686</v>
      </c>
      <c r="AH1625" s="0" t="str">
        <f aca="false">IF(B1625="Company","C3 - Corporate Buyers",IF(AND(H1625="Investment",M1625&gt;'Segmentation Summary'!$C$1),"C1 - Global Investors",IF(AND(I1625&gt;=4,M1625&gt;'Segmentation Summary'!$C$1),"C4 - Luxury Investors",IF(AND(D1625&lt;'Segmentation Summary'!$C$2,J1625=1),"C2 - First-Time Buyers","C5 - Other Individual Buyers"))))</f>
        <v>C5 - Other Individual Buyers</v>
      </c>
    </row>
    <row r="1626" customFormat="false" ht="15" hidden="false" customHeight="true" outlineLevel="0" collapsed="false">
      <c r="A1626" s="13" t="s">
        <v>3247</v>
      </c>
      <c r="B1626" s="13" t="s">
        <v>34</v>
      </c>
      <c r="C1626" s="13" t="s">
        <v>3248</v>
      </c>
      <c r="D1626" s="13" t="n">
        <v>26</v>
      </c>
      <c r="E1626" s="13" t="s">
        <v>90</v>
      </c>
      <c r="F1626" s="13" t="s">
        <v>44</v>
      </c>
      <c r="G1626" s="13" t="s">
        <v>318</v>
      </c>
      <c r="H1626" s="13" t="s">
        <v>41</v>
      </c>
      <c r="I1626" s="13" t="n">
        <v>1</v>
      </c>
      <c r="J1626" s="13" t="n">
        <v>1</v>
      </c>
      <c r="K1626" s="13" t="s">
        <v>116</v>
      </c>
      <c r="L1626" s="13" t="n">
        <v>4</v>
      </c>
      <c r="M1626" s="13" t="n">
        <v>1658301.92</v>
      </c>
      <c r="N1626" s="13" t="n">
        <v>414575.48</v>
      </c>
      <c r="O1626" s="13" t="n">
        <v>1290.8</v>
      </c>
      <c r="P1626" s="13" t="n">
        <v>0</v>
      </c>
      <c r="Q1626" s="13" t="n">
        <v>4</v>
      </c>
      <c r="R1626" s="13" t="s">
        <v>117</v>
      </c>
      <c r="S1626" s="13" t="s">
        <v>141</v>
      </c>
      <c r="T1626" s="13" t="n">
        <v>1</v>
      </c>
      <c r="U1626" s="13" t="n">
        <f aca="false">IF(B1626="Individual",1,0)</f>
        <v>1</v>
      </c>
      <c r="V1626" s="13" t="n">
        <f aca="false">IF(B1626="Company",1,0)</f>
        <v>0</v>
      </c>
      <c r="W1626" s="13" t="n">
        <f aca="false">IF(H1626="Home",1,0)</f>
        <v>1</v>
      </c>
      <c r="X1626" s="13" t="n">
        <f aca="false">IF(H1626="Investment",1,0)</f>
        <v>0</v>
      </c>
      <c r="Y1626" s="13" t="n">
        <f aca="false">IF(K1626="Website",1,0)</f>
        <v>0</v>
      </c>
      <c r="Z1626" s="13" t="n">
        <f aca="false">IF(K1626="Agency",1,0)</f>
        <v>0</v>
      </c>
      <c r="AA1626" s="13" t="n">
        <f aca="false">IF(K1626="Client",1,0)</f>
        <v>1</v>
      </c>
      <c r="AB1626" s="13" t="n">
        <f aca="false">(D1626-AVERAGE(D$2:D$2001))/STDEV(D$2:D$2001)</f>
        <v>-1.62244851007011</v>
      </c>
      <c r="AC1626" s="13" t="n">
        <f aca="false">(I1626-AVERAGE(I$2:I$2001))/STDEV(I$2:I$2001)</f>
        <v>-1.43538077576244</v>
      </c>
      <c r="AD1626" s="13" t="n">
        <f aca="false">(L1626-AVERAGE(L$2:L$2001))/STDEV(L$2:L$2001)</f>
        <v>0.413838214490712</v>
      </c>
      <c r="AE1626" s="13" t="n">
        <f aca="false">(M1626-AVERAGE(M$2:M$2001))/STDEV(M$2:M$2001)</f>
        <v>1.14402345686624</v>
      </c>
      <c r="AF1626" s="13" t="n">
        <f aca="false">(N1626-AVERAGE(N$2:N$2001))/STDEV(N$2:N$2001)</f>
        <v>0.967925426718123</v>
      </c>
      <c r="AG1626" s="13" t="n">
        <f aca="false">(O1626-AVERAGE(O$2:O$2001))/STDEV(O$2:O$2001)</f>
        <v>0.651685367959847</v>
      </c>
      <c r="AH1626" s="0" t="str">
        <f aca="false">IF(B1626="Company","C3 - Corporate Buyers",IF(AND(H1626="Investment",M1626&gt;'Segmentation Summary'!$C$1),"C1 - Global Investors",IF(AND(I1626&gt;=4,M1626&gt;'Segmentation Summary'!$C$1),"C4 - Luxury Investors",IF(AND(D1626&lt;'Segmentation Summary'!$C$2,J1626=1),"C2 - First-Time Buyers","C5 - Other Individual Buyers"))))</f>
        <v>C2 - First-Time Buyers</v>
      </c>
    </row>
    <row r="1627" customFormat="false" ht="15" hidden="false" customHeight="true" outlineLevel="0" collapsed="false">
      <c r="A1627" s="13" t="s">
        <v>3249</v>
      </c>
      <c r="B1627" s="13" t="s">
        <v>34</v>
      </c>
      <c r="C1627" s="13" t="s">
        <v>3250</v>
      </c>
      <c r="D1627" s="13" t="n">
        <v>75</v>
      </c>
      <c r="E1627" s="13" t="s">
        <v>90</v>
      </c>
      <c r="F1627" s="13" t="s">
        <v>33</v>
      </c>
      <c r="G1627" s="13" t="s">
        <v>84</v>
      </c>
      <c r="H1627" s="13" t="s">
        <v>43</v>
      </c>
      <c r="I1627" s="13" t="n">
        <v>4</v>
      </c>
      <c r="J1627" s="13" t="n">
        <v>1</v>
      </c>
      <c r="K1627" s="13" t="s">
        <v>85</v>
      </c>
      <c r="L1627" s="13" t="n">
        <v>4</v>
      </c>
      <c r="M1627" s="13" t="n">
        <v>1155778.2</v>
      </c>
      <c r="N1627" s="13" t="n">
        <v>288944.55</v>
      </c>
      <c r="O1627" s="13" t="n">
        <v>947.7475</v>
      </c>
      <c r="P1627" s="13" t="n">
        <v>0</v>
      </c>
      <c r="Q1627" s="13" t="n">
        <v>4</v>
      </c>
      <c r="R1627" s="13" t="s">
        <v>117</v>
      </c>
      <c r="S1627" s="13" t="s">
        <v>164</v>
      </c>
      <c r="T1627" s="13" t="n">
        <v>1</v>
      </c>
      <c r="U1627" s="13" t="n">
        <f aca="false">IF(B1627="Individual",1,0)</f>
        <v>1</v>
      </c>
      <c r="V1627" s="13" t="n">
        <f aca="false">IF(B1627="Company",1,0)</f>
        <v>0</v>
      </c>
      <c r="W1627" s="13" t="n">
        <f aca="false">IF(H1627="Home",1,0)</f>
        <v>0</v>
      </c>
      <c r="X1627" s="13" t="n">
        <f aca="false">IF(H1627="Investment",1,0)</f>
        <v>1</v>
      </c>
      <c r="Y1627" s="13" t="n">
        <f aca="false">IF(K1627="Website",1,0)</f>
        <v>1</v>
      </c>
      <c r="Z1627" s="13" t="n">
        <f aca="false">IF(K1627="Agency",1,0)</f>
        <v>0</v>
      </c>
      <c r="AA1627" s="13" t="n">
        <f aca="false">IF(K1627="Client",1,0)</f>
        <v>0</v>
      </c>
      <c r="AB1627" s="13" t="n">
        <f aca="false">(D1627-AVERAGE(D$2:D$2001))/STDEV(D$2:D$2001)</f>
        <v>1.2030118088493</v>
      </c>
      <c r="AC1627" s="13" t="n">
        <f aca="false">(I1627-AVERAGE(I$2:I$2001))/STDEV(I$2:I$2001)</f>
        <v>0.686917069130275</v>
      </c>
      <c r="AD1627" s="13" t="n">
        <f aca="false">(L1627-AVERAGE(L$2:L$2001))/STDEV(L$2:L$2001)</f>
        <v>0.413838214490712</v>
      </c>
      <c r="AE1627" s="13" t="n">
        <f aca="false">(M1627-AVERAGE(M$2:M$2001))/STDEV(M$2:M$2001)</f>
        <v>-0.300713223406807</v>
      </c>
      <c r="AF1627" s="13" t="n">
        <f aca="false">(N1627-AVERAGE(N$2:N$2001))/STDEV(N$2:N$2001)</f>
        <v>-0.833962801836363</v>
      </c>
      <c r="AG1627" s="13" t="n">
        <f aca="false">(O1627-AVERAGE(O$2:O$2001))/STDEV(O$2:O$2001)</f>
        <v>-0.908193063546797</v>
      </c>
      <c r="AH1627" s="0" t="str">
        <f aca="false">IF(B1627="Company","C3 - Corporate Buyers",IF(AND(H1627="Investment",M1627&gt;'Segmentation Summary'!$C$1),"C1 - Global Investors",IF(AND(I1627&gt;=4,M1627&gt;'Segmentation Summary'!$C$1),"C4 - Luxury Investors",IF(AND(D1627&lt;'Segmentation Summary'!$C$2,J1627=1),"C2 - First-Time Buyers","C5 - Other Individual Buyers"))))</f>
        <v>C5 - Other Individual Buyers</v>
      </c>
    </row>
    <row r="1628" customFormat="false" ht="15" hidden="false" customHeight="true" outlineLevel="0" collapsed="false">
      <c r="A1628" s="13" t="s">
        <v>3251</v>
      </c>
      <c r="B1628" s="13" t="s">
        <v>34</v>
      </c>
      <c r="C1628" s="13" t="s">
        <v>3252</v>
      </c>
      <c r="D1628" s="13" t="n">
        <v>72</v>
      </c>
      <c r="E1628" s="13" t="s">
        <v>90</v>
      </c>
      <c r="F1628" s="13" t="s">
        <v>33</v>
      </c>
      <c r="G1628" s="13" t="s">
        <v>95</v>
      </c>
      <c r="H1628" s="13" t="s">
        <v>41</v>
      </c>
      <c r="I1628" s="13" t="n">
        <v>3</v>
      </c>
      <c r="J1628" s="13" t="n">
        <v>0</v>
      </c>
      <c r="K1628" s="13" t="s">
        <v>85</v>
      </c>
      <c r="L1628" s="13" t="n">
        <v>5</v>
      </c>
      <c r="M1628" s="13" t="n">
        <v>1559561.53</v>
      </c>
      <c r="N1628" s="13" t="n">
        <v>311912.306</v>
      </c>
      <c r="O1628" s="13" t="n">
        <v>1041.722</v>
      </c>
      <c r="P1628" s="13" t="n">
        <v>1</v>
      </c>
      <c r="Q1628" s="13" t="n">
        <v>4</v>
      </c>
      <c r="R1628" s="13" t="s">
        <v>92</v>
      </c>
      <c r="S1628" s="13" t="s">
        <v>152</v>
      </c>
      <c r="T1628" s="13" t="n">
        <v>1</v>
      </c>
      <c r="U1628" s="13" t="n">
        <f aca="false">IF(B1628="Individual",1,0)</f>
        <v>1</v>
      </c>
      <c r="V1628" s="13" t="n">
        <f aca="false">IF(B1628="Company",1,0)</f>
        <v>0</v>
      </c>
      <c r="W1628" s="13" t="n">
        <f aca="false">IF(H1628="Home",1,0)</f>
        <v>1</v>
      </c>
      <c r="X1628" s="13" t="n">
        <f aca="false">IF(H1628="Investment",1,0)</f>
        <v>0</v>
      </c>
      <c r="Y1628" s="13" t="n">
        <f aca="false">IF(K1628="Website",1,0)</f>
        <v>1</v>
      </c>
      <c r="Z1628" s="13" t="n">
        <f aca="false">IF(K1628="Agency",1,0)</f>
        <v>0</v>
      </c>
      <c r="AA1628" s="13" t="n">
        <f aca="false">IF(K1628="Client",1,0)</f>
        <v>0</v>
      </c>
      <c r="AB1628" s="13" t="n">
        <f aca="false">(D1628-AVERAGE(D$2:D$2001))/STDEV(D$2:D$2001)</f>
        <v>1.03002444238485</v>
      </c>
      <c r="AC1628" s="13" t="n">
        <f aca="false">(I1628-AVERAGE(I$2:I$2001))/STDEV(I$2:I$2001)</f>
        <v>-0.0205155458339628</v>
      </c>
      <c r="AD1628" s="13" t="n">
        <f aca="false">(L1628-AVERAGE(L$2:L$2001))/STDEV(L$2:L$2001)</f>
        <v>1.60473955115463</v>
      </c>
      <c r="AE1628" s="13" t="n">
        <f aca="false">(M1628-AVERAGE(M$2:M$2001))/STDEV(M$2:M$2001)</f>
        <v>0.860148571801178</v>
      </c>
      <c r="AF1628" s="13" t="n">
        <f aca="false">(N1628-AVERAGE(N$2:N$2001))/STDEV(N$2:N$2001)</f>
        <v>-0.504542895665871</v>
      </c>
      <c r="AG1628" s="13" t="n">
        <f aca="false">(O1628-AVERAGE(O$2:O$2001))/STDEV(O$2:O$2001)</f>
        <v>-0.480885885602834</v>
      </c>
      <c r="AH1628" s="0" t="str">
        <f aca="false">IF(B1628="Company","C3 - Corporate Buyers",IF(AND(H1628="Investment",M1628&gt;'Segmentation Summary'!$C$1),"C1 - Global Investors",IF(AND(I1628&gt;=4,M1628&gt;'Segmentation Summary'!$C$1),"C4 - Luxury Investors",IF(AND(D1628&lt;'Segmentation Summary'!$C$2,J1628=1),"C2 - First-Time Buyers","C5 - Other Individual Buyers"))))</f>
        <v>C5 - Other Individual Buyers</v>
      </c>
    </row>
    <row r="1629" customFormat="false" ht="15" hidden="false" customHeight="true" outlineLevel="0" collapsed="false">
      <c r="A1629" s="13" t="s">
        <v>3253</v>
      </c>
      <c r="B1629" s="13" t="s">
        <v>34</v>
      </c>
      <c r="C1629" s="13" t="s">
        <v>3254</v>
      </c>
      <c r="D1629" s="13" t="n">
        <v>80</v>
      </c>
      <c r="E1629" s="13" t="s">
        <v>90</v>
      </c>
      <c r="F1629" s="13" t="s">
        <v>33</v>
      </c>
      <c r="G1629" s="13" t="s">
        <v>120</v>
      </c>
      <c r="H1629" s="13" t="s">
        <v>41</v>
      </c>
      <c r="I1629" s="13" t="n">
        <v>5</v>
      </c>
      <c r="J1629" s="13" t="n">
        <v>1</v>
      </c>
      <c r="K1629" s="13" t="s">
        <v>85</v>
      </c>
      <c r="L1629" s="13" t="n">
        <v>3</v>
      </c>
      <c r="M1629" s="13" t="n">
        <v>942245.37</v>
      </c>
      <c r="N1629" s="13" t="n">
        <v>314081.79</v>
      </c>
      <c r="O1629" s="13" t="n">
        <v>1104.51</v>
      </c>
      <c r="P1629" s="13" t="n">
        <v>0</v>
      </c>
      <c r="Q1629" s="13" t="n">
        <v>3</v>
      </c>
      <c r="R1629" s="13" t="s">
        <v>92</v>
      </c>
      <c r="S1629" s="13" t="s">
        <v>114</v>
      </c>
      <c r="T1629" s="13" t="n">
        <v>1</v>
      </c>
      <c r="U1629" s="13" t="n">
        <f aca="false">IF(B1629="Individual",1,0)</f>
        <v>1</v>
      </c>
      <c r="V1629" s="13" t="n">
        <f aca="false">IF(B1629="Company",1,0)</f>
        <v>0</v>
      </c>
      <c r="W1629" s="13" t="n">
        <f aca="false">IF(H1629="Home",1,0)</f>
        <v>1</v>
      </c>
      <c r="X1629" s="13" t="n">
        <f aca="false">IF(H1629="Investment",1,0)</f>
        <v>0</v>
      </c>
      <c r="Y1629" s="13" t="n">
        <f aca="false">IF(K1629="Website",1,0)</f>
        <v>1</v>
      </c>
      <c r="Z1629" s="13" t="n">
        <f aca="false">IF(K1629="Agency",1,0)</f>
        <v>0</v>
      </c>
      <c r="AA1629" s="13" t="n">
        <f aca="false">IF(K1629="Client",1,0)</f>
        <v>0</v>
      </c>
      <c r="AB1629" s="13" t="n">
        <f aca="false">(D1629-AVERAGE(D$2:D$2001))/STDEV(D$2:D$2001)</f>
        <v>1.49132408629005</v>
      </c>
      <c r="AC1629" s="13" t="n">
        <f aca="false">(I1629-AVERAGE(I$2:I$2001))/STDEV(I$2:I$2001)</f>
        <v>1.39434968409451</v>
      </c>
      <c r="AD1629" s="13" t="n">
        <f aca="false">(L1629-AVERAGE(L$2:L$2001))/STDEV(L$2:L$2001)</f>
        <v>-0.777063122173208</v>
      </c>
      <c r="AE1629" s="13" t="n">
        <f aca="false">(M1629-AVERAGE(M$2:M$2001))/STDEV(M$2:M$2001)</f>
        <v>-0.914612029901967</v>
      </c>
      <c r="AF1629" s="13" t="n">
        <f aca="false">(N1629-AVERAGE(N$2:N$2001))/STDEV(N$2:N$2001)</f>
        <v>-0.473426611788666</v>
      </c>
      <c r="AG1629" s="13" t="n">
        <f aca="false">(O1629-AVERAGE(O$2:O$2001))/STDEV(O$2:O$2001)</f>
        <v>-0.195385424427244</v>
      </c>
      <c r="AH1629" s="0" t="str">
        <f aca="false">IF(B1629="Company","C3 - Corporate Buyers",IF(AND(H1629="Investment",M1629&gt;'Segmentation Summary'!$C$1),"C1 - Global Investors",IF(AND(I1629&gt;=4,M1629&gt;'Segmentation Summary'!$C$1),"C4 - Luxury Investors",IF(AND(D1629&lt;'Segmentation Summary'!$C$2,J1629=1),"C2 - First-Time Buyers","C5 - Other Individual Buyers"))))</f>
        <v>C5 - Other Individual Buyers</v>
      </c>
    </row>
    <row r="1630" customFormat="false" ht="15" hidden="false" customHeight="true" outlineLevel="0" collapsed="false">
      <c r="A1630" s="13" t="s">
        <v>3255</v>
      </c>
      <c r="B1630" s="13" t="s">
        <v>34</v>
      </c>
      <c r="C1630" s="13" t="s">
        <v>3256</v>
      </c>
      <c r="D1630" s="13" t="n">
        <v>68</v>
      </c>
      <c r="E1630" s="13" t="s">
        <v>90</v>
      </c>
      <c r="F1630" s="13" t="s">
        <v>33</v>
      </c>
      <c r="G1630" s="13" t="s">
        <v>145</v>
      </c>
      <c r="H1630" s="13" t="s">
        <v>41</v>
      </c>
      <c r="I1630" s="13" t="n">
        <v>5</v>
      </c>
      <c r="J1630" s="13" t="n">
        <v>0</v>
      </c>
      <c r="K1630" s="13" t="s">
        <v>85</v>
      </c>
      <c r="L1630" s="13" t="n">
        <v>4</v>
      </c>
      <c r="M1630" s="13" t="n">
        <v>1332152.57</v>
      </c>
      <c r="N1630" s="13" t="n">
        <v>333038.1425</v>
      </c>
      <c r="O1630" s="13" t="n">
        <v>1096.3725</v>
      </c>
      <c r="P1630" s="13" t="n">
        <v>0</v>
      </c>
      <c r="Q1630" s="13" t="n">
        <v>4</v>
      </c>
      <c r="R1630" s="13" t="s">
        <v>117</v>
      </c>
      <c r="S1630" s="13" t="s">
        <v>154</v>
      </c>
      <c r="T1630" s="13" t="n">
        <v>1</v>
      </c>
      <c r="U1630" s="13" t="n">
        <f aca="false">IF(B1630="Individual",1,0)</f>
        <v>1</v>
      </c>
      <c r="V1630" s="13" t="n">
        <f aca="false">IF(B1630="Company",1,0)</f>
        <v>0</v>
      </c>
      <c r="W1630" s="13" t="n">
        <f aca="false">IF(H1630="Home",1,0)</f>
        <v>1</v>
      </c>
      <c r="X1630" s="13" t="n">
        <f aca="false">IF(H1630="Investment",1,0)</f>
        <v>0</v>
      </c>
      <c r="Y1630" s="13" t="n">
        <f aca="false">IF(K1630="Website",1,0)</f>
        <v>1</v>
      </c>
      <c r="Z1630" s="13" t="n">
        <f aca="false">IF(K1630="Agency",1,0)</f>
        <v>0</v>
      </c>
      <c r="AA1630" s="13" t="n">
        <f aca="false">IF(K1630="Client",1,0)</f>
        <v>0</v>
      </c>
      <c r="AB1630" s="13" t="n">
        <f aca="false">(D1630-AVERAGE(D$2:D$2001))/STDEV(D$2:D$2001)</f>
        <v>0.79937462043224</v>
      </c>
      <c r="AC1630" s="13" t="n">
        <f aca="false">(I1630-AVERAGE(I$2:I$2001))/STDEV(I$2:I$2001)</f>
        <v>1.39434968409451</v>
      </c>
      <c r="AD1630" s="13" t="n">
        <f aca="false">(L1630-AVERAGE(L$2:L$2001))/STDEV(L$2:L$2001)</f>
        <v>0.413838214490712</v>
      </c>
      <c r="AE1630" s="13" t="n">
        <f aca="false">(M1630-AVERAGE(M$2:M$2001))/STDEV(M$2:M$2001)</f>
        <v>0.206356416607499</v>
      </c>
      <c r="AF1630" s="13" t="n">
        <f aca="false">(N1630-AVERAGE(N$2:N$2001))/STDEV(N$2:N$2001)</f>
        <v>-0.20154111013649</v>
      </c>
      <c r="AG1630" s="13" t="n">
        <f aca="false">(O1630-AVERAGE(O$2:O$2001))/STDEV(O$2:O$2001)</f>
        <v>-0.232387080839558</v>
      </c>
      <c r="AH1630" s="0" t="str">
        <f aca="false">IF(B1630="Company","C3 - Corporate Buyers",IF(AND(H1630="Investment",M1630&gt;'Segmentation Summary'!$C$1),"C1 - Global Investors",IF(AND(I1630&gt;=4,M1630&gt;'Segmentation Summary'!$C$1),"C4 - Luxury Investors",IF(AND(D1630&lt;'Segmentation Summary'!$C$2,J1630=1),"C2 - First-Time Buyers","C5 - Other Individual Buyers"))))</f>
        <v>C4 - Luxury Investors</v>
      </c>
    </row>
    <row r="1631" customFormat="false" ht="15" hidden="false" customHeight="true" outlineLevel="0" collapsed="false">
      <c r="A1631" s="13" t="s">
        <v>3257</v>
      </c>
      <c r="B1631" s="13" t="s">
        <v>34</v>
      </c>
      <c r="C1631" s="13" t="s">
        <v>3258</v>
      </c>
      <c r="D1631" s="13" t="n">
        <v>26</v>
      </c>
      <c r="E1631" s="13" t="s">
        <v>90</v>
      </c>
      <c r="F1631" s="13" t="s">
        <v>35</v>
      </c>
      <c r="G1631" s="13" t="s">
        <v>374</v>
      </c>
      <c r="H1631" s="13" t="s">
        <v>43</v>
      </c>
      <c r="I1631" s="13" t="n">
        <v>4</v>
      </c>
      <c r="J1631" s="13" t="n">
        <v>0</v>
      </c>
      <c r="K1631" s="13" t="s">
        <v>116</v>
      </c>
      <c r="L1631" s="13" t="n">
        <v>4</v>
      </c>
      <c r="M1631" s="13" t="n">
        <v>1185889.79</v>
      </c>
      <c r="N1631" s="13" t="n">
        <v>296472.4475</v>
      </c>
      <c r="O1631" s="13" t="n">
        <v>1210.7375</v>
      </c>
      <c r="P1631" s="13" t="n">
        <v>1</v>
      </c>
      <c r="Q1631" s="13" t="n">
        <v>3</v>
      </c>
      <c r="R1631" s="13" t="s">
        <v>92</v>
      </c>
      <c r="S1631" s="13" t="s">
        <v>150</v>
      </c>
      <c r="T1631" s="13" t="n">
        <v>1</v>
      </c>
      <c r="U1631" s="13" t="n">
        <f aca="false">IF(B1631="Individual",1,0)</f>
        <v>1</v>
      </c>
      <c r="V1631" s="13" t="n">
        <f aca="false">IF(B1631="Company",1,0)</f>
        <v>0</v>
      </c>
      <c r="W1631" s="13" t="n">
        <f aca="false">IF(H1631="Home",1,0)</f>
        <v>0</v>
      </c>
      <c r="X1631" s="13" t="n">
        <f aca="false">IF(H1631="Investment",1,0)</f>
        <v>1</v>
      </c>
      <c r="Y1631" s="13" t="n">
        <f aca="false">IF(K1631="Website",1,0)</f>
        <v>0</v>
      </c>
      <c r="Z1631" s="13" t="n">
        <f aca="false">IF(K1631="Agency",1,0)</f>
        <v>0</v>
      </c>
      <c r="AA1631" s="13" t="n">
        <f aca="false">IF(K1631="Client",1,0)</f>
        <v>1</v>
      </c>
      <c r="AB1631" s="13" t="n">
        <f aca="false">(D1631-AVERAGE(D$2:D$2001))/STDEV(D$2:D$2001)</f>
        <v>-1.62244851007011</v>
      </c>
      <c r="AC1631" s="13" t="n">
        <f aca="false">(I1631-AVERAGE(I$2:I$2001))/STDEV(I$2:I$2001)</f>
        <v>0.686917069130275</v>
      </c>
      <c r="AD1631" s="13" t="n">
        <f aca="false">(L1631-AVERAGE(L$2:L$2001))/STDEV(L$2:L$2001)</f>
        <v>0.413838214490712</v>
      </c>
      <c r="AE1631" s="13" t="n">
        <f aca="false">(M1631-AVERAGE(M$2:M$2001))/STDEV(M$2:M$2001)</f>
        <v>-0.214143541533197</v>
      </c>
      <c r="AF1631" s="13" t="n">
        <f aca="false">(N1631-AVERAGE(N$2:N$2001))/STDEV(N$2:N$2001)</f>
        <v>-0.725992337150519</v>
      </c>
      <c r="AG1631" s="13" t="n">
        <f aca="false">(O1631-AVERAGE(O$2:O$2001))/STDEV(O$2:O$2001)</f>
        <v>0.287636812935468</v>
      </c>
      <c r="AH1631" s="0" t="str">
        <f aca="false">IF(B1631="Company","C3 - Corporate Buyers",IF(AND(H1631="Investment",M1631&gt;'Segmentation Summary'!$C$1),"C1 - Global Investors",IF(AND(I1631&gt;=4,M1631&gt;'Segmentation Summary'!$C$1),"C4 - Luxury Investors",IF(AND(D1631&lt;'Segmentation Summary'!$C$2,J1631=1),"C2 - First-Time Buyers","C5 - Other Individual Buyers"))))</f>
        <v>C5 - Other Individual Buyers</v>
      </c>
    </row>
    <row r="1632" customFormat="false" ht="15" hidden="false" customHeight="true" outlineLevel="0" collapsed="false">
      <c r="A1632" s="13" t="s">
        <v>3259</v>
      </c>
      <c r="B1632" s="13" t="s">
        <v>34</v>
      </c>
      <c r="C1632" s="13" t="s">
        <v>3260</v>
      </c>
      <c r="D1632" s="13" t="n">
        <v>81</v>
      </c>
      <c r="E1632" s="13" t="s">
        <v>90</v>
      </c>
      <c r="F1632" s="13" t="s">
        <v>33</v>
      </c>
      <c r="G1632" s="13" t="s">
        <v>265</v>
      </c>
      <c r="H1632" s="13" t="s">
        <v>41</v>
      </c>
      <c r="I1632" s="13" t="n">
        <v>3</v>
      </c>
      <c r="J1632" s="13" t="n">
        <v>1</v>
      </c>
      <c r="K1632" s="13" t="s">
        <v>85</v>
      </c>
      <c r="L1632" s="13" t="n">
        <v>3</v>
      </c>
      <c r="M1632" s="13" t="n">
        <v>1266058.76</v>
      </c>
      <c r="N1632" s="13" t="n">
        <v>422019.586666667</v>
      </c>
      <c r="O1632" s="13" t="n">
        <v>1445.08</v>
      </c>
      <c r="P1632" s="13" t="n">
        <v>2</v>
      </c>
      <c r="Q1632" s="13" t="n">
        <v>1</v>
      </c>
      <c r="R1632" s="13" t="s">
        <v>93</v>
      </c>
      <c r="S1632" s="13" t="s">
        <v>164</v>
      </c>
      <c r="T1632" s="13" t="n">
        <v>1</v>
      </c>
      <c r="U1632" s="13" t="n">
        <f aca="false">IF(B1632="Individual",1,0)</f>
        <v>1</v>
      </c>
      <c r="V1632" s="13" t="n">
        <f aca="false">IF(B1632="Company",1,0)</f>
        <v>0</v>
      </c>
      <c r="W1632" s="13" t="n">
        <f aca="false">IF(H1632="Home",1,0)</f>
        <v>1</v>
      </c>
      <c r="X1632" s="13" t="n">
        <f aca="false">IF(H1632="Investment",1,0)</f>
        <v>0</v>
      </c>
      <c r="Y1632" s="13" t="n">
        <f aca="false">IF(K1632="Website",1,0)</f>
        <v>1</v>
      </c>
      <c r="Z1632" s="13" t="n">
        <f aca="false">IF(K1632="Agency",1,0)</f>
        <v>0</v>
      </c>
      <c r="AA1632" s="13" t="n">
        <f aca="false">IF(K1632="Client",1,0)</f>
        <v>0</v>
      </c>
      <c r="AB1632" s="13" t="n">
        <f aca="false">(D1632-AVERAGE(D$2:D$2001))/STDEV(D$2:D$2001)</f>
        <v>1.54898654177821</v>
      </c>
      <c r="AC1632" s="13" t="n">
        <f aca="false">(I1632-AVERAGE(I$2:I$2001))/STDEV(I$2:I$2001)</f>
        <v>-0.0205155458339628</v>
      </c>
      <c r="AD1632" s="13" t="n">
        <f aca="false">(L1632-AVERAGE(L$2:L$2001))/STDEV(L$2:L$2001)</f>
        <v>-0.777063122173208</v>
      </c>
      <c r="AE1632" s="13" t="n">
        <f aca="false">(M1632-AVERAGE(M$2:M$2001))/STDEV(M$2:M$2001)</f>
        <v>0.0163392137459155</v>
      </c>
      <c r="AF1632" s="13" t="n">
        <f aca="false">(N1632-AVERAGE(N$2:N$2001))/STDEV(N$2:N$2001)</f>
        <v>1.07469410362572</v>
      </c>
      <c r="AG1632" s="13" t="n">
        <f aca="false">(O1632-AVERAGE(O$2:O$2001))/STDEV(O$2:O$2001)</f>
        <v>1.35320494415546</v>
      </c>
      <c r="AH1632" s="0" t="str">
        <f aca="false">IF(B1632="Company","C3 - Corporate Buyers",IF(AND(H1632="Investment",M1632&gt;'Segmentation Summary'!$C$1),"C1 - Global Investors",IF(AND(I1632&gt;=4,M1632&gt;'Segmentation Summary'!$C$1),"C4 - Luxury Investors",IF(AND(D1632&lt;'Segmentation Summary'!$C$2,J1632=1),"C2 - First-Time Buyers","C5 - Other Individual Buyers"))))</f>
        <v>C5 - Other Individual Buyers</v>
      </c>
    </row>
    <row r="1633" customFormat="false" ht="15" hidden="false" customHeight="true" outlineLevel="0" collapsed="false">
      <c r="A1633" s="13" t="s">
        <v>3261</v>
      </c>
      <c r="B1633" s="13" t="s">
        <v>34</v>
      </c>
      <c r="C1633" s="13" t="s">
        <v>3262</v>
      </c>
      <c r="D1633" s="13" t="n">
        <v>42</v>
      </c>
      <c r="E1633" s="13" t="s">
        <v>90</v>
      </c>
      <c r="F1633" s="13" t="s">
        <v>33</v>
      </c>
      <c r="G1633" s="13" t="s">
        <v>95</v>
      </c>
      <c r="H1633" s="13" t="s">
        <v>43</v>
      </c>
      <c r="I1633" s="13" t="n">
        <v>3</v>
      </c>
      <c r="J1633" s="13" t="n">
        <v>0</v>
      </c>
      <c r="K1633" s="13" t="s">
        <v>116</v>
      </c>
      <c r="L1633" s="13" t="n">
        <v>3</v>
      </c>
      <c r="M1633" s="13" t="n">
        <v>865359.73</v>
      </c>
      <c r="N1633" s="13" t="n">
        <v>288453.243333333</v>
      </c>
      <c r="O1633" s="13" t="n">
        <v>869.786666666667</v>
      </c>
      <c r="P1633" s="13" t="n">
        <v>0</v>
      </c>
      <c r="Q1633" s="13" t="n">
        <v>3</v>
      </c>
      <c r="R1633" s="13" t="s">
        <v>101</v>
      </c>
      <c r="S1633" s="13" t="s">
        <v>98</v>
      </c>
      <c r="T1633" s="13" t="n">
        <v>1</v>
      </c>
      <c r="U1633" s="13" t="n">
        <f aca="false">IF(B1633="Individual",1,0)</f>
        <v>1</v>
      </c>
      <c r="V1633" s="13" t="n">
        <f aca="false">IF(B1633="Company",1,0)</f>
        <v>0</v>
      </c>
      <c r="W1633" s="13" t="n">
        <f aca="false">IF(H1633="Home",1,0)</f>
        <v>0</v>
      </c>
      <c r="X1633" s="13" t="n">
        <f aca="false">IF(H1633="Investment",1,0)</f>
        <v>1</v>
      </c>
      <c r="Y1633" s="13" t="n">
        <f aca="false">IF(K1633="Website",1,0)</f>
        <v>0</v>
      </c>
      <c r="Z1633" s="13" t="n">
        <f aca="false">IF(K1633="Agency",1,0)</f>
        <v>0</v>
      </c>
      <c r="AA1633" s="13" t="n">
        <f aca="false">IF(K1633="Client",1,0)</f>
        <v>1</v>
      </c>
      <c r="AB1633" s="13" t="n">
        <f aca="false">(D1633-AVERAGE(D$2:D$2001))/STDEV(D$2:D$2001)</f>
        <v>-0.699849222259691</v>
      </c>
      <c r="AC1633" s="13" t="n">
        <f aca="false">(I1633-AVERAGE(I$2:I$2001))/STDEV(I$2:I$2001)</f>
        <v>-0.0205155458339628</v>
      </c>
      <c r="AD1633" s="13" t="n">
        <f aca="false">(L1633-AVERAGE(L$2:L$2001))/STDEV(L$2:L$2001)</f>
        <v>-0.777063122173208</v>
      </c>
      <c r="AE1633" s="13" t="n">
        <f aca="false">(M1633-AVERAGE(M$2:M$2001))/STDEV(M$2:M$2001)</f>
        <v>-1.13565533566725</v>
      </c>
      <c r="AF1633" s="13" t="n">
        <f aca="false">(N1633-AVERAGE(N$2:N$2001))/STDEV(N$2:N$2001)</f>
        <v>-0.84100947178681</v>
      </c>
      <c r="AG1633" s="13" t="n">
        <f aca="false">(O1633-AVERAGE(O$2:O$2001))/STDEV(O$2:O$2001)</f>
        <v>-1.26268522558891</v>
      </c>
      <c r="AH1633" s="0" t="str">
        <f aca="false">IF(B1633="Company","C3 - Corporate Buyers",IF(AND(H1633="Investment",M1633&gt;'Segmentation Summary'!$C$1),"C1 - Global Investors",IF(AND(I1633&gt;=4,M1633&gt;'Segmentation Summary'!$C$1),"C4 - Luxury Investors",IF(AND(D1633&lt;'Segmentation Summary'!$C$2,J1633=1),"C2 - First-Time Buyers","C5 - Other Individual Buyers"))))</f>
        <v>C5 - Other Individual Buyers</v>
      </c>
    </row>
    <row r="1634" customFormat="false" ht="15" hidden="false" customHeight="true" outlineLevel="0" collapsed="false">
      <c r="A1634" s="13" t="s">
        <v>3263</v>
      </c>
      <c r="B1634" s="13" t="s">
        <v>34</v>
      </c>
      <c r="C1634" s="13" t="s">
        <v>3264</v>
      </c>
      <c r="D1634" s="13" t="n">
        <v>60</v>
      </c>
      <c r="E1634" s="13" t="s">
        <v>90</v>
      </c>
      <c r="F1634" s="13" t="s">
        <v>33</v>
      </c>
      <c r="G1634" s="13" t="s">
        <v>120</v>
      </c>
      <c r="H1634" s="13" t="s">
        <v>41</v>
      </c>
      <c r="I1634" s="13" t="n">
        <v>3</v>
      </c>
      <c r="J1634" s="13" t="n">
        <v>0</v>
      </c>
      <c r="K1634" s="13" t="s">
        <v>85</v>
      </c>
      <c r="L1634" s="13" t="n">
        <v>3</v>
      </c>
      <c r="M1634" s="13" t="n">
        <v>803329.23</v>
      </c>
      <c r="N1634" s="13" t="n">
        <v>267776.41</v>
      </c>
      <c r="O1634" s="13" t="n">
        <v>1037.11</v>
      </c>
      <c r="P1634" s="13" t="n">
        <v>0</v>
      </c>
      <c r="Q1634" s="13" t="n">
        <v>3</v>
      </c>
      <c r="R1634" s="13" t="s">
        <v>92</v>
      </c>
      <c r="S1634" s="13" t="s">
        <v>215</v>
      </c>
      <c r="T1634" s="13" t="n">
        <v>1</v>
      </c>
      <c r="U1634" s="13" t="n">
        <f aca="false">IF(B1634="Individual",1,0)</f>
        <v>1</v>
      </c>
      <c r="V1634" s="13" t="n">
        <f aca="false">IF(B1634="Company",1,0)</f>
        <v>0</v>
      </c>
      <c r="W1634" s="13" t="n">
        <f aca="false">IF(H1634="Home",1,0)</f>
        <v>1</v>
      </c>
      <c r="X1634" s="13" t="n">
        <f aca="false">IF(H1634="Investment",1,0)</f>
        <v>0</v>
      </c>
      <c r="Y1634" s="13" t="n">
        <f aca="false">IF(K1634="Website",1,0)</f>
        <v>1</v>
      </c>
      <c r="Z1634" s="13" t="n">
        <f aca="false">IF(K1634="Agency",1,0)</f>
        <v>0</v>
      </c>
      <c r="AA1634" s="13" t="n">
        <f aca="false">IF(K1634="Client",1,0)</f>
        <v>0</v>
      </c>
      <c r="AB1634" s="13" t="n">
        <f aca="false">(D1634-AVERAGE(D$2:D$2001))/STDEV(D$2:D$2001)</f>
        <v>0.338074976527031</v>
      </c>
      <c r="AC1634" s="13" t="n">
        <f aca="false">(I1634-AVERAGE(I$2:I$2001))/STDEV(I$2:I$2001)</f>
        <v>-0.0205155458339628</v>
      </c>
      <c r="AD1634" s="13" t="n">
        <f aca="false">(L1634-AVERAGE(L$2:L$2001))/STDEV(L$2:L$2001)</f>
        <v>-0.777063122173208</v>
      </c>
      <c r="AE1634" s="13" t="n">
        <f aca="false">(M1634-AVERAGE(M$2:M$2001))/STDEV(M$2:M$2001)</f>
        <v>-1.31399067602825</v>
      </c>
      <c r="AF1634" s="13" t="n">
        <f aca="false">(N1634-AVERAGE(N$2:N$2001))/STDEV(N$2:N$2001)</f>
        <v>-1.13757133427653</v>
      </c>
      <c r="AG1634" s="13" t="n">
        <f aca="false">(O1634-AVERAGE(O$2:O$2001))/STDEV(O$2:O$2001)</f>
        <v>-0.50185690119406</v>
      </c>
      <c r="AH1634" s="0" t="str">
        <f aca="false">IF(B1634="Company","C3 - Corporate Buyers",IF(AND(H1634="Investment",M1634&gt;'Segmentation Summary'!$C$1),"C1 - Global Investors",IF(AND(I1634&gt;=4,M1634&gt;'Segmentation Summary'!$C$1),"C4 - Luxury Investors",IF(AND(D1634&lt;'Segmentation Summary'!$C$2,J1634=1),"C2 - First-Time Buyers","C5 - Other Individual Buyers"))))</f>
        <v>C5 - Other Individual Buyers</v>
      </c>
    </row>
    <row r="1635" customFormat="false" ht="15" hidden="false" customHeight="true" outlineLevel="0" collapsed="false">
      <c r="A1635" s="13" t="s">
        <v>3265</v>
      </c>
      <c r="B1635" s="13" t="s">
        <v>34</v>
      </c>
      <c r="C1635" s="13" t="s">
        <v>3266</v>
      </c>
      <c r="D1635" s="13" t="n">
        <v>31</v>
      </c>
      <c r="E1635" s="13" t="s">
        <v>90</v>
      </c>
      <c r="F1635" s="13" t="s">
        <v>33</v>
      </c>
      <c r="G1635" s="13" t="s">
        <v>162</v>
      </c>
      <c r="H1635" s="13" t="s">
        <v>41</v>
      </c>
      <c r="I1635" s="13" t="n">
        <v>5</v>
      </c>
      <c r="J1635" s="13" t="n">
        <v>0</v>
      </c>
      <c r="K1635" s="13" t="s">
        <v>91</v>
      </c>
      <c r="L1635" s="13" t="n">
        <v>3</v>
      </c>
      <c r="M1635" s="13" t="n">
        <v>920439.02</v>
      </c>
      <c r="N1635" s="13" t="n">
        <v>306813.006666667</v>
      </c>
      <c r="O1635" s="13" t="n">
        <v>1012.96</v>
      </c>
      <c r="P1635" s="13" t="n">
        <v>0</v>
      </c>
      <c r="Q1635" s="13" t="n">
        <v>3</v>
      </c>
      <c r="R1635" s="13" t="s">
        <v>111</v>
      </c>
      <c r="S1635" s="13" t="s">
        <v>125</v>
      </c>
      <c r="T1635" s="13" t="n">
        <v>1</v>
      </c>
      <c r="U1635" s="13" t="n">
        <f aca="false">IF(B1635="Individual",1,0)</f>
        <v>1</v>
      </c>
      <c r="V1635" s="13" t="n">
        <f aca="false">IF(B1635="Company",1,0)</f>
        <v>0</v>
      </c>
      <c r="W1635" s="13" t="n">
        <f aca="false">IF(H1635="Home",1,0)</f>
        <v>1</v>
      </c>
      <c r="X1635" s="13" t="n">
        <f aca="false">IF(H1635="Investment",1,0)</f>
        <v>0</v>
      </c>
      <c r="Y1635" s="13" t="n">
        <f aca="false">IF(K1635="Website",1,0)</f>
        <v>0</v>
      </c>
      <c r="Z1635" s="13" t="n">
        <f aca="false">IF(K1635="Agency",1,0)</f>
        <v>1</v>
      </c>
      <c r="AA1635" s="13" t="n">
        <f aca="false">IF(K1635="Client",1,0)</f>
        <v>0</v>
      </c>
      <c r="AB1635" s="13" t="n">
        <f aca="false">(D1635-AVERAGE(D$2:D$2001))/STDEV(D$2:D$2001)</f>
        <v>-1.33413623262935</v>
      </c>
      <c r="AC1635" s="13" t="n">
        <f aca="false">(I1635-AVERAGE(I$2:I$2001))/STDEV(I$2:I$2001)</f>
        <v>1.39434968409451</v>
      </c>
      <c r="AD1635" s="13" t="n">
        <f aca="false">(L1635-AVERAGE(L$2:L$2001))/STDEV(L$2:L$2001)</f>
        <v>-0.777063122173208</v>
      </c>
      <c r="AE1635" s="13" t="n">
        <f aca="false">(M1635-AVERAGE(M$2:M$2001))/STDEV(M$2:M$2001)</f>
        <v>-0.977304461033123</v>
      </c>
      <c r="AF1635" s="13" t="n">
        <f aca="false">(N1635-AVERAGE(N$2:N$2001))/STDEV(N$2:N$2001)</f>
        <v>-0.577680676645511</v>
      </c>
      <c r="AG1635" s="13" t="n">
        <f aca="false">(O1635-AVERAGE(O$2:O$2001))/STDEV(O$2:O$2001)</f>
        <v>-0.611668268611249</v>
      </c>
      <c r="AH1635" s="0" t="str">
        <f aca="false">IF(B1635="Company","C3 - Corporate Buyers",IF(AND(H1635="Investment",M1635&gt;'Segmentation Summary'!$C$1),"C1 - Global Investors",IF(AND(I1635&gt;=4,M1635&gt;'Segmentation Summary'!$C$1),"C4 - Luxury Investors",IF(AND(D1635&lt;'Segmentation Summary'!$C$2,J1635=1),"C2 - First-Time Buyers","C5 - Other Individual Buyers"))))</f>
        <v>C5 - Other Individual Buyers</v>
      </c>
    </row>
    <row r="1636" customFormat="false" ht="15" hidden="false" customHeight="true" outlineLevel="0" collapsed="false">
      <c r="A1636" s="13" t="s">
        <v>3267</v>
      </c>
      <c r="B1636" s="13" t="s">
        <v>34</v>
      </c>
      <c r="C1636" s="13" t="s">
        <v>3268</v>
      </c>
      <c r="D1636" s="13" t="n">
        <v>74</v>
      </c>
      <c r="E1636" s="13" t="s">
        <v>90</v>
      </c>
      <c r="F1636" s="13" t="s">
        <v>33</v>
      </c>
      <c r="G1636" s="13" t="s">
        <v>95</v>
      </c>
      <c r="H1636" s="13" t="s">
        <v>41</v>
      </c>
      <c r="I1636" s="13" t="n">
        <v>1</v>
      </c>
      <c r="J1636" s="13" t="n">
        <v>0</v>
      </c>
      <c r="K1636" s="13" t="s">
        <v>116</v>
      </c>
      <c r="L1636" s="13" t="n">
        <v>3</v>
      </c>
      <c r="M1636" s="13" t="n">
        <v>1068716.19</v>
      </c>
      <c r="N1636" s="13" t="n">
        <v>356238.73</v>
      </c>
      <c r="O1636" s="13" t="n">
        <v>1195.19666666667</v>
      </c>
      <c r="P1636" s="13" t="n">
        <v>1</v>
      </c>
      <c r="Q1636" s="13" t="n">
        <v>2</v>
      </c>
      <c r="R1636" s="13" t="s">
        <v>124</v>
      </c>
      <c r="S1636" s="13" t="s">
        <v>133</v>
      </c>
      <c r="T1636" s="13" t="n">
        <v>1</v>
      </c>
      <c r="U1636" s="13" t="n">
        <f aca="false">IF(B1636="Individual",1,0)</f>
        <v>1</v>
      </c>
      <c r="V1636" s="13" t="n">
        <f aca="false">IF(B1636="Company",1,0)</f>
        <v>0</v>
      </c>
      <c r="W1636" s="13" t="n">
        <f aca="false">IF(H1636="Home",1,0)</f>
        <v>1</v>
      </c>
      <c r="X1636" s="13" t="n">
        <f aca="false">IF(H1636="Investment",1,0)</f>
        <v>0</v>
      </c>
      <c r="Y1636" s="13" t="n">
        <f aca="false">IF(K1636="Website",1,0)</f>
        <v>0</v>
      </c>
      <c r="Z1636" s="13" t="n">
        <f aca="false">IF(K1636="Agency",1,0)</f>
        <v>0</v>
      </c>
      <c r="AA1636" s="13" t="n">
        <f aca="false">IF(K1636="Client",1,0)</f>
        <v>1</v>
      </c>
      <c r="AB1636" s="13" t="n">
        <f aca="false">(D1636-AVERAGE(D$2:D$2001))/STDEV(D$2:D$2001)</f>
        <v>1.14534935336115</v>
      </c>
      <c r="AC1636" s="13" t="n">
        <f aca="false">(I1636-AVERAGE(I$2:I$2001))/STDEV(I$2:I$2001)</f>
        <v>-1.43538077576244</v>
      </c>
      <c r="AD1636" s="13" t="n">
        <f aca="false">(L1636-AVERAGE(L$2:L$2001))/STDEV(L$2:L$2001)</f>
        <v>-0.777063122173208</v>
      </c>
      <c r="AE1636" s="13" t="n">
        <f aca="false">(M1636-AVERAGE(M$2:M$2001))/STDEV(M$2:M$2001)</f>
        <v>-0.551013207863856</v>
      </c>
      <c r="AF1636" s="13" t="n">
        <f aca="false">(N1636-AVERAGE(N$2:N$2001))/STDEV(N$2:N$2001)</f>
        <v>0.131218231148322</v>
      </c>
      <c r="AG1636" s="13" t="n">
        <f aca="false">(O1636-AVERAGE(O$2:O$2001))/STDEV(O$2:O$2001)</f>
        <v>0.216971795994035</v>
      </c>
      <c r="AH1636" s="0" t="str">
        <f aca="false">IF(B1636="Company","C3 - Corporate Buyers",IF(AND(H1636="Investment",M1636&gt;'Segmentation Summary'!$C$1),"C1 - Global Investors",IF(AND(I1636&gt;=4,M1636&gt;'Segmentation Summary'!$C$1),"C4 - Luxury Investors",IF(AND(D1636&lt;'Segmentation Summary'!$C$2,J1636=1),"C2 - First-Time Buyers","C5 - Other Individual Buyers"))))</f>
        <v>C5 - Other Individual Buyers</v>
      </c>
    </row>
    <row r="1637" customFormat="false" ht="15" hidden="false" customHeight="true" outlineLevel="0" collapsed="false">
      <c r="A1637" s="13" t="s">
        <v>3269</v>
      </c>
      <c r="B1637" s="13" t="s">
        <v>34</v>
      </c>
      <c r="C1637" s="13" t="s">
        <v>3270</v>
      </c>
      <c r="D1637" s="13" t="n">
        <v>40</v>
      </c>
      <c r="E1637" s="13" t="s">
        <v>90</v>
      </c>
      <c r="F1637" s="13" t="s">
        <v>33</v>
      </c>
      <c r="G1637" s="13" t="s">
        <v>106</v>
      </c>
      <c r="H1637" s="13" t="s">
        <v>43</v>
      </c>
      <c r="I1637" s="13" t="n">
        <v>4</v>
      </c>
      <c r="J1637" s="13" t="n">
        <v>0</v>
      </c>
      <c r="K1637" s="13" t="s">
        <v>85</v>
      </c>
      <c r="L1637" s="13" t="n">
        <v>4</v>
      </c>
      <c r="M1637" s="13" t="n">
        <v>1604885.52</v>
      </c>
      <c r="N1637" s="13" t="n">
        <v>401221.38</v>
      </c>
      <c r="O1637" s="13" t="n">
        <v>1350.2175</v>
      </c>
      <c r="P1637" s="13" t="n">
        <v>1</v>
      </c>
      <c r="Q1637" s="13" t="n">
        <v>3</v>
      </c>
      <c r="R1637" s="13" t="s">
        <v>92</v>
      </c>
      <c r="S1637" s="13" t="s">
        <v>124</v>
      </c>
      <c r="T1637" s="13" t="n">
        <v>1</v>
      </c>
      <c r="U1637" s="13" t="n">
        <f aca="false">IF(B1637="Individual",1,0)</f>
        <v>1</v>
      </c>
      <c r="V1637" s="13" t="n">
        <f aca="false">IF(B1637="Company",1,0)</f>
        <v>0</v>
      </c>
      <c r="W1637" s="13" t="n">
        <f aca="false">IF(H1637="Home",1,0)</f>
        <v>0</v>
      </c>
      <c r="X1637" s="13" t="n">
        <f aca="false">IF(H1637="Investment",1,0)</f>
        <v>1</v>
      </c>
      <c r="Y1637" s="13" t="n">
        <f aca="false">IF(K1637="Website",1,0)</f>
        <v>1</v>
      </c>
      <c r="Z1637" s="13" t="n">
        <f aca="false">IF(K1637="Agency",1,0)</f>
        <v>0</v>
      </c>
      <c r="AA1637" s="13" t="n">
        <f aca="false">IF(K1637="Client",1,0)</f>
        <v>0</v>
      </c>
      <c r="AB1637" s="13" t="n">
        <f aca="false">(D1637-AVERAGE(D$2:D$2001))/STDEV(D$2:D$2001)</f>
        <v>-0.815174133235994</v>
      </c>
      <c r="AC1637" s="13" t="n">
        <f aca="false">(I1637-AVERAGE(I$2:I$2001))/STDEV(I$2:I$2001)</f>
        <v>0.686917069130275</v>
      </c>
      <c r="AD1637" s="13" t="n">
        <f aca="false">(L1637-AVERAGE(L$2:L$2001))/STDEV(L$2:L$2001)</f>
        <v>0.413838214490712</v>
      </c>
      <c r="AE1637" s="13" t="n">
        <f aca="false">(M1637-AVERAGE(M$2:M$2001))/STDEV(M$2:M$2001)</f>
        <v>0.9904533280609</v>
      </c>
      <c r="AF1637" s="13" t="n">
        <f aca="false">(N1637-AVERAGE(N$2:N$2001))/STDEV(N$2:N$2001)</f>
        <v>0.776391418389605</v>
      </c>
      <c r="AG1637" s="13" t="n">
        <f aca="false">(O1637-AVERAGE(O$2:O$2001))/STDEV(O$2:O$2001)</f>
        <v>0.921859981769821</v>
      </c>
      <c r="AH1637" s="0" t="str">
        <f aca="false">IF(B1637="Company","C3 - Corporate Buyers",IF(AND(H1637="Investment",M1637&gt;'Segmentation Summary'!$C$1),"C1 - Global Investors",IF(AND(I1637&gt;=4,M1637&gt;'Segmentation Summary'!$C$1),"C4 - Luxury Investors",IF(AND(D1637&lt;'Segmentation Summary'!$C$2,J1637=1),"C2 - First-Time Buyers","C5 - Other Individual Buyers"))))</f>
        <v>C1 - Global Investors</v>
      </c>
    </row>
    <row r="1638" customFormat="false" ht="15" hidden="false" customHeight="true" outlineLevel="0" collapsed="false">
      <c r="A1638" s="13" t="s">
        <v>3271</v>
      </c>
      <c r="B1638" s="13" t="s">
        <v>34</v>
      </c>
      <c r="C1638" s="13" t="s">
        <v>3272</v>
      </c>
      <c r="D1638" s="13" t="n">
        <v>27</v>
      </c>
      <c r="E1638" s="13" t="s">
        <v>90</v>
      </c>
      <c r="F1638" s="13" t="s">
        <v>33</v>
      </c>
      <c r="G1638" s="13" t="s">
        <v>95</v>
      </c>
      <c r="H1638" s="13" t="s">
        <v>41</v>
      </c>
      <c r="I1638" s="13" t="n">
        <v>5</v>
      </c>
      <c r="J1638" s="13" t="n">
        <v>1</v>
      </c>
      <c r="K1638" s="13" t="s">
        <v>91</v>
      </c>
      <c r="L1638" s="13" t="n">
        <v>3</v>
      </c>
      <c r="M1638" s="13" t="n">
        <v>1194095.83</v>
      </c>
      <c r="N1638" s="13" t="n">
        <v>398031.943333333</v>
      </c>
      <c r="O1638" s="13" t="n">
        <v>1394.21</v>
      </c>
      <c r="P1638" s="13" t="n">
        <v>1</v>
      </c>
      <c r="Q1638" s="13" t="n">
        <v>2</v>
      </c>
      <c r="R1638" s="13" t="s">
        <v>121</v>
      </c>
      <c r="S1638" s="13" t="s">
        <v>87</v>
      </c>
      <c r="T1638" s="13" t="n">
        <v>1</v>
      </c>
      <c r="U1638" s="13" t="n">
        <f aca="false">IF(B1638="Individual",1,0)</f>
        <v>1</v>
      </c>
      <c r="V1638" s="13" t="n">
        <f aca="false">IF(B1638="Company",1,0)</f>
        <v>0</v>
      </c>
      <c r="W1638" s="13" t="n">
        <f aca="false">IF(H1638="Home",1,0)</f>
        <v>1</v>
      </c>
      <c r="X1638" s="13" t="n">
        <f aca="false">IF(H1638="Investment",1,0)</f>
        <v>0</v>
      </c>
      <c r="Y1638" s="13" t="n">
        <f aca="false">IF(K1638="Website",1,0)</f>
        <v>0</v>
      </c>
      <c r="Z1638" s="13" t="n">
        <f aca="false">IF(K1638="Agency",1,0)</f>
        <v>1</v>
      </c>
      <c r="AA1638" s="13" t="n">
        <f aca="false">IF(K1638="Client",1,0)</f>
        <v>0</v>
      </c>
      <c r="AB1638" s="13" t="n">
        <f aca="false">(D1638-AVERAGE(D$2:D$2001))/STDEV(D$2:D$2001)</f>
        <v>-1.56478605458196</v>
      </c>
      <c r="AC1638" s="13" t="n">
        <f aca="false">(I1638-AVERAGE(I$2:I$2001))/STDEV(I$2:I$2001)</f>
        <v>1.39434968409451</v>
      </c>
      <c r="AD1638" s="13" t="n">
        <f aca="false">(L1638-AVERAGE(L$2:L$2001))/STDEV(L$2:L$2001)</f>
        <v>-0.777063122173208</v>
      </c>
      <c r="AE1638" s="13" t="n">
        <f aca="false">(M1638-AVERAGE(M$2:M$2001))/STDEV(M$2:M$2001)</f>
        <v>-0.190551487037167</v>
      </c>
      <c r="AF1638" s="13" t="n">
        <f aca="false">(N1638-AVERAGE(N$2:N$2001))/STDEV(N$2:N$2001)</f>
        <v>0.730646247312806</v>
      </c>
      <c r="AG1638" s="13" t="n">
        <f aca="false">(O1638-AVERAGE(O$2:O$2001))/STDEV(O$2:O$2001)</f>
        <v>1.12189627912389</v>
      </c>
      <c r="AH1638" s="0" t="str">
        <f aca="false">IF(B1638="Company","C3 - Corporate Buyers",IF(AND(H1638="Investment",M1638&gt;'Segmentation Summary'!$C$1),"C1 - Global Investors",IF(AND(I1638&gt;=4,M1638&gt;'Segmentation Summary'!$C$1),"C4 - Luxury Investors",IF(AND(D1638&lt;'Segmentation Summary'!$C$2,J1638=1),"C2 - First-Time Buyers","C5 - Other Individual Buyers"))))</f>
        <v>C2 - First-Time Buyers</v>
      </c>
    </row>
    <row r="1639" customFormat="false" ht="15" hidden="false" customHeight="true" outlineLevel="0" collapsed="false">
      <c r="A1639" s="13" t="s">
        <v>3273</v>
      </c>
      <c r="B1639" s="13" t="s">
        <v>34</v>
      </c>
      <c r="C1639" s="13" t="s">
        <v>3274</v>
      </c>
      <c r="D1639" s="13" t="n">
        <v>51</v>
      </c>
      <c r="E1639" s="13" t="s">
        <v>90</v>
      </c>
      <c r="F1639" s="13" t="s">
        <v>38</v>
      </c>
      <c r="G1639" s="13" t="s">
        <v>339</v>
      </c>
      <c r="H1639" s="13" t="s">
        <v>41</v>
      </c>
      <c r="I1639" s="13" t="n">
        <v>3</v>
      </c>
      <c r="J1639" s="13" t="n">
        <v>1</v>
      </c>
      <c r="K1639" s="13" t="s">
        <v>85</v>
      </c>
      <c r="L1639" s="13" t="n">
        <v>4</v>
      </c>
      <c r="M1639" s="13" t="n">
        <v>1526007.82</v>
      </c>
      <c r="N1639" s="13" t="n">
        <v>381501.955</v>
      </c>
      <c r="O1639" s="13" t="n">
        <v>1190.4075</v>
      </c>
      <c r="P1639" s="13" t="n">
        <v>1</v>
      </c>
      <c r="Q1639" s="13" t="n">
        <v>3</v>
      </c>
      <c r="R1639" s="13" t="s">
        <v>121</v>
      </c>
      <c r="S1639" s="13" t="s">
        <v>87</v>
      </c>
      <c r="T1639" s="13" t="n">
        <v>1</v>
      </c>
      <c r="U1639" s="13" t="n">
        <f aca="false">IF(B1639="Individual",1,0)</f>
        <v>1</v>
      </c>
      <c r="V1639" s="13" t="n">
        <f aca="false">IF(B1639="Company",1,0)</f>
        <v>0</v>
      </c>
      <c r="W1639" s="13" t="n">
        <f aca="false">IF(H1639="Home",1,0)</f>
        <v>1</v>
      </c>
      <c r="X1639" s="13" t="n">
        <f aca="false">IF(H1639="Investment",1,0)</f>
        <v>0</v>
      </c>
      <c r="Y1639" s="13" t="n">
        <f aca="false">IF(K1639="Website",1,0)</f>
        <v>1</v>
      </c>
      <c r="Z1639" s="13" t="n">
        <f aca="false">IF(K1639="Agency",1,0)</f>
        <v>0</v>
      </c>
      <c r="AA1639" s="13" t="n">
        <f aca="false">IF(K1639="Client",1,0)</f>
        <v>0</v>
      </c>
      <c r="AB1639" s="13" t="n">
        <f aca="false">(D1639-AVERAGE(D$2:D$2001))/STDEV(D$2:D$2001)</f>
        <v>-0.18088712286633</v>
      </c>
      <c r="AC1639" s="13" t="n">
        <f aca="false">(I1639-AVERAGE(I$2:I$2001))/STDEV(I$2:I$2001)</f>
        <v>-0.0205155458339628</v>
      </c>
      <c r="AD1639" s="13" t="n">
        <f aca="false">(L1639-AVERAGE(L$2:L$2001))/STDEV(L$2:L$2001)</f>
        <v>0.413838214490712</v>
      </c>
      <c r="AE1639" s="13" t="n">
        <f aca="false">(M1639-AVERAGE(M$2:M$2001))/STDEV(M$2:M$2001)</f>
        <v>0.763682925172111</v>
      </c>
      <c r="AF1639" s="13" t="n">
        <f aca="false">(N1639-AVERAGE(N$2:N$2001))/STDEV(N$2:N$2001)</f>
        <v>0.49356138774856</v>
      </c>
      <c r="AG1639" s="13" t="n">
        <f aca="false">(O1639-AVERAGE(O$2:O$2001))/STDEV(O$2:O$2001)</f>
        <v>0.195195193904766</v>
      </c>
      <c r="AH1639" s="0" t="str">
        <f aca="false">IF(B1639="Company","C3 - Corporate Buyers",IF(AND(H1639="Investment",M1639&gt;'Segmentation Summary'!$C$1),"C1 - Global Investors",IF(AND(I1639&gt;=4,M1639&gt;'Segmentation Summary'!$C$1),"C4 - Luxury Investors",IF(AND(D1639&lt;'Segmentation Summary'!$C$2,J1639=1),"C2 - First-Time Buyers","C5 - Other Individual Buyers"))))</f>
        <v>C2 - First-Time Buyers</v>
      </c>
    </row>
    <row r="1640" customFormat="false" ht="15" hidden="false" customHeight="true" outlineLevel="0" collapsed="false">
      <c r="A1640" s="13" t="s">
        <v>3275</v>
      </c>
      <c r="B1640" s="13" t="s">
        <v>34</v>
      </c>
      <c r="C1640" s="13" t="s">
        <v>3276</v>
      </c>
      <c r="D1640" s="13" t="n">
        <v>70</v>
      </c>
      <c r="E1640" s="13" t="s">
        <v>83</v>
      </c>
      <c r="F1640" s="13" t="s">
        <v>33</v>
      </c>
      <c r="G1640" s="13" t="s">
        <v>95</v>
      </c>
      <c r="H1640" s="13" t="s">
        <v>41</v>
      </c>
      <c r="I1640" s="13" t="n">
        <v>4</v>
      </c>
      <c r="J1640" s="13" t="n">
        <v>0</v>
      </c>
      <c r="K1640" s="13" t="s">
        <v>91</v>
      </c>
      <c r="L1640" s="13" t="n">
        <v>5</v>
      </c>
      <c r="M1640" s="13" t="n">
        <v>1897739.74</v>
      </c>
      <c r="N1640" s="13" t="n">
        <v>379547.948</v>
      </c>
      <c r="O1640" s="13" t="n">
        <v>1206.354</v>
      </c>
      <c r="P1640" s="13" t="n">
        <v>0</v>
      </c>
      <c r="Q1640" s="13" t="n">
        <v>5</v>
      </c>
      <c r="R1640" s="13" t="s">
        <v>117</v>
      </c>
      <c r="S1640" s="13" t="s">
        <v>141</v>
      </c>
      <c r="T1640" s="13" t="n">
        <v>1</v>
      </c>
      <c r="U1640" s="13" t="n">
        <f aca="false">IF(B1640="Individual",1,0)</f>
        <v>1</v>
      </c>
      <c r="V1640" s="13" t="n">
        <f aca="false">IF(B1640="Company",1,0)</f>
        <v>0</v>
      </c>
      <c r="W1640" s="13" t="n">
        <f aca="false">IF(H1640="Home",1,0)</f>
        <v>1</v>
      </c>
      <c r="X1640" s="13" t="n">
        <f aca="false">IF(H1640="Investment",1,0)</f>
        <v>0</v>
      </c>
      <c r="Y1640" s="13" t="n">
        <f aca="false">IF(K1640="Website",1,0)</f>
        <v>0</v>
      </c>
      <c r="Z1640" s="13" t="n">
        <f aca="false">IF(K1640="Agency",1,0)</f>
        <v>1</v>
      </c>
      <c r="AA1640" s="13" t="n">
        <f aca="false">IF(K1640="Client",1,0)</f>
        <v>0</v>
      </c>
      <c r="AB1640" s="13" t="n">
        <f aca="false">(D1640-AVERAGE(D$2:D$2001))/STDEV(D$2:D$2001)</f>
        <v>0.914699531408543</v>
      </c>
      <c r="AC1640" s="13" t="n">
        <f aca="false">(I1640-AVERAGE(I$2:I$2001))/STDEV(I$2:I$2001)</f>
        <v>0.686917069130275</v>
      </c>
      <c r="AD1640" s="13" t="n">
        <f aca="false">(L1640-AVERAGE(L$2:L$2001))/STDEV(L$2:L$2001)</f>
        <v>1.60473955115463</v>
      </c>
      <c r="AE1640" s="13" t="n">
        <f aca="false">(M1640-AVERAGE(M$2:M$2001))/STDEV(M$2:M$2001)</f>
        <v>1.8323981294063</v>
      </c>
      <c r="AF1640" s="13" t="n">
        <f aca="false">(N1640-AVERAGE(N$2:N$2001))/STDEV(N$2:N$2001)</f>
        <v>0.465535628392857</v>
      </c>
      <c r="AG1640" s="13" t="n">
        <f aca="false">(O1640-AVERAGE(O$2:O$2001))/STDEV(O$2:O$2001)</f>
        <v>0.267704799309247</v>
      </c>
      <c r="AH1640" s="0" t="str">
        <f aca="false">IF(B1640="Company","C3 - Corporate Buyers",IF(AND(H1640="Investment",M1640&gt;'Segmentation Summary'!$C$1),"C1 - Global Investors",IF(AND(I1640&gt;=4,M1640&gt;'Segmentation Summary'!$C$1),"C4 - Luxury Investors",IF(AND(D1640&lt;'Segmentation Summary'!$C$2,J1640=1),"C2 - First-Time Buyers","C5 - Other Individual Buyers"))))</f>
        <v>C4 - Luxury Investors</v>
      </c>
    </row>
    <row r="1641" customFormat="false" ht="15" hidden="false" customHeight="true" outlineLevel="0" collapsed="false">
      <c r="A1641" s="13" t="s">
        <v>3277</v>
      </c>
      <c r="B1641" s="13" t="s">
        <v>34</v>
      </c>
      <c r="C1641" s="13" t="s">
        <v>3278</v>
      </c>
      <c r="D1641" s="13" t="n">
        <v>80</v>
      </c>
      <c r="E1641" s="13" t="s">
        <v>83</v>
      </c>
      <c r="F1641" s="13" t="s">
        <v>44</v>
      </c>
      <c r="G1641" s="13" t="s">
        <v>497</v>
      </c>
      <c r="H1641" s="13" t="s">
        <v>41</v>
      </c>
      <c r="I1641" s="13" t="n">
        <v>4</v>
      </c>
      <c r="J1641" s="13" t="n">
        <v>1</v>
      </c>
      <c r="K1641" s="13" t="s">
        <v>91</v>
      </c>
      <c r="L1641" s="13" t="n">
        <v>4</v>
      </c>
      <c r="M1641" s="13" t="n">
        <v>1579186.25</v>
      </c>
      <c r="N1641" s="13" t="n">
        <v>394796.5625</v>
      </c>
      <c r="O1641" s="13" t="n">
        <v>1287.055</v>
      </c>
      <c r="P1641" s="13" t="n">
        <v>0</v>
      </c>
      <c r="Q1641" s="13" t="n">
        <v>4</v>
      </c>
      <c r="R1641" s="13" t="s">
        <v>101</v>
      </c>
      <c r="S1641" s="13" t="s">
        <v>114</v>
      </c>
      <c r="T1641" s="13" t="n">
        <v>1</v>
      </c>
      <c r="U1641" s="13" t="n">
        <f aca="false">IF(B1641="Individual",1,0)</f>
        <v>1</v>
      </c>
      <c r="V1641" s="13" t="n">
        <f aca="false">IF(B1641="Company",1,0)</f>
        <v>0</v>
      </c>
      <c r="W1641" s="13" t="n">
        <f aca="false">IF(H1641="Home",1,0)</f>
        <v>1</v>
      </c>
      <c r="X1641" s="13" t="n">
        <f aca="false">IF(H1641="Investment",1,0)</f>
        <v>0</v>
      </c>
      <c r="Y1641" s="13" t="n">
        <f aca="false">IF(K1641="Website",1,0)</f>
        <v>0</v>
      </c>
      <c r="Z1641" s="13" t="n">
        <f aca="false">IF(K1641="Agency",1,0)</f>
        <v>1</v>
      </c>
      <c r="AA1641" s="13" t="n">
        <f aca="false">IF(K1641="Client",1,0)</f>
        <v>0</v>
      </c>
      <c r="AB1641" s="13" t="n">
        <f aca="false">(D1641-AVERAGE(D$2:D$2001))/STDEV(D$2:D$2001)</f>
        <v>1.49132408629005</v>
      </c>
      <c r="AC1641" s="13" t="n">
        <f aca="false">(I1641-AVERAGE(I$2:I$2001))/STDEV(I$2:I$2001)</f>
        <v>0.686917069130275</v>
      </c>
      <c r="AD1641" s="13" t="n">
        <f aca="false">(L1641-AVERAGE(L$2:L$2001))/STDEV(L$2:L$2001)</f>
        <v>0.413838214490712</v>
      </c>
      <c r="AE1641" s="13" t="n">
        <f aca="false">(M1641-AVERAGE(M$2:M$2001))/STDEV(M$2:M$2001)</f>
        <v>0.916568899231868</v>
      </c>
      <c r="AF1641" s="13" t="n">
        <f aca="false">(N1641-AVERAGE(N$2:N$2001))/STDEV(N$2:N$2001)</f>
        <v>0.684242112292286</v>
      </c>
      <c r="AG1641" s="13" t="n">
        <f aca="false">(O1641-AVERAGE(O$2:O$2001))/STDEV(O$2:O$2001)</f>
        <v>0.634656648664718</v>
      </c>
      <c r="AH1641" s="0" t="str">
        <f aca="false">IF(B1641="Company","C3 - Corporate Buyers",IF(AND(H1641="Investment",M1641&gt;'Segmentation Summary'!$C$1),"C1 - Global Investors",IF(AND(I1641&gt;=4,M1641&gt;'Segmentation Summary'!$C$1),"C4 - Luxury Investors",IF(AND(D1641&lt;'Segmentation Summary'!$C$2,J1641=1),"C2 - First-Time Buyers","C5 - Other Individual Buyers"))))</f>
        <v>C4 - Luxury Investors</v>
      </c>
    </row>
    <row r="1642" customFormat="false" ht="15" hidden="false" customHeight="true" outlineLevel="0" collapsed="false">
      <c r="A1642" s="13" t="s">
        <v>3279</v>
      </c>
      <c r="B1642" s="13" t="s">
        <v>34</v>
      </c>
      <c r="C1642" s="13" t="s">
        <v>3280</v>
      </c>
      <c r="D1642" s="13" t="n">
        <v>46</v>
      </c>
      <c r="E1642" s="13" t="s">
        <v>83</v>
      </c>
      <c r="F1642" s="13" t="s">
        <v>33</v>
      </c>
      <c r="G1642" s="13" t="s">
        <v>120</v>
      </c>
      <c r="H1642" s="13" t="s">
        <v>43</v>
      </c>
      <c r="I1642" s="13" t="n">
        <v>4</v>
      </c>
      <c r="J1642" s="13" t="n">
        <v>1</v>
      </c>
      <c r="K1642" s="13" t="s">
        <v>85</v>
      </c>
      <c r="L1642" s="13" t="n">
        <v>3</v>
      </c>
      <c r="M1642" s="13" t="n">
        <v>1346312.7</v>
      </c>
      <c r="N1642" s="13" t="n">
        <v>448770.9</v>
      </c>
      <c r="O1642" s="13" t="n">
        <v>1361.74333333333</v>
      </c>
      <c r="P1642" s="13" t="n">
        <v>1</v>
      </c>
      <c r="Q1642" s="13" t="n">
        <v>2</v>
      </c>
      <c r="R1642" s="13" t="s">
        <v>107</v>
      </c>
      <c r="S1642" s="13" t="s">
        <v>125</v>
      </c>
      <c r="T1642" s="13" t="n">
        <v>1</v>
      </c>
      <c r="U1642" s="13" t="n">
        <f aca="false">IF(B1642="Individual",1,0)</f>
        <v>1</v>
      </c>
      <c r="V1642" s="13" t="n">
        <f aca="false">IF(B1642="Company",1,0)</f>
        <v>0</v>
      </c>
      <c r="W1642" s="13" t="n">
        <f aca="false">IF(H1642="Home",1,0)</f>
        <v>0</v>
      </c>
      <c r="X1642" s="13" t="n">
        <f aca="false">IF(H1642="Investment",1,0)</f>
        <v>1</v>
      </c>
      <c r="Y1642" s="13" t="n">
        <f aca="false">IF(K1642="Website",1,0)</f>
        <v>1</v>
      </c>
      <c r="Z1642" s="13" t="n">
        <f aca="false">IF(K1642="Agency",1,0)</f>
        <v>0</v>
      </c>
      <c r="AA1642" s="13" t="n">
        <f aca="false">IF(K1642="Client",1,0)</f>
        <v>0</v>
      </c>
      <c r="AB1642" s="13" t="n">
        <f aca="false">(D1642-AVERAGE(D$2:D$2001))/STDEV(D$2:D$2001)</f>
        <v>-0.469199400307086</v>
      </c>
      <c r="AC1642" s="13" t="n">
        <f aca="false">(I1642-AVERAGE(I$2:I$2001))/STDEV(I$2:I$2001)</f>
        <v>0.686917069130275</v>
      </c>
      <c r="AD1642" s="13" t="n">
        <f aca="false">(L1642-AVERAGE(L$2:L$2001))/STDEV(L$2:L$2001)</f>
        <v>-0.777063122173208</v>
      </c>
      <c r="AE1642" s="13" t="n">
        <f aca="false">(M1642-AVERAGE(M$2:M$2001))/STDEV(M$2:M$2001)</f>
        <v>0.247066254559893</v>
      </c>
      <c r="AF1642" s="13" t="n">
        <f aca="false">(N1642-AVERAGE(N$2:N$2001))/STDEV(N$2:N$2001)</f>
        <v>1.45838048239969</v>
      </c>
      <c r="AG1642" s="13" t="n">
        <f aca="false">(O1642-AVERAGE(O$2:O$2001))/STDEV(O$2:O$2001)</f>
        <v>0.974268574687236</v>
      </c>
      <c r="AH1642" s="0" t="str">
        <f aca="false">IF(B1642="Company","C3 - Corporate Buyers",IF(AND(H1642="Investment",M1642&gt;'Segmentation Summary'!$C$1),"C1 - Global Investors",IF(AND(I1642&gt;=4,M1642&gt;'Segmentation Summary'!$C$1),"C4 - Luxury Investors",IF(AND(D1642&lt;'Segmentation Summary'!$C$2,J1642=1),"C2 - First-Time Buyers","C5 - Other Individual Buyers"))))</f>
        <v>C1 - Global Investors</v>
      </c>
    </row>
    <row r="1643" customFormat="false" ht="15" hidden="false" customHeight="true" outlineLevel="0" collapsed="false">
      <c r="A1643" s="13" t="s">
        <v>3281</v>
      </c>
      <c r="B1643" s="13" t="s">
        <v>34</v>
      </c>
      <c r="C1643" s="13" t="s">
        <v>3282</v>
      </c>
      <c r="D1643" s="13" t="n">
        <v>84</v>
      </c>
      <c r="E1643" s="13" t="s">
        <v>83</v>
      </c>
      <c r="F1643" s="13" t="s">
        <v>44</v>
      </c>
      <c r="G1643" s="13" t="s">
        <v>209</v>
      </c>
      <c r="H1643" s="13" t="s">
        <v>41</v>
      </c>
      <c r="I1643" s="13" t="n">
        <v>5</v>
      </c>
      <c r="J1643" s="13" t="n">
        <v>0</v>
      </c>
      <c r="K1643" s="13" t="s">
        <v>116</v>
      </c>
      <c r="L1643" s="13" t="n">
        <v>3</v>
      </c>
      <c r="M1643" s="13" t="n">
        <v>1284121.27</v>
      </c>
      <c r="N1643" s="13" t="n">
        <v>428040.423333333</v>
      </c>
      <c r="O1643" s="13" t="n">
        <v>1452.26333333333</v>
      </c>
      <c r="P1643" s="13" t="n">
        <v>0</v>
      </c>
      <c r="Q1643" s="13" t="n">
        <v>3</v>
      </c>
      <c r="R1643" s="13" t="s">
        <v>101</v>
      </c>
      <c r="S1643" s="13" t="s">
        <v>107</v>
      </c>
      <c r="T1643" s="13" t="n">
        <v>1</v>
      </c>
      <c r="U1643" s="13" t="n">
        <f aca="false">IF(B1643="Individual",1,0)</f>
        <v>1</v>
      </c>
      <c r="V1643" s="13" t="n">
        <f aca="false">IF(B1643="Company",1,0)</f>
        <v>0</v>
      </c>
      <c r="W1643" s="13" t="n">
        <f aca="false">IF(H1643="Home",1,0)</f>
        <v>1</v>
      </c>
      <c r="X1643" s="13" t="n">
        <f aca="false">IF(H1643="Investment",1,0)</f>
        <v>0</v>
      </c>
      <c r="Y1643" s="13" t="n">
        <f aca="false">IF(K1643="Website",1,0)</f>
        <v>0</v>
      </c>
      <c r="Z1643" s="13" t="n">
        <f aca="false">IF(K1643="Agency",1,0)</f>
        <v>0</v>
      </c>
      <c r="AA1643" s="13" t="n">
        <f aca="false">IF(K1643="Client",1,0)</f>
        <v>1</v>
      </c>
      <c r="AB1643" s="13" t="n">
        <f aca="false">(D1643-AVERAGE(D$2:D$2001))/STDEV(D$2:D$2001)</f>
        <v>1.72197390824266</v>
      </c>
      <c r="AC1643" s="13" t="n">
        <f aca="false">(I1643-AVERAGE(I$2:I$2001))/STDEV(I$2:I$2001)</f>
        <v>1.39434968409451</v>
      </c>
      <c r="AD1643" s="13" t="n">
        <f aca="false">(L1643-AVERAGE(L$2:L$2001))/STDEV(L$2:L$2001)</f>
        <v>-0.777063122173208</v>
      </c>
      <c r="AE1643" s="13" t="n">
        <f aca="false">(M1643-AVERAGE(M$2:M$2001))/STDEV(M$2:M$2001)</f>
        <v>0.0682682465382355</v>
      </c>
      <c r="AF1643" s="13" t="n">
        <f aca="false">(N1643-AVERAGE(N$2:N$2001))/STDEV(N$2:N$2001)</f>
        <v>1.16104922903723</v>
      </c>
      <c r="AG1643" s="13" t="n">
        <f aca="false">(O1643-AVERAGE(O$2:O$2001))/STDEV(O$2:O$2001)</f>
        <v>1.38586795268326</v>
      </c>
      <c r="AH1643" s="0" t="str">
        <f aca="false">IF(B1643="Company","C3 - Corporate Buyers",IF(AND(H1643="Investment",M1643&gt;'Segmentation Summary'!$C$1),"C1 - Global Investors",IF(AND(I1643&gt;=4,M1643&gt;'Segmentation Summary'!$C$1),"C4 - Luxury Investors",IF(AND(D1643&lt;'Segmentation Summary'!$C$2,J1643=1),"C2 - First-Time Buyers","C5 - Other Individual Buyers"))))</f>
        <v>C4 - Luxury Investors</v>
      </c>
    </row>
    <row r="1644" customFormat="false" ht="15" hidden="false" customHeight="true" outlineLevel="0" collapsed="false">
      <c r="A1644" s="13" t="s">
        <v>3283</v>
      </c>
      <c r="B1644" s="13" t="s">
        <v>34</v>
      </c>
      <c r="C1644" s="13" t="s">
        <v>3284</v>
      </c>
      <c r="D1644" s="13" t="n">
        <v>80</v>
      </c>
      <c r="E1644" s="13" t="s">
        <v>83</v>
      </c>
      <c r="F1644" s="13" t="s">
        <v>33</v>
      </c>
      <c r="G1644" s="13" t="s">
        <v>106</v>
      </c>
      <c r="H1644" s="13" t="s">
        <v>43</v>
      </c>
      <c r="I1644" s="13" t="n">
        <v>3</v>
      </c>
      <c r="J1644" s="13" t="n">
        <v>1</v>
      </c>
      <c r="K1644" s="13" t="s">
        <v>91</v>
      </c>
      <c r="L1644" s="13" t="n">
        <v>3</v>
      </c>
      <c r="M1644" s="13" t="n">
        <v>1100578.42</v>
      </c>
      <c r="N1644" s="13" t="n">
        <v>366859.473333333</v>
      </c>
      <c r="O1644" s="13" t="n">
        <v>1280.28</v>
      </c>
      <c r="P1644" s="13" t="n">
        <v>1</v>
      </c>
      <c r="Q1644" s="13" t="n">
        <v>2</v>
      </c>
      <c r="R1644" s="13" t="s">
        <v>215</v>
      </c>
      <c r="S1644" s="13" t="s">
        <v>154</v>
      </c>
      <c r="T1644" s="13" t="n">
        <v>1</v>
      </c>
      <c r="U1644" s="13" t="n">
        <f aca="false">IF(B1644="Individual",1,0)</f>
        <v>1</v>
      </c>
      <c r="V1644" s="13" t="n">
        <f aca="false">IF(B1644="Company",1,0)</f>
        <v>0</v>
      </c>
      <c r="W1644" s="13" t="n">
        <f aca="false">IF(H1644="Home",1,0)</f>
        <v>0</v>
      </c>
      <c r="X1644" s="13" t="n">
        <f aca="false">IF(H1644="Investment",1,0)</f>
        <v>1</v>
      </c>
      <c r="Y1644" s="13" t="n">
        <f aca="false">IF(K1644="Website",1,0)</f>
        <v>0</v>
      </c>
      <c r="Z1644" s="13" t="n">
        <f aca="false">IF(K1644="Agency",1,0)</f>
        <v>1</v>
      </c>
      <c r="AA1644" s="13" t="n">
        <f aca="false">IF(K1644="Client",1,0)</f>
        <v>0</v>
      </c>
      <c r="AB1644" s="13" t="n">
        <f aca="false">(D1644-AVERAGE(D$2:D$2001))/STDEV(D$2:D$2001)</f>
        <v>1.49132408629005</v>
      </c>
      <c r="AC1644" s="13" t="n">
        <f aca="false">(I1644-AVERAGE(I$2:I$2001))/STDEV(I$2:I$2001)</f>
        <v>-0.0205155458339628</v>
      </c>
      <c r="AD1644" s="13" t="n">
        <f aca="false">(L1644-AVERAGE(L$2:L$2001))/STDEV(L$2:L$2001)</f>
        <v>-0.777063122173208</v>
      </c>
      <c r="AE1644" s="13" t="n">
        <f aca="false">(M1644-AVERAGE(M$2:M$2001))/STDEV(M$2:M$2001)</f>
        <v>-0.45941050223178</v>
      </c>
      <c r="AF1644" s="13" t="n">
        <f aca="false">(N1644-AVERAGE(N$2:N$2001))/STDEV(N$2:N$2001)</f>
        <v>0.283548492421014</v>
      </c>
      <c r="AG1644" s="13" t="n">
        <f aca="false">(O1644-AVERAGE(O$2:O$2001))/STDEV(O$2:O$2001)</f>
        <v>0.603850354078736</v>
      </c>
      <c r="AH1644" s="0" t="str">
        <f aca="false">IF(B1644="Company","C3 - Corporate Buyers",IF(AND(H1644="Investment",M1644&gt;'Segmentation Summary'!$C$1),"C1 - Global Investors",IF(AND(I1644&gt;=4,M1644&gt;'Segmentation Summary'!$C$1),"C4 - Luxury Investors",IF(AND(D1644&lt;'Segmentation Summary'!$C$2,J1644=1),"C2 - First-Time Buyers","C5 - Other Individual Buyers"))))</f>
        <v>C5 - Other Individual Buyers</v>
      </c>
    </row>
    <row r="1645" customFormat="false" ht="15" hidden="false" customHeight="true" outlineLevel="0" collapsed="false">
      <c r="A1645" s="13" t="s">
        <v>3285</v>
      </c>
      <c r="B1645" s="13" t="s">
        <v>34</v>
      </c>
      <c r="C1645" s="13" t="s">
        <v>3286</v>
      </c>
      <c r="D1645" s="13" t="n">
        <v>64</v>
      </c>
      <c r="E1645" s="13" t="s">
        <v>83</v>
      </c>
      <c r="F1645" s="13" t="s">
        <v>33</v>
      </c>
      <c r="G1645" s="13" t="s">
        <v>207</v>
      </c>
      <c r="H1645" s="13" t="s">
        <v>41</v>
      </c>
      <c r="I1645" s="13" t="n">
        <v>4</v>
      </c>
      <c r="J1645" s="13" t="n">
        <v>1</v>
      </c>
      <c r="K1645" s="13" t="s">
        <v>85</v>
      </c>
      <c r="L1645" s="13" t="n">
        <v>3</v>
      </c>
      <c r="M1645" s="13" t="n">
        <v>1690270.5</v>
      </c>
      <c r="N1645" s="13" t="n">
        <v>563423.5</v>
      </c>
      <c r="O1645" s="13" t="n">
        <v>1736.03333333333</v>
      </c>
      <c r="P1645" s="13" t="n">
        <v>1</v>
      </c>
      <c r="Q1645" s="13" t="n">
        <v>2</v>
      </c>
      <c r="R1645" s="13" t="s">
        <v>92</v>
      </c>
      <c r="S1645" s="13" t="s">
        <v>124</v>
      </c>
      <c r="T1645" s="13" t="n">
        <v>1</v>
      </c>
      <c r="U1645" s="13" t="n">
        <f aca="false">IF(B1645="Individual",1,0)</f>
        <v>1</v>
      </c>
      <c r="V1645" s="13" t="n">
        <f aca="false">IF(B1645="Company",1,0)</f>
        <v>0</v>
      </c>
      <c r="W1645" s="13" t="n">
        <f aca="false">IF(H1645="Home",1,0)</f>
        <v>1</v>
      </c>
      <c r="X1645" s="13" t="n">
        <f aca="false">IF(H1645="Investment",1,0)</f>
        <v>0</v>
      </c>
      <c r="Y1645" s="13" t="n">
        <f aca="false">IF(K1645="Website",1,0)</f>
        <v>1</v>
      </c>
      <c r="Z1645" s="13" t="n">
        <f aca="false">IF(K1645="Agency",1,0)</f>
        <v>0</v>
      </c>
      <c r="AA1645" s="13" t="n">
        <f aca="false">IF(K1645="Client",1,0)</f>
        <v>0</v>
      </c>
      <c r="AB1645" s="13" t="n">
        <f aca="false">(D1645-AVERAGE(D$2:D$2001))/STDEV(D$2:D$2001)</f>
        <v>0.568724798479635</v>
      </c>
      <c r="AC1645" s="13" t="n">
        <f aca="false">(I1645-AVERAGE(I$2:I$2001))/STDEV(I$2:I$2001)</f>
        <v>0.686917069130275</v>
      </c>
      <c r="AD1645" s="13" t="n">
        <f aca="false">(L1645-AVERAGE(L$2:L$2001))/STDEV(L$2:L$2001)</f>
        <v>-0.777063122173208</v>
      </c>
      <c r="AE1645" s="13" t="n">
        <f aca="false">(M1645-AVERAGE(M$2:M$2001))/STDEV(M$2:M$2001)</f>
        <v>1.23593191472419</v>
      </c>
      <c r="AF1645" s="13" t="n">
        <f aca="false">(N1645-AVERAGE(N$2:N$2001))/STDEV(N$2:N$2001)</f>
        <v>3.10280968715974</v>
      </c>
      <c r="AG1645" s="13" t="n">
        <f aca="false">(O1645-AVERAGE(O$2:O$2001))/STDEV(O$2:O$2001)</f>
        <v>2.67618562274438</v>
      </c>
      <c r="AH1645" s="0" t="str">
        <f aca="false">IF(B1645="Company","C3 - Corporate Buyers",IF(AND(H1645="Investment",M1645&gt;'Segmentation Summary'!$C$1),"C1 - Global Investors",IF(AND(I1645&gt;=4,M1645&gt;'Segmentation Summary'!$C$1),"C4 - Luxury Investors",IF(AND(D1645&lt;'Segmentation Summary'!$C$2,J1645=1),"C2 - First-Time Buyers","C5 - Other Individual Buyers"))))</f>
        <v>C4 - Luxury Investors</v>
      </c>
    </row>
    <row r="1646" customFormat="false" ht="15" hidden="false" customHeight="true" outlineLevel="0" collapsed="false">
      <c r="A1646" s="13" t="s">
        <v>3287</v>
      </c>
      <c r="B1646" s="13" t="s">
        <v>34</v>
      </c>
      <c r="C1646" s="13" t="s">
        <v>3288</v>
      </c>
      <c r="D1646" s="13" t="n">
        <v>31</v>
      </c>
      <c r="E1646" s="13" t="s">
        <v>83</v>
      </c>
      <c r="F1646" s="13" t="s">
        <v>33</v>
      </c>
      <c r="G1646" s="13" t="s">
        <v>106</v>
      </c>
      <c r="H1646" s="13" t="s">
        <v>41</v>
      </c>
      <c r="I1646" s="13" t="n">
        <v>4</v>
      </c>
      <c r="J1646" s="13" t="n">
        <v>0</v>
      </c>
      <c r="K1646" s="13" t="s">
        <v>85</v>
      </c>
      <c r="L1646" s="13" t="n">
        <v>3</v>
      </c>
      <c r="M1646" s="13" t="n">
        <v>1147121.25</v>
      </c>
      <c r="N1646" s="13" t="n">
        <v>382373.75</v>
      </c>
      <c r="O1646" s="13" t="n">
        <v>1313.16</v>
      </c>
      <c r="P1646" s="13" t="n">
        <v>1</v>
      </c>
      <c r="Q1646" s="13" t="n">
        <v>2</v>
      </c>
      <c r="R1646" s="13" t="s">
        <v>128</v>
      </c>
      <c r="S1646" s="13" t="s">
        <v>152</v>
      </c>
      <c r="T1646" s="13" t="n">
        <v>1</v>
      </c>
      <c r="U1646" s="13" t="n">
        <f aca="false">IF(B1646="Individual",1,0)</f>
        <v>1</v>
      </c>
      <c r="V1646" s="13" t="n">
        <f aca="false">IF(B1646="Company",1,0)</f>
        <v>0</v>
      </c>
      <c r="W1646" s="13" t="n">
        <f aca="false">IF(H1646="Home",1,0)</f>
        <v>1</v>
      </c>
      <c r="X1646" s="13" t="n">
        <f aca="false">IF(H1646="Investment",1,0)</f>
        <v>0</v>
      </c>
      <c r="Y1646" s="13" t="n">
        <f aca="false">IF(K1646="Website",1,0)</f>
        <v>1</v>
      </c>
      <c r="Z1646" s="13" t="n">
        <f aca="false">IF(K1646="Agency",1,0)</f>
        <v>0</v>
      </c>
      <c r="AA1646" s="13" t="n">
        <f aca="false">IF(K1646="Client",1,0)</f>
        <v>0</v>
      </c>
      <c r="AB1646" s="13" t="n">
        <f aca="false">(D1646-AVERAGE(D$2:D$2001))/STDEV(D$2:D$2001)</f>
        <v>-1.33413623262935</v>
      </c>
      <c r="AC1646" s="13" t="n">
        <f aca="false">(I1646-AVERAGE(I$2:I$2001))/STDEV(I$2:I$2001)</f>
        <v>0.686917069130275</v>
      </c>
      <c r="AD1646" s="13" t="n">
        <f aca="false">(L1646-AVERAGE(L$2:L$2001))/STDEV(L$2:L$2001)</f>
        <v>-0.777063122173208</v>
      </c>
      <c r="AE1646" s="13" t="n">
        <f aca="false">(M1646-AVERAGE(M$2:M$2001))/STDEV(M$2:M$2001)</f>
        <v>-0.325601627091094</v>
      </c>
      <c r="AF1646" s="13" t="n">
        <f aca="false">(N1646-AVERAGE(N$2:N$2001))/STDEV(N$2:N$2001)</f>
        <v>0.506065292226642</v>
      </c>
      <c r="AG1646" s="13" t="n">
        <f aca="false">(O1646-AVERAGE(O$2:O$2001))/STDEV(O$2:O$2001)</f>
        <v>0.753357507729966</v>
      </c>
      <c r="AH1646" s="0" t="str">
        <f aca="false">IF(B1646="Company","C3 - Corporate Buyers",IF(AND(H1646="Investment",M1646&gt;'Segmentation Summary'!$C$1),"C1 - Global Investors",IF(AND(I1646&gt;=4,M1646&gt;'Segmentation Summary'!$C$1),"C4 - Luxury Investors",IF(AND(D1646&lt;'Segmentation Summary'!$C$2,J1646=1),"C2 - First-Time Buyers","C5 - Other Individual Buyers"))))</f>
        <v>C5 - Other Individual Buyers</v>
      </c>
    </row>
    <row r="1647" customFormat="false" ht="15" hidden="false" customHeight="true" outlineLevel="0" collapsed="false">
      <c r="A1647" s="13" t="s">
        <v>3289</v>
      </c>
      <c r="B1647" s="13" t="s">
        <v>34</v>
      </c>
      <c r="C1647" s="13" t="s">
        <v>3290</v>
      </c>
      <c r="D1647" s="13" t="n">
        <v>24</v>
      </c>
      <c r="E1647" s="13" t="s">
        <v>83</v>
      </c>
      <c r="F1647" s="13" t="s">
        <v>33</v>
      </c>
      <c r="G1647" s="13" t="s">
        <v>110</v>
      </c>
      <c r="H1647" s="13" t="s">
        <v>41</v>
      </c>
      <c r="I1647" s="13" t="n">
        <v>3</v>
      </c>
      <c r="J1647" s="13" t="n">
        <v>1</v>
      </c>
      <c r="K1647" s="13" t="s">
        <v>85</v>
      </c>
      <c r="L1647" s="13" t="n">
        <v>4</v>
      </c>
      <c r="M1647" s="13" t="n">
        <v>1300917.1</v>
      </c>
      <c r="N1647" s="13" t="n">
        <v>325229.275</v>
      </c>
      <c r="O1647" s="13" t="n">
        <v>1008.6625</v>
      </c>
      <c r="P1647" s="13" t="n">
        <v>0</v>
      </c>
      <c r="Q1647" s="13" t="n">
        <v>4</v>
      </c>
      <c r="R1647" s="13" t="s">
        <v>141</v>
      </c>
      <c r="S1647" s="13" t="s">
        <v>133</v>
      </c>
      <c r="T1647" s="13" t="n">
        <v>1</v>
      </c>
      <c r="U1647" s="13" t="n">
        <f aca="false">IF(B1647="Individual",1,0)</f>
        <v>1</v>
      </c>
      <c r="V1647" s="13" t="n">
        <f aca="false">IF(B1647="Company",1,0)</f>
        <v>0</v>
      </c>
      <c r="W1647" s="13" t="n">
        <f aca="false">IF(H1647="Home",1,0)</f>
        <v>1</v>
      </c>
      <c r="X1647" s="13" t="n">
        <f aca="false">IF(H1647="Investment",1,0)</f>
        <v>0</v>
      </c>
      <c r="Y1647" s="13" t="n">
        <f aca="false">IF(K1647="Website",1,0)</f>
        <v>1</v>
      </c>
      <c r="Z1647" s="13" t="n">
        <f aca="false">IF(K1647="Agency",1,0)</f>
        <v>0</v>
      </c>
      <c r="AA1647" s="13" t="n">
        <f aca="false">IF(K1647="Client",1,0)</f>
        <v>0</v>
      </c>
      <c r="AB1647" s="13" t="n">
        <f aca="false">(D1647-AVERAGE(D$2:D$2001))/STDEV(D$2:D$2001)</f>
        <v>-1.73777342104641</v>
      </c>
      <c r="AC1647" s="13" t="n">
        <f aca="false">(I1647-AVERAGE(I$2:I$2001))/STDEV(I$2:I$2001)</f>
        <v>-0.0205155458339628</v>
      </c>
      <c r="AD1647" s="13" t="n">
        <f aca="false">(L1647-AVERAGE(L$2:L$2001))/STDEV(L$2:L$2001)</f>
        <v>0.413838214490712</v>
      </c>
      <c r="AE1647" s="13" t="n">
        <f aca="false">(M1647-AVERAGE(M$2:M$2001))/STDEV(M$2:M$2001)</f>
        <v>0.116555622259785</v>
      </c>
      <c r="AF1647" s="13" t="n">
        <f aca="false">(N1647-AVERAGE(N$2:N$2001))/STDEV(N$2:N$2001)</f>
        <v>-0.31354144657109</v>
      </c>
      <c r="AG1647" s="13" t="n">
        <f aca="false">(O1647-AVERAGE(O$2:O$2001))/STDEV(O$2:O$2001)</f>
        <v>-0.631209235546047</v>
      </c>
      <c r="AH1647" s="0" t="str">
        <f aca="false">IF(B1647="Company","C3 - Corporate Buyers",IF(AND(H1647="Investment",M1647&gt;'Segmentation Summary'!$C$1),"C1 - Global Investors",IF(AND(I1647&gt;=4,M1647&gt;'Segmentation Summary'!$C$1),"C4 - Luxury Investors",IF(AND(D1647&lt;'Segmentation Summary'!$C$2,J1647=1),"C2 - First-Time Buyers","C5 - Other Individual Buyers"))))</f>
        <v>C2 - First-Time Buyers</v>
      </c>
    </row>
    <row r="1648" customFormat="false" ht="15" hidden="false" customHeight="true" outlineLevel="0" collapsed="false">
      <c r="A1648" s="13" t="s">
        <v>3291</v>
      </c>
      <c r="B1648" s="13" t="s">
        <v>34</v>
      </c>
      <c r="C1648" s="13" t="s">
        <v>3292</v>
      </c>
      <c r="D1648" s="13" t="n">
        <v>54</v>
      </c>
      <c r="E1648" s="13" t="s">
        <v>83</v>
      </c>
      <c r="F1648" s="13" t="s">
        <v>38</v>
      </c>
      <c r="G1648" s="13" t="s">
        <v>127</v>
      </c>
      <c r="H1648" s="13" t="s">
        <v>43</v>
      </c>
      <c r="I1648" s="13" t="n">
        <v>1</v>
      </c>
      <c r="J1648" s="13" t="n">
        <v>1</v>
      </c>
      <c r="K1648" s="13" t="s">
        <v>85</v>
      </c>
      <c r="L1648" s="13" t="n">
        <v>4</v>
      </c>
      <c r="M1648" s="13" t="n">
        <v>1340373.08</v>
      </c>
      <c r="N1648" s="13" t="n">
        <v>335093.27</v>
      </c>
      <c r="O1648" s="13" t="n">
        <v>1154.105</v>
      </c>
      <c r="P1648" s="13" t="n">
        <v>1</v>
      </c>
      <c r="Q1648" s="13" t="n">
        <v>3</v>
      </c>
      <c r="R1648" s="13" t="s">
        <v>215</v>
      </c>
      <c r="S1648" s="13" t="s">
        <v>152</v>
      </c>
      <c r="T1648" s="13" t="n">
        <v>1</v>
      </c>
      <c r="U1648" s="13" t="n">
        <f aca="false">IF(B1648="Individual",1,0)</f>
        <v>1</v>
      </c>
      <c r="V1648" s="13" t="n">
        <f aca="false">IF(B1648="Company",1,0)</f>
        <v>0</v>
      </c>
      <c r="W1648" s="13" t="n">
        <f aca="false">IF(H1648="Home",1,0)</f>
        <v>0</v>
      </c>
      <c r="X1648" s="13" t="n">
        <f aca="false">IF(H1648="Investment",1,0)</f>
        <v>1</v>
      </c>
      <c r="Y1648" s="13" t="n">
        <f aca="false">IF(K1648="Website",1,0)</f>
        <v>1</v>
      </c>
      <c r="Z1648" s="13" t="n">
        <f aca="false">IF(K1648="Agency",1,0)</f>
        <v>0</v>
      </c>
      <c r="AA1648" s="13" t="n">
        <f aca="false">IF(K1648="Client",1,0)</f>
        <v>0</v>
      </c>
      <c r="AB1648" s="13" t="n">
        <f aca="false">(D1648-AVERAGE(D$2:D$2001))/STDEV(D$2:D$2001)</f>
        <v>-0.00789975640187674</v>
      </c>
      <c r="AC1648" s="13" t="n">
        <f aca="false">(I1648-AVERAGE(I$2:I$2001))/STDEV(I$2:I$2001)</f>
        <v>-1.43538077576244</v>
      </c>
      <c r="AD1648" s="13" t="n">
        <f aca="false">(L1648-AVERAGE(L$2:L$2001))/STDEV(L$2:L$2001)</f>
        <v>0.413838214490712</v>
      </c>
      <c r="AE1648" s="13" t="n">
        <f aca="false">(M1648-AVERAGE(M$2:M$2001))/STDEV(M$2:M$2001)</f>
        <v>0.229990071806006</v>
      </c>
      <c r="AF1648" s="13" t="n">
        <f aca="false">(N1648-AVERAGE(N$2:N$2001))/STDEV(N$2:N$2001)</f>
        <v>-0.172065008587065</v>
      </c>
      <c r="AG1648" s="13" t="n">
        <f aca="false">(O1648-AVERAGE(O$2:O$2001))/STDEV(O$2:O$2001)</f>
        <v>0.0301257460512454</v>
      </c>
      <c r="AH1648" s="0" t="str">
        <f aca="false">IF(B1648="Company","C3 - Corporate Buyers",IF(AND(H1648="Investment",M1648&gt;'Segmentation Summary'!$C$1),"C1 - Global Investors",IF(AND(I1648&gt;=4,M1648&gt;'Segmentation Summary'!$C$1),"C4 - Luxury Investors",IF(AND(D1648&lt;'Segmentation Summary'!$C$2,J1648=1),"C2 - First-Time Buyers","C5 - Other Individual Buyers"))))</f>
        <v>C1 - Global Investors</v>
      </c>
    </row>
    <row r="1649" customFormat="false" ht="15" hidden="false" customHeight="true" outlineLevel="0" collapsed="false">
      <c r="A1649" s="13" t="s">
        <v>3293</v>
      </c>
      <c r="B1649" s="13" t="s">
        <v>34</v>
      </c>
      <c r="C1649" s="13" t="s">
        <v>3294</v>
      </c>
      <c r="D1649" s="13" t="n">
        <v>72</v>
      </c>
      <c r="E1649" s="13" t="s">
        <v>83</v>
      </c>
      <c r="F1649" s="13" t="s">
        <v>44</v>
      </c>
      <c r="G1649" s="13" t="s">
        <v>497</v>
      </c>
      <c r="H1649" s="13" t="s">
        <v>43</v>
      </c>
      <c r="I1649" s="13" t="n">
        <v>3</v>
      </c>
      <c r="J1649" s="13" t="n">
        <v>1</v>
      </c>
      <c r="K1649" s="13" t="s">
        <v>85</v>
      </c>
      <c r="L1649" s="13" t="n">
        <v>3</v>
      </c>
      <c r="M1649" s="13" t="n">
        <v>1267396.8</v>
      </c>
      <c r="N1649" s="13" t="n">
        <v>422465.6</v>
      </c>
      <c r="O1649" s="13" t="n">
        <v>1386.32</v>
      </c>
      <c r="P1649" s="13" t="n">
        <v>1</v>
      </c>
      <c r="Q1649" s="13" t="n">
        <v>2</v>
      </c>
      <c r="R1649" s="13" t="s">
        <v>101</v>
      </c>
      <c r="S1649" s="13" t="s">
        <v>128</v>
      </c>
      <c r="T1649" s="13" t="n">
        <v>1</v>
      </c>
      <c r="U1649" s="13" t="n">
        <f aca="false">IF(B1649="Individual",1,0)</f>
        <v>1</v>
      </c>
      <c r="V1649" s="13" t="n">
        <f aca="false">IF(B1649="Company",1,0)</f>
        <v>0</v>
      </c>
      <c r="W1649" s="13" t="n">
        <f aca="false">IF(H1649="Home",1,0)</f>
        <v>0</v>
      </c>
      <c r="X1649" s="13" t="n">
        <f aca="false">IF(H1649="Investment",1,0)</f>
        <v>1</v>
      </c>
      <c r="Y1649" s="13" t="n">
        <f aca="false">IF(K1649="Website",1,0)</f>
        <v>1</v>
      </c>
      <c r="Z1649" s="13" t="n">
        <f aca="false">IF(K1649="Agency",1,0)</f>
        <v>0</v>
      </c>
      <c r="AA1649" s="13" t="n">
        <f aca="false">IF(K1649="Client",1,0)</f>
        <v>0</v>
      </c>
      <c r="AB1649" s="13" t="n">
        <f aca="false">(D1649-AVERAGE(D$2:D$2001))/STDEV(D$2:D$2001)</f>
        <v>1.03002444238485</v>
      </c>
      <c r="AC1649" s="13" t="n">
        <f aca="false">(I1649-AVERAGE(I$2:I$2001))/STDEV(I$2:I$2001)</f>
        <v>-0.0205155458339628</v>
      </c>
      <c r="AD1649" s="13" t="n">
        <f aca="false">(L1649-AVERAGE(L$2:L$2001))/STDEV(L$2:L$2001)</f>
        <v>-0.777063122173208</v>
      </c>
      <c r="AE1649" s="13" t="n">
        <f aca="false">(M1649-AVERAGE(M$2:M$2001))/STDEV(M$2:M$2001)</f>
        <v>0.0201860281165338</v>
      </c>
      <c r="AF1649" s="13" t="n">
        <f aca="false">(N1649-AVERAGE(N$2:N$2001))/STDEV(N$2:N$2001)</f>
        <v>1.08109114434739</v>
      </c>
      <c r="AG1649" s="13" t="n">
        <f aca="false">(O1649-AVERAGE(O$2:O$2001))/STDEV(O$2:O$2001)</f>
        <v>1.08602001871305</v>
      </c>
      <c r="AH1649" s="0" t="str">
        <f aca="false">IF(B1649="Company","C3 - Corporate Buyers",IF(AND(H1649="Investment",M1649&gt;'Segmentation Summary'!$C$1),"C1 - Global Investors",IF(AND(I1649&gt;=4,M1649&gt;'Segmentation Summary'!$C$1),"C4 - Luxury Investors",IF(AND(D1649&lt;'Segmentation Summary'!$C$2,J1649=1),"C2 - First-Time Buyers","C5 - Other Individual Buyers"))))</f>
        <v>C1 - Global Investors</v>
      </c>
    </row>
    <row r="1650" customFormat="false" ht="15" hidden="false" customHeight="true" outlineLevel="0" collapsed="false">
      <c r="A1650" s="13" t="s">
        <v>3295</v>
      </c>
      <c r="B1650" s="13" t="s">
        <v>34</v>
      </c>
      <c r="C1650" s="13" t="s">
        <v>3296</v>
      </c>
      <c r="D1650" s="13" t="n">
        <v>53</v>
      </c>
      <c r="E1650" s="13" t="s">
        <v>83</v>
      </c>
      <c r="F1650" s="13" t="s">
        <v>42</v>
      </c>
      <c r="G1650" s="13" t="s">
        <v>143</v>
      </c>
      <c r="H1650" s="13" t="s">
        <v>41</v>
      </c>
      <c r="I1650" s="13" t="n">
        <v>3</v>
      </c>
      <c r="J1650" s="13" t="n">
        <v>0</v>
      </c>
      <c r="K1650" s="13" t="s">
        <v>85</v>
      </c>
      <c r="L1650" s="13" t="n">
        <v>3</v>
      </c>
      <c r="M1650" s="13" t="n">
        <v>1449563.32</v>
      </c>
      <c r="N1650" s="13" t="n">
        <v>483187.773333333</v>
      </c>
      <c r="O1650" s="13" t="n">
        <v>1521.64</v>
      </c>
      <c r="P1650" s="13" t="n">
        <v>1</v>
      </c>
      <c r="Q1650" s="13" t="n">
        <v>2</v>
      </c>
      <c r="R1650" s="13" t="s">
        <v>86</v>
      </c>
      <c r="S1650" s="13" t="s">
        <v>125</v>
      </c>
      <c r="T1650" s="13" t="n">
        <v>1</v>
      </c>
      <c r="U1650" s="13" t="n">
        <f aca="false">IF(B1650="Individual",1,0)</f>
        <v>1</v>
      </c>
      <c r="V1650" s="13" t="n">
        <f aca="false">IF(B1650="Company",1,0)</f>
        <v>0</v>
      </c>
      <c r="W1650" s="13" t="n">
        <f aca="false">IF(H1650="Home",1,0)</f>
        <v>1</v>
      </c>
      <c r="X1650" s="13" t="n">
        <f aca="false">IF(H1650="Investment",1,0)</f>
        <v>0</v>
      </c>
      <c r="Y1650" s="13" t="n">
        <f aca="false">IF(K1650="Website",1,0)</f>
        <v>1</v>
      </c>
      <c r="Z1650" s="13" t="n">
        <f aca="false">IF(K1650="Agency",1,0)</f>
        <v>0</v>
      </c>
      <c r="AA1650" s="13" t="n">
        <f aca="false">IF(K1650="Client",1,0)</f>
        <v>0</v>
      </c>
      <c r="AB1650" s="13" t="n">
        <f aca="false">(D1650-AVERAGE(D$2:D$2001))/STDEV(D$2:D$2001)</f>
        <v>-0.065562211890028</v>
      </c>
      <c r="AC1650" s="13" t="n">
        <f aca="false">(I1650-AVERAGE(I$2:I$2001))/STDEV(I$2:I$2001)</f>
        <v>-0.0205155458339628</v>
      </c>
      <c r="AD1650" s="13" t="n">
        <f aca="false">(L1650-AVERAGE(L$2:L$2001))/STDEV(L$2:L$2001)</f>
        <v>-0.777063122173208</v>
      </c>
      <c r="AE1650" s="13" t="n">
        <f aca="false">(M1650-AVERAGE(M$2:M$2001))/STDEV(M$2:M$2001)</f>
        <v>0.543907880214765</v>
      </c>
      <c r="AF1650" s="13" t="n">
        <f aca="false">(N1650-AVERAGE(N$2:N$2001))/STDEV(N$2:N$2001)</f>
        <v>1.95201177942967</v>
      </c>
      <c r="AG1650" s="13" t="n">
        <f aca="false">(O1650-AVERAGE(O$2:O$2001))/STDEV(O$2:O$2001)</f>
        <v>1.70132744061343</v>
      </c>
      <c r="AH1650" s="0" t="str">
        <f aca="false">IF(B1650="Company","C3 - Corporate Buyers",IF(AND(H1650="Investment",M1650&gt;'Segmentation Summary'!$C$1),"C1 - Global Investors",IF(AND(I1650&gt;=4,M1650&gt;'Segmentation Summary'!$C$1),"C4 - Luxury Investors",IF(AND(D1650&lt;'Segmentation Summary'!$C$2,J1650=1),"C2 - First-Time Buyers","C5 - Other Individual Buyers"))))</f>
        <v>C5 - Other Individual Buyers</v>
      </c>
    </row>
    <row r="1651" customFormat="false" ht="15" hidden="false" customHeight="true" outlineLevel="0" collapsed="false">
      <c r="A1651" s="13" t="s">
        <v>3297</v>
      </c>
      <c r="B1651" s="13" t="s">
        <v>34</v>
      </c>
      <c r="C1651" s="13" t="s">
        <v>3298</v>
      </c>
      <c r="D1651" s="13" t="n">
        <v>75</v>
      </c>
      <c r="E1651" s="13" t="s">
        <v>83</v>
      </c>
      <c r="F1651" s="13" t="s">
        <v>33</v>
      </c>
      <c r="G1651" s="13" t="s">
        <v>145</v>
      </c>
      <c r="H1651" s="13" t="s">
        <v>41</v>
      </c>
      <c r="I1651" s="13" t="n">
        <v>2</v>
      </c>
      <c r="J1651" s="13" t="n">
        <v>0</v>
      </c>
      <c r="K1651" s="13" t="s">
        <v>85</v>
      </c>
      <c r="L1651" s="13" t="n">
        <v>3</v>
      </c>
      <c r="M1651" s="13" t="n">
        <v>1343449.34</v>
      </c>
      <c r="N1651" s="13" t="n">
        <v>447816.446666667</v>
      </c>
      <c r="O1651" s="13" t="n">
        <v>1467.89</v>
      </c>
      <c r="P1651" s="13" t="n">
        <v>0</v>
      </c>
      <c r="Q1651" s="13" t="n">
        <v>3</v>
      </c>
      <c r="R1651" s="13" t="s">
        <v>92</v>
      </c>
      <c r="S1651" s="13" t="s">
        <v>124</v>
      </c>
      <c r="T1651" s="13" t="n">
        <v>1</v>
      </c>
      <c r="U1651" s="13" t="n">
        <f aca="false">IF(B1651="Individual",1,0)</f>
        <v>1</v>
      </c>
      <c r="V1651" s="13" t="n">
        <f aca="false">IF(B1651="Company",1,0)</f>
        <v>0</v>
      </c>
      <c r="W1651" s="13" t="n">
        <f aca="false">IF(H1651="Home",1,0)</f>
        <v>1</v>
      </c>
      <c r="X1651" s="13" t="n">
        <f aca="false">IF(H1651="Investment",1,0)</f>
        <v>0</v>
      </c>
      <c r="Y1651" s="13" t="n">
        <f aca="false">IF(K1651="Website",1,0)</f>
        <v>1</v>
      </c>
      <c r="Z1651" s="13" t="n">
        <f aca="false">IF(K1651="Agency",1,0)</f>
        <v>0</v>
      </c>
      <c r="AA1651" s="13" t="n">
        <f aca="false">IF(K1651="Client",1,0)</f>
        <v>0</v>
      </c>
      <c r="AB1651" s="13" t="n">
        <f aca="false">(D1651-AVERAGE(D$2:D$2001))/STDEV(D$2:D$2001)</f>
        <v>1.2030118088493</v>
      </c>
      <c r="AC1651" s="13" t="n">
        <f aca="false">(I1651-AVERAGE(I$2:I$2001))/STDEV(I$2:I$2001)</f>
        <v>-0.727948160798201</v>
      </c>
      <c r="AD1651" s="13" t="n">
        <f aca="false">(L1651-AVERAGE(L$2:L$2001))/STDEV(L$2:L$2001)</f>
        <v>-0.777063122173208</v>
      </c>
      <c r="AE1651" s="13" t="n">
        <f aca="false">(M1651-AVERAGE(M$2:M$2001))/STDEV(M$2:M$2001)</f>
        <v>0.238834202905045</v>
      </c>
      <c r="AF1651" s="13" t="n">
        <f aca="false">(N1651-AVERAGE(N$2:N$2001))/STDEV(N$2:N$2001)</f>
        <v>1.44469103326453</v>
      </c>
      <c r="AG1651" s="13" t="n">
        <f aca="false">(O1651-AVERAGE(O$2:O$2001))/STDEV(O$2:O$2001)</f>
        <v>1.45692325847372</v>
      </c>
      <c r="AH1651" s="0" t="str">
        <f aca="false">IF(B1651="Company","C3 - Corporate Buyers",IF(AND(H1651="Investment",M1651&gt;'Segmentation Summary'!$C$1),"C1 - Global Investors",IF(AND(I1651&gt;=4,M1651&gt;'Segmentation Summary'!$C$1),"C4 - Luxury Investors",IF(AND(D1651&lt;'Segmentation Summary'!$C$2,J1651=1),"C2 - First-Time Buyers","C5 - Other Individual Buyers"))))</f>
        <v>C5 - Other Individual Buyers</v>
      </c>
    </row>
    <row r="1652" customFormat="false" ht="15" hidden="false" customHeight="true" outlineLevel="0" collapsed="false">
      <c r="A1652" s="13" t="s">
        <v>3299</v>
      </c>
      <c r="B1652" s="13" t="s">
        <v>34</v>
      </c>
      <c r="C1652" s="13" t="s">
        <v>3300</v>
      </c>
      <c r="D1652" s="13" t="n">
        <v>73</v>
      </c>
      <c r="E1652" s="13" t="s">
        <v>90</v>
      </c>
      <c r="F1652" s="13" t="s">
        <v>33</v>
      </c>
      <c r="G1652" s="13" t="s">
        <v>95</v>
      </c>
      <c r="H1652" s="13" t="s">
        <v>41</v>
      </c>
      <c r="I1652" s="13" t="n">
        <v>5</v>
      </c>
      <c r="J1652" s="13" t="n">
        <v>0</v>
      </c>
      <c r="K1652" s="13" t="s">
        <v>116</v>
      </c>
      <c r="L1652" s="13" t="n">
        <v>3</v>
      </c>
      <c r="M1652" s="13" t="n">
        <v>761353.26</v>
      </c>
      <c r="N1652" s="13" t="n">
        <v>253784.42</v>
      </c>
      <c r="O1652" s="13" t="n">
        <v>849.636666666667</v>
      </c>
      <c r="P1652" s="13" t="n">
        <v>0</v>
      </c>
      <c r="Q1652" s="13" t="n">
        <v>3</v>
      </c>
      <c r="R1652" s="13" t="s">
        <v>101</v>
      </c>
      <c r="S1652" s="13" t="s">
        <v>150</v>
      </c>
      <c r="T1652" s="13" t="n">
        <v>1</v>
      </c>
      <c r="U1652" s="13" t="n">
        <f aca="false">IF(B1652="Individual",1,0)</f>
        <v>1</v>
      </c>
      <c r="V1652" s="13" t="n">
        <f aca="false">IF(B1652="Company",1,0)</f>
        <v>0</v>
      </c>
      <c r="W1652" s="13" t="n">
        <f aca="false">IF(H1652="Home",1,0)</f>
        <v>1</v>
      </c>
      <c r="X1652" s="13" t="n">
        <f aca="false">IF(H1652="Investment",1,0)</f>
        <v>0</v>
      </c>
      <c r="Y1652" s="13" t="n">
        <f aca="false">IF(K1652="Website",1,0)</f>
        <v>0</v>
      </c>
      <c r="Z1652" s="13" t="n">
        <f aca="false">IF(K1652="Agency",1,0)</f>
        <v>0</v>
      </c>
      <c r="AA1652" s="13" t="n">
        <f aca="false">IF(K1652="Client",1,0)</f>
        <v>1</v>
      </c>
      <c r="AB1652" s="13" t="n">
        <f aca="false">(D1652-AVERAGE(D$2:D$2001))/STDEV(D$2:D$2001)</f>
        <v>1.087686897873</v>
      </c>
      <c r="AC1652" s="13" t="n">
        <f aca="false">(I1652-AVERAGE(I$2:I$2001))/STDEV(I$2:I$2001)</f>
        <v>1.39434968409451</v>
      </c>
      <c r="AD1652" s="13" t="n">
        <f aca="false">(L1652-AVERAGE(L$2:L$2001))/STDEV(L$2:L$2001)</f>
        <v>-0.777063122173208</v>
      </c>
      <c r="AE1652" s="13" t="n">
        <f aca="false">(M1652-AVERAGE(M$2:M$2001))/STDEV(M$2:M$2001)</f>
        <v>-1.43467000147192</v>
      </c>
      <c r="AF1652" s="13" t="n">
        <f aca="false">(N1652-AVERAGE(N$2:N$2001))/STDEV(N$2:N$2001)</f>
        <v>-1.33825441506764</v>
      </c>
      <c r="AG1652" s="13" t="n">
        <f aca="false">(O1652-AVERAGE(O$2:O$2001))/STDEV(O$2:O$2001)</f>
        <v>-1.35430837480035</v>
      </c>
      <c r="AH1652" s="0" t="str">
        <f aca="false">IF(B1652="Company","C3 - Corporate Buyers",IF(AND(H1652="Investment",M1652&gt;'Segmentation Summary'!$C$1),"C1 - Global Investors",IF(AND(I1652&gt;=4,M1652&gt;'Segmentation Summary'!$C$1),"C4 - Luxury Investors",IF(AND(D1652&lt;'Segmentation Summary'!$C$2,J1652=1),"C2 - First-Time Buyers","C5 - Other Individual Buyers"))))</f>
        <v>C5 - Other Individual Buyers</v>
      </c>
    </row>
    <row r="1653" customFormat="false" ht="15" hidden="false" customHeight="true" outlineLevel="0" collapsed="false">
      <c r="A1653" s="13" t="s">
        <v>3301</v>
      </c>
      <c r="B1653" s="13" t="s">
        <v>34</v>
      </c>
      <c r="C1653" s="13" t="s">
        <v>3302</v>
      </c>
      <c r="D1653" s="13" t="n">
        <v>83</v>
      </c>
      <c r="E1653" s="13" t="s">
        <v>90</v>
      </c>
      <c r="F1653" s="13" t="s">
        <v>33</v>
      </c>
      <c r="G1653" s="13" t="s">
        <v>207</v>
      </c>
      <c r="H1653" s="13" t="s">
        <v>41</v>
      </c>
      <c r="I1653" s="13" t="n">
        <v>3</v>
      </c>
      <c r="J1653" s="13" t="n">
        <v>0</v>
      </c>
      <c r="K1653" s="13" t="s">
        <v>85</v>
      </c>
      <c r="L1653" s="13" t="n">
        <v>3</v>
      </c>
      <c r="M1653" s="13" t="n">
        <v>974840.03</v>
      </c>
      <c r="N1653" s="13" t="n">
        <v>324946.676666667</v>
      </c>
      <c r="O1653" s="13" t="n">
        <v>1060.11333333333</v>
      </c>
      <c r="P1653" s="13" t="n">
        <v>2</v>
      </c>
      <c r="Q1653" s="13" t="n">
        <v>1</v>
      </c>
      <c r="R1653" s="13" t="s">
        <v>98</v>
      </c>
      <c r="S1653" s="13" t="s">
        <v>121</v>
      </c>
      <c r="T1653" s="13" t="n">
        <v>1</v>
      </c>
      <c r="U1653" s="13" t="n">
        <f aca="false">IF(B1653="Individual",1,0)</f>
        <v>1</v>
      </c>
      <c r="V1653" s="13" t="n">
        <f aca="false">IF(B1653="Company",1,0)</f>
        <v>0</v>
      </c>
      <c r="W1653" s="13" t="n">
        <f aca="false">IF(H1653="Home",1,0)</f>
        <v>1</v>
      </c>
      <c r="X1653" s="13" t="n">
        <f aca="false">IF(H1653="Investment",1,0)</f>
        <v>0</v>
      </c>
      <c r="Y1653" s="13" t="n">
        <f aca="false">IF(K1653="Website",1,0)</f>
        <v>1</v>
      </c>
      <c r="Z1653" s="13" t="n">
        <f aca="false">IF(K1653="Agency",1,0)</f>
        <v>0</v>
      </c>
      <c r="AA1653" s="13" t="n">
        <f aca="false">IF(K1653="Client",1,0)</f>
        <v>0</v>
      </c>
      <c r="AB1653" s="13" t="n">
        <f aca="false">(D1653-AVERAGE(D$2:D$2001))/STDEV(D$2:D$2001)</f>
        <v>1.66431145275451</v>
      </c>
      <c r="AC1653" s="13" t="n">
        <f aca="false">(I1653-AVERAGE(I$2:I$2001))/STDEV(I$2:I$2001)</f>
        <v>-0.0205155458339628</v>
      </c>
      <c r="AD1653" s="13" t="n">
        <f aca="false">(L1653-AVERAGE(L$2:L$2001))/STDEV(L$2:L$2001)</f>
        <v>-0.777063122173208</v>
      </c>
      <c r="AE1653" s="13" t="n">
        <f aca="false">(M1653-AVERAGE(M$2:M$2001))/STDEV(M$2:M$2001)</f>
        <v>-0.820903615733919</v>
      </c>
      <c r="AF1653" s="13" t="n">
        <f aca="false">(N1653-AVERAGE(N$2:N$2001))/STDEV(N$2:N$2001)</f>
        <v>-0.317594673035639</v>
      </c>
      <c r="AG1653" s="13" t="n">
        <f aca="false">(O1653-AVERAGE(O$2:O$2001))/STDEV(O$2:O$2001)</f>
        <v>-0.397259489662532</v>
      </c>
      <c r="AH1653" s="0" t="str">
        <f aca="false">IF(B1653="Company","C3 - Corporate Buyers",IF(AND(H1653="Investment",M1653&gt;'Segmentation Summary'!$C$1),"C1 - Global Investors",IF(AND(I1653&gt;=4,M1653&gt;'Segmentation Summary'!$C$1),"C4 - Luxury Investors",IF(AND(D1653&lt;'Segmentation Summary'!$C$2,J1653=1),"C2 - First-Time Buyers","C5 - Other Individual Buyers"))))</f>
        <v>C5 - Other Individual Buyers</v>
      </c>
    </row>
    <row r="1654" customFormat="false" ht="15" hidden="false" customHeight="true" outlineLevel="0" collapsed="false">
      <c r="A1654" s="13" t="s">
        <v>3303</v>
      </c>
      <c r="B1654" s="13" t="s">
        <v>34</v>
      </c>
      <c r="C1654" s="13" t="s">
        <v>3304</v>
      </c>
      <c r="D1654" s="13" t="n">
        <v>57</v>
      </c>
      <c r="E1654" s="13" t="s">
        <v>90</v>
      </c>
      <c r="F1654" s="13" t="s">
        <v>33</v>
      </c>
      <c r="G1654" s="13" t="s">
        <v>95</v>
      </c>
      <c r="H1654" s="13" t="s">
        <v>41</v>
      </c>
      <c r="I1654" s="13" t="n">
        <v>1</v>
      </c>
      <c r="J1654" s="13" t="n">
        <v>1</v>
      </c>
      <c r="K1654" s="13" t="s">
        <v>116</v>
      </c>
      <c r="L1654" s="13" t="n">
        <v>4</v>
      </c>
      <c r="M1654" s="13" t="n">
        <v>1756965.37</v>
      </c>
      <c r="N1654" s="13" t="n">
        <v>439241.3425</v>
      </c>
      <c r="O1654" s="13" t="n">
        <v>1458.93</v>
      </c>
      <c r="P1654" s="13" t="n">
        <v>1</v>
      </c>
      <c r="Q1654" s="13" t="n">
        <v>3</v>
      </c>
      <c r="R1654" s="13" t="s">
        <v>92</v>
      </c>
      <c r="S1654" s="13" t="s">
        <v>150</v>
      </c>
      <c r="T1654" s="13" t="n">
        <v>1</v>
      </c>
      <c r="U1654" s="13" t="n">
        <f aca="false">IF(B1654="Individual",1,0)</f>
        <v>1</v>
      </c>
      <c r="V1654" s="13" t="n">
        <f aca="false">IF(B1654="Company",1,0)</f>
        <v>0</v>
      </c>
      <c r="W1654" s="13" t="n">
        <f aca="false">IF(H1654="Home",1,0)</f>
        <v>1</v>
      </c>
      <c r="X1654" s="13" t="n">
        <f aca="false">IF(H1654="Investment",1,0)</f>
        <v>0</v>
      </c>
      <c r="Y1654" s="13" t="n">
        <f aca="false">IF(K1654="Website",1,0)</f>
        <v>0</v>
      </c>
      <c r="Z1654" s="13" t="n">
        <f aca="false">IF(K1654="Agency",1,0)</f>
        <v>0</v>
      </c>
      <c r="AA1654" s="13" t="n">
        <f aca="false">IF(K1654="Client",1,0)</f>
        <v>1</v>
      </c>
      <c r="AB1654" s="13" t="n">
        <f aca="false">(D1654-AVERAGE(D$2:D$2001))/STDEV(D$2:D$2001)</f>
        <v>0.165087610062577</v>
      </c>
      <c r="AC1654" s="13" t="n">
        <f aca="false">(I1654-AVERAGE(I$2:I$2001))/STDEV(I$2:I$2001)</f>
        <v>-1.43538077576244</v>
      </c>
      <c r="AD1654" s="13" t="n">
        <f aca="false">(L1654-AVERAGE(L$2:L$2001))/STDEV(L$2:L$2001)</f>
        <v>0.413838214490712</v>
      </c>
      <c r="AE1654" s="13" t="n">
        <f aca="false">(M1654-AVERAGE(M$2:M$2001))/STDEV(M$2:M$2001)</f>
        <v>1.42767714234259</v>
      </c>
      <c r="AF1654" s="13" t="n">
        <f aca="false">(N1654-AVERAGE(N$2:N$2001))/STDEV(N$2:N$2001)</f>
        <v>1.32170078511031</v>
      </c>
      <c r="AG1654" s="13" t="n">
        <f aca="false">(O1654-AVERAGE(O$2:O$2001))/STDEV(O$2:O$2001)</f>
        <v>1.41618164969285</v>
      </c>
      <c r="AH1654" s="0" t="str">
        <f aca="false">IF(B1654="Company","C3 - Corporate Buyers",IF(AND(H1654="Investment",M1654&gt;'Segmentation Summary'!$C$1),"C1 - Global Investors",IF(AND(I1654&gt;=4,M1654&gt;'Segmentation Summary'!$C$1),"C4 - Luxury Investors",IF(AND(D1654&lt;'Segmentation Summary'!$C$2,J1654=1),"C2 - First-Time Buyers","C5 - Other Individual Buyers"))))</f>
        <v>C5 - Other Individual Buyers</v>
      </c>
    </row>
    <row r="1655" customFormat="false" ht="15" hidden="false" customHeight="true" outlineLevel="0" collapsed="false">
      <c r="A1655" s="13" t="s">
        <v>3305</v>
      </c>
      <c r="B1655" s="13" t="s">
        <v>34</v>
      </c>
      <c r="C1655" s="13" t="s">
        <v>3306</v>
      </c>
      <c r="D1655" s="13" t="n">
        <v>78</v>
      </c>
      <c r="E1655" s="13" t="s">
        <v>90</v>
      </c>
      <c r="F1655" s="13" t="s">
        <v>33</v>
      </c>
      <c r="G1655" s="13" t="s">
        <v>95</v>
      </c>
      <c r="H1655" s="13" t="s">
        <v>41</v>
      </c>
      <c r="I1655" s="13" t="n">
        <v>3</v>
      </c>
      <c r="J1655" s="13" t="n">
        <v>0</v>
      </c>
      <c r="K1655" s="13" t="s">
        <v>85</v>
      </c>
      <c r="L1655" s="13" t="n">
        <v>4</v>
      </c>
      <c r="M1655" s="13" t="n">
        <v>1821912.87</v>
      </c>
      <c r="N1655" s="13" t="n">
        <v>455478.2175</v>
      </c>
      <c r="O1655" s="13" t="n">
        <v>1482.5875</v>
      </c>
      <c r="P1655" s="13" t="n">
        <v>0</v>
      </c>
      <c r="Q1655" s="13" t="n">
        <v>4</v>
      </c>
      <c r="R1655" s="13" t="s">
        <v>92</v>
      </c>
      <c r="S1655" s="13" t="s">
        <v>128</v>
      </c>
      <c r="T1655" s="13" t="n">
        <v>1</v>
      </c>
      <c r="U1655" s="13" t="n">
        <f aca="false">IF(B1655="Individual",1,0)</f>
        <v>1</v>
      </c>
      <c r="V1655" s="13" t="n">
        <f aca="false">IF(B1655="Company",1,0)</f>
        <v>0</v>
      </c>
      <c r="W1655" s="13" t="n">
        <f aca="false">IF(H1655="Home",1,0)</f>
        <v>1</v>
      </c>
      <c r="X1655" s="13" t="n">
        <f aca="false">IF(H1655="Investment",1,0)</f>
        <v>0</v>
      </c>
      <c r="Y1655" s="13" t="n">
        <f aca="false">IF(K1655="Website",1,0)</f>
        <v>1</v>
      </c>
      <c r="Z1655" s="13" t="n">
        <f aca="false">IF(K1655="Agency",1,0)</f>
        <v>0</v>
      </c>
      <c r="AA1655" s="13" t="n">
        <f aca="false">IF(K1655="Client",1,0)</f>
        <v>0</v>
      </c>
      <c r="AB1655" s="13" t="n">
        <f aca="false">(D1655-AVERAGE(D$2:D$2001))/STDEV(D$2:D$2001)</f>
        <v>1.37599917531375</v>
      </c>
      <c r="AC1655" s="13" t="n">
        <f aca="false">(I1655-AVERAGE(I$2:I$2001))/STDEV(I$2:I$2001)</f>
        <v>-0.0205155458339628</v>
      </c>
      <c r="AD1655" s="13" t="n">
        <f aca="false">(L1655-AVERAGE(L$2:L$2001))/STDEV(L$2:L$2001)</f>
        <v>0.413838214490712</v>
      </c>
      <c r="AE1655" s="13" t="n">
        <f aca="false">(M1655-AVERAGE(M$2:M$2001))/STDEV(M$2:M$2001)</f>
        <v>1.61439874732878</v>
      </c>
      <c r="AF1655" s="13" t="n">
        <f aca="false">(N1655-AVERAGE(N$2:N$2001))/STDEV(N$2:N$2001)</f>
        <v>1.55458160459489</v>
      </c>
      <c r="AG1655" s="13" t="n">
        <f aca="false">(O1655-AVERAGE(O$2:O$2001))/STDEV(O$2:O$2001)</f>
        <v>1.52375359274346</v>
      </c>
      <c r="AH1655" s="0" t="str">
        <f aca="false">IF(B1655="Company","C3 - Corporate Buyers",IF(AND(H1655="Investment",M1655&gt;'Segmentation Summary'!$C$1),"C1 - Global Investors",IF(AND(I1655&gt;=4,M1655&gt;'Segmentation Summary'!$C$1),"C4 - Luxury Investors",IF(AND(D1655&lt;'Segmentation Summary'!$C$2,J1655=1),"C2 - First-Time Buyers","C5 - Other Individual Buyers"))))</f>
        <v>C5 - Other Individual Buyers</v>
      </c>
    </row>
    <row r="1656" customFormat="false" ht="15" hidden="false" customHeight="true" outlineLevel="0" collapsed="false">
      <c r="A1656" s="13" t="s">
        <v>3307</v>
      </c>
      <c r="B1656" s="13" t="s">
        <v>34</v>
      </c>
      <c r="C1656" s="13" t="s">
        <v>3308</v>
      </c>
      <c r="D1656" s="13" t="n">
        <v>72</v>
      </c>
      <c r="E1656" s="13" t="s">
        <v>90</v>
      </c>
      <c r="F1656" s="13" t="s">
        <v>33</v>
      </c>
      <c r="G1656" s="13" t="s">
        <v>123</v>
      </c>
      <c r="H1656" s="13" t="s">
        <v>41</v>
      </c>
      <c r="I1656" s="13" t="n">
        <v>1</v>
      </c>
      <c r="J1656" s="13" t="n">
        <v>1</v>
      </c>
      <c r="K1656" s="13" t="s">
        <v>91</v>
      </c>
      <c r="L1656" s="13" t="n">
        <v>3</v>
      </c>
      <c r="M1656" s="13" t="n">
        <v>976066.93</v>
      </c>
      <c r="N1656" s="13" t="n">
        <v>325355.643333333</v>
      </c>
      <c r="O1656" s="13" t="n">
        <v>1155.69666666667</v>
      </c>
      <c r="P1656" s="13" t="n">
        <v>0</v>
      </c>
      <c r="Q1656" s="13" t="n">
        <v>3</v>
      </c>
      <c r="R1656" s="13" t="s">
        <v>111</v>
      </c>
      <c r="S1656" s="13" t="s">
        <v>133</v>
      </c>
      <c r="T1656" s="13" t="n">
        <v>1</v>
      </c>
      <c r="U1656" s="13" t="n">
        <f aca="false">IF(B1656="Individual",1,0)</f>
        <v>1</v>
      </c>
      <c r="V1656" s="13" t="n">
        <f aca="false">IF(B1656="Company",1,0)</f>
        <v>0</v>
      </c>
      <c r="W1656" s="13" t="n">
        <f aca="false">IF(H1656="Home",1,0)</f>
        <v>1</v>
      </c>
      <c r="X1656" s="13" t="n">
        <f aca="false">IF(H1656="Investment",1,0)</f>
        <v>0</v>
      </c>
      <c r="Y1656" s="13" t="n">
        <f aca="false">IF(K1656="Website",1,0)</f>
        <v>0</v>
      </c>
      <c r="Z1656" s="13" t="n">
        <f aca="false">IF(K1656="Agency",1,0)</f>
        <v>1</v>
      </c>
      <c r="AA1656" s="13" t="n">
        <f aca="false">IF(K1656="Client",1,0)</f>
        <v>0</v>
      </c>
      <c r="AB1656" s="13" t="n">
        <f aca="false">(D1656-AVERAGE(D$2:D$2001))/STDEV(D$2:D$2001)</f>
        <v>1.03002444238485</v>
      </c>
      <c r="AC1656" s="13" t="n">
        <f aca="false">(I1656-AVERAGE(I$2:I$2001))/STDEV(I$2:I$2001)</f>
        <v>-1.43538077576244</v>
      </c>
      <c r="AD1656" s="13" t="n">
        <f aca="false">(L1656-AVERAGE(L$2:L$2001))/STDEV(L$2:L$2001)</f>
        <v>-0.777063122173208</v>
      </c>
      <c r="AE1656" s="13" t="n">
        <f aca="false">(M1656-AVERAGE(M$2:M$2001))/STDEV(M$2:M$2001)</f>
        <v>-0.817376324657933</v>
      </c>
      <c r="AF1656" s="13" t="n">
        <f aca="false">(N1656-AVERAGE(N$2:N$2001))/STDEV(N$2:N$2001)</f>
        <v>-0.311728981979012</v>
      </c>
      <c r="AG1656" s="13" t="n">
        <f aca="false">(O1656-AVERAGE(O$2:O$2001))/STDEV(O$2:O$2001)</f>
        <v>0.0373631412122963</v>
      </c>
      <c r="AH1656" s="0" t="str">
        <f aca="false">IF(B1656="Company","C3 - Corporate Buyers",IF(AND(H1656="Investment",M1656&gt;'Segmentation Summary'!$C$1),"C1 - Global Investors",IF(AND(I1656&gt;=4,M1656&gt;'Segmentation Summary'!$C$1),"C4 - Luxury Investors",IF(AND(D1656&lt;'Segmentation Summary'!$C$2,J1656=1),"C2 - First-Time Buyers","C5 - Other Individual Buyers"))))</f>
        <v>C5 - Other Individual Buyers</v>
      </c>
    </row>
    <row r="1657" customFormat="false" ht="15" hidden="false" customHeight="true" outlineLevel="0" collapsed="false">
      <c r="A1657" s="13" t="s">
        <v>3309</v>
      </c>
      <c r="B1657" s="13" t="s">
        <v>34</v>
      </c>
      <c r="C1657" s="13" t="s">
        <v>3310</v>
      </c>
      <c r="D1657" s="13" t="n">
        <v>27</v>
      </c>
      <c r="E1657" s="13" t="s">
        <v>90</v>
      </c>
      <c r="F1657" s="13" t="s">
        <v>33</v>
      </c>
      <c r="G1657" s="13" t="s">
        <v>97</v>
      </c>
      <c r="H1657" s="13" t="s">
        <v>41</v>
      </c>
      <c r="I1657" s="13" t="n">
        <v>4</v>
      </c>
      <c r="J1657" s="13" t="n">
        <v>0</v>
      </c>
      <c r="K1657" s="13" t="s">
        <v>91</v>
      </c>
      <c r="L1657" s="13" t="n">
        <v>4</v>
      </c>
      <c r="M1657" s="13" t="n">
        <v>1056750.03</v>
      </c>
      <c r="N1657" s="13" t="n">
        <v>264187.5075</v>
      </c>
      <c r="O1657" s="13" t="n">
        <v>901.245</v>
      </c>
      <c r="P1657" s="13" t="n">
        <v>0</v>
      </c>
      <c r="Q1657" s="13" t="n">
        <v>4</v>
      </c>
      <c r="R1657" s="13" t="s">
        <v>121</v>
      </c>
      <c r="S1657" s="13" t="s">
        <v>135</v>
      </c>
      <c r="T1657" s="13" t="n">
        <v>1</v>
      </c>
      <c r="U1657" s="13" t="n">
        <f aca="false">IF(B1657="Individual",1,0)</f>
        <v>1</v>
      </c>
      <c r="V1657" s="13" t="n">
        <f aca="false">IF(B1657="Company",1,0)</f>
        <v>0</v>
      </c>
      <c r="W1657" s="13" t="n">
        <f aca="false">IF(H1657="Home",1,0)</f>
        <v>1</v>
      </c>
      <c r="X1657" s="13" t="n">
        <f aca="false">IF(H1657="Investment",1,0)</f>
        <v>0</v>
      </c>
      <c r="Y1657" s="13" t="n">
        <f aca="false">IF(K1657="Website",1,0)</f>
        <v>0</v>
      </c>
      <c r="Z1657" s="13" t="n">
        <f aca="false">IF(K1657="Agency",1,0)</f>
        <v>1</v>
      </c>
      <c r="AA1657" s="13" t="n">
        <f aca="false">IF(K1657="Client",1,0)</f>
        <v>0</v>
      </c>
      <c r="AB1657" s="13" t="n">
        <f aca="false">(D1657-AVERAGE(D$2:D$2001))/STDEV(D$2:D$2001)</f>
        <v>-1.56478605458196</v>
      </c>
      <c r="AC1657" s="13" t="n">
        <f aca="false">(I1657-AVERAGE(I$2:I$2001))/STDEV(I$2:I$2001)</f>
        <v>0.686917069130275</v>
      </c>
      <c r="AD1657" s="13" t="n">
        <f aca="false">(L1657-AVERAGE(L$2:L$2001))/STDEV(L$2:L$2001)</f>
        <v>0.413838214490712</v>
      </c>
      <c r="AE1657" s="13" t="n">
        <f aca="false">(M1657-AVERAGE(M$2:M$2001))/STDEV(M$2:M$2001)</f>
        <v>-0.585415465082711</v>
      </c>
      <c r="AF1657" s="13" t="n">
        <f aca="false">(N1657-AVERAGE(N$2:N$2001))/STDEV(N$2:N$2001)</f>
        <v>-1.18904592869512</v>
      </c>
      <c r="AG1657" s="13" t="n">
        <f aca="false">(O1657-AVERAGE(O$2:O$2001))/STDEV(O$2:O$2001)</f>
        <v>-1.11964246782497</v>
      </c>
      <c r="AH1657" s="0" t="str">
        <f aca="false">IF(B1657="Company","C3 - Corporate Buyers",IF(AND(H1657="Investment",M1657&gt;'Segmentation Summary'!$C$1),"C1 - Global Investors",IF(AND(I1657&gt;=4,M1657&gt;'Segmentation Summary'!$C$1),"C4 - Luxury Investors",IF(AND(D1657&lt;'Segmentation Summary'!$C$2,J1657=1),"C2 - First-Time Buyers","C5 - Other Individual Buyers"))))</f>
        <v>C5 - Other Individual Buyers</v>
      </c>
    </row>
    <row r="1658" customFormat="false" ht="15" hidden="false" customHeight="true" outlineLevel="0" collapsed="false">
      <c r="A1658" s="13" t="s">
        <v>3311</v>
      </c>
      <c r="B1658" s="13" t="s">
        <v>34</v>
      </c>
      <c r="C1658" s="13" t="s">
        <v>3310</v>
      </c>
      <c r="D1658" s="13" t="n">
        <v>47</v>
      </c>
      <c r="E1658" s="13" t="s">
        <v>90</v>
      </c>
      <c r="F1658" s="13" t="s">
        <v>33</v>
      </c>
      <c r="G1658" s="13" t="s">
        <v>157</v>
      </c>
      <c r="H1658" s="13" t="s">
        <v>41</v>
      </c>
      <c r="I1658" s="13" t="n">
        <v>1</v>
      </c>
      <c r="J1658" s="13" t="n">
        <v>1</v>
      </c>
      <c r="K1658" s="13" t="s">
        <v>85</v>
      </c>
      <c r="L1658" s="13" t="n">
        <v>4</v>
      </c>
      <c r="M1658" s="13" t="n">
        <v>1528027.54</v>
      </c>
      <c r="N1658" s="13" t="n">
        <v>382006.885</v>
      </c>
      <c r="O1658" s="13" t="n">
        <v>1316.0375</v>
      </c>
      <c r="P1658" s="13" t="n">
        <v>2</v>
      </c>
      <c r="Q1658" s="13" t="n">
        <v>2</v>
      </c>
      <c r="R1658" s="13" t="s">
        <v>124</v>
      </c>
      <c r="S1658" s="13" t="s">
        <v>164</v>
      </c>
      <c r="T1658" s="13" t="n">
        <v>1</v>
      </c>
      <c r="U1658" s="13" t="n">
        <f aca="false">IF(B1658="Individual",1,0)</f>
        <v>1</v>
      </c>
      <c r="V1658" s="13" t="n">
        <f aca="false">IF(B1658="Company",1,0)</f>
        <v>0</v>
      </c>
      <c r="W1658" s="13" t="n">
        <f aca="false">IF(H1658="Home",1,0)</f>
        <v>1</v>
      </c>
      <c r="X1658" s="13" t="n">
        <f aca="false">IF(H1658="Investment",1,0)</f>
        <v>0</v>
      </c>
      <c r="Y1658" s="13" t="n">
        <f aca="false">IF(K1658="Website",1,0)</f>
        <v>1</v>
      </c>
      <c r="Z1658" s="13" t="n">
        <f aca="false">IF(K1658="Agency",1,0)</f>
        <v>0</v>
      </c>
      <c r="AA1658" s="13" t="n">
        <f aca="false">IF(K1658="Client",1,0)</f>
        <v>0</v>
      </c>
      <c r="AB1658" s="13" t="n">
        <f aca="false">(D1658-AVERAGE(D$2:D$2001))/STDEV(D$2:D$2001)</f>
        <v>-0.411536944818935</v>
      </c>
      <c r="AC1658" s="13" t="n">
        <f aca="false">(I1658-AVERAGE(I$2:I$2001))/STDEV(I$2:I$2001)</f>
        <v>-1.43538077576244</v>
      </c>
      <c r="AD1658" s="13" t="n">
        <f aca="false">(L1658-AVERAGE(L$2:L$2001))/STDEV(L$2:L$2001)</f>
        <v>0.413838214490712</v>
      </c>
      <c r="AE1658" s="13" t="n">
        <f aca="false">(M1658-AVERAGE(M$2:M$2001))/STDEV(M$2:M$2001)</f>
        <v>0.769489543749003</v>
      </c>
      <c r="AF1658" s="13" t="n">
        <f aca="false">(N1658-AVERAGE(N$2:N$2001))/STDEV(N$2:N$2001)</f>
        <v>0.50080345324345</v>
      </c>
      <c r="AG1658" s="13" t="n">
        <f aca="false">(O1658-AVERAGE(O$2:O$2001))/STDEV(O$2:O$2001)</f>
        <v>0.766441657201724</v>
      </c>
      <c r="AH1658" s="0" t="str">
        <f aca="false">IF(B1658="Company","C3 - Corporate Buyers",IF(AND(H1658="Investment",M1658&gt;'Segmentation Summary'!$C$1),"C1 - Global Investors",IF(AND(I1658&gt;=4,M1658&gt;'Segmentation Summary'!$C$1),"C4 - Luxury Investors",IF(AND(D1658&lt;'Segmentation Summary'!$C$2,J1658=1),"C2 - First-Time Buyers","C5 - Other Individual Buyers"))))</f>
        <v>C2 - First-Time Buyers</v>
      </c>
    </row>
    <row r="1659" customFormat="false" ht="15" hidden="false" customHeight="true" outlineLevel="0" collapsed="false">
      <c r="A1659" s="13" t="s">
        <v>3312</v>
      </c>
      <c r="B1659" s="13" t="s">
        <v>34</v>
      </c>
      <c r="C1659" s="13" t="s">
        <v>3313</v>
      </c>
      <c r="D1659" s="13" t="n">
        <v>49</v>
      </c>
      <c r="E1659" s="13" t="s">
        <v>90</v>
      </c>
      <c r="F1659" s="13" t="s">
        <v>33</v>
      </c>
      <c r="G1659" s="13" t="s">
        <v>162</v>
      </c>
      <c r="H1659" s="13" t="s">
        <v>43</v>
      </c>
      <c r="I1659" s="13" t="n">
        <v>5</v>
      </c>
      <c r="J1659" s="13" t="n">
        <v>1</v>
      </c>
      <c r="K1659" s="13" t="s">
        <v>85</v>
      </c>
      <c r="L1659" s="13" t="n">
        <v>4</v>
      </c>
      <c r="M1659" s="13" t="n">
        <v>1268059.13</v>
      </c>
      <c r="N1659" s="13" t="n">
        <v>317014.7825</v>
      </c>
      <c r="O1659" s="13" t="n">
        <v>1008.395</v>
      </c>
      <c r="P1659" s="13" t="n">
        <v>1</v>
      </c>
      <c r="Q1659" s="13" t="n">
        <v>3</v>
      </c>
      <c r="R1659" s="13" t="s">
        <v>92</v>
      </c>
      <c r="S1659" s="13" t="s">
        <v>93</v>
      </c>
      <c r="T1659" s="13" t="n">
        <v>1</v>
      </c>
      <c r="U1659" s="13" t="n">
        <f aca="false">IF(B1659="Individual",1,0)</f>
        <v>1</v>
      </c>
      <c r="V1659" s="13" t="n">
        <f aca="false">IF(B1659="Company",1,0)</f>
        <v>0</v>
      </c>
      <c r="W1659" s="13" t="n">
        <f aca="false">IF(H1659="Home",1,0)</f>
        <v>0</v>
      </c>
      <c r="X1659" s="13" t="n">
        <f aca="false">IF(H1659="Investment",1,0)</f>
        <v>1</v>
      </c>
      <c r="Y1659" s="13" t="n">
        <f aca="false">IF(K1659="Website",1,0)</f>
        <v>1</v>
      </c>
      <c r="Z1659" s="13" t="n">
        <f aca="false">IF(K1659="Agency",1,0)</f>
        <v>0</v>
      </c>
      <c r="AA1659" s="13" t="n">
        <f aca="false">IF(K1659="Client",1,0)</f>
        <v>0</v>
      </c>
      <c r="AB1659" s="13" t="n">
        <f aca="false">(D1659-AVERAGE(D$2:D$2001))/STDEV(D$2:D$2001)</f>
        <v>-0.296212033842633</v>
      </c>
      <c r="AC1659" s="13" t="n">
        <f aca="false">(I1659-AVERAGE(I$2:I$2001))/STDEV(I$2:I$2001)</f>
        <v>1.39434968409451</v>
      </c>
      <c r="AD1659" s="13" t="n">
        <f aca="false">(L1659-AVERAGE(L$2:L$2001))/STDEV(L$2:L$2001)</f>
        <v>0.413838214490712</v>
      </c>
      <c r="AE1659" s="13" t="n">
        <f aca="false">(M1659-AVERAGE(M$2:M$2001))/STDEV(M$2:M$2001)</f>
        <v>0.0220902018049818</v>
      </c>
      <c r="AF1659" s="13" t="n">
        <f aca="false">(N1659-AVERAGE(N$2:N$2001))/STDEV(N$2:N$2001)</f>
        <v>-0.431359545500224</v>
      </c>
      <c r="AG1659" s="13" t="n">
        <f aca="false">(O1659-AVERAGE(O$2:O$2001))/STDEV(O$2:O$2001)</f>
        <v>-0.632425572638556</v>
      </c>
      <c r="AH1659" s="0" t="str">
        <f aca="false">IF(B1659="Company","C3 - Corporate Buyers",IF(AND(H1659="Investment",M1659&gt;'Segmentation Summary'!$C$1),"C1 - Global Investors",IF(AND(I1659&gt;=4,M1659&gt;'Segmentation Summary'!$C$1),"C4 - Luxury Investors",IF(AND(D1659&lt;'Segmentation Summary'!$C$2,J1659=1),"C2 - First-Time Buyers","C5 - Other Individual Buyers"))))</f>
        <v>C1 - Global Investors</v>
      </c>
    </row>
    <row r="1660" customFormat="false" ht="15" hidden="false" customHeight="true" outlineLevel="0" collapsed="false">
      <c r="A1660" s="13" t="s">
        <v>3314</v>
      </c>
      <c r="B1660" s="13" t="s">
        <v>34</v>
      </c>
      <c r="C1660" s="13" t="s">
        <v>3315</v>
      </c>
      <c r="D1660" s="13" t="n">
        <v>79</v>
      </c>
      <c r="E1660" s="13" t="s">
        <v>90</v>
      </c>
      <c r="F1660" s="13" t="s">
        <v>33</v>
      </c>
      <c r="G1660" s="13" t="s">
        <v>84</v>
      </c>
      <c r="H1660" s="13" t="s">
        <v>41</v>
      </c>
      <c r="I1660" s="13" t="n">
        <v>2</v>
      </c>
      <c r="J1660" s="13" t="n">
        <v>0</v>
      </c>
      <c r="K1660" s="13" t="s">
        <v>91</v>
      </c>
      <c r="L1660" s="13" t="n">
        <v>4</v>
      </c>
      <c r="M1660" s="13" t="n">
        <v>1325783.46</v>
      </c>
      <c r="N1660" s="13" t="n">
        <v>331445.865</v>
      </c>
      <c r="O1660" s="13" t="n">
        <v>1122.0925</v>
      </c>
      <c r="P1660" s="13" t="n">
        <v>0</v>
      </c>
      <c r="Q1660" s="13" t="n">
        <v>4</v>
      </c>
      <c r="R1660" s="13" t="s">
        <v>117</v>
      </c>
      <c r="S1660" s="13" t="s">
        <v>107</v>
      </c>
      <c r="T1660" s="13" t="n">
        <v>1</v>
      </c>
      <c r="U1660" s="13" t="n">
        <f aca="false">IF(B1660="Individual",1,0)</f>
        <v>1</v>
      </c>
      <c r="V1660" s="13" t="n">
        <f aca="false">IF(B1660="Company",1,0)</f>
        <v>0</v>
      </c>
      <c r="W1660" s="13" t="n">
        <f aca="false">IF(H1660="Home",1,0)</f>
        <v>1</v>
      </c>
      <c r="X1660" s="13" t="n">
        <f aca="false">IF(H1660="Investment",1,0)</f>
        <v>0</v>
      </c>
      <c r="Y1660" s="13" t="n">
        <f aca="false">IF(K1660="Website",1,0)</f>
        <v>0</v>
      </c>
      <c r="Z1660" s="13" t="n">
        <f aca="false">IF(K1660="Agency",1,0)</f>
        <v>1</v>
      </c>
      <c r="AA1660" s="13" t="n">
        <f aca="false">IF(K1660="Client",1,0)</f>
        <v>0</v>
      </c>
      <c r="AB1660" s="13" t="n">
        <f aca="false">(D1660-AVERAGE(D$2:D$2001))/STDEV(D$2:D$2001)</f>
        <v>1.4336616308019</v>
      </c>
      <c r="AC1660" s="13" t="n">
        <f aca="false">(I1660-AVERAGE(I$2:I$2001))/STDEV(I$2:I$2001)</f>
        <v>-0.727948160798201</v>
      </c>
      <c r="AD1660" s="13" t="n">
        <f aca="false">(L1660-AVERAGE(L$2:L$2001))/STDEV(L$2:L$2001)</f>
        <v>0.413838214490712</v>
      </c>
      <c r="AE1660" s="13" t="n">
        <f aca="false">(M1660-AVERAGE(M$2:M$2001))/STDEV(M$2:M$2001)</f>
        <v>0.188045466354854</v>
      </c>
      <c r="AF1660" s="13" t="n">
        <f aca="false">(N1660-AVERAGE(N$2:N$2001))/STDEV(N$2:N$2001)</f>
        <v>-0.224378687505711</v>
      </c>
      <c r="AG1660" s="13" t="n">
        <f aca="false">(O1660-AVERAGE(O$2:O$2001))/STDEV(O$2:O$2001)</f>
        <v>-0.115436837776613</v>
      </c>
      <c r="AH1660" s="0" t="str">
        <f aca="false">IF(B1660="Company","C3 - Corporate Buyers",IF(AND(H1660="Investment",M1660&gt;'Segmentation Summary'!$C$1),"C1 - Global Investors",IF(AND(I1660&gt;=4,M1660&gt;'Segmentation Summary'!$C$1),"C4 - Luxury Investors",IF(AND(D1660&lt;'Segmentation Summary'!$C$2,J1660=1),"C2 - First-Time Buyers","C5 - Other Individual Buyers"))))</f>
        <v>C5 - Other Individual Buyers</v>
      </c>
    </row>
    <row r="1661" customFormat="false" ht="15" hidden="false" customHeight="true" outlineLevel="0" collapsed="false">
      <c r="A1661" s="13" t="s">
        <v>3316</v>
      </c>
      <c r="B1661" s="13" t="s">
        <v>34</v>
      </c>
      <c r="C1661" s="13" t="s">
        <v>3317</v>
      </c>
      <c r="D1661" s="13" t="n">
        <v>69</v>
      </c>
      <c r="E1661" s="13" t="s">
        <v>90</v>
      </c>
      <c r="F1661" s="13" t="s">
        <v>44</v>
      </c>
      <c r="G1661" s="13" t="s">
        <v>209</v>
      </c>
      <c r="H1661" s="13" t="s">
        <v>41</v>
      </c>
      <c r="I1661" s="13" t="n">
        <v>5</v>
      </c>
      <c r="J1661" s="13" t="n">
        <v>1</v>
      </c>
      <c r="K1661" s="13" t="s">
        <v>85</v>
      </c>
      <c r="L1661" s="13" t="n">
        <v>4</v>
      </c>
      <c r="M1661" s="13" t="n">
        <v>1149629.49</v>
      </c>
      <c r="N1661" s="13" t="n">
        <v>287407.3725</v>
      </c>
      <c r="O1661" s="13" t="n">
        <v>1047.99</v>
      </c>
      <c r="P1661" s="13" t="n">
        <v>1</v>
      </c>
      <c r="Q1661" s="13" t="n">
        <v>3</v>
      </c>
      <c r="R1661" s="13" t="s">
        <v>101</v>
      </c>
      <c r="S1661" s="13" t="s">
        <v>154</v>
      </c>
      <c r="T1661" s="13" t="n">
        <v>1</v>
      </c>
      <c r="U1661" s="13" t="n">
        <f aca="false">IF(B1661="Individual",1,0)</f>
        <v>1</v>
      </c>
      <c r="V1661" s="13" t="n">
        <f aca="false">IF(B1661="Company",1,0)</f>
        <v>0</v>
      </c>
      <c r="W1661" s="13" t="n">
        <f aca="false">IF(H1661="Home",1,0)</f>
        <v>1</v>
      </c>
      <c r="X1661" s="13" t="n">
        <f aca="false">IF(H1661="Investment",1,0)</f>
        <v>0</v>
      </c>
      <c r="Y1661" s="13" t="n">
        <f aca="false">IF(K1661="Website",1,0)</f>
        <v>1</v>
      </c>
      <c r="Z1661" s="13" t="n">
        <f aca="false">IF(K1661="Agency",1,0)</f>
        <v>0</v>
      </c>
      <c r="AA1661" s="13" t="n">
        <f aca="false">IF(K1661="Client",1,0)</f>
        <v>0</v>
      </c>
      <c r="AB1661" s="13" t="n">
        <f aca="false">(D1661-AVERAGE(D$2:D$2001))/STDEV(D$2:D$2001)</f>
        <v>0.857037075920391</v>
      </c>
      <c r="AC1661" s="13" t="n">
        <f aca="false">(I1661-AVERAGE(I$2:I$2001))/STDEV(I$2:I$2001)</f>
        <v>1.39434968409451</v>
      </c>
      <c r="AD1661" s="13" t="n">
        <f aca="false">(L1661-AVERAGE(L$2:L$2001))/STDEV(L$2:L$2001)</f>
        <v>0.413838214490712</v>
      </c>
      <c r="AE1661" s="13" t="n">
        <f aca="false">(M1661-AVERAGE(M$2:M$2001))/STDEV(M$2:M$2001)</f>
        <v>-0.318390531999049</v>
      </c>
      <c r="AF1661" s="13" t="n">
        <f aca="false">(N1661-AVERAGE(N$2:N$2001))/STDEV(N$2:N$2001)</f>
        <v>-0.856010095782598</v>
      </c>
      <c r="AG1661" s="13" t="n">
        <f aca="false">(O1661-AVERAGE(O$2:O$2001))/STDEV(O$2:O$2001)</f>
        <v>-0.452384947674431</v>
      </c>
      <c r="AH1661" s="0" t="str">
        <f aca="false">IF(B1661="Company","C3 - Corporate Buyers",IF(AND(H1661="Investment",M1661&gt;'Segmentation Summary'!$C$1),"C1 - Global Investors",IF(AND(I1661&gt;=4,M1661&gt;'Segmentation Summary'!$C$1),"C4 - Luxury Investors",IF(AND(D1661&lt;'Segmentation Summary'!$C$2,J1661=1),"C2 - First-Time Buyers","C5 - Other Individual Buyers"))))</f>
        <v>C5 - Other Individual Buyers</v>
      </c>
    </row>
    <row r="1662" customFormat="false" ht="15" hidden="false" customHeight="true" outlineLevel="0" collapsed="false">
      <c r="A1662" s="13" t="s">
        <v>3318</v>
      </c>
      <c r="B1662" s="13" t="s">
        <v>34</v>
      </c>
      <c r="C1662" s="13" t="s">
        <v>3319</v>
      </c>
      <c r="D1662" s="13" t="n">
        <v>78</v>
      </c>
      <c r="E1662" s="13" t="s">
        <v>90</v>
      </c>
      <c r="F1662" s="13" t="s">
        <v>33</v>
      </c>
      <c r="G1662" s="13" t="s">
        <v>84</v>
      </c>
      <c r="H1662" s="13" t="s">
        <v>43</v>
      </c>
      <c r="I1662" s="13" t="n">
        <v>3</v>
      </c>
      <c r="J1662" s="13" t="n">
        <v>0</v>
      </c>
      <c r="K1662" s="13" t="s">
        <v>85</v>
      </c>
      <c r="L1662" s="13" t="n">
        <v>4</v>
      </c>
      <c r="M1662" s="13" t="n">
        <v>1057192.79</v>
      </c>
      <c r="N1662" s="13" t="n">
        <v>264298.1975</v>
      </c>
      <c r="O1662" s="13" t="n">
        <v>820.9225</v>
      </c>
      <c r="P1662" s="13" t="n">
        <v>2</v>
      </c>
      <c r="Q1662" s="13" t="n">
        <v>2</v>
      </c>
      <c r="R1662" s="13" t="s">
        <v>128</v>
      </c>
      <c r="S1662" s="13" t="s">
        <v>114</v>
      </c>
      <c r="T1662" s="13" t="n">
        <v>1</v>
      </c>
      <c r="U1662" s="13" t="n">
        <f aca="false">IF(B1662="Individual",1,0)</f>
        <v>1</v>
      </c>
      <c r="V1662" s="13" t="n">
        <f aca="false">IF(B1662="Company",1,0)</f>
        <v>0</v>
      </c>
      <c r="W1662" s="13" t="n">
        <f aca="false">IF(H1662="Home",1,0)</f>
        <v>0</v>
      </c>
      <c r="X1662" s="13" t="n">
        <f aca="false">IF(H1662="Investment",1,0)</f>
        <v>1</v>
      </c>
      <c r="Y1662" s="13" t="n">
        <f aca="false">IF(K1662="Website",1,0)</f>
        <v>1</v>
      </c>
      <c r="Z1662" s="13" t="n">
        <f aca="false">IF(K1662="Agency",1,0)</f>
        <v>0</v>
      </c>
      <c r="AA1662" s="13" t="n">
        <f aca="false">IF(K1662="Client",1,0)</f>
        <v>0</v>
      </c>
      <c r="AB1662" s="13" t="n">
        <f aca="false">(D1662-AVERAGE(D$2:D$2001))/STDEV(D$2:D$2001)</f>
        <v>1.37599917531375</v>
      </c>
      <c r="AC1662" s="13" t="n">
        <f aca="false">(I1662-AVERAGE(I$2:I$2001))/STDEV(I$2:I$2001)</f>
        <v>-0.0205155458339628</v>
      </c>
      <c r="AD1662" s="13" t="n">
        <f aca="false">(L1662-AVERAGE(L$2:L$2001))/STDEV(L$2:L$2001)</f>
        <v>0.413838214490712</v>
      </c>
      <c r="AE1662" s="13" t="n">
        <f aca="false">(M1662-AVERAGE(M$2:M$2001))/STDEV(M$2:M$2001)</f>
        <v>-0.584142546836071</v>
      </c>
      <c r="AF1662" s="13" t="n">
        <f aca="false">(N1662-AVERAGE(N$2:N$2001))/STDEV(N$2:N$2001)</f>
        <v>-1.18745833392034</v>
      </c>
      <c r="AG1662" s="13" t="n">
        <f aca="false">(O1662-AVERAGE(O$2:O$2001))/STDEV(O$2:O$2001)</f>
        <v>-1.48487325703272</v>
      </c>
      <c r="AH1662" s="0" t="str">
        <f aca="false">IF(B1662="Company","C3 - Corporate Buyers",IF(AND(H1662="Investment",M1662&gt;'Segmentation Summary'!$C$1),"C1 - Global Investors",IF(AND(I1662&gt;=4,M1662&gt;'Segmentation Summary'!$C$1),"C4 - Luxury Investors",IF(AND(D1662&lt;'Segmentation Summary'!$C$2,J1662=1),"C2 - First-Time Buyers","C5 - Other Individual Buyers"))))</f>
        <v>C5 - Other Individual Buyers</v>
      </c>
    </row>
    <row r="1663" customFormat="false" ht="15" hidden="false" customHeight="true" outlineLevel="0" collapsed="false">
      <c r="A1663" s="13" t="s">
        <v>3320</v>
      </c>
      <c r="B1663" s="13" t="s">
        <v>34</v>
      </c>
      <c r="C1663" s="13" t="s">
        <v>3321</v>
      </c>
      <c r="D1663" s="13" t="n">
        <v>55</v>
      </c>
      <c r="E1663" s="13" t="s">
        <v>83</v>
      </c>
      <c r="F1663" s="13" t="s">
        <v>33</v>
      </c>
      <c r="G1663" s="13" t="s">
        <v>110</v>
      </c>
      <c r="H1663" s="13" t="s">
        <v>43</v>
      </c>
      <c r="I1663" s="13" t="n">
        <v>1</v>
      </c>
      <c r="J1663" s="13" t="n">
        <v>0</v>
      </c>
      <c r="K1663" s="13" t="s">
        <v>85</v>
      </c>
      <c r="L1663" s="13" t="n">
        <v>4</v>
      </c>
      <c r="M1663" s="13" t="n">
        <v>1317525.03</v>
      </c>
      <c r="N1663" s="13" t="n">
        <v>329381.2575</v>
      </c>
      <c r="O1663" s="13" t="n">
        <v>1102.08</v>
      </c>
      <c r="P1663" s="13" t="n">
        <v>0</v>
      </c>
      <c r="Q1663" s="13" t="n">
        <v>4</v>
      </c>
      <c r="R1663" s="13" t="s">
        <v>92</v>
      </c>
      <c r="S1663" s="13" t="s">
        <v>121</v>
      </c>
      <c r="T1663" s="13" t="n">
        <v>1</v>
      </c>
      <c r="U1663" s="13" t="n">
        <f aca="false">IF(B1663="Individual",1,0)</f>
        <v>1</v>
      </c>
      <c r="V1663" s="13" t="n">
        <f aca="false">IF(B1663="Company",1,0)</f>
        <v>0</v>
      </c>
      <c r="W1663" s="13" t="n">
        <f aca="false">IF(H1663="Home",1,0)</f>
        <v>0</v>
      </c>
      <c r="X1663" s="13" t="n">
        <f aca="false">IF(H1663="Investment",1,0)</f>
        <v>1</v>
      </c>
      <c r="Y1663" s="13" t="n">
        <f aca="false">IF(K1663="Website",1,0)</f>
        <v>1</v>
      </c>
      <c r="Z1663" s="13" t="n">
        <f aca="false">IF(K1663="Agency",1,0)</f>
        <v>0</v>
      </c>
      <c r="AA1663" s="13" t="n">
        <f aca="false">IF(K1663="Client",1,0)</f>
        <v>0</v>
      </c>
      <c r="AB1663" s="13" t="n">
        <f aca="false">(D1663-AVERAGE(D$2:D$2001))/STDEV(D$2:D$2001)</f>
        <v>0.0497626990862745</v>
      </c>
      <c r="AC1663" s="13" t="n">
        <f aca="false">(I1663-AVERAGE(I$2:I$2001))/STDEV(I$2:I$2001)</f>
        <v>-1.43538077576244</v>
      </c>
      <c r="AD1663" s="13" t="n">
        <f aca="false">(L1663-AVERAGE(L$2:L$2001))/STDEV(L$2:L$2001)</f>
        <v>0.413838214490712</v>
      </c>
      <c r="AE1663" s="13" t="n">
        <f aca="false">(M1663-AVERAGE(M$2:M$2001))/STDEV(M$2:M$2001)</f>
        <v>0.164302792591181</v>
      </c>
      <c r="AF1663" s="13" t="n">
        <f aca="false">(N1663-AVERAGE(N$2:N$2001))/STDEV(N$2:N$2001)</f>
        <v>-0.253990757963482</v>
      </c>
      <c r="AG1663" s="13" t="n">
        <f aca="false">(O1663-AVERAGE(O$2:O$2001))/STDEV(O$2:O$2001)</f>
        <v>-0.206434766987235</v>
      </c>
      <c r="AH1663" s="0" t="str">
        <f aca="false">IF(B1663="Company","C3 - Corporate Buyers",IF(AND(H1663="Investment",M1663&gt;'Segmentation Summary'!$C$1),"C1 - Global Investors",IF(AND(I1663&gt;=4,M1663&gt;'Segmentation Summary'!$C$1),"C4 - Luxury Investors",IF(AND(D1663&lt;'Segmentation Summary'!$C$2,J1663=1),"C2 - First-Time Buyers","C5 - Other Individual Buyers"))))</f>
        <v>C1 - Global Investors</v>
      </c>
    </row>
    <row r="1664" customFormat="false" ht="15" hidden="false" customHeight="true" outlineLevel="0" collapsed="false">
      <c r="A1664" s="13" t="s">
        <v>3322</v>
      </c>
      <c r="B1664" s="13" t="s">
        <v>34</v>
      </c>
      <c r="C1664" s="13" t="s">
        <v>3323</v>
      </c>
      <c r="D1664" s="13" t="n">
        <v>32</v>
      </c>
      <c r="E1664" s="13" t="s">
        <v>83</v>
      </c>
      <c r="F1664" s="13" t="s">
        <v>33</v>
      </c>
      <c r="G1664" s="13" t="s">
        <v>120</v>
      </c>
      <c r="H1664" s="13" t="s">
        <v>41</v>
      </c>
      <c r="I1664" s="13" t="n">
        <v>2</v>
      </c>
      <c r="J1664" s="13" t="n">
        <v>0</v>
      </c>
      <c r="K1664" s="13" t="s">
        <v>91</v>
      </c>
      <c r="L1664" s="13" t="n">
        <v>3</v>
      </c>
      <c r="M1664" s="13" t="n">
        <v>1066408.3</v>
      </c>
      <c r="N1664" s="13" t="n">
        <v>355469.433333333</v>
      </c>
      <c r="O1664" s="13" t="n">
        <v>1206.27333333333</v>
      </c>
      <c r="P1664" s="13" t="n">
        <v>1</v>
      </c>
      <c r="Q1664" s="13" t="n">
        <v>2</v>
      </c>
      <c r="R1664" s="13" t="s">
        <v>124</v>
      </c>
      <c r="S1664" s="13" t="s">
        <v>135</v>
      </c>
      <c r="T1664" s="13" t="n">
        <v>1</v>
      </c>
      <c r="U1664" s="13" t="n">
        <f aca="false">IF(B1664="Individual",1,0)</f>
        <v>1</v>
      </c>
      <c r="V1664" s="13" t="n">
        <f aca="false">IF(B1664="Company",1,0)</f>
        <v>0</v>
      </c>
      <c r="W1664" s="13" t="n">
        <f aca="false">IF(H1664="Home",1,0)</f>
        <v>1</v>
      </c>
      <c r="X1664" s="13" t="n">
        <f aca="false">IF(H1664="Investment",1,0)</f>
        <v>0</v>
      </c>
      <c r="Y1664" s="13" t="n">
        <f aca="false">IF(K1664="Website",1,0)</f>
        <v>0</v>
      </c>
      <c r="Z1664" s="13" t="n">
        <f aca="false">IF(K1664="Agency",1,0)</f>
        <v>1</v>
      </c>
      <c r="AA1664" s="13" t="n">
        <f aca="false">IF(K1664="Client",1,0)</f>
        <v>0</v>
      </c>
      <c r="AB1664" s="13" t="n">
        <f aca="false">(D1664-AVERAGE(D$2:D$2001))/STDEV(D$2:D$2001)</f>
        <v>-1.2764737771412</v>
      </c>
      <c r="AC1664" s="13" t="n">
        <f aca="false">(I1664-AVERAGE(I$2:I$2001))/STDEV(I$2:I$2001)</f>
        <v>-0.727948160798201</v>
      </c>
      <c r="AD1664" s="13" t="n">
        <f aca="false">(L1664-AVERAGE(L$2:L$2001))/STDEV(L$2:L$2001)</f>
        <v>-0.777063122173208</v>
      </c>
      <c r="AE1664" s="13" t="n">
        <f aca="false">(M1664-AVERAGE(M$2:M$2001))/STDEV(M$2:M$2001)</f>
        <v>-0.557648304286837</v>
      </c>
      <c r="AF1664" s="13" t="n">
        <f aca="false">(N1664-AVERAGE(N$2:N$2001))/STDEV(N$2:N$2001)</f>
        <v>0.120184430730436</v>
      </c>
      <c r="AG1664" s="13" t="n">
        <f aca="false">(O1664-AVERAGE(O$2:O$2001))/STDEV(O$2:O$2001)</f>
        <v>0.267338003575416</v>
      </c>
      <c r="AH1664" s="0" t="str">
        <f aca="false">IF(B1664="Company","C3 - Corporate Buyers",IF(AND(H1664="Investment",M1664&gt;'Segmentation Summary'!$C$1),"C1 - Global Investors",IF(AND(I1664&gt;=4,M1664&gt;'Segmentation Summary'!$C$1),"C4 - Luxury Investors",IF(AND(D1664&lt;'Segmentation Summary'!$C$2,J1664=1),"C2 - First-Time Buyers","C5 - Other Individual Buyers"))))</f>
        <v>C5 - Other Individual Buyers</v>
      </c>
    </row>
    <row r="1665" customFormat="false" ht="15" hidden="false" customHeight="true" outlineLevel="0" collapsed="false">
      <c r="A1665" s="13" t="s">
        <v>3324</v>
      </c>
      <c r="B1665" s="13" t="s">
        <v>34</v>
      </c>
      <c r="C1665" s="13" t="s">
        <v>3325</v>
      </c>
      <c r="D1665" s="13" t="n">
        <v>68</v>
      </c>
      <c r="E1665" s="13" t="s">
        <v>83</v>
      </c>
      <c r="F1665" s="13" t="s">
        <v>33</v>
      </c>
      <c r="G1665" s="13" t="s">
        <v>110</v>
      </c>
      <c r="H1665" s="13" t="s">
        <v>43</v>
      </c>
      <c r="I1665" s="13" t="n">
        <v>1</v>
      </c>
      <c r="J1665" s="13" t="n">
        <v>0</v>
      </c>
      <c r="K1665" s="13" t="s">
        <v>85</v>
      </c>
      <c r="L1665" s="13" t="n">
        <v>4</v>
      </c>
      <c r="M1665" s="13" t="n">
        <v>1735557.15</v>
      </c>
      <c r="N1665" s="13" t="n">
        <v>433889.2875</v>
      </c>
      <c r="O1665" s="13" t="n">
        <v>1341.715</v>
      </c>
      <c r="P1665" s="13" t="n">
        <v>2</v>
      </c>
      <c r="Q1665" s="13" t="n">
        <v>2</v>
      </c>
      <c r="R1665" s="13" t="s">
        <v>92</v>
      </c>
      <c r="S1665" s="13" t="s">
        <v>125</v>
      </c>
      <c r="T1665" s="13" t="n">
        <v>1</v>
      </c>
      <c r="U1665" s="13" t="n">
        <f aca="false">IF(B1665="Individual",1,0)</f>
        <v>1</v>
      </c>
      <c r="V1665" s="13" t="n">
        <f aca="false">IF(B1665="Company",1,0)</f>
        <v>0</v>
      </c>
      <c r="W1665" s="13" t="n">
        <f aca="false">IF(H1665="Home",1,0)</f>
        <v>0</v>
      </c>
      <c r="X1665" s="13" t="n">
        <f aca="false">IF(H1665="Investment",1,0)</f>
        <v>1</v>
      </c>
      <c r="Y1665" s="13" t="n">
        <f aca="false">IF(K1665="Website",1,0)</f>
        <v>1</v>
      </c>
      <c r="Z1665" s="13" t="n">
        <f aca="false">IF(K1665="Agency",1,0)</f>
        <v>0</v>
      </c>
      <c r="AA1665" s="13" t="n">
        <f aca="false">IF(K1665="Client",1,0)</f>
        <v>0</v>
      </c>
      <c r="AB1665" s="13" t="n">
        <f aca="false">(D1665-AVERAGE(D$2:D$2001))/STDEV(D$2:D$2001)</f>
        <v>0.79937462043224</v>
      </c>
      <c r="AC1665" s="13" t="n">
        <f aca="false">(I1665-AVERAGE(I$2:I$2001))/STDEV(I$2:I$2001)</f>
        <v>-1.43538077576244</v>
      </c>
      <c r="AD1665" s="13" t="n">
        <f aca="false">(L1665-AVERAGE(L$2:L$2001))/STDEV(L$2:L$2001)</f>
        <v>0.413838214490712</v>
      </c>
      <c r="AE1665" s="13" t="n">
        <f aca="false">(M1665-AVERAGE(M$2:M$2001))/STDEV(M$2:M$2001)</f>
        <v>1.3661293198968</v>
      </c>
      <c r="AF1665" s="13" t="n">
        <f aca="false">(N1665-AVERAGE(N$2:N$2001))/STDEV(N$2:N$2001)</f>
        <v>1.24493780243497</v>
      </c>
      <c r="AG1665" s="13" t="n">
        <f aca="false">(O1665-AVERAGE(O$2:O$2001))/STDEV(O$2:O$2001)</f>
        <v>0.883198650446232</v>
      </c>
      <c r="AH1665" s="0" t="str">
        <f aca="false">IF(B1665="Company","C3 - Corporate Buyers",IF(AND(H1665="Investment",M1665&gt;'Segmentation Summary'!$C$1),"C1 - Global Investors",IF(AND(I1665&gt;=4,M1665&gt;'Segmentation Summary'!$C$1),"C4 - Luxury Investors",IF(AND(D1665&lt;'Segmentation Summary'!$C$2,J1665=1),"C2 - First-Time Buyers","C5 - Other Individual Buyers"))))</f>
        <v>C1 - Global Investors</v>
      </c>
    </row>
    <row r="1666" customFormat="false" ht="15" hidden="false" customHeight="true" outlineLevel="0" collapsed="false">
      <c r="A1666" s="13" t="s">
        <v>3326</v>
      </c>
      <c r="B1666" s="13" t="s">
        <v>34</v>
      </c>
      <c r="C1666" s="13" t="s">
        <v>3327</v>
      </c>
      <c r="D1666" s="13" t="n">
        <v>55</v>
      </c>
      <c r="E1666" s="13" t="s">
        <v>83</v>
      </c>
      <c r="F1666" s="13" t="s">
        <v>33</v>
      </c>
      <c r="G1666" s="13" t="s">
        <v>95</v>
      </c>
      <c r="H1666" s="13" t="s">
        <v>41</v>
      </c>
      <c r="I1666" s="13" t="n">
        <v>1</v>
      </c>
      <c r="J1666" s="13" t="n">
        <v>1</v>
      </c>
      <c r="K1666" s="13" t="s">
        <v>91</v>
      </c>
      <c r="L1666" s="13" t="n">
        <v>4</v>
      </c>
      <c r="M1666" s="13" t="n">
        <v>1206897.7</v>
      </c>
      <c r="N1666" s="13" t="n">
        <v>301724.425</v>
      </c>
      <c r="O1666" s="13" t="n">
        <v>1103.3225</v>
      </c>
      <c r="P1666" s="13" t="n">
        <v>1</v>
      </c>
      <c r="Q1666" s="13" t="n">
        <v>3</v>
      </c>
      <c r="R1666" s="13" t="s">
        <v>124</v>
      </c>
      <c r="S1666" s="13" t="s">
        <v>154</v>
      </c>
      <c r="T1666" s="13" t="n">
        <v>1</v>
      </c>
      <c r="U1666" s="13" t="n">
        <f aca="false">IF(B1666="Individual",1,0)</f>
        <v>1</v>
      </c>
      <c r="V1666" s="13" t="n">
        <f aca="false">IF(B1666="Company",1,0)</f>
        <v>0</v>
      </c>
      <c r="W1666" s="13" t="n">
        <f aca="false">IF(H1666="Home",1,0)</f>
        <v>1</v>
      </c>
      <c r="X1666" s="13" t="n">
        <f aca="false">IF(H1666="Investment",1,0)</f>
        <v>0</v>
      </c>
      <c r="Y1666" s="13" t="n">
        <f aca="false">IF(K1666="Website",1,0)</f>
        <v>0</v>
      </c>
      <c r="Z1666" s="13" t="n">
        <f aca="false">IF(K1666="Agency",1,0)</f>
        <v>1</v>
      </c>
      <c r="AA1666" s="13" t="n">
        <f aca="false">IF(K1666="Client",1,0)</f>
        <v>0</v>
      </c>
      <c r="AB1666" s="13" t="n">
        <f aca="false">(D1666-AVERAGE(D$2:D$2001))/STDEV(D$2:D$2001)</f>
        <v>0.0497626990862745</v>
      </c>
      <c r="AC1666" s="13" t="n">
        <f aca="false">(I1666-AVERAGE(I$2:I$2001))/STDEV(I$2:I$2001)</f>
        <v>-1.43538077576244</v>
      </c>
      <c r="AD1666" s="13" t="n">
        <f aca="false">(L1666-AVERAGE(L$2:L$2001))/STDEV(L$2:L$2001)</f>
        <v>0.413838214490712</v>
      </c>
      <c r="AE1666" s="13" t="n">
        <f aca="false">(M1666-AVERAGE(M$2:M$2001))/STDEV(M$2:M$2001)</f>
        <v>-0.153746595190296</v>
      </c>
      <c r="AF1666" s="13" t="n">
        <f aca="false">(N1666-AVERAGE(N$2:N$2001))/STDEV(N$2:N$2001)</f>
        <v>-0.650664737220446</v>
      </c>
      <c r="AG1666" s="13" t="n">
        <f aca="false">(O1666-AVERAGE(O$2:O$2001))/STDEV(O$2:O$2001)</f>
        <v>-0.200785051707075</v>
      </c>
      <c r="AH1666" s="0" t="str">
        <f aca="false">IF(B1666="Company","C3 - Corporate Buyers",IF(AND(H1666="Investment",M1666&gt;'Segmentation Summary'!$C$1),"C1 - Global Investors",IF(AND(I1666&gt;=4,M1666&gt;'Segmentation Summary'!$C$1),"C4 - Luxury Investors",IF(AND(D1666&lt;'Segmentation Summary'!$C$2,J1666=1),"C2 - First-Time Buyers","C5 - Other Individual Buyers"))))</f>
        <v>C5 - Other Individual Buyers</v>
      </c>
    </row>
    <row r="1667" customFormat="false" ht="15" hidden="false" customHeight="true" outlineLevel="0" collapsed="false">
      <c r="A1667" s="13" t="s">
        <v>3328</v>
      </c>
      <c r="B1667" s="13" t="s">
        <v>34</v>
      </c>
      <c r="C1667" s="13" t="s">
        <v>3329</v>
      </c>
      <c r="D1667" s="13" t="n">
        <v>33</v>
      </c>
      <c r="E1667" s="13" t="s">
        <v>83</v>
      </c>
      <c r="F1667" s="13" t="s">
        <v>33</v>
      </c>
      <c r="G1667" s="13" t="s">
        <v>95</v>
      </c>
      <c r="H1667" s="13" t="s">
        <v>43</v>
      </c>
      <c r="I1667" s="13" t="n">
        <v>2</v>
      </c>
      <c r="J1667" s="13" t="n">
        <v>0</v>
      </c>
      <c r="K1667" s="13" t="s">
        <v>85</v>
      </c>
      <c r="L1667" s="13" t="n">
        <v>3</v>
      </c>
      <c r="M1667" s="13" t="n">
        <v>1037824.43</v>
      </c>
      <c r="N1667" s="13" t="n">
        <v>345941.476666667</v>
      </c>
      <c r="O1667" s="13" t="n">
        <v>1136.08666666667</v>
      </c>
      <c r="P1667" s="13" t="n">
        <v>1</v>
      </c>
      <c r="Q1667" s="13" t="n">
        <v>2</v>
      </c>
      <c r="R1667" s="13" t="s">
        <v>150</v>
      </c>
      <c r="S1667" s="13" t="s">
        <v>114</v>
      </c>
      <c r="T1667" s="13" t="n">
        <v>1</v>
      </c>
      <c r="U1667" s="13" t="n">
        <f aca="false">IF(B1667="Individual",1,0)</f>
        <v>1</v>
      </c>
      <c r="V1667" s="13" t="n">
        <f aca="false">IF(B1667="Company",1,0)</f>
        <v>0</v>
      </c>
      <c r="W1667" s="13" t="n">
        <f aca="false">IF(H1667="Home",1,0)</f>
        <v>0</v>
      </c>
      <c r="X1667" s="13" t="n">
        <f aca="false">IF(H1667="Investment",1,0)</f>
        <v>1</v>
      </c>
      <c r="Y1667" s="13" t="n">
        <f aca="false">IF(K1667="Website",1,0)</f>
        <v>1</v>
      </c>
      <c r="Z1667" s="13" t="n">
        <f aca="false">IF(K1667="Agency",1,0)</f>
        <v>0</v>
      </c>
      <c r="AA1667" s="13" t="n">
        <f aca="false">IF(K1667="Client",1,0)</f>
        <v>0</v>
      </c>
      <c r="AB1667" s="13" t="n">
        <f aca="false">(D1667-AVERAGE(D$2:D$2001))/STDEV(D$2:D$2001)</f>
        <v>-1.21881132165305</v>
      </c>
      <c r="AC1667" s="13" t="n">
        <f aca="false">(I1667-AVERAGE(I$2:I$2001))/STDEV(I$2:I$2001)</f>
        <v>-0.727948160798201</v>
      </c>
      <c r="AD1667" s="13" t="n">
        <f aca="false">(L1667-AVERAGE(L$2:L$2001))/STDEV(L$2:L$2001)</f>
        <v>-0.777063122173208</v>
      </c>
      <c r="AE1667" s="13" t="n">
        <f aca="false">(M1667-AVERAGE(M$2:M$2001))/STDEV(M$2:M$2001)</f>
        <v>-0.639825848967029</v>
      </c>
      <c r="AF1667" s="13" t="n">
        <f aca="false">(N1667-AVERAGE(N$2:N$2001))/STDEV(N$2:N$2001)</f>
        <v>-0.0164723062677122</v>
      </c>
      <c r="AG1667" s="13" t="n">
        <f aca="false">(O1667-AVERAGE(O$2:O$2001))/STDEV(O$2:O$2001)</f>
        <v>-0.0518045985413715</v>
      </c>
      <c r="AH1667" s="0" t="str">
        <f aca="false">IF(B1667="Company","C3 - Corporate Buyers",IF(AND(H1667="Investment",M1667&gt;'Segmentation Summary'!$C$1),"C1 - Global Investors",IF(AND(I1667&gt;=4,M1667&gt;'Segmentation Summary'!$C$1),"C4 - Luxury Investors",IF(AND(D1667&lt;'Segmentation Summary'!$C$2,J1667=1),"C2 - First-Time Buyers","C5 - Other Individual Buyers"))))</f>
        <v>C5 - Other Individual Buyers</v>
      </c>
    </row>
    <row r="1668" customFormat="false" ht="15" hidden="false" customHeight="true" outlineLevel="0" collapsed="false">
      <c r="A1668" s="13" t="s">
        <v>3330</v>
      </c>
      <c r="B1668" s="13" t="s">
        <v>34</v>
      </c>
      <c r="C1668" s="13" t="s">
        <v>3331</v>
      </c>
      <c r="D1668" s="13" t="n">
        <v>65</v>
      </c>
      <c r="E1668" s="13" t="s">
        <v>83</v>
      </c>
      <c r="F1668" s="13" t="s">
        <v>33</v>
      </c>
      <c r="G1668" s="13" t="s">
        <v>162</v>
      </c>
      <c r="H1668" s="13" t="s">
        <v>43</v>
      </c>
      <c r="I1668" s="13" t="n">
        <v>1</v>
      </c>
      <c r="J1668" s="13" t="n">
        <v>0</v>
      </c>
      <c r="K1668" s="13" t="s">
        <v>91</v>
      </c>
      <c r="L1668" s="13" t="n">
        <v>3</v>
      </c>
      <c r="M1668" s="13" t="n">
        <v>704886.02</v>
      </c>
      <c r="N1668" s="13" t="n">
        <v>234962.006666667</v>
      </c>
      <c r="O1668" s="13" t="n">
        <v>765.68</v>
      </c>
      <c r="P1668" s="13" t="n">
        <v>0</v>
      </c>
      <c r="Q1668" s="13" t="n">
        <v>3</v>
      </c>
      <c r="R1668" s="13" t="s">
        <v>86</v>
      </c>
      <c r="S1668" s="13" t="s">
        <v>107</v>
      </c>
      <c r="T1668" s="13" t="n">
        <v>1</v>
      </c>
      <c r="U1668" s="13" t="n">
        <f aca="false">IF(B1668="Individual",1,0)</f>
        <v>1</v>
      </c>
      <c r="V1668" s="13" t="n">
        <f aca="false">IF(B1668="Company",1,0)</f>
        <v>0</v>
      </c>
      <c r="W1668" s="13" t="n">
        <f aca="false">IF(H1668="Home",1,0)</f>
        <v>0</v>
      </c>
      <c r="X1668" s="13" t="n">
        <f aca="false">IF(H1668="Investment",1,0)</f>
        <v>1</v>
      </c>
      <c r="Y1668" s="13" t="n">
        <f aca="false">IF(K1668="Website",1,0)</f>
        <v>0</v>
      </c>
      <c r="Z1668" s="13" t="n">
        <f aca="false">IF(K1668="Agency",1,0)</f>
        <v>1</v>
      </c>
      <c r="AA1668" s="13" t="n">
        <f aca="false">IF(K1668="Client",1,0)</f>
        <v>0</v>
      </c>
      <c r="AB1668" s="13" t="n">
        <f aca="false">(D1668-AVERAGE(D$2:D$2001))/STDEV(D$2:D$2001)</f>
        <v>0.626387253967787</v>
      </c>
      <c r="AC1668" s="13" t="n">
        <f aca="false">(I1668-AVERAGE(I$2:I$2001))/STDEV(I$2:I$2001)</f>
        <v>-1.43538077576244</v>
      </c>
      <c r="AD1668" s="13" t="n">
        <f aca="false">(L1668-AVERAGE(L$2:L$2001))/STDEV(L$2:L$2001)</f>
        <v>-0.777063122173208</v>
      </c>
      <c r="AE1668" s="13" t="n">
        <f aca="false">(M1668-AVERAGE(M$2:M$2001))/STDEV(M$2:M$2001)</f>
        <v>-1.59701117983815</v>
      </c>
      <c r="AF1668" s="13" t="n">
        <f aca="false">(N1668-AVERAGE(N$2:N$2001))/STDEV(N$2:N$2001)</f>
        <v>-1.60821886584676</v>
      </c>
      <c r="AG1668" s="13" t="n">
        <f aca="false">(O1668-AVERAGE(O$2:O$2001))/STDEV(O$2:O$2001)</f>
        <v>-1.73606391809045</v>
      </c>
      <c r="AH1668" s="0" t="str">
        <f aca="false">IF(B1668="Company","C3 - Corporate Buyers",IF(AND(H1668="Investment",M1668&gt;'Segmentation Summary'!$C$1),"C1 - Global Investors",IF(AND(I1668&gt;=4,M1668&gt;'Segmentation Summary'!$C$1),"C4 - Luxury Investors",IF(AND(D1668&lt;'Segmentation Summary'!$C$2,J1668=1),"C2 - First-Time Buyers","C5 - Other Individual Buyers"))))</f>
        <v>C5 - Other Individual Buyers</v>
      </c>
    </row>
    <row r="1669" customFormat="false" ht="15" hidden="false" customHeight="true" outlineLevel="0" collapsed="false">
      <c r="A1669" s="13" t="s">
        <v>3332</v>
      </c>
      <c r="B1669" s="13" t="s">
        <v>34</v>
      </c>
      <c r="C1669" s="13" t="s">
        <v>3333</v>
      </c>
      <c r="D1669" s="13" t="n">
        <v>79</v>
      </c>
      <c r="E1669" s="13" t="s">
        <v>83</v>
      </c>
      <c r="F1669" s="13" t="s">
        <v>33</v>
      </c>
      <c r="G1669" s="13" t="s">
        <v>120</v>
      </c>
      <c r="H1669" s="13" t="s">
        <v>43</v>
      </c>
      <c r="I1669" s="13" t="n">
        <v>4</v>
      </c>
      <c r="J1669" s="13" t="n">
        <v>0</v>
      </c>
      <c r="K1669" s="13" t="s">
        <v>85</v>
      </c>
      <c r="L1669" s="13" t="n">
        <v>4</v>
      </c>
      <c r="M1669" s="13" t="n">
        <v>1101753.59</v>
      </c>
      <c r="N1669" s="13" t="n">
        <v>275438.3975</v>
      </c>
      <c r="O1669" s="13" t="n">
        <v>952.0525</v>
      </c>
      <c r="P1669" s="13" t="n">
        <v>1</v>
      </c>
      <c r="Q1669" s="13" t="n">
        <v>3</v>
      </c>
      <c r="R1669" s="13" t="s">
        <v>150</v>
      </c>
      <c r="S1669" s="13" t="s">
        <v>114</v>
      </c>
      <c r="T1669" s="13" t="n">
        <v>1</v>
      </c>
      <c r="U1669" s="13" t="n">
        <f aca="false">IF(B1669="Individual",1,0)</f>
        <v>1</v>
      </c>
      <c r="V1669" s="13" t="n">
        <f aca="false">IF(B1669="Company",1,0)</f>
        <v>0</v>
      </c>
      <c r="W1669" s="13" t="n">
        <f aca="false">IF(H1669="Home",1,0)</f>
        <v>0</v>
      </c>
      <c r="X1669" s="13" t="n">
        <f aca="false">IF(H1669="Investment",1,0)</f>
        <v>1</v>
      </c>
      <c r="Y1669" s="13" t="n">
        <f aca="false">IF(K1669="Website",1,0)</f>
        <v>1</v>
      </c>
      <c r="Z1669" s="13" t="n">
        <f aca="false">IF(K1669="Agency",1,0)</f>
        <v>0</v>
      </c>
      <c r="AA1669" s="13" t="n">
        <f aca="false">IF(K1669="Client",1,0)</f>
        <v>0</v>
      </c>
      <c r="AB1669" s="13" t="n">
        <f aca="false">(D1669-AVERAGE(D$2:D$2001))/STDEV(D$2:D$2001)</f>
        <v>1.4336616308019</v>
      </c>
      <c r="AC1669" s="13" t="n">
        <f aca="false">(I1669-AVERAGE(I$2:I$2001))/STDEV(I$2:I$2001)</f>
        <v>0.686917069130275</v>
      </c>
      <c r="AD1669" s="13" t="n">
        <f aca="false">(L1669-AVERAGE(L$2:L$2001))/STDEV(L$2:L$2001)</f>
        <v>0.413838214490712</v>
      </c>
      <c r="AE1669" s="13" t="n">
        <f aca="false">(M1669-AVERAGE(M$2:M$2001))/STDEV(M$2:M$2001)</f>
        <v>-0.45603193294841</v>
      </c>
      <c r="AF1669" s="13" t="n">
        <f aca="false">(N1669-AVERAGE(N$2:N$2001))/STDEV(N$2:N$2001)</f>
        <v>-1.02767765535859</v>
      </c>
      <c r="AG1669" s="13" t="n">
        <f aca="false">(O1669-AVERAGE(O$2:O$2001))/STDEV(O$2:O$2001)</f>
        <v>-0.888617993702863</v>
      </c>
      <c r="AH1669" s="0" t="str">
        <f aca="false">IF(B1669="Company","C3 - Corporate Buyers",IF(AND(H1669="Investment",M1669&gt;'Segmentation Summary'!$C$1),"C1 - Global Investors",IF(AND(I1669&gt;=4,M1669&gt;'Segmentation Summary'!$C$1),"C4 - Luxury Investors",IF(AND(D1669&lt;'Segmentation Summary'!$C$2,J1669=1),"C2 - First-Time Buyers","C5 - Other Individual Buyers"))))</f>
        <v>C5 - Other Individual Buyers</v>
      </c>
    </row>
    <row r="1670" customFormat="false" ht="15" hidden="false" customHeight="true" outlineLevel="0" collapsed="false">
      <c r="A1670" s="13" t="s">
        <v>3334</v>
      </c>
      <c r="B1670" s="13" t="s">
        <v>34</v>
      </c>
      <c r="C1670" s="13" t="s">
        <v>3335</v>
      </c>
      <c r="D1670" s="13" t="n">
        <v>30</v>
      </c>
      <c r="E1670" s="13" t="s">
        <v>83</v>
      </c>
      <c r="F1670" s="13" t="s">
        <v>38</v>
      </c>
      <c r="G1670" s="13" t="s">
        <v>127</v>
      </c>
      <c r="H1670" s="13" t="s">
        <v>41</v>
      </c>
      <c r="I1670" s="13" t="n">
        <v>3</v>
      </c>
      <c r="J1670" s="13" t="n">
        <v>1</v>
      </c>
      <c r="K1670" s="13" t="s">
        <v>116</v>
      </c>
      <c r="L1670" s="13" t="n">
        <v>4</v>
      </c>
      <c r="M1670" s="13" t="n">
        <v>1601876.14</v>
      </c>
      <c r="N1670" s="13" t="n">
        <v>400469.035</v>
      </c>
      <c r="O1670" s="13" t="n">
        <v>1286.2725</v>
      </c>
      <c r="P1670" s="13" t="n">
        <v>1</v>
      </c>
      <c r="Q1670" s="13" t="n">
        <v>3</v>
      </c>
      <c r="R1670" s="13" t="s">
        <v>92</v>
      </c>
      <c r="S1670" s="13" t="s">
        <v>133</v>
      </c>
      <c r="T1670" s="13" t="n">
        <v>1</v>
      </c>
      <c r="U1670" s="13" t="n">
        <f aca="false">IF(B1670="Individual",1,0)</f>
        <v>1</v>
      </c>
      <c r="V1670" s="13" t="n">
        <f aca="false">IF(B1670="Company",1,0)</f>
        <v>0</v>
      </c>
      <c r="W1670" s="13" t="n">
        <f aca="false">IF(H1670="Home",1,0)</f>
        <v>1</v>
      </c>
      <c r="X1670" s="13" t="n">
        <f aca="false">IF(H1670="Investment",1,0)</f>
        <v>0</v>
      </c>
      <c r="Y1670" s="13" t="n">
        <f aca="false">IF(K1670="Website",1,0)</f>
        <v>0</v>
      </c>
      <c r="Z1670" s="13" t="n">
        <f aca="false">IF(K1670="Agency",1,0)</f>
        <v>0</v>
      </c>
      <c r="AA1670" s="13" t="n">
        <f aca="false">IF(K1670="Client",1,0)</f>
        <v>1</v>
      </c>
      <c r="AB1670" s="13" t="n">
        <f aca="false">(D1670-AVERAGE(D$2:D$2001))/STDEV(D$2:D$2001)</f>
        <v>-1.39179868811751</v>
      </c>
      <c r="AC1670" s="13" t="n">
        <f aca="false">(I1670-AVERAGE(I$2:I$2001))/STDEV(I$2:I$2001)</f>
        <v>-0.0205155458339628</v>
      </c>
      <c r="AD1670" s="13" t="n">
        <f aca="false">(L1670-AVERAGE(L$2:L$2001))/STDEV(L$2:L$2001)</f>
        <v>0.413838214490712</v>
      </c>
      <c r="AE1670" s="13" t="n">
        <f aca="false">(M1670-AVERAGE(M$2:M$2001))/STDEV(M$2:M$2001)</f>
        <v>0.981801474431224</v>
      </c>
      <c r="AF1670" s="13" t="n">
        <f aca="false">(N1670-AVERAGE(N$2:N$2001))/STDEV(N$2:N$2001)</f>
        <v>0.765600750842116</v>
      </c>
      <c r="AG1670" s="13" t="n">
        <f aca="false">(O1670-AVERAGE(O$2:O$2001))/STDEV(O$2:O$2001)</f>
        <v>0.631098578478219</v>
      </c>
      <c r="AH1670" s="0" t="str">
        <f aca="false">IF(B1670="Company","C3 - Corporate Buyers",IF(AND(H1670="Investment",M1670&gt;'Segmentation Summary'!$C$1),"C1 - Global Investors",IF(AND(I1670&gt;=4,M1670&gt;'Segmentation Summary'!$C$1),"C4 - Luxury Investors",IF(AND(D1670&lt;'Segmentation Summary'!$C$2,J1670=1),"C2 - First-Time Buyers","C5 - Other Individual Buyers"))))</f>
        <v>C2 - First-Time Buyers</v>
      </c>
    </row>
    <row r="1671" customFormat="false" ht="15" hidden="false" customHeight="true" outlineLevel="0" collapsed="false">
      <c r="A1671" s="13" t="s">
        <v>3336</v>
      </c>
      <c r="B1671" s="13" t="s">
        <v>34</v>
      </c>
      <c r="C1671" s="13" t="s">
        <v>3337</v>
      </c>
      <c r="D1671" s="13" t="n">
        <v>33</v>
      </c>
      <c r="E1671" s="13" t="s">
        <v>83</v>
      </c>
      <c r="F1671" s="13" t="s">
        <v>33</v>
      </c>
      <c r="G1671" s="13" t="s">
        <v>95</v>
      </c>
      <c r="H1671" s="13" t="s">
        <v>43</v>
      </c>
      <c r="I1671" s="13" t="n">
        <v>1</v>
      </c>
      <c r="J1671" s="13" t="n">
        <v>0</v>
      </c>
      <c r="K1671" s="13" t="s">
        <v>91</v>
      </c>
      <c r="L1671" s="13" t="n">
        <v>3</v>
      </c>
      <c r="M1671" s="13" t="n">
        <v>1440775.1</v>
      </c>
      <c r="N1671" s="13" t="n">
        <v>480258.366666667</v>
      </c>
      <c r="O1671" s="13" t="n">
        <v>1452.26333333333</v>
      </c>
      <c r="P1671" s="13" t="n">
        <v>0</v>
      </c>
      <c r="Q1671" s="13" t="n">
        <v>3</v>
      </c>
      <c r="R1671" s="13" t="s">
        <v>215</v>
      </c>
      <c r="S1671" s="13" t="s">
        <v>164</v>
      </c>
      <c r="T1671" s="13" t="n">
        <v>1</v>
      </c>
      <c r="U1671" s="13" t="n">
        <f aca="false">IF(B1671="Individual",1,0)</f>
        <v>1</v>
      </c>
      <c r="V1671" s="13" t="n">
        <f aca="false">IF(B1671="Company",1,0)</f>
        <v>0</v>
      </c>
      <c r="W1671" s="13" t="n">
        <f aca="false">IF(H1671="Home",1,0)</f>
        <v>0</v>
      </c>
      <c r="X1671" s="13" t="n">
        <f aca="false">IF(H1671="Investment",1,0)</f>
        <v>1</v>
      </c>
      <c r="Y1671" s="13" t="n">
        <f aca="false">IF(K1671="Website",1,0)</f>
        <v>0</v>
      </c>
      <c r="Z1671" s="13" t="n">
        <f aca="false">IF(K1671="Agency",1,0)</f>
        <v>1</v>
      </c>
      <c r="AA1671" s="13" t="n">
        <f aca="false">IF(K1671="Client",1,0)</f>
        <v>0</v>
      </c>
      <c r="AB1671" s="13" t="n">
        <f aca="false">(D1671-AVERAGE(D$2:D$2001))/STDEV(D$2:D$2001)</f>
        <v>-1.21881132165305</v>
      </c>
      <c r="AC1671" s="13" t="n">
        <f aca="false">(I1671-AVERAGE(I$2:I$2001))/STDEV(I$2:I$2001)</f>
        <v>-1.43538077576244</v>
      </c>
      <c r="AD1671" s="13" t="n">
        <f aca="false">(L1671-AVERAGE(L$2:L$2001))/STDEV(L$2:L$2001)</f>
        <v>-0.777063122173208</v>
      </c>
      <c r="AE1671" s="13" t="n">
        <f aca="false">(M1671-AVERAGE(M$2:M$2001))/STDEV(M$2:M$2001)</f>
        <v>0.518642080247534</v>
      </c>
      <c r="AF1671" s="13" t="n">
        <f aca="false">(N1671-AVERAGE(N$2:N$2001))/STDEV(N$2:N$2001)</f>
        <v>1.90999614371549</v>
      </c>
      <c r="AG1671" s="13" t="n">
        <f aca="false">(O1671-AVERAGE(O$2:O$2001))/STDEV(O$2:O$2001)</f>
        <v>1.38586795268326</v>
      </c>
      <c r="AH1671" s="0" t="str">
        <f aca="false">IF(B1671="Company","C3 - Corporate Buyers",IF(AND(H1671="Investment",M1671&gt;'Segmentation Summary'!$C$1),"C1 - Global Investors",IF(AND(I1671&gt;=4,M1671&gt;'Segmentation Summary'!$C$1),"C4 - Luxury Investors",IF(AND(D1671&lt;'Segmentation Summary'!$C$2,J1671=1),"C2 - First-Time Buyers","C5 - Other Individual Buyers"))))</f>
        <v>C1 - Global Investors</v>
      </c>
    </row>
    <row r="1672" customFormat="false" ht="15" hidden="false" customHeight="true" outlineLevel="0" collapsed="false">
      <c r="A1672" s="13" t="s">
        <v>3338</v>
      </c>
      <c r="B1672" s="13" t="s">
        <v>34</v>
      </c>
      <c r="C1672" s="13" t="s">
        <v>3339</v>
      </c>
      <c r="D1672" s="13" t="n">
        <v>73</v>
      </c>
      <c r="E1672" s="13" t="s">
        <v>83</v>
      </c>
      <c r="F1672" s="13" t="s">
        <v>33</v>
      </c>
      <c r="G1672" s="13" t="s">
        <v>100</v>
      </c>
      <c r="H1672" s="13" t="s">
        <v>41</v>
      </c>
      <c r="I1672" s="13" t="n">
        <v>5</v>
      </c>
      <c r="J1672" s="13" t="n">
        <v>0</v>
      </c>
      <c r="K1672" s="13" t="s">
        <v>91</v>
      </c>
      <c r="L1672" s="13" t="n">
        <v>3</v>
      </c>
      <c r="M1672" s="13" t="n">
        <v>1241771.44</v>
      </c>
      <c r="N1672" s="13" t="n">
        <v>413923.813333333</v>
      </c>
      <c r="O1672" s="13" t="n">
        <v>1283.70666666667</v>
      </c>
      <c r="P1672" s="13" t="n">
        <v>0</v>
      </c>
      <c r="Q1672" s="13" t="n">
        <v>3</v>
      </c>
      <c r="R1672" s="13" t="s">
        <v>101</v>
      </c>
      <c r="S1672" s="13" t="s">
        <v>87</v>
      </c>
      <c r="T1672" s="13" t="n">
        <v>1</v>
      </c>
      <c r="U1672" s="13" t="n">
        <f aca="false">IF(B1672="Individual",1,0)</f>
        <v>1</v>
      </c>
      <c r="V1672" s="13" t="n">
        <f aca="false">IF(B1672="Company",1,0)</f>
        <v>0</v>
      </c>
      <c r="W1672" s="13" t="n">
        <f aca="false">IF(H1672="Home",1,0)</f>
        <v>1</v>
      </c>
      <c r="X1672" s="13" t="n">
        <f aca="false">IF(H1672="Investment",1,0)</f>
        <v>0</v>
      </c>
      <c r="Y1672" s="13" t="n">
        <f aca="false">IF(K1672="Website",1,0)</f>
        <v>0</v>
      </c>
      <c r="Z1672" s="13" t="n">
        <f aca="false">IF(K1672="Agency",1,0)</f>
        <v>1</v>
      </c>
      <c r="AA1672" s="13" t="n">
        <f aca="false">IF(K1672="Client",1,0)</f>
        <v>0</v>
      </c>
      <c r="AB1672" s="13" t="n">
        <f aca="false">(D1672-AVERAGE(D$2:D$2001))/STDEV(D$2:D$2001)</f>
        <v>1.087686897873</v>
      </c>
      <c r="AC1672" s="13" t="n">
        <f aca="false">(I1672-AVERAGE(I$2:I$2001))/STDEV(I$2:I$2001)</f>
        <v>1.39434968409451</v>
      </c>
      <c r="AD1672" s="13" t="n">
        <f aca="false">(L1672-AVERAGE(L$2:L$2001))/STDEV(L$2:L$2001)</f>
        <v>-0.777063122173208</v>
      </c>
      <c r="AE1672" s="13" t="n">
        <f aca="false">(M1672-AVERAGE(M$2:M$2001))/STDEV(M$2:M$2001)</f>
        <v>-0.05348591225914</v>
      </c>
      <c r="AF1672" s="13" t="n">
        <f aca="false">(N1672-AVERAGE(N$2:N$2001))/STDEV(N$2:N$2001)</f>
        <v>0.958578759495261</v>
      </c>
      <c r="AG1672" s="13" t="n">
        <f aca="false">(O1672-AVERAGE(O$2:O$2001))/STDEV(O$2:O$2001)</f>
        <v>0.619431594341673</v>
      </c>
      <c r="AH1672" s="0" t="str">
        <f aca="false">IF(B1672="Company","C3 - Corporate Buyers",IF(AND(H1672="Investment",M1672&gt;'Segmentation Summary'!$C$1),"C1 - Global Investors",IF(AND(I1672&gt;=4,M1672&gt;'Segmentation Summary'!$C$1),"C4 - Luxury Investors",IF(AND(D1672&lt;'Segmentation Summary'!$C$2,J1672=1),"C2 - First-Time Buyers","C5 - Other Individual Buyers"))))</f>
        <v>C4 - Luxury Investors</v>
      </c>
    </row>
    <row r="1673" customFormat="false" ht="15" hidden="false" customHeight="true" outlineLevel="0" collapsed="false">
      <c r="A1673" s="13" t="s">
        <v>3340</v>
      </c>
      <c r="B1673" s="13" t="s">
        <v>34</v>
      </c>
      <c r="C1673" s="13" t="s">
        <v>3341</v>
      </c>
      <c r="D1673" s="13" t="n">
        <v>78</v>
      </c>
      <c r="E1673" s="13" t="s">
        <v>83</v>
      </c>
      <c r="F1673" s="13" t="s">
        <v>33</v>
      </c>
      <c r="G1673" s="13" t="s">
        <v>120</v>
      </c>
      <c r="H1673" s="13" t="s">
        <v>41</v>
      </c>
      <c r="I1673" s="13" t="n">
        <v>5</v>
      </c>
      <c r="J1673" s="13" t="n">
        <v>0</v>
      </c>
      <c r="K1673" s="13" t="s">
        <v>85</v>
      </c>
      <c r="L1673" s="13" t="n">
        <v>4</v>
      </c>
      <c r="M1673" s="13" t="n">
        <v>1212731.6</v>
      </c>
      <c r="N1673" s="13" t="n">
        <v>303182.9</v>
      </c>
      <c r="O1673" s="13" t="n">
        <v>984.9525</v>
      </c>
      <c r="P1673" s="13" t="n">
        <v>0</v>
      </c>
      <c r="Q1673" s="13" t="n">
        <v>4</v>
      </c>
      <c r="R1673" s="13" t="s">
        <v>101</v>
      </c>
      <c r="S1673" s="13" t="s">
        <v>133</v>
      </c>
      <c r="T1673" s="13" t="n">
        <v>1</v>
      </c>
      <c r="U1673" s="13" t="n">
        <f aca="false">IF(B1673="Individual",1,0)</f>
        <v>1</v>
      </c>
      <c r="V1673" s="13" t="n">
        <f aca="false">IF(B1673="Company",1,0)</f>
        <v>0</v>
      </c>
      <c r="W1673" s="13" t="n">
        <f aca="false">IF(H1673="Home",1,0)</f>
        <v>1</v>
      </c>
      <c r="X1673" s="13" t="n">
        <f aca="false">IF(H1673="Investment",1,0)</f>
        <v>0</v>
      </c>
      <c r="Y1673" s="13" t="n">
        <f aca="false">IF(K1673="Website",1,0)</f>
        <v>1</v>
      </c>
      <c r="Z1673" s="13" t="n">
        <f aca="false">IF(K1673="Agency",1,0)</f>
        <v>0</v>
      </c>
      <c r="AA1673" s="13" t="n">
        <f aca="false">IF(K1673="Client",1,0)</f>
        <v>0</v>
      </c>
      <c r="AB1673" s="13" t="n">
        <f aca="false">(D1673-AVERAGE(D$2:D$2001))/STDEV(D$2:D$2001)</f>
        <v>1.37599917531375</v>
      </c>
      <c r="AC1673" s="13" t="n">
        <f aca="false">(I1673-AVERAGE(I$2:I$2001))/STDEV(I$2:I$2001)</f>
        <v>1.39434968409451</v>
      </c>
      <c r="AD1673" s="13" t="n">
        <f aca="false">(L1673-AVERAGE(L$2:L$2001))/STDEV(L$2:L$2001)</f>
        <v>0.413838214490712</v>
      </c>
      <c r="AE1673" s="13" t="n">
        <f aca="false">(M1673-AVERAGE(M$2:M$2001))/STDEV(M$2:M$2001)</f>
        <v>-0.136974353436126</v>
      </c>
      <c r="AF1673" s="13" t="n">
        <f aca="false">(N1673-AVERAGE(N$2:N$2001))/STDEV(N$2:N$2001)</f>
        <v>-0.629746250553659</v>
      </c>
      <c r="AG1673" s="13" t="n">
        <f aca="false">(O1673-AVERAGE(O$2:O$2001))/STDEV(O$2:O$2001)</f>
        <v>-0.739019898960604</v>
      </c>
      <c r="AH1673" s="0" t="str">
        <f aca="false">IF(B1673="Company","C3 - Corporate Buyers",IF(AND(H1673="Investment",M1673&gt;'Segmentation Summary'!$C$1),"C1 - Global Investors",IF(AND(I1673&gt;=4,M1673&gt;'Segmentation Summary'!$C$1),"C4 - Luxury Investors",IF(AND(D1673&lt;'Segmentation Summary'!$C$2,J1673=1),"C2 - First-Time Buyers","C5 - Other Individual Buyers"))))</f>
        <v>C5 - Other Individual Buyers</v>
      </c>
    </row>
    <row r="1674" customFormat="false" ht="15" hidden="false" customHeight="true" outlineLevel="0" collapsed="false">
      <c r="A1674" s="13" t="s">
        <v>3342</v>
      </c>
      <c r="B1674" s="13" t="s">
        <v>34</v>
      </c>
      <c r="C1674" s="13" t="s">
        <v>3343</v>
      </c>
      <c r="D1674" s="13" t="n">
        <v>72</v>
      </c>
      <c r="E1674" s="13" t="s">
        <v>83</v>
      </c>
      <c r="F1674" s="13" t="s">
        <v>33</v>
      </c>
      <c r="G1674" s="13" t="s">
        <v>95</v>
      </c>
      <c r="H1674" s="13" t="s">
        <v>41</v>
      </c>
      <c r="I1674" s="13" t="n">
        <v>2</v>
      </c>
      <c r="J1674" s="13" t="n">
        <v>1</v>
      </c>
      <c r="K1674" s="13" t="s">
        <v>85</v>
      </c>
      <c r="L1674" s="13" t="n">
        <v>3</v>
      </c>
      <c r="M1674" s="13" t="n">
        <v>761781.8</v>
      </c>
      <c r="N1674" s="13" t="n">
        <v>253927.266666667</v>
      </c>
      <c r="O1674" s="13" t="n">
        <v>791.04</v>
      </c>
      <c r="P1674" s="13" t="n">
        <v>1</v>
      </c>
      <c r="Q1674" s="13" t="n">
        <v>2</v>
      </c>
      <c r="R1674" s="13" t="s">
        <v>101</v>
      </c>
      <c r="S1674" s="13" t="s">
        <v>164</v>
      </c>
      <c r="T1674" s="13" t="n">
        <v>1</v>
      </c>
      <c r="U1674" s="13" t="n">
        <f aca="false">IF(B1674="Individual",1,0)</f>
        <v>1</v>
      </c>
      <c r="V1674" s="13" t="n">
        <f aca="false">IF(B1674="Company",1,0)</f>
        <v>0</v>
      </c>
      <c r="W1674" s="13" t="n">
        <f aca="false">IF(H1674="Home",1,0)</f>
        <v>1</v>
      </c>
      <c r="X1674" s="13" t="n">
        <f aca="false">IF(H1674="Investment",1,0)</f>
        <v>0</v>
      </c>
      <c r="Y1674" s="13" t="n">
        <f aca="false">IF(K1674="Website",1,0)</f>
        <v>1</v>
      </c>
      <c r="Z1674" s="13" t="n">
        <f aca="false">IF(K1674="Agency",1,0)</f>
        <v>0</v>
      </c>
      <c r="AA1674" s="13" t="n">
        <f aca="false">IF(K1674="Client",1,0)</f>
        <v>0</v>
      </c>
      <c r="AB1674" s="13" t="n">
        <f aca="false">(D1674-AVERAGE(D$2:D$2001))/STDEV(D$2:D$2001)</f>
        <v>1.03002444238485</v>
      </c>
      <c r="AC1674" s="13" t="n">
        <f aca="false">(I1674-AVERAGE(I$2:I$2001))/STDEV(I$2:I$2001)</f>
        <v>-0.727948160798201</v>
      </c>
      <c r="AD1674" s="13" t="n">
        <f aca="false">(L1674-AVERAGE(L$2:L$2001))/STDEV(L$2:L$2001)</f>
        <v>-0.777063122173208</v>
      </c>
      <c r="AE1674" s="13" t="n">
        <f aca="false">(M1674-AVERAGE(M$2:M$2001))/STDEV(M$2:M$2001)</f>
        <v>-1.43343796518722</v>
      </c>
      <c r="AF1674" s="13" t="n">
        <f aca="false">(N1674-AVERAGE(N$2:N$2001))/STDEV(N$2:N$2001)</f>
        <v>-1.33620560648877</v>
      </c>
      <c r="AG1674" s="13" t="n">
        <f aca="false">(O1674-AVERAGE(O$2:O$2001))/STDEV(O$2:O$2001)</f>
        <v>-1.62075061466602</v>
      </c>
      <c r="AH1674" s="0" t="str">
        <f aca="false">IF(B1674="Company","C3 - Corporate Buyers",IF(AND(H1674="Investment",M1674&gt;'Segmentation Summary'!$C$1),"C1 - Global Investors",IF(AND(I1674&gt;=4,M1674&gt;'Segmentation Summary'!$C$1),"C4 - Luxury Investors",IF(AND(D1674&lt;'Segmentation Summary'!$C$2,J1674=1),"C2 - First-Time Buyers","C5 - Other Individual Buyers"))))</f>
        <v>C5 - Other Individual Buyers</v>
      </c>
    </row>
    <row r="1675" customFormat="false" ht="15" hidden="false" customHeight="true" outlineLevel="0" collapsed="false">
      <c r="A1675" s="13" t="s">
        <v>3344</v>
      </c>
      <c r="B1675" s="13" t="s">
        <v>34</v>
      </c>
      <c r="C1675" s="13" t="s">
        <v>3343</v>
      </c>
      <c r="D1675" s="13" t="n">
        <v>69</v>
      </c>
      <c r="E1675" s="13" t="s">
        <v>83</v>
      </c>
      <c r="F1675" s="13" t="s">
        <v>37</v>
      </c>
      <c r="G1675" s="13" t="s">
        <v>572</v>
      </c>
      <c r="H1675" s="13" t="s">
        <v>41</v>
      </c>
      <c r="I1675" s="13" t="n">
        <v>3</v>
      </c>
      <c r="J1675" s="13" t="n">
        <v>1</v>
      </c>
      <c r="K1675" s="13" t="s">
        <v>85</v>
      </c>
      <c r="L1675" s="13" t="n">
        <v>3</v>
      </c>
      <c r="M1675" s="13" t="n">
        <v>956356.54</v>
      </c>
      <c r="N1675" s="13" t="n">
        <v>318785.513333333</v>
      </c>
      <c r="O1675" s="13" t="n">
        <v>1090.77333333333</v>
      </c>
      <c r="P1675" s="13" t="n">
        <v>0</v>
      </c>
      <c r="Q1675" s="13" t="n">
        <v>3</v>
      </c>
      <c r="R1675" s="13" t="s">
        <v>121</v>
      </c>
      <c r="S1675" s="13" t="s">
        <v>141</v>
      </c>
      <c r="T1675" s="13" t="n">
        <v>1</v>
      </c>
      <c r="U1675" s="13" t="n">
        <f aca="false">IF(B1675="Individual",1,0)</f>
        <v>1</v>
      </c>
      <c r="V1675" s="13" t="n">
        <f aca="false">IF(B1675="Company",1,0)</f>
        <v>0</v>
      </c>
      <c r="W1675" s="13" t="n">
        <f aca="false">IF(H1675="Home",1,0)</f>
        <v>1</v>
      </c>
      <c r="X1675" s="13" t="n">
        <f aca="false">IF(H1675="Investment",1,0)</f>
        <v>0</v>
      </c>
      <c r="Y1675" s="13" t="n">
        <f aca="false">IF(K1675="Website",1,0)</f>
        <v>1</v>
      </c>
      <c r="Z1675" s="13" t="n">
        <f aca="false">IF(K1675="Agency",1,0)</f>
        <v>0</v>
      </c>
      <c r="AA1675" s="13" t="n">
        <f aca="false">IF(K1675="Client",1,0)</f>
        <v>0</v>
      </c>
      <c r="AB1675" s="13" t="n">
        <f aca="false">(D1675-AVERAGE(D$2:D$2001))/STDEV(D$2:D$2001)</f>
        <v>0.857037075920391</v>
      </c>
      <c r="AC1675" s="13" t="n">
        <f aca="false">(I1675-AVERAGE(I$2:I$2001))/STDEV(I$2:I$2001)</f>
        <v>-0.0205155458339628</v>
      </c>
      <c r="AD1675" s="13" t="n">
        <f aca="false">(L1675-AVERAGE(L$2:L$2001))/STDEV(L$2:L$2001)</f>
        <v>-0.777063122173208</v>
      </c>
      <c r="AE1675" s="13" t="n">
        <f aca="false">(M1675-AVERAGE(M$2:M$2001))/STDEV(M$2:M$2001)</f>
        <v>-0.874042950097001</v>
      </c>
      <c r="AF1675" s="13" t="n">
        <f aca="false">(N1675-AVERAGE(N$2:N$2001))/STDEV(N$2:N$2001)</f>
        <v>-0.40596246339217</v>
      </c>
      <c r="AG1675" s="13" t="n">
        <f aca="false">(O1675-AVERAGE(O$2:O$2001))/STDEV(O$2:O$2001)</f>
        <v>-0.257846797115491</v>
      </c>
      <c r="AH1675" s="0" t="str">
        <f aca="false">IF(B1675="Company","C3 - Corporate Buyers",IF(AND(H1675="Investment",M1675&gt;'Segmentation Summary'!$C$1),"C1 - Global Investors",IF(AND(I1675&gt;=4,M1675&gt;'Segmentation Summary'!$C$1),"C4 - Luxury Investors",IF(AND(D1675&lt;'Segmentation Summary'!$C$2,J1675=1),"C2 - First-Time Buyers","C5 - Other Individual Buyers"))))</f>
        <v>C5 - Other Individual Buyers</v>
      </c>
    </row>
    <row r="1676" customFormat="false" ht="15" hidden="false" customHeight="true" outlineLevel="0" collapsed="false">
      <c r="A1676" s="13" t="s">
        <v>3345</v>
      </c>
      <c r="B1676" s="13" t="s">
        <v>34</v>
      </c>
      <c r="C1676" s="13" t="s">
        <v>3346</v>
      </c>
      <c r="D1676" s="13" t="n">
        <v>87</v>
      </c>
      <c r="E1676" s="13" t="s">
        <v>83</v>
      </c>
      <c r="F1676" s="13" t="s">
        <v>33</v>
      </c>
      <c r="G1676" s="13" t="s">
        <v>84</v>
      </c>
      <c r="H1676" s="13" t="s">
        <v>41</v>
      </c>
      <c r="I1676" s="13" t="n">
        <v>2</v>
      </c>
      <c r="J1676" s="13" t="n">
        <v>1</v>
      </c>
      <c r="K1676" s="13" t="s">
        <v>85</v>
      </c>
      <c r="L1676" s="13" t="n">
        <v>5</v>
      </c>
      <c r="M1676" s="13" t="n">
        <v>1694448.83</v>
      </c>
      <c r="N1676" s="13" t="n">
        <v>338889.766</v>
      </c>
      <c r="O1676" s="13" t="n">
        <v>1120.576</v>
      </c>
      <c r="P1676" s="13" t="n">
        <v>0</v>
      </c>
      <c r="Q1676" s="13" t="n">
        <v>5</v>
      </c>
      <c r="R1676" s="13" t="s">
        <v>92</v>
      </c>
      <c r="S1676" s="13" t="s">
        <v>141</v>
      </c>
      <c r="T1676" s="13" t="n">
        <v>1</v>
      </c>
      <c r="U1676" s="13" t="n">
        <f aca="false">IF(B1676="Individual",1,0)</f>
        <v>1</v>
      </c>
      <c r="V1676" s="13" t="n">
        <f aca="false">IF(B1676="Company",1,0)</f>
        <v>0</v>
      </c>
      <c r="W1676" s="13" t="n">
        <f aca="false">IF(H1676="Home",1,0)</f>
        <v>1</v>
      </c>
      <c r="X1676" s="13" t="n">
        <f aca="false">IF(H1676="Investment",1,0)</f>
        <v>0</v>
      </c>
      <c r="Y1676" s="13" t="n">
        <f aca="false">IF(K1676="Website",1,0)</f>
        <v>1</v>
      </c>
      <c r="Z1676" s="13" t="n">
        <f aca="false">IF(K1676="Agency",1,0)</f>
        <v>0</v>
      </c>
      <c r="AA1676" s="13" t="n">
        <f aca="false">IF(K1676="Client",1,0)</f>
        <v>0</v>
      </c>
      <c r="AB1676" s="13" t="n">
        <f aca="false">(D1676-AVERAGE(D$2:D$2001))/STDEV(D$2:D$2001)</f>
        <v>1.89496127470711</v>
      </c>
      <c r="AC1676" s="13" t="n">
        <f aca="false">(I1676-AVERAGE(I$2:I$2001))/STDEV(I$2:I$2001)</f>
        <v>-0.727948160798201</v>
      </c>
      <c r="AD1676" s="13" t="n">
        <f aca="false">(L1676-AVERAGE(L$2:L$2001))/STDEV(L$2:L$2001)</f>
        <v>1.60473955115463</v>
      </c>
      <c r="AE1676" s="13" t="n">
        <f aca="false">(M1676-AVERAGE(M$2:M$2001))/STDEV(M$2:M$2001)</f>
        <v>1.24794445537259</v>
      </c>
      <c r="AF1676" s="13" t="n">
        <f aca="false">(N1676-AVERAGE(N$2:N$2001))/STDEV(N$2:N$2001)</f>
        <v>-0.117612960415853</v>
      </c>
      <c r="AG1676" s="13" t="n">
        <f aca="false">(O1676-AVERAGE(O$2:O$2001))/STDEV(O$2:O$2001)</f>
        <v>-0.122332446003866</v>
      </c>
      <c r="AH1676" s="0" t="str">
        <f aca="false">IF(B1676="Company","C3 - Corporate Buyers",IF(AND(H1676="Investment",M1676&gt;'Segmentation Summary'!$C$1),"C1 - Global Investors",IF(AND(I1676&gt;=4,M1676&gt;'Segmentation Summary'!$C$1),"C4 - Luxury Investors",IF(AND(D1676&lt;'Segmentation Summary'!$C$2,J1676=1),"C2 - First-Time Buyers","C5 - Other Individual Buyers"))))</f>
        <v>C5 - Other Individual Buyers</v>
      </c>
    </row>
    <row r="1677" customFormat="false" ht="15" hidden="false" customHeight="true" outlineLevel="0" collapsed="false">
      <c r="A1677" s="13" t="s">
        <v>3347</v>
      </c>
      <c r="B1677" s="13" t="s">
        <v>34</v>
      </c>
      <c r="C1677" s="13" t="s">
        <v>3348</v>
      </c>
      <c r="D1677" s="13" t="n">
        <v>52</v>
      </c>
      <c r="E1677" s="13" t="s">
        <v>83</v>
      </c>
      <c r="F1677" s="13" t="s">
        <v>33</v>
      </c>
      <c r="G1677" s="13" t="s">
        <v>95</v>
      </c>
      <c r="H1677" s="13" t="s">
        <v>41</v>
      </c>
      <c r="I1677" s="13" t="n">
        <v>1</v>
      </c>
      <c r="J1677" s="13" t="n">
        <v>0</v>
      </c>
      <c r="K1677" s="13" t="s">
        <v>91</v>
      </c>
      <c r="L1677" s="13" t="n">
        <v>4</v>
      </c>
      <c r="M1677" s="13" t="n">
        <v>1557125.73</v>
      </c>
      <c r="N1677" s="13" t="n">
        <v>389281.4325</v>
      </c>
      <c r="O1677" s="13" t="n">
        <v>1261.5275</v>
      </c>
      <c r="P1677" s="13" t="n">
        <v>1</v>
      </c>
      <c r="Q1677" s="13" t="n">
        <v>3</v>
      </c>
      <c r="R1677" s="13" t="s">
        <v>112</v>
      </c>
      <c r="S1677" s="13" t="s">
        <v>152</v>
      </c>
      <c r="T1677" s="13" t="n">
        <v>1</v>
      </c>
      <c r="U1677" s="13" t="n">
        <f aca="false">IF(B1677="Individual",1,0)</f>
        <v>1</v>
      </c>
      <c r="V1677" s="13" t="n">
        <f aca="false">IF(B1677="Company",1,0)</f>
        <v>0</v>
      </c>
      <c r="W1677" s="13" t="n">
        <f aca="false">IF(H1677="Home",1,0)</f>
        <v>1</v>
      </c>
      <c r="X1677" s="13" t="n">
        <f aca="false">IF(H1677="Investment",1,0)</f>
        <v>0</v>
      </c>
      <c r="Y1677" s="13" t="n">
        <f aca="false">IF(K1677="Website",1,0)</f>
        <v>0</v>
      </c>
      <c r="Z1677" s="13" t="n">
        <f aca="false">IF(K1677="Agency",1,0)</f>
        <v>1</v>
      </c>
      <c r="AA1677" s="13" t="n">
        <f aca="false">IF(K1677="Client",1,0)</f>
        <v>0</v>
      </c>
      <c r="AB1677" s="13" t="n">
        <f aca="false">(D1677-AVERAGE(D$2:D$2001))/STDEV(D$2:D$2001)</f>
        <v>-0.123224667378179</v>
      </c>
      <c r="AC1677" s="13" t="n">
        <f aca="false">(I1677-AVERAGE(I$2:I$2001))/STDEV(I$2:I$2001)</f>
        <v>-1.43538077576244</v>
      </c>
      <c r="AD1677" s="13" t="n">
        <f aca="false">(L1677-AVERAGE(L$2:L$2001))/STDEV(L$2:L$2001)</f>
        <v>0.413838214490712</v>
      </c>
      <c r="AE1677" s="13" t="n">
        <f aca="false">(M1677-AVERAGE(M$2:M$2001))/STDEV(M$2:M$2001)</f>
        <v>0.853145738968115</v>
      </c>
      <c r="AF1677" s="13" t="n">
        <f aca="false">(N1677-AVERAGE(N$2:N$2001))/STDEV(N$2:N$2001)</f>
        <v>0.605140191881861</v>
      </c>
      <c r="AG1677" s="13" t="n">
        <f aca="false">(O1677-AVERAGE(O$2:O$2001))/STDEV(O$2:O$2001)</f>
        <v>0.518581713602924</v>
      </c>
      <c r="AH1677" s="0" t="str">
        <f aca="false">IF(B1677="Company","C3 - Corporate Buyers",IF(AND(H1677="Investment",M1677&gt;'Segmentation Summary'!$C$1),"C1 - Global Investors",IF(AND(I1677&gt;=4,M1677&gt;'Segmentation Summary'!$C$1),"C4 - Luxury Investors",IF(AND(D1677&lt;'Segmentation Summary'!$C$2,J1677=1),"C2 - First-Time Buyers","C5 - Other Individual Buyers"))))</f>
        <v>C5 - Other Individual Buyers</v>
      </c>
    </row>
    <row r="1678" customFormat="false" ht="15" hidden="false" customHeight="true" outlineLevel="0" collapsed="false">
      <c r="A1678" s="13" t="s">
        <v>3349</v>
      </c>
      <c r="B1678" s="13" t="s">
        <v>34</v>
      </c>
      <c r="C1678" s="13" t="s">
        <v>3350</v>
      </c>
      <c r="D1678" s="13" t="n">
        <v>58</v>
      </c>
      <c r="E1678" s="13" t="s">
        <v>83</v>
      </c>
      <c r="F1678" s="13" t="s">
        <v>33</v>
      </c>
      <c r="G1678" s="13" t="s">
        <v>95</v>
      </c>
      <c r="H1678" s="13" t="s">
        <v>41</v>
      </c>
      <c r="I1678" s="13" t="n">
        <v>4</v>
      </c>
      <c r="J1678" s="13" t="n">
        <v>0</v>
      </c>
      <c r="K1678" s="13" t="s">
        <v>85</v>
      </c>
      <c r="L1678" s="13" t="n">
        <v>5</v>
      </c>
      <c r="M1678" s="13" t="n">
        <v>1888995.16</v>
      </c>
      <c r="N1678" s="13" t="n">
        <v>377799.032</v>
      </c>
      <c r="O1678" s="13" t="n">
        <v>1282.528</v>
      </c>
      <c r="P1678" s="13" t="n">
        <v>1</v>
      </c>
      <c r="Q1678" s="13" t="n">
        <v>4</v>
      </c>
      <c r="R1678" s="13" t="s">
        <v>92</v>
      </c>
      <c r="S1678" s="13" t="s">
        <v>135</v>
      </c>
      <c r="T1678" s="13" t="n">
        <v>1</v>
      </c>
      <c r="U1678" s="13" t="n">
        <f aca="false">IF(B1678="Individual",1,0)</f>
        <v>1</v>
      </c>
      <c r="V1678" s="13" t="n">
        <f aca="false">IF(B1678="Company",1,0)</f>
        <v>0</v>
      </c>
      <c r="W1678" s="13" t="n">
        <f aca="false">IF(H1678="Home",1,0)</f>
        <v>1</v>
      </c>
      <c r="X1678" s="13" t="n">
        <f aca="false">IF(H1678="Investment",1,0)</f>
        <v>0</v>
      </c>
      <c r="Y1678" s="13" t="n">
        <f aca="false">IF(K1678="Website",1,0)</f>
        <v>1</v>
      </c>
      <c r="Z1678" s="13" t="n">
        <f aca="false">IF(K1678="Agency",1,0)</f>
        <v>0</v>
      </c>
      <c r="AA1678" s="13" t="n">
        <f aca="false">IF(K1678="Client",1,0)</f>
        <v>0</v>
      </c>
      <c r="AB1678" s="13" t="n">
        <f aca="false">(D1678-AVERAGE(D$2:D$2001))/STDEV(D$2:D$2001)</f>
        <v>0.222750065550728</v>
      </c>
      <c r="AC1678" s="13" t="n">
        <f aca="false">(I1678-AVERAGE(I$2:I$2001))/STDEV(I$2:I$2001)</f>
        <v>0.686917069130275</v>
      </c>
      <c r="AD1678" s="13" t="n">
        <f aca="false">(L1678-AVERAGE(L$2:L$2001))/STDEV(L$2:L$2001)</f>
        <v>1.60473955115463</v>
      </c>
      <c r="AE1678" s="13" t="n">
        <f aca="false">(M1678-AVERAGE(M$2:M$2001))/STDEV(M$2:M$2001)</f>
        <v>1.8072577927878</v>
      </c>
      <c r="AF1678" s="13" t="n">
        <f aca="false">(N1678-AVERAGE(N$2:N$2001))/STDEV(N$2:N$2001)</f>
        <v>0.440451430153374</v>
      </c>
      <c r="AG1678" s="13" t="n">
        <f aca="false">(O1678-AVERAGE(O$2:O$2001))/STDEV(O$2:O$2001)</f>
        <v>0.614072132710365</v>
      </c>
      <c r="AH1678" s="0" t="str">
        <f aca="false">IF(B1678="Company","C3 - Corporate Buyers",IF(AND(H1678="Investment",M1678&gt;'Segmentation Summary'!$C$1),"C1 - Global Investors",IF(AND(I1678&gt;=4,M1678&gt;'Segmentation Summary'!$C$1),"C4 - Luxury Investors",IF(AND(D1678&lt;'Segmentation Summary'!$C$2,J1678=1),"C2 - First-Time Buyers","C5 - Other Individual Buyers"))))</f>
        <v>C4 - Luxury Investors</v>
      </c>
    </row>
    <row r="1679" customFormat="false" ht="15" hidden="false" customHeight="true" outlineLevel="0" collapsed="false">
      <c r="A1679" s="13" t="s">
        <v>3351</v>
      </c>
      <c r="B1679" s="13" t="s">
        <v>34</v>
      </c>
      <c r="C1679" s="13" t="s">
        <v>3352</v>
      </c>
      <c r="D1679" s="13" t="n">
        <v>67</v>
      </c>
      <c r="E1679" s="13" t="s">
        <v>83</v>
      </c>
      <c r="F1679" s="13" t="s">
        <v>33</v>
      </c>
      <c r="G1679" s="13" t="s">
        <v>157</v>
      </c>
      <c r="H1679" s="13" t="s">
        <v>43</v>
      </c>
      <c r="I1679" s="13" t="n">
        <v>4</v>
      </c>
      <c r="J1679" s="13" t="n">
        <v>0</v>
      </c>
      <c r="K1679" s="13" t="s">
        <v>91</v>
      </c>
      <c r="L1679" s="13" t="n">
        <v>3</v>
      </c>
      <c r="M1679" s="13" t="n">
        <v>747143.37</v>
      </c>
      <c r="N1679" s="13" t="n">
        <v>249047.79</v>
      </c>
      <c r="O1679" s="13" t="n">
        <v>859.263333333333</v>
      </c>
      <c r="P1679" s="13" t="n">
        <v>0</v>
      </c>
      <c r="Q1679" s="13" t="n">
        <v>3</v>
      </c>
      <c r="R1679" s="13" t="s">
        <v>92</v>
      </c>
      <c r="S1679" s="13" t="s">
        <v>121</v>
      </c>
      <c r="T1679" s="13" t="n">
        <v>1</v>
      </c>
      <c r="U1679" s="13" t="n">
        <f aca="false">IF(B1679="Individual",1,0)</f>
        <v>1</v>
      </c>
      <c r="V1679" s="13" t="n">
        <f aca="false">IF(B1679="Company",1,0)</f>
        <v>0</v>
      </c>
      <c r="W1679" s="13" t="n">
        <f aca="false">IF(H1679="Home",1,0)</f>
        <v>0</v>
      </c>
      <c r="X1679" s="13" t="n">
        <f aca="false">IF(H1679="Investment",1,0)</f>
        <v>1</v>
      </c>
      <c r="Y1679" s="13" t="n">
        <f aca="false">IF(K1679="Website",1,0)</f>
        <v>0</v>
      </c>
      <c r="Z1679" s="13" t="n">
        <f aca="false">IF(K1679="Agency",1,0)</f>
        <v>1</v>
      </c>
      <c r="AA1679" s="13" t="n">
        <f aca="false">IF(K1679="Client",1,0)</f>
        <v>0</v>
      </c>
      <c r="AB1679" s="13" t="n">
        <f aca="false">(D1679-AVERAGE(D$2:D$2001))/STDEV(D$2:D$2001)</f>
        <v>0.741712164944089</v>
      </c>
      <c r="AC1679" s="13" t="n">
        <f aca="false">(I1679-AVERAGE(I$2:I$2001))/STDEV(I$2:I$2001)</f>
        <v>0.686917069130275</v>
      </c>
      <c r="AD1679" s="13" t="n">
        <f aca="false">(L1679-AVERAGE(L$2:L$2001))/STDEV(L$2:L$2001)</f>
        <v>-0.777063122173208</v>
      </c>
      <c r="AE1679" s="13" t="n">
        <f aca="false">(M1679-AVERAGE(M$2:M$2001))/STDEV(M$2:M$2001)</f>
        <v>-1.47552289754147</v>
      </c>
      <c r="AF1679" s="13" t="n">
        <f aca="false">(N1679-AVERAGE(N$2:N$2001))/STDEV(N$2:N$2001)</f>
        <v>-1.40619053430211</v>
      </c>
      <c r="AG1679" s="13" t="n">
        <f aca="false">(O1679-AVERAGE(O$2:O$2001))/STDEV(O$2:O$2001)</f>
        <v>-1.31053539631852</v>
      </c>
      <c r="AH1679" s="0" t="str">
        <f aca="false">IF(B1679="Company","C3 - Corporate Buyers",IF(AND(H1679="Investment",M1679&gt;'Segmentation Summary'!$C$1),"C1 - Global Investors",IF(AND(I1679&gt;=4,M1679&gt;'Segmentation Summary'!$C$1),"C4 - Luxury Investors",IF(AND(D1679&lt;'Segmentation Summary'!$C$2,J1679=1),"C2 - First-Time Buyers","C5 - Other Individual Buyers"))))</f>
        <v>C5 - Other Individual Buyers</v>
      </c>
    </row>
    <row r="1680" customFormat="false" ht="15" hidden="false" customHeight="true" outlineLevel="0" collapsed="false">
      <c r="A1680" s="13" t="s">
        <v>3353</v>
      </c>
      <c r="B1680" s="13" t="s">
        <v>34</v>
      </c>
      <c r="C1680" s="13" t="s">
        <v>3354</v>
      </c>
      <c r="D1680" s="13" t="n">
        <v>67</v>
      </c>
      <c r="E1680" s="13" t="s">
        <v>83</v>
      </c>
      <c r="F1680" s="13" t="s">
        <v>33</v>
      </c>
      <c r="G1680" s="13" t="s">
        <v>95</v>
      </c>
      <c r="H1680" s="13" t="s">
        <v>41</v>
      </c>
      <c r="I1680" s="13" t="n">
        <v>2</v>
      </c>
      <c r="J1680" s="13" t="n">
        <v>1</v>
      </c>
      <c r="K1680" s="13" t="s">
        <v>116</v>
      </c>
      <c r="L1680" s="13" t="n">
        <v>3</v>
      </c>
      <c r="M1680" s="13" t="n">
        <v>842510.7</v>
      </c>
      <c r="N1680" s="13" t="n">
        <v>280836.9</v>
      </c>
      <c r="O1680" s="13" t="n">
        <v>908.233333333333</v>
      </c>
      <c r="P1680" s="13" t="n">
        <v>0</v>
      </c>
      <c r="Q1680" s="13" t="n">
        <v>3</v>
      </c>
      <c r="R1680" s="13" t="s">
        <v>150</v>
      </c>
      <c r="S1680" s="13" t="s">
        <v>152</v>
      </c>
      <c r="T1680" s="13" t="n">
        <v>1</v>
      </c>
      <c r="U1680" s="13" t="n">
        <f aca="false">IF(B1680="Individual",1,0)</f>
        <v>1</v>
      </c>
      <c r="V1680" s="13" t="n">
        <f aca="false">IF(B1680="Company",1,0)</f>
        <v>0</v>
      </c>
      <c r="W1680" s="13" t="n">
        <f aca="false">IF(H1680="Home",1,0)</f>
        <v>1</v>
      </c>
      <c r="X1680" s="13" t="n">
        <f aca="false">IF(H1680="Investment",1,0)</f>
        <v>0</v>
      </c>
      <c r="Y1680" s="13" t="n">
        <f aca="false">IF(K1680="Website",1,0)</f>
        <v>0</v>
      </c>
      <c r="Z1680" s="13" t="n">
        <f aca="false">IF(K1680="Agency",1,0)</f>
        <v>0</v>
      </c>
      <c r="AA1680" s="13" t="n">
        <f aca="false">IF(K1680="Client",1,0)</f>
        <v>1</v>
      </c>
      <c r="AB1680" s="13" t="n">
        <f aca="false">(D1680-AVERAGE(D$2:D$2001))/STDEV(D$2:D$2001)</f>
        <v>0.741712164944089</v>
      </c>
      <c r="AC1680" s="13" t="n">
        <f aca="false">(I1680-AVERAGE(I$2:I$2001))/STDEV(I$2:I$2001)</f>
        <v>-0.727948160798201</v>
      </c>
      <c r="AD1680" s="13" t="n">
        <f aca="false">(L1680-AVERAGE(L$2:L$2001))/STDEV(L$2:L$2001)</f>
        <v>-0.777063122173208</v>
      </c>
      <c r="AE1680" s="13" t="n">
        <f aca="false">(M1680-AVERAGE(M$2:M$2001))/STDEV(M$2:M$2001)</f>
        <v>-1.201345432345</v>
      </c>
      <c r="AF1680" s="13" t="n">
        <f aca="false">(N1680-AVERAGE(N$2:N$2001))/STDEV(N$2:N$2001)</f>
        <v>-0.950248489574564</v>
      </c>
      <c r="AG1680" s="13" t="n">
        <f aca="false">(O1680-AVERAGE(O$2:O$2001))/STDEV(O$2:O$2001)</f>
        <v>-1.08786613493468</v>
      </c>
      <c r="AH1680" s="0" t="str">
        <f aca="false">IF(B1680="Company","C3 - Corporate Buyers",IF(AND(H1680="Investment",M1680&gt;'Segmentation Summary'!$C$1),"C1 - Global Investors",IF(AND(I1680&gt;=4,M1680&gt;'Segmentation Summary'!$C$1),"C4 - Luxury Investors",IF(AND(D1680&lt;'Segmentation Summary'!$C$2,J1680=1),"C2 - First-Time Buyers","C5 - Other Individual Buyers"))))</f>
        <v>C5 - Other Individual Buyers</v>
      </c>
    </row>
    <row r="1681" customFormat="false" ht="15" hidden="false" customHeight="true" outlineLevel="0" collapsed="false">
      <c r="A1681" s="13" t="s">
        <v>3355</v>
      </c>
      <c r="B1681" s="13" t="s">
        <v>34</v>
      </c>
      <c r="C1681" s="13" t="s">
        <v>3356</v>
      </c>
      <c r="D1681" s="13" t="n">
        <v>73</v>
      </c>
      <c r="E1681" s="13" t="s">
        <v>83</v>
      </c>
      <c r="F1681" s="13" t="s">
        <v>47</v>
      </c>
      <c r="G1681" s="13" t="s">
        <v>2880</v>
      </c>
      <c r="H1681" s="13" t="s">
        <v>41</v>
      </c>
      <c r="I1681" s="13" t="n">
        <v>5</v>
      </c>
      <c r="J1681" s="13" t="n">
        <v>0</v>
      </c>
      <c r="K1681" s="13" t="s">
        <v>85</v>
      </c>
      <c r="L1681" s="13" t="n">
        <v>3</v>
      </c>
      <c r="M1681" s="13" t="n">
        <v>1422486.61</v>
      </c>
      <c r="N1681" s="13" t="n">
        <v>474162.203333333</v>
      </c>
      <c r="O1681" s="13" t="n">
        <v>1623.3</v>
      </c>
      <c r="P1681" s="13" t="n">
        <v>1</v>
      </c>
      <c r="Q1681" s="13" t="n">
        <v>2</v>
      </c>
      <c r="R1681" s="13" t="s">
        <v>117</v>
      </c>
      <c r="S1681" s="13" t="s">
        <v>141</v>
      </c>
      <c r="T1681" s="13" t="n">
        <v>1</v>
      </c>
      <c r="U1681" s="13" t="n">
        <f aca="false">IF(B1681="Individual",1,0)</f>
        <v>1</v>
      </c>
      <c r="V1681" s="13" t="n">
        <f aca="false">IF(B1681="Company",1,0)</f>
        <v>0</v>
      </c>
      <c r="W1681" s="13" t="n">
        <f aca="false">IF(H1681="Home",1,0)</f>
        <v>1</v>
      </c>
      <c r="X1681" s="13" t="n">
        <f aca="false">IF(H1681="Investment",1,0)</f>
        <v>0</v>
      </c>
      <c r="Y1681" s="13" t="n">
        <f aca="false">IF(K1681="Website",1,0)</f>
        <v>1</v>
      </c>
      <c r="Z1681" s="13" t="n">
        <f aca="false">IF(K1681="Agency",1,0)</f>
        <v>0</v>
      </c>
      <c r="AA1681" s="13" t="n">
        <f aca="false">IF(K1681="Client",1,0)</f>
        <v>0</v>
      </c>
      <c r="AB1681" s="13" t="n">
        <f aca="false">(D1681-AVERAGE(D$2:D$2001))/STDEV(D$2:D$2001)</f>
        <v>1.087686897873</v>
      </c>
      <c r="AC1681" s="13" t="n">
        <f aca="false">(I1681-AVERAGE(I$2:I$2001))/STDEV(I$2:I$2001)</f>
        <v>1.39434968409451</v>
      </c>
      <c r="AD1681" s="13" t="n">
        <f aca="false">(L1681-AVERAGE(L$2:L$2001))/STDEV(L$2:L$2001)</f>
        <v>-0.777063122173208</v>
      </c>
      <c r="AE1681" s="13" t="n">
        <f aca="false">(M1681-AVERAGE(M$2:M$2001))/STDEV(M$2:M$2001)</f>
        <v>0.46606336350595</v>
      </c>
      <c r="AF1681" s="13" t="n">
        <f aca="false">(N1681-AVERAGE(N$2:N$2001))/STDEV(N$2:N$2001)</f>
        <v>1.82256062962927</v>
      </c>
      <c r="AG1681" s="13" t="n">
        <f aca="false">(O1681-AVERAGE(O$2:O$2001))/STDEV(O$2:O$2001)</f>
        <v>2.16358100631246</v>
      </c>
      <c r="AH1681" s="0" t="str">
        <f aca="false">IF(B1681="Company","C3 - Corporate Buyers",IF(AND(H1681="Investment",M1681&gt;'Segmentation Summary'!$C$1),"C1 - Global Investors",IF(AND(I1681&gt;=4,M1681&gt;'Segmentation Summary'!$C$1),"C4 - Luxury Investors",IF(AND(D1681&lt;'Segmentation Summary'!$C$2,J1681=1),"C2 - First-Time Buyers","C5 - Other Individual Buyers"))))</f>
        <v>C4 - Luxury Investors</v>
      </c>
    </row>
    <row r="1682" customFormat="false" ht="15" hidden="false" customHeight="true" outlineLevel="0" collapsed="false">
      <c r="A1682" s="13" t="s">
        <v>3357</v>
      </c>
      <c r="B1682" s="13" t="s">
        <v>34</v>
      </c>
      <c r="C1682" s="13" t="s">
        <v>3358</v>
      </c>
      <c r="D1682" s="13" t="n">
        <v>57</v>
      </c>
      <c r="E1682" s="13" t="s">
        <v>83</v>
      </c>
      <c r="F1682" s="13" t="s">
        <v>46</v>
      </c>
      <c r="G1682" s="13" t="s">
        <v>414</v>
      </c>
      <c r="H1682" s="13" t="s">
        <v>41</v>
      </c>
      <c r="I1682" s="13" t="n">
        <v>3</v>
      </c>
      <c r="J1682" s="13" t="n">
        <v>0</v>
      </c>
      <c r="K1682" s="13" t="s">
        <v>91</v>
      </c>
      <c r="L1682" s="13" t="n">
        <v>3</v>
      </c>
      <c r="M1682" s="13" t="n">
        <v>1350375.73</v>
      </c>
      <c r="N1682" s="13" t="n">
        <v>450125.243333333</v>
      </c>
      <c r="O1682" s="13" t="n">
        <v>1413.86666666667</v>
      </c>
      <c r="P1682" s="13" t="n">
        <v>0</v>
      </c>
      <c r="Q1682" s="13" t="n">
        <v>3</v>
      </c>
      <c r="R1682" s="13" t="s">
        <v>93</v>
      </c>
      <c r="S1682" s="13" t="s">
        <v>152</v>
      </c>
      <c r="T1682" s="13" t="n">
        <v>1</v>
      </c>
      <c r="U1682" s="13" t="n">
        <f aca="false">IF(B1682="Individual",1,0)</f>
        <v>1</v>
      </c>
      <c r="V1682" s="13" t="n">
        <f aca="false">IF(B1682="Company",1,0)</f>
        <v>0</v>
      </c>
      <c r="W1682" s="13" t="n">
        <f aca="false">IF(H1682="Home",1,0)</f>
        <v>1</v>
      </c>
      <c r="X1682" s="13" t="n">
        <f aca="false">IF(H1682="Investment",1,0)</f>
        <v>0</v>
      </c>
      <c r="Y1682" s="13" t="n">
        <f aca="false">IF(K1682="Website",1,0)</f>
        <v>0</v>
      </c>
      <c r="Z1682" s="13" t="n">
        <f aca="false">IF(K1682="Agency",1,0)</f>
        <v>1</v>
      </c>
      <c r="AA1682" s="13" t="n">
        <f aca="false">IF(K1682="Client",1,0)</f>
        <v>0</v>
      </c>
      <c r="AB1682" s="13" t="n">
        <f aca="false">(D1682-AVERAGE(D$2:D$2001))/STDEV(D$2:D$2001)</f>
        <v>0.165087610062577</v>
      </c>
      <c r="AC1682" s="13" t="n">
        <f aca="false">(I1682-AVERAGE(I$2:I$2001))/STDEV(I$2:I$2001)</f>
        <v>-0.0205155458339628</v>
      </c>
      <c r="AD1682" s="13" t="n">
        <f aca="false">(L1682-AVERAGE(L$2:L$2001))/STDEV(L$2:L$2001)</f>
        <v>-0.777063122173208</v>
      </c>
      <c r="AE1682" s="13" t="n">
        <f aca="false">(M1682-AVERAGE(M$2:M$2001))/STDEV(M$2:M$2001)</f>
        <v>0.258747312071069</v>
      </c>
      <c r="AF1682" s="13" t="n">
        <f aca="false">(N1682-AVERAGE(N$2:N$2001))/STDEV(N$2:N$2001)</f>
        <v>1.47780543857691</v>
      </c>
      <c r="AG1682" s="13" t="n">
        <f aca="false">(O1682-AVERAGE(O$2:O$2001))/STDEV(O$2:O$2001)</f>
        <v>1.21127621475664</v>
      </c>
      <c r="AH1682" s="0" t="str">
        <f aca="false">IF(B1682="Company","C3 - Corporate Buyers",IF(AND(H1682="Investment",M1682&gt;'Segmentation Summary'!$C$1),"C1 - Global Investors",IF(AND(I1682&gt;=4,M1682&gt;'Segmentation Summary'!$C$1),"C4 - Luxury Investors",IF(AND(D1682&lt;'Segmentation Summary'!$C$2,J1682=1),"C2 - First-Time Buyers","C5 - Other Individual Buyers"))))</f>
        <v>C5 - Other Individual Buyers</v>
      </c>
    </row>
    <row r="1683" customFormat="false" ht="15" hidden="false" customHeight="true" outlineLevel="0" collapsed="false">
      <c r="A1683" s="13" t="s">
        <v>3359</v>
      </c>
      <c r="B1683" s="13" t="s">
        <v>34</v>
      </c>
      <c r="C1683" s="13" t="s">
        <v>3360</v>
      </c>
      <c r="D1683" s="13" t="n">
        <v>52</v>
      </c>
      <c r="E1683" s="13" t="s">
        <v>83</v>
      </c>
      <c r="F1683" s="13" t="s">
        <v>33</v>
      </c>
      <c r="G1683" s="13" t="s">
        <v>120</v>
      </c>
      <c r="H1683" s="13" t="s">
        <v>43</v>
      </c>
      <c r="I1683" s="13" t="n">
        <v>2</v>
      </c>
      <c r="J1683" s="13" t="n">
        <v>0</v>
      </c>
      <c r="K1683" s="13" t="s">
        <v>116</v>
      </c>
      <c r="L1683" s="13" t="n">
        <v>3</v>
      </c>
      <c r="M1683" s="13" t="n">
        <v>787516.58</v>
      </c>
      <c r="N1683" s="13" t="n">
        <v>262505.526666667</v>
      </c>
      <c r="O1683" s="13" t="n">
        <v>851.426666666667</v>
      </c>
      <c r="P1683" s="13" t="n">
        <v>0</v>
      </c>
      <c r="Q1683" s="13" t="n">
        <v>3</v>
      </c>
      <c r="R1683" s="13" t="s">
        <v>121</v>
      </c>
      <c r="S1683" s="13" t="s">
        <v>141</v>
      </c>
      <c r="T1683" s="13" t="n">
        <v>1</v>
      </c>
      <c r="U1683" s="13" t="n">
        <f aca="false">IF(B1683="Individual",1,0)</f>
        <v>1</v>
      </c>
      <c r="V1683" s="13" t="n">
        <f aca="false">IF(B1683="Company",1,0)</f>
        <v>0</v>
      </c>
      <c r="W1683" s="13" t="n">
        <f aca="false">IF(H1683="Home",1,0)</f>
        <v>0</v>
      </c>
      <c r="X1683" s="13" t="n">
        <f aca="false">IF(H1683="Investment",1,0)</f>
        <v>1</v>
      </c>
      <c r="Y1683" s="13" t="n">
        <f aca="false">IF(K1683="Website",1,0)</f>
        <v>0</v>
      </c>
      <c r="Z1683" s="13" t="n">
        <f aca="false">IF(K1683="Agency",1,0)</f>
        <v>0</v>
      </c>
      <c r="AA1683" s="13" t="n">
        <f aca="false">IF(K1683="Client",1,0)</f>
        <v>1</v>
      </c>
      <c r="AB1683" s="13" t="n">
        <f aca="false">(D1683-AVERAGE(D$2:D$2001))/STDEV(D$2:D$2001)</f>
        <v>-0.123224667378179</v>
      </c>
      <c r="AC1683" s="13" t="n">
        <f aca="false">(I1683-AVERAGE(I$2:I$2001))/STDEV(I$2:I$2001)</f>
        <v>-0.727948160798201</v>
      </c>
      <c r="AD1683" s="13" t="n">
        <f aca="false">(L1683-AVERAGE(L$2:L$2001))/STDEV(L$2:L$2001)</f>
        <v>-0.777063122173208</v>
      </c>
      <c r="AE1683" s="13" t="n">
        <f aca="false">(M1683-AVERAGE(M$2:M$2001))/STDEV(M$2:M$2001)</f>
        <v>-1.35945144645183</v>
      </c>
      <c r="AF1683" s="13" t="n">
        <f aca="false">(N1683-AVERAGE(N$2:N$2001))/STDEV(N$2:N$2001)</f>
        <v>-1.2131700951264</v>
      </c>
      <c r="AG1683" s="13" t="n">
        <f aca="false">(O1683-AVERAGE(O$2:O$2001))/STDEV(O$2:O$2001)</f>
        <v>-1.34616914715328</v>
      </c>
      <c r="AH1683" s="0" t="str">
        <f aca="false">IF(B1683="Company","C3 - Corporate Buyers",IF(AND(H1683="Investment",M1683&gt;'Segmentation Summary'!$C$1),"C1 - Global Investors",IF(AND(I1683&gt;=4,M1683&gt;'Segmentation Summary'!$C$1),"C4 - Luxury Investors",IF(AND(D1683&lt;'Segmentation Summary'!$C$2,J1683=1),"C2 - First-Time Buyers","C5 - Other Individual Buyers"))))</f>
        <v>C5 - Other Individual Buyers</v>
      </c>
    </row>
    <row r="1684" customFormat="false" ht="15" hidden="false" customHeight="true" outlineLevel="0" collapsed="false">
      <c r="A1684" s="13" t="s">
        <v>3361</v>
      </c>
      <c r="B1684" s="13" t="s">
        <v>34</v>
      </c>
      <c r="C1684" s="13" t="s">
        <v>3362</v>
      </c>
      <c r="D1684" s="13" t="n">
        <v>84</v>
      </c>
      <c r="E1684" s="13" t="s">
        <v>83</v>
      </c>
      <c r="F1684" s="13" t="s">
        <v>33</v>
      </c>
      <c r="G1684" s="13" t="s">
        <v>84</v>
      </c>
      <c r="H1684" s="13" t="s">
        <v>41</v>
      </c>
      <c r="I1684" s="13" t="n">
        <v>3</v>
      </c>
      <c r="J1684" s="13" t="n">
        <v>1</v>
      </c>
      <c r="K1684" s="13" t="s">
        <v>85</v>
      </c>
      <c r="L1684" s="13" t="n">
        <v>4</v>
      </c>
      <c r="M1684" s="13" t="n">
        <v>1623510.31</v>
      </c>
      <c r="N1684" s="13" t="n">
        <v>405877.5775</v>
      </c>
      <c r="O1684" s="13" t="n">
        <v>1365.945</v>
      </c>
      <c r="P1684" s="13" t="n">
        <v>0</v>
      </c>
      <c r="Q1684" s="13" t="n">
        <v>4</v>
      </c>
      <c r="R1684" s="13" t="s">
        <v>86</v>
      </c>
      <c r="S1684" s="13" t="s">
        <v>128</v>
      </c>
      <c r="T1684" s="13" t="n">
        <v>1</v>
      </c>
      <c r="U1684" s="13" t="n">
        <f aca="false">IF(B1684="Individual",1,0)</f>
        <v>1</v>
      </c>
      <c r="V1684" s="13" t="n">
        <f aca="false">IF(B1684="Company",1,0)</f>
        <v>0</v>
      </c>
      <c r="W1684" s="13" t="n">
        <f aca="false">IF(H1684="Home",1,0)</f>
        <v>1</v>
      </c>
      <c r="X1684" s="13" t="n">
        <f aca="false">IF(H1684="Investment",1,0)</f>
        <v>0</v>
      </c>
      <c r="Y1684" s="13" t="n">
        <f aca="false">IF(K1684="Website",1,0)</f>
        <v>1</v>
      </c>
      <c r="Z1684" s="13" t="n">
        <f aca="false">IF(K1684="Agency",1,0)</f>
        <v>0</v>
      </c>
      <c r="AA1684" s="13" t="n">
        <f aca="false">IF(K1684="Client",1,0)</f>
        <v>0</v>
      </c>
      <c r="AB1684" s="13" t="n">
        <f aca="false">(D1684-AVERAGE(D$2:D$2001))/STDEV(D$2:D$2001)</f>
        <v>1.72197390824266</v>
      </c>
      <c r="AC1684" s="13" t="n">
        <f aca="false">(I1684-AVERAGE(I$2:I$2001))/STDEV(I$2:I$2001)</f>
        <v>-0.0205155458339628</v>
      </c>
      <c r="AD1684" s="13" t="n">
        <f aca="false">(L1684-AVERAGE(L$2:L$2001))/STDEV(L$2:L$2001)</f>
        <v>0.413838214490712</v>
      </c>
      <c r="AE1684" s="13" t="n">
        <f aca="false">(M1684-AVERAGE(M$2:M$2001))/STDEV(M$2:M$2001)</f>
        <v>1.04399889457741</v>
      </c>
      <c r="AF1684" s="13" t="n">
        <f aca="false">(N1684-AVERAGE(N$2:N$2001))/STDEV(N$2:N$2001)</f>
        <v>0.843173917453131</v>
      </c>
      <c r="AG1684" s="13" t="n">
        <f aca="false">(O1684-AVERAGE(O$2:O$2001))/STDEV(O$2:O$2001)</f>
        <v>0.993373782227537</v>
      </c>
      <c r="AH1684" s="0" t="str">
        <f aca="false">IF(B1684="Company","C3 - Corporate Buyers",IF(AND(H1684="Investment",M1684&gt;'Segmentation Summary'!$C$1),"C1 - Global Investors",IF(AND(I1684&gt;=4,M1684&gt;'Segmentation Summary'!$C$1),"C4 - Luxury Investors",IF(AND(D1684&lt;'Segmentation Summary'!$C$2,J1684=1),"C2 - First-Time Buyers","C5 - Other Individual Buyers"))))</f>
        <v>C5 - Other Individual Buyers</v>
      </c>
    </row>
    <row r="1685" customFormat="false" ht="15" hidden="false" customHeight="true" outlineLevel="0" collapsed="false">
      <c r="A1685" s="13" t="s">
        <v>3363</v>
      </c>
      <c r="B1685" s="13" t="s">
        <v>34</v>
      </c>
      <c r="C1685" s="13" t="s">
        <v>3364</v>
      </c>
      <c r="D1685" s="13" t="n">
        <v>50</v>
      </c>
      <c r="E1685" s="13" t="s">
        <v>83</v>
      </c>
      <c r="F1685" s="13" t="s">
        <v>33</v>
      </c>
      <c r="G1685" s="13" t="s">
        <v>84</v>
      </c>
      <c r="H1685" s="13" t="s">
        <v>41</v>
      </c>
      <c r="I1685" s="13" t="n">
        <v>2</v>
      </c>
      <c r="J1685" s="13" t="n">
        <v>0</v>
      </c>
      <c r="K1685" s="13" t="s">
        <v>91</v>
      </c>
      <c r="L1685" s="13" t="n">
        <v>3</v>
      </c>
      <c r="M1685" s="13" t="n">
        <v>931141.96</v>
      </c>
      <c r="N1685" s="13" t="n">
        <v>310380.653333333</v>
      </c>
      <c r="O1685" s="13" t="n">
        <v>1033.10333333333</v>
      </c>
      <c r="P1685" s="13" t="n">
        <v>1</v>
      </c>
      <c r="Q1685" s="13" t="n">
        <v>2</v>
      </c>
      <c r="R1685" s="13" t="s">
        <v>98</v>
      </c>
      <c r="S1685" s="13" t="s">
        <v>135</v>
      </c>
      <c r="T1685" s="13" t="n">
        <v>1</v>
      </c>
      <c r="U1685" s="13" t="n">
        <f aca="false">IF(B1685="Individual",1,0)</f>
        <v>1</v>
      </c>
      <c r="V1685" s="13" t="n">
        <f aca="false">IF(B1685="Company",1,0)</f>
        <v>0</v>
      </c>
      <c r="W1685" s="13" t="n">
        <f aca="false">IF(H1685="Home",1,0)</f>
        <v>1</v>
      </c>
      <c r="X1685" s="13" t="n">
        <f aca="false">IF(H1685="Investment",1,0)</f>
        <v>0</v>
      </c>
      <c r="Y1685" s="13" t="n">
        <f aca="false">IF(K1685="Website",1,0)</f>
        <v>0</v>
      </c>
      <c r="Z1685" s="13" t="n">
        <f aca="false">IF(K1685="Agency",1,0)</f>
        <v>1</v>
      </c>
      <c r="AA1685" s="13" t="n">
        <f aca="false">IF(K1685="Client",1,0)</f>
        <v>0</v>
      </c>
      <c r="AB1685" s="13" t="n">
        <f aca="false">(D1685-AVERAGE(D$2:D$2001))/STDEV(D$2:D$2001)</f>
        <v>-0.238549578354482</v>
      </c>
      <c r="AC1685" s="13" t="n">
        <f aca="false">(I1685-AVERAGE(I$2:I$2001))/STDEV(I$2:I$2001)</f>
        <v>-0.727948160798201</v>
      </c>
      <c r="AD1685" s="13" t="n">
        <f aca="false">(L1685-AVERAGE(L$2:L$2001))/STDEV(L$2:L$2001)</f>
        <v>-0.777063122173208</v>
      </c>
      <c r="AE1685" s="13" t="n">
        <f aca="false">(M1685-AVERAGE(M$2:M$2001))/STDEV(M$2:M$2001)</f>
        <v>-0.94653391351596</v>
      </c>
      <c r="AF1685" s="13" t="n">
        <f aca="false">(N1685-AVERAGE(N$2:N$2001))/STDEV(N$2:N$2001)</f>
        <v>-0.526510948519586</v>
      </c>
      <c r="AG1685" s="13" t="n">
        <f aca="false">(O1685-AVERAGE(O$2:O$2001))/STDEV(O$2:O$2001)</f>
        <v>-0.520075433096829</v>
      </c>
      <c r="AH1685" s="0" t="str">
        <f aca="false">IF(B1685="Company","C3 - Corporate Buyers",IF(AND(H1685="Investment",M1685&gt;'Segmentation Summary'!$C$1),"C1 - Global Investors",IF(AND(I1685&gt;=4,M1685&gt;'Segmentation Summary'!$C$1),"C4 - Luxury Investors",IF(AND(D1685&lt;'Segmentation Summary'!$C$2,J1685=1),"C2 - First-Time Buyers","C5 - Other Individual Buyers"))))</f>
        <v>C5 - Other Individual Buyers</v>
      </c>
    </row>
    <row r="1686" customFormat="false" ht="15" hidden="false" customHeight="true" outlineLevel="0" collapsed="false">
      <c r="A1686" s="13" t="s">
        <v>3365</v>
      </c>
      <c r="B1686" s="13" t="s">
        <v>34</v>
      </c>
      <c r="C1686" s="13" t="s">
        <v>3366</v>
      </c>
      <c r="D1686" s="13" t="n">
        <v>83</v>
      </c>
      <c r="E1686" s="13" t="s">
        <v>83</v>
      </c>
      <c r="F1686" s="13" t="s">
        <v>33</v>
      </c>
      <c r="G1686" s="13" t="s">
        <v>95</v>
      </c>
      <c r="H1686" s="13" t="s">
        <v>43</v>
      </c>
      <c r="I1686" s="13" t="n">
        <v>3</v>
      </c>
      <c r="J1686" s="13" t="n">
        <v>1</v>
      </c>
      <c r="K1686" s="13" t="s">
        <v>116</v>
      </c>
      <c r="L1686" s="13" t="n">
        <v>4</v>
      </c>
      <c r="M1686" s="13" t="n">
        <v>1924218.25</v>
      </c>
      <c r="N1686" s="13" t="n">
        <v>481054.5625</v>
      </c>
      <c r="O1686" s="13" t="n">
        <v>1425.7675</v>
      </c>
      <c r="P1686" s="13" t="n">
        <v>0</v>
      </c>
      <c r="Q1686" s="13" t="n">
        <v>4</v>
      </c>
      <c r="R1686" s="13" t="s">
        <v>101</v>
      </c>
      <c r="S1686" s="13" t="s">
        <v>135</v>
      </c>
      <c r="T1686" s="13" t="n">
        <v>1</v>
      </c>
      <c r="U1686" s="13" t="n">
        <f aca="false">IF(B1686="Individual",1,0)</f>
        <v>1</v>
      </c>
      <c r="V1686" s="13" t="n">
        <f aca="false">IF(B1686="Company",1,0)</f>
        <v>0</v>
      </c>
      <c r="W1686" s="13" t="n">
        <f aca="false">IF(H1686="Home",1,0)</f>
        <v>0</v>
      </c>
      <c r="X1686" s="13" t="n">
        <f aca="false">IF(H1686="Investment",1,0)</f>
        <v>1</v>
      </c>
      <c r="Y1686" s="13" t="n">
        <f aca="false">IF(K1686="Website",1,0)</f>
        <v>0</v>
      </c>
      <c r="Z1686" s="13" t="n">
        <f aca="false">IF(K1686="Agency",1,0)</f>
        <v>0</v>
      </c>
      <c r="AA1686" s="13" t="n">
        <f aca="false">IF(K1686="Client",1,0)</f>
        <v>1</v>
      </c>
      <c r="AB1686" s="13" t="n">
        <f aca="false">(D1686-AVERAGE(D$2:D$2001))/STDEV(D$2:D$2001)</f>
        <v>1.66431145275451</v>
      </c>
      <c r="AC1686" s="13" t="n">
        <f aca="false">(I1686-AVERAGE(I$2:I$2001))/STDEV(I$2:I$2001)</f>
        <v>-0.0205155458339628</v>
      </c>
      <c r="AD1686" s="13" t="n">
        <f aca="false">(L1686-AVERAGE(L$2:L$2001))/STDEV(L$2:L$2001)</f>
        <v>0.413838214490712</v>
      </c>
      <c r="AE1686" s="13" t="n">
        <f aca="false">(M1686-AVERAGE(M$2:M$2001))/STDEV(M$2:M$2001)</f>
        <v>1.90852284375009</v>
      </c>
      <c r="AF1686" s="13" t="n">
        <f aca="false">(N1686-AVERAGE(N$2:N$2001))/STDEV(N$2:N$2001)</f>
        <v>1.92141575112989</v>
      </c>
      <c r="AG1686" s="13" t="n">
        <f aca="false">(O1686-AVERAGE(O$2:O$2001))/STDEV(O$2:O$2001)</f>
        <v>1.26538995313084</v>
      </c>
      <c r="AH1686" s="0" t="str">
        <f aca="false">IF(B1686="Company","C3 - Corporate Buyers",IF(AND(H1686="Investment",M1686&gt;'Segmentation Summary'!$C$1),"C1 - Global Investors",IF(AND(I1686&gt;=4,M1686&gt;'Segmentation Summary'!$C$1),"C4 - Luxury Investors",IF(AND(D1686&lt;'Segmentation Summary'!$C$2,J1686=1),"C2 - First-Time Buyers","C5 - Other Individual Buyers"))))</f>
        <v>C1 - Global Investors</v>
      </c>
    </row>
    <row r="1687" customFormat="false" ht="15" hidden="false" customHeight="true" outlineLevel="0" collapsed="false">
      <c r="A1687" s="13" t="s">
        <v>3367</v>
      </c>
      <c r="B1687" s="13" t="s">
        <v>34</v>
      </c>
      <c r="C1687" s="13" t="s">
        <v>3368</v>
      </c>
      <c r="D1687" s="13" t="n">
        <v>49</v>
      </c>
      <c r="E1687" s="13" t="s">
        <v>83</v>
      </c>
      <c r="F1687" s="13" t="s">
        <v>33</v>
      </c>
      <c r="G1687" s="13" t="s">
        <v>106</v>
      </c>
      <c r="H1687" s="13" t="s">
        <v>41</v>
      </c>
      <c r="I1687" s="13" t="n">
        <v>4</v>
      </c>
      <c r="J1687" s="13" t="n">
        <v>0</v>
      </c>
      <c r="K1687" s="13" t="s">
        <v>91</v>
      </c>
      <c r="L1687" s="13" t="n">
        <v>3</v>
      </c>
      <c r="M1687" s="13" t="n">
        <v>1511063.27</v>
      </c>
      <c r="N1687" s="13" t="n">
        <v>503687.756666667</v>
      </c>
      <c r="O1687" s="13" t="n">
        <v>1599.34333333333</v>
      </c>
      <c r="P1687" s="13" t="n">
        <v>1</v>
      </c>
      <c r="Q1687" s="13" t="n">
        <v>2</v>
      </c>
      <c r="R1687" s="13" t="s">
        <v>121</v>
      </c>
      <c r="S1687" s="13" t="s">
        <v>164</v>
      </c>
      <c r="T1687" s="13" t="n">
        <v>1</v>
      </c>
      <c r="U1687" s="13" t="n">
        <f aca="false">IF(B1687="Individual",1,0)</f>
        <v>1</v>
      </c>
      <c r="V1687" s="13" t="n">
        <f aca="false">IF(B1687="Company",1,0)</f>
        <v>0</v>
      </c>
      <c r="W1687" s="13" t="n">
        <f aca="false">IF(H1687="Home",1,0)</f>
        <v>1</v>
      </c>
      <c r="X1687" s="13" t="n">
        <f aca="false">IF(H1687="Investment",1,0)</f>
        <v>0</v>
      </c>
      <c r="Y1687" s="13" t="n">
        <f aca="false">IF(K1687="Website",1,0)</f>
        <v>0</v>
      </c>
      <c r="Z1687" s="13" t="n">
        <f aca="false">IF(K1687="Agency",1,0)</f>
        <v>1</v>
      </c>
      <c r="AA1687" s="13" t="n">
        <f aca="false">IF(K1687="Client",1,0)</f>
        <v>0</v>
      </c>
      <c r="AB1687" s="13" t="n">
        <f aca="false">(D1687-AVERAGE(D$2:D$2001))/STDEV(D$2:D$2001)</f>
        <v>-0.296212033842633</v>
      </c>
      <c r="AC1687" s="13" t="n">
        <f aca="false">(I1687-AVERAGE(I$2:I$2001))/STDEV(I$2:I$2001)</f>
        <v>0.686917069130275</v>
      </c>
      <c r="AD1687" s="13" t="n">
        <f aca="false">(L1687-AVERAGE(L$2:L$2001))/STDEV(L$2:L$2001)</f>
        <v>-0.777063122173208</v>
      </c>
      <c r="AE1687" s="13" t="n">
        <f aca="false">(M1687-AVERAGE(M$2:M$2001))/STDEV(M$2:M$2001)</f>
        <v>0.720717909400966</v>
      </c>
      <c r="AF1687" s="13" t="n">
        <f aca="false">(N1687-AVERAGE(N$2:N$2001))/STDEV(N$2:N$2001)</f>
        <v>2.24603713332857</v>
      </c>
      <c r="AG1687" s="13" t="n">
        <f aca="false">(O1687-AVERAGE(O$2:O$2001))/STDEV(O$2:O$2001)</f>
        <v>2.05464873610853</v>
      </c>
      <c r="AH1687" s="0" t="str">
        <f aca="false">IF(B1687="Company","C3 - Corporate Buyers",IF(AND(H1687="Investment",M1687&gt;'Segmentation Summary'!$C$1),"C1 - Global Investors",IF(AND(I1687&gt;=4,M1687&gt;'Segmentation Summary'!$C$1),"C4 - Luxury Investors",IF(AND(D1687&lt;'Segmentation Summary'!$C$2,J1687=1),"C2 - First-Time Buyers","C5 - Other Individual Buyers"))))</f>
        <v>C4 - Luxury Investors</v>
      </c>
    </row>
    <row r="1688" customFormat="false" ht="15" hidden="false" customHeight="true" outlineLevel="0" collapsed="false">
      <c r="A1688" s="13" t="s">
        <v>3369</v>
      </c>
      <c r="B1688" s="13" t="s">
        <v>34</v>
      </c>
      <c r="C1688" s="13" t="s">
        <v>3370</v>
      </c>
      <c r="D1688" s="13" t="n">
        <v>76</v>
      </c>
      <c r="E1688" s="13" t="s">
        <v>83</v>
      </c>
      <c r="F1688" s="13" t="s">
        <v>33</v>
      </c>
      <c r="G1688" s="13" t="s">
        <v>145</v>
      </c>
      <c r="H1688" s="13" t="s">
        <v>41</v>
      </c>
      <c r="I1688" s="13" t="n">
        <v>2</v>
      </c>
      <c r="J1688" s="13" t="n">
        <v>0</v>
      </c>
      <c r="K1688" s="13" t="s">
        <v>91</v>
      </c>
      <c r="L1688" s="13" t="n">
        <v>3</v>
      </c>
      <c r="M1688" s="13" t="n">
        <v>1309768.71</v>
      </c>
      <c r="N1688" s="13" t="n">
        <v>436589.57</v>
      </c>
      <c r="O1688" s="13" t="n">
        <v>1283.46</v>
      </c>
      <c r="P1688" s="13" t="n">
        <v>0</v>
      </c>
      <c r="Q1688" s="13" t="n">
        <v>3</v>
      </c>
      <c r="R1688" s="13" t="s">
        <v>111</v>
      </c>
      <c r="S1688" s="13" t="s">
        <v>141</v>
      </c>
      <c r="T1688" s="13" t="n">
        <v>1</v>
      </c>
      <c r="U1688" s="13" t="n">
        <f aca="false">IF(B1688="Individual",1,0)</f>
        <v>1</v>
      </c>
      <c r="V1688" s="13" t="n">
        <f aca="false">IF(B1688="Company",1,0)</f>
        <v>0</v>
      </c>
      <c r="W1688" s="13" t="n">
        <f aca="false">IF(H1688="Home",1,0)</f>
        <v>1</v>
      </c>
      <c r="X1688" s="13" t="n">
        <f aca="false">IF(H1688="Investment",1,0)</f>
        <v>0</v>
      </c>
      <c r="Y1688" s="13" t="n">
        <f aca="false">IF(K1688="Website",1,0)</f>
        <v>0</v>
      </c>
      <c r="Z1688" s="13" t="n">
        <f aca="false">IF(K1688="Agency",1,0)</f>
        <v>1</v>
      </c>
      <c r="AA1688" s="13" t="n">
        <f aca="false">IF(K1688="Client",1,0)</f>
        <v>0</v>
      </c>
      <c r="AB1688" s="13" t="n">
        <f aca="false">(D1688-AVERAGE(D$2:D$2001))/STDEV(D$2:D$2001)</f>
        <v>1.26067426433745</v>
      </c>
      <c r="AC1688" s="13" t="n">
        <f aca="false">(I1688-AVERAGE(I$2:I$2001))/STDEV(I$2:I$2001)</f>
        <v>-0.727948160798201</v>
      </c>
      <c r="AD1688" s="13" t="n">
        <f aca="false">(L1688-AVERAGE(L$2:L$2001))/STDEV(L$2:L$2001)</f>
        <v>-0.777063122173208</v>
      </c>
      <c r="AE1688" s="13" t="n">
        <f aca="false">(M1688-AVERAGE(M$2:M$2001))/STDEV(M$2:M$2001)</f>
        <v>0.142003666078436</v>
      </c>
      <c r="AF1688" s="13" t="n">
        <f aca="false">(N1688-AVERAGE(N$2:N$2001))/STDEV(N$2:N$2001)</f>
        <v>1.28366717624859</v>
      </c>
      <c r="AG1688" s="13" t="n">
        <f aca="false">(O1688-AVERAGE(O$2:O$2001))/STDEV(O$2:O$2001)</f>
        <v>0.618309987552304</v>
      </c>
      <c r="AH1688" s="0" t="str">
        <f aca="false">IF(B1688="Company","C3 - Corporate Buyers",IF(AND(H1688="Investment",M1688&gt;'Segmentation Summary'!$C$1),"C1 - Global Investors",IF(AND(I1688&gt;=4,M1688&gt;'Segmentation Summary'!$C$1),"C4 - Luxury Investors",IF(AND(D1688&lt;'Segmentation Summary'!$C$2,J1688=1),"C2 - First-Time Buyers","C5 - Other Individual Buyers"))))</f>
        <v>C5 - Other Individual Buyers</v>
      </c>
    </row>
    <row r="1689" customFormat="false" ht="15" hidden="false" customHeight="true" outlineLevel="0" collapsed="false">
      <c r="A1689" s="13" t="s">
        <v>3371</v>
      </c>
      <c r="B1689" s="13" t="s">
        <v>34</v>
      </c>
      <c r="C1689" s="13" t="s">
        <v>3372</v>
      </c>
      <c r="D1689" s="13" t="n">
        <v>60</v>
      </c>
      <c r="E1689" s="13" t="s">
        <v>83</v>
      </c>
      <c r="F1689" s="13" t="s">
        <v>37</v>
      </c>
      <c r="G1689" s="13" t="s">
        <v>572</v>
      </c>
      <c r="H1689" s="13" t="s">
        <v>41</v>
      </c>
      <c r="I1689" s="13" t="n">
        <v>1</v>
      </c>
      <c r="J1689" s="13" t="n">
        <v>0</v>
      </c>
      <c r="K1689" s="13" t="s">
        <v>91</v>
      </c>
      <c r="L1689" s="13" t="n">
        <v>4</v>
      </c>
      <c r="M1689" s="13" t="n">
        <v>1210176.2</v>
      </c>
      <c r="N1689" s="13" t="n">
        <v>302544.05</v>
      </c>
      <c r="O1689" s="13" t="n">
        <v>1111.6475</v>
      </c>
      <c r="P1689" s="13" t="n">
        <v>2</v>
      </c>
      <c r="Q1689" s="13" t="n">
        <v>2</v>
      </c>
      <c r="R1689" s="13" t="s">
        <v>150</v>
      </c>
      <c r="S1689" s="13" t="s">
        <v>125</v>
      </c>
      <c r="T1689" s="13" t="n">
        <v>1</v>
      </c>
      <c r="U1689" s="13" t="n">
        <f aca="false">IF(B1689="Individual",1,0)</f>
        <v>1</v>
      </c>
      <c r="V1689" s="13" t="n">
        <f aca="false">IF(B1689="Company",1,0)</f>
        <v>0</v>
      </c>
      <c r="W1689" s="13" t="n">
        <f aca="false">IF(H1689="Home",1,0)</f>
        <v>1</v>
      </c>
      <c r="X1689" s="13" t="n">
        <f aca="false">IF(H1689="Investment",1,0)</f>
        <v>0</v>
      </c>
      <c r="Y1689" s="13" t="n">
        <f aca="false">IF(K1689="Website",1,0)</f>
        <v>0</v>
      </c>
      <c r="Z1689" s="13" t="n">
        <f aca="false">IF(K1689="Agency",1,0)</f>
        <v>1</v>
      </c>
      <c r="AA1689" s="13" t="n">
        <f aca="false">IF(K1689="Client",1,0)</f>
        <v>0</v>
      </c>
      <c r="AB1689" s="13" t="n">
        <f aca="false">(D1689-AVERAGE(D$2:D$2001))/STDEV(D$2:D$2001)</f>
        <v>0.338074976527031</v>
      </c>
      <c r="AC1689" s="13" t="n">
        <f aca="false">(I1689-AVERAGE(I$2:I$2001))/STDEV(I$2:I$2001)</f>
        <v>-1.43538077576244</v>
      </c>
      <c r="AD1689" s="13" t="n">
        <f aca="false">(L1689-AVERAGE(L$2:L$2001))/STDEV(L$2:L$2001)</f>
        <v>0.413838214490712</v>
      </c>
      <c r="AE1689" s="13" t="n">
        <f aca="false">(M1689-AVERAGE(M$2:M$2001))/STDEV(M$2:M$2001)</f>
        <v>-0.144321031743709</v>
      </c>
      <c r="AF1689" s="13" t="n">
        <f aca="false">(N1689-AVERAGE(N$2:N$2001))/STDEV(N$2:N$2001)</f>
        <v>-0.638909092019627</v>
      </c>
      <c r="AG1689" s="13" t="n">
        <f aca="false">(O1689-AVERAGE(O$2:O$2001))/STDEV(O$2:O$2001)</f>
        <v>-0.162930822566366</v>
      </c>
      <c r="AH1689" s="0" t="str">
        <f aca="false">IF(B1689="Company","C3 - Corporate Buyers",IF(AND(H1689="Investment",M1689&gt;'Segmentation Summary'!$C$1),"C1 - Global Investors",IF(AND(I1689&gt;=4,M1689&gt;'Segmentation Summary'!$C$1),"C4 - Luxury Investors",IF(AND(D1689&lt;'Segmentation Summary'!$C$2,J1689=1),"C2 - First-Time Buyers","C5 - Other Individual Buyers"))))</f>
        <v>C5 - Other Individual Buyers</v>
      </c>
    </row>
    <row r="1690" customFormat="false" ht="15" hidden="false" customHeight="true" outlineLevel="0" collapsed="false">
      <c r="A1690" s="13" t="s">
        <v>3373</v>
      </c>
      <c r="B1690" s="13" t="s">
        <v>34</v>
      </c>
      <c r="C1690" s="13" t="s">
        <v>3374</v>
      </c>
      <c r="D1690" s="13" t="n">
        <v>75</v>
      </c>
      <c r="E1690" s="13" t="s">
        <v>83</v>
      </c>
      <c r="F1690" s="13" t="s">
        <v>33</v>
      </c>
      <c r="G1690" s="13" t="s">
        <v>265</v>
      </c>
      <c r="H1690" s="13" t="s">
        <v>41</v>
      </c>
      <c r="I1690" s="13" t="n">
        <v>4</v>
      </c>
      <c r="J1690" s="13" t="n">
        <v>0</v>
      </c>
      <c r="K1690" s="13" t="s">
        <v>85</v>
      </c>
      <c r="L1690" s="13" t="n">
        <v>3</v>
      </c>
      <c r="M1690" s="13" t="n">
        <v>1050264.24</v>
      </c>
      <c r="N1690" s="13" t="n">
        <v>350088.08</v>
      </c>
      <c r="O1690" s="13" t="n">
        <v>1243.82333333333</v>
      </c>
      <c r="P1690" s="13" t="n">
        <v>1</v>
      </c>
      <c r="Q1690" s="13" t="n">
        <v>2</v>
      </c>
      <c r="R1690" s="13" t="s">
        <v>98</v>
      </c>
      <c r="S1690" s="13" t="s">
        <v>152</v>
      </c>
      <c r="T1690" s="13" t="n">
        <v>1</v>
      </c>
      <c r="U1690" s="13" t="n">
        <f aca="false">IF(B1690="Individual",1,0)</f>
        <v>1</v>
      </c>
      <c r="V1690" s="13" t="n">
        <f aca="false">IF(B1690="Company",1,0)</f>
        <v>0</v>
      </c>
      <c r="W1690" s="13" t="n">
        <f aca="false">IF(H1690="Home",1,0)</f>
        <v>1</v>
      </c>
      <c r="X1690" s="13" t="n">
        <f aca="false">IF(H1690="Investment",1,0)</f>
        <v>0</v>
      </c>
      <c r="Y1690" s="13" t="n">
        <f aca="false">IF(K1690="Website",1,0)</f>
        <v>1</v>
      </c>
      <c r="Z1690" s="13" t="n">
        <f aca="false">IF(K1690="Agency",1,0)</f>
        <v>0</v>
      </c>
      <c r="AA1690" s="13" t="n">
        <f aca="false">IF(K1690="Client",1,0)</f>
        <v>0</v>
      </c>
      <c r="AB1690" s="13" t="n">
        <f aca="false">(D1690-AVERAGE(D$2:D$2001))/STDEV(D$2:D$2001)</f>
        <v>1.2030118088493</v>
      </c>
      <c r="AC1690" s="13" t="n">
        <f aca="false">(I1690-AVERAGE(I$2:I$2001))/STDEV(I$2:I$2001)</f>
        <v>0.686917069130275</v>
      </c>
      <c r="AD1690" s="13" t="n">
        <f aca="false">(L1690-AVERAGE(L$2:L$2001))/STDEV(L$2:L$2001)</f>
        <v>-0.777063122173208</v>
      </c>
      <c r="AE1690" s="13" t="n">
        <f aca="false">(M1690-AVERAGE(M$2:M$2001))/STDEV(M$2:M$2001)</f>
        <v>-0.604061865920364</v>
      </c>
      <c r="AF1690" s="13" t="n">
        <f aca="false">(N1690-AVERAGE(N$2:N$2001))/STDEV(N$2:N$2001)</f>
        <v>0.0430012305023937</v>
      </c>
      <c r="AG1690" s="13" t="n">
        <f aca="false">(O1690-AVERAGE(O$2:O$2001))/STDEV(O$2:O$2001)</f>
        <v>0.438079901981854</v>
      </c>
      <c r="AH1690" s="0" t="str">
        <f aca="false">IF(B1690="Company","C3 - Corporate Buyers",IF(AND(H1690="Investment",M1690&gt;'Segmentation Summary'!$C$1),"C1 - Global Investors",IF(AND(I1690&gt;=4,M1690&gt;'Segmentation Summary'!$C$1),"C4 - Luxury Investors",IF(AND(D1690&lt;'Segmentation Summary'!$C$2,J1690=1),"C2 - First-Time Buyers","C5 - Other Individual Buyers"))))</f>
        <v>C5 - Other Individual Buyers</v>
      </c>
    </row>
    <row r="1691" customFormat="false" ht="15" hidden="false" customHeight="true" outlineLevel="0" collapsed="false">
      <c r="A1691" s="13" t="s">
        <v>3375</v>
      </c>
      <c r="B1691" s="13" t="s">
        <v>34</v>
      </c>
      <c r="C1691" s="13" t="s">
        <v>3376</v>
      </c>
      <c r="D1691" s="13" t="n">
        <v>54</v>
      </c>
      <c r="E1691" s="13" t="s">
        <v>83</v>
      </c>
      <c r="F1691" s="13" t="s">
        <v>33</v>
      </c>
      <c r="G1691" s="13" t="s">
        <v>95</v>
      </c>
      <c r="H1691" s="13" t="s">
        <v>41</v>
      </c>
      <c r="I1691" s="13" t="n">
        <v>5</v>
      </c>
      <c r="J1691" s="13" t="n">
        <v>0</v>
      </c>
      <c r="K1691" s="13" t="s">
        <v>91</v>
      </c>
      <c r="L1691" s="13" t="n">
        <v>4</v>
      </c>
      <c r="M1691" s="13" t="n">
        <v>1243178.6</v>
      </c>
      <c r="N1691" s="13" t="n">
        <v>310794.65</v>
      </c>
      <c r="O1691" s="13" t="n">
        <v>984.12</v>
      </c>
      <c r="P1691" s="13" t="n">
        <v>0</v>
      </c>
      <c r="Q1691" s="13" t="n">
        <v>4</v>
      </c>
      <c r="R1691" s="13" t="s">
        <v>98</v>
      </c>
      <c r="S1691" s="13" t="s">
        <v>150</v>
      </c>
      <c r="T1691" s="13" t="n">
        <v>1</v>
      </c>
      <c r="U1691" s="13" t="n">
        <f aca="false">IF(B1691="Individual",1,0)</f>
        <v>1</v>
      </c>
      <c r="V1691" s="13" t="n">
        <f aca="false">IF(B1691="Company",1,0)</f>
        <v>0</v>
      </c>
      <c r="W1691" s="13" t="n">
        <f aca="false">IF(H1691="Home",1,0)</f>
        <v>1</v>
      </c>
      <c r="X1691" s="13" t="n">
        <f aca="false">IF(H1691="Investment",1,0)</f>
        <v>0</v>
      </c>
      <c r="Y1691" s="13" t="n">
        <f aca="false">IF(K1691="Website",1,0)</f>
        <v>0</v>
      </c>
      <c r="Z1691" s="13" t="n">
        <f aca="false">IF(K1691="Agency",1,0)</f>
        <v>1</v>
      </c>
      <c r="AA1691" s="13" t="n">
        <f aca="false">IF(K1691="Client",1,0)</f>
        <v>0</v>
      </c>
      <c r="AB1691" s="13" t="n">
        <f aca="false">(D1691-AVERAGE(D$2:D$2001))/STDEV(D$2:D$2001)</f>
        <v>-0.00789975640187674</v>
      </c>
      <c r="AC1691" s="13" t="n">
        <f aca="false">(I1691-AVERAGE(I$2:I$2001))/STDEV(I$2:I$2001)</f>
        <v>1.39434968409451</v>
      </c>
      <c r="AD1691" s="13" t="n">
        <f aca="false">(L1691-AVERAGE(L$2:L$2001))/STDEV(L$2:L$2001)</f>
        <v>0.413838214490712</v>
      </c>
      <c r="AE1691" s="13" t="n">
        <f aca="false">(M1691-AVERAGE(M$2:M$2001))/STDEV(M$2:M$2001)</f>
        <v>-0.0494403805039161</v>
      </c>
      <c r="AF1691" s="13" t="n">
        <f aca="false">(N1691-AVERAGE(N$2:N$2001))/STDEV(N$2:N$2001)</f>
        <v>-0.520573113622335</v>
      </c>
      <c r="AG1691" s="13" t="n">
        <f aca="false">(O1691-AVERAGE(O$2:O$2001))/STDEV(O$2:O$2001)</f>
        <v>-0.742805321874675</v>
      </c>
      <c r="AH1691" s="0" t="str">
        <f aca="false">IF(B1691="Company","C3 - Corporate Buyers",IF(AND(H1691="Investment",M1691&gt;'Segmentation Summary'!$C$1),"C1 - Global Investors",IF(AND(I1691&gt;=4,M1691&gt;'Segmentation Summary'!$C$1),"C4 - Luxury Investors",IF(AND(D1691&lt;'Segmentation Summary'!$C$2,J1691=1),"C2 - First-Time Buyers","C5 - Other Individual Buyers"))))</f>
        <v>C4 - Luxury Investors</v>
      </c>
    </row>
    <row r="1692" customFormat="false" ht="15" hidden="false" customHeight="true" outlineLevel="0" collapsed="false">
      <c r="A1692" s="13" t="s">
        <v>3377</v>
      </c>
      <c r="B1692" s="13" t="s">
        <v>34</v>
      </c>
      <c r="C1692" s="13" t="s">
        <v>3378</v>
      </c>
      <c r="D1692" s="13" t="n">
        <v>24</v>
      </c>
      <c r="E1692" s="13" t="s">
        <v>83</v>
      </c>
      <c r="F1692" s="13" t="s">
        <v>33</v>
      </c>
      <c r="G1692" s="13" t="s">
        <v>95</v>
      </c>
      <c r="H1692" s="13" t="s">
        <v>41</v>
      </c>
      <c r="I1692" s="13" t="n">
        <v>3</v>
      </c>
      <c r="J1692" s="13" t="n">
        <v>0</v>
      </c>
      <c r="K1692" s="13" t="s">
        <v>85</v>
      </c>
      <c r="L1692" s="13" t="n">
        <v>4</v>
      </c>
      <c r="M1692" s="13" t="n">
        <v>1218570.99</v>
      </c>
      <c r="N1692" s="13" t="n">
        <v>304642.7475</v>
      </c>
      <c r="O1692" s="13" t="n">
        <v>1029.9125</v>
      </c>
      <c r="P1692" s="13" t="n">
        <v>0</v>
      </c>
      <c r="Q1692" s="13" t="n">
        <v>4</v>
      </c>
      <c r="R1692" s="13" t="s">
        <v>124</v>
      </c>
      <c r="S1692" s="13" t="s">
        <v>152</v>
      </c>
      <c r="T1692" s="13" t="n">
        <v>1</v>
      </c>
      <c r="U1692" s="13" t="n">
        <f aca="false">IF(B1692="Individual",1,0)</f>
        <v>1</v>
      </c>
      <c r="V1692" s="13" t="n">
        <f aca="false">IF(B1692="Company",1,0)</f>
        <v>0</v>
      </c>
      <c r="W1692" s="13" t="n">
        <f aca="false">IF(H1692="Home",1,0)</f>
        <v>1</v>
      </c>
      <c r="X1692" s="13" t="n">
        <f aca="false">IF(H1692="Investment",1,0)</f>
        <v>0</v>
      </c>
      <c r="Y1692" s="13" t="n">
        <f aca="false">IF(K1692="Website",1,0)</f>
        <v>1</v>
      </c>
      <c r="Z1692" s="13" t="n">
        <f aca="false">IF(K1692="Agency",1,0)</f>
        <v>0</v>
      </c>
      <c r="AA1692" s="13" t="n">
        <f aca="false">IF(K1692="Client",1,0)</f>
        <v>0</v>
      </c>
      <c r="AB1692" s="13" t="n">
        <f aca="false">(D1692-AVERAGE(D$2:D$2001))/STDEV(D$2:D$2001)</f>
        <v>-1.73777342104641</v>
      </c>
      <c r="AC1692" s="13" t="n">
        <f aca="false">(I1692-AVERAGE(I$2:I$2001))/STDEV(I$2:I$2001)</f>
        <v>-0.0205155458339628</v>
      </c>
      <c r="AD1692" s="13" t="n">
        <f aca="false">(L1692-AVERAGE(L$2:L$2001))/STDEV(L$2:L$2001)</f>
        <v>0.413838214490712</v>
      </c>
      <c r="AE1692" s="13" t="n">
        <f aca="false">(M1692-AVERAGE(M$2:M$2001))/STDEV(M$2:M$2001)</f>
        <v>-0.120186328139689</v>
      </c>
      <c r="AF1692" s="13" t="n">
        <f aca="false">(N1692-AVERAGE(N$2:N$2001))/STDEV(N$2:N$2001)</f>
        <v>-0.608808078514858</v>
      </c>
      <c r="AG1692" s="13" t="n">
        <f aca="false">(O1692-AVERAGE(O$2:O$2001))/STDEV(O$2:O$2001)</f>
        <v>-0.534584326328023</v>
      </c>
      <c r="AH1692" s="0" t="str">
        <f aca="false">IF(B1692="Company","C3 - Corporate Buyers",IF(AND(H1692="Investment",M1692&gt;'Segmentation Summary'!$C$1),"C1 - Global Investors",IF(AND(I1692&gt;=4,M1692&gt;'Segmentation Summary'!$C$1),"C4 - Luxury Investors",IF(AND(D1692&lt;'Segmentation Summary'!$C$2,J1692=1),"C2 - First-Time Buyers","C5 - Other Individual Buyers"))))</f>
        <v>C5 - Other Individual Buyers</v>
      </c>
    </row>
    <row r="1693" customFormat="false" ht="15" hidden="false" customHeight="true" outlineLevel="0" collapsed="false">
      <c r="A1693" s="13" t="s">
        <v>3379</v>
      </c>
      <c r="B1693" s="13" t="s">
        <v>34</v>
      </c>
      <c r="C1693" s="13" t="s">
        <v>3380</v>
      </c>
      <c r="D1693" s="13" t="n">
        <v>83</v>
      </c>
      <c r="E1693" s="13" t="s">
        <v>83</v>
      </c>
      <c r="F1693" s="13" t="s">
        <v>33</v>
      </c>
      <c r="G1693" s="13" t="s">
        <v>157</v>
      </c>
      <c r="H1693" s="13" t="s">
        <v>41</v>
      </c>
      <c r="I1693" s="13" t="n">
        <v>3</v>
      </c>
      <c r="J1693" s="13" t="n">
        <v>0</v>
      </c>
      <c r="K1693" s="13" t="s">
        <v>91</v>
      </c>
      <c r="L1693" s="13" t="n">
        <v>3</v>
      </c>
      <c r="M1693" s="13" t="n">
        <v>1186907.08</v>
      </c>
      <c r="N1693" s="13" t="n">
        <v>395635.693333333</v>
      </c>
      <c r="O1693" s="13" t="n">
        <v>1332.34</v>
      </c>
      <c r="P1693" s="13" t="n">
        <v>2</v>
      </c>
      <c r="Q1693" s="13" t="n">
        <v>1</v>
      </c>
      <c r="R1693" s="13" t="s">
        <v>150</v>
      </c>
      <c r="S1693" s="13" t="s">
        <v>154</v>
      </c>
      <c r="T1693" s="13" t="n">
        <v>1</v>
      </c>
      <c r="U1693" s="13" t="n">
        <f aca="false">IF(B1693="Individual",1,0)</f>
        <v>1</v>
      </c>
      <c r="V1693" s="13" t="n">
        <f aca="false">IF(B1693="Company",1,0)</f>
        <v>0</v>
      </c>
      <c r="W1693" s="13" t="n">
        <f aca="false">IF(H1693="Home",1,0)</f>
        <v>1</v>
      </c>
      <c r="X1693" s="13" t="n">
        <f aca="false">IF(H1693="Investment",1,0)</f>
        <v>0</v>
      </c>
      <c r="Y1693" s="13" t="n">
        <f aca="false">IF(K1693="Website",1,0)</f>
        <v>0</v>
      </c>
      <c r="Z1693" s="13" t="n">
        <f aca="false">IF(K1693="Agency",1,0)</f>
        <v>1</v>
      </c>
      <c r="AA1693" s="13" t="n">
        <f aca="false">IF(K1693="Client",1,0)</f>
        <v>0</v>
      </c>
      <c r="AB1693" s="13" t="n">
        <f aca="false">(D1693-AVERAGE(D$2:D$2001))/STDEV(D$2:D$2001)</f>
        <v>1.66431145275451</v>
      </c>
      <c r="AC1693" s="13" t="n">
        <f aca="false">(I1693-AVERAGE(I$2:I$2001))/STDEV(I$2:I$2001)</f>
        <v>-0.0205155458339628</v>
      </c>
      <c r="AD1693" s="13" t="n">
        <f aca="false">(L1693-AVERAGE(L$2:L$2001))/STDEV(L$2:L$2001)</f>
        <v>-0.777063122173208</v>
      </c>
      <c r="AE1693" s="13" t="n">
        <f aca="false">(M1693-AVERAGE(M$2:M$2001))/STDEV(M$2:M$2001)</f>
        <v>-0.21121887127589</v>
      </c>
      <c r="AF1693" s="13" t="n">
        <f aca="false">(N1693-AVERAGE(N$2:N$2001))/STDEV(N$2:N$2001)</f>
        <v>0.696277524040013</v>
      </c>
      <c r="AG1693" s="13" t="n">
        <f aca="false">(O1693-AVERAGE(O$2:O$2001))/STDEV(O$2:O$2001)</f>
        <v>0.840570014026516</v>
      </c>
      <c r="AH1693" s="0" t="str">
        <f aca="false">IF(B1693="Company","C3 - Corporate Buyers",IF(AND(H1693="Investment",M1693&gt;'Segmentation Summary'!$C$1),"C1 - Global Investors",IF(AND(I1693&gt;=4,M1693&gt;'Segmentation Summary'!$C$1),"C4 - Luxury Investors",IF(AND(D1693&lt;'Segmentation Summary'!$C$2,J1693=1),"C2 - First-Time Buyers","C5 - Other Individual Buyers"))))</f>
        <v>C5 - Other Individual Buyers</v>
      </c>
    </row>
    <row r="1694" customFormat="false" ht="15" hidden="false" customHeight="true" outlineLevel="0" collapsed="false">
      <c r="A1694" s="13" t="s">
        <v>3381</v>
      </c>
      <c r="B1694" s="13" t="s">
        <v>34</v>
      </c>
      <c r="C1694" s="13" t="s">
        <v>3382</v>
      </c>
      <c r="D1694" s="13" t="n">
        <v>40</v>
      </c>
      <c r="E1694" s="13" t="s">
        <v>83</v>
      </c>
      <c r="F1694" s="13" t="s">
        <v>33</v>
      </c>
      <c r="G1694" s="13" t="s">
        <v>100</v>
      </c>
      <c r="H1694" s="13" t="s">
        <v>41</v>
      </c>
      <c r="I1694" s="13" t="n">
        <v>3</v>
      </c>
      <c r="J1694" s="13" t="n">
        <v>0</v>
      </c>
      <c r="K1694" s="13" t="s">
        <v>85</v>
      </c>
      <c r="L1694" s="13" t="n">
        <v>3</v>
      </c>
      <c r="M1694" s="13" t="n">
        <v>1333737.83</v>
      </c>
      <c r="N1694" s="13" t="n">
        <v>444579.276666667</v>
      </c>
      <c r="O1694" s="13" t="n">
        <v>1454.57333333333</v>
      </c>
      <c r="P1694" s="13" t="n">
        <v>0</v>
      </c>
      <c r="Q1694" s="13" t="n">
        <v>3</v>
      </c>
      <c r="R1694" s="13" t="s">
        <v>86</v>
      </c>
      <c r="S1694" s="13" t="s">
        <v>93</v>
      </c>
      <c r="T1694" s="13" t="n">
        <v>1</v>
      </c>
      <c r="U1694" s="13" t="n">
        <f aca="false">IF(B1694="Individual",1,0)</f>
        <v>1</v>
      </c>
      <c r="V1694" s="13" t="n">
        <f aca="false">IF(B1694="Company",1,0)</f>
        <v>0</v>
      </c>
      <c r="W1694" s="13" t="n">
        <f aca="false">IF(H1694="Home",1,0)</f>
        <v>1</v>
      </c>
      <c r="X1694" s="13" t="n">
        <f aca="false">IF(H1694="Investment",1,0)</f>
        <v>0</v>
      </c>
      <c r="Y1694" s="13" t="n">
        <f aca="false">IF(K1694="Website",1,0)</f>
        <v>1</v>
      </c>
      <c r="Z1694" s="13" t="n">
        <f aca="false">IF(K1694="Agency",1,0)</f>
        <v>0</v>
      </c>
      <c r="AA1694" s="13" t="n">
        <f aca="false">IF(K1694="Client",1,0)</f>
        <v>0</v>
      </c>
      <c r="AB1694" s="13" t="n">
        <f aca="false">(D1694-AVERAGE(D$2:D$2001))/STDEV(D$2:D$2001)</f>
        <v>-0.815174133235994</v>
      </c>
      <c r="AC1694" s="13" t="n">
        <f aca="false">(I1694-AVERAGE(I$2:I$2001))/STDEV(I$2:I$2001)</f>
        <v>-0.0205155458339628</v>
      </c>
      <c r="AD1694" s="13" t="n">
        <f aca="false">(L1694-AVERAGE(L$2:L$2001))/STDEV(L$2:L$2001)</f>
        <v>-0.777063122173208</v>
      </c>
      <c r="AE1694" s="13" t="n">
        <f aca="false">(M1694-AVERAGE(M$2:M$2001))/STDEV(M$2:M$2001)</f>
        <v>0.210913979123691</v>
      </c>
      <c r="AF1694" s="13" t="n">
        <f aca="false">(N1694-AVERAGE(N$2:N$2001))/STDEV(N$2:N$2001)</f>
        <v>1.39826123674205</v>
      </c>
      <c r="AG1694" s="13" t="n">
        <f aca="false">(O1694-AVERAGE(O$2:O$2001))/STDEV(O$2:O$2001)</f>
        <v>1.39637164869708</v>
      </c>
      <c r="AH1694" s="0" t="str">
        <f aca="false">IF(B1694="Company","C3 - Corporate Buyers",IF(AND(H1694="Investment",M1694&gt;'Segmentation Summary'!$C$1),"C1 - Global Investors",IF(AND(I1694&gt;=4,M1694&gt;'Segmentation Summary'!$C$1),"C4 - Luxury Investors",IF(AND(D1694&lt;'Segmentation Summary'!$C$2,J1694=1),"C2 - First-Time Buyers","C5 - Other Individual Buyers"))))</f>
        <v>C5 - Other Individual Buyers</v>
      </c>
    </row>
    <row r="1695" customFormat="false" ht="15" hidden="false" customHeight="true" outlineLevel="0" collapsed="false">
      <c r="A1695" s="13" t="s">
        <v>3383</v>
      </c>
      <c r="B1695" s="13" t="s">
        <v>34</v>
      </c>
      <c r="C1695" s="13" t="s">
        <v>3384</v>
      </c>
      <c r="D1695" s="13" t="n">
        <v>31</v>
      </c>
      <c r="E1695" s="13" t="s">
        <v>83</v>
      </c>
      <c r="F1695" s="13" t="s">
        <v>47</v>
      </c>
      <c r="G1695" s="13" t="s">
        <v>3385</v>
      </c>
      <c r="H1695" s="13" t="s">
        <v>43</v>
      </c>
      <c r="I1695" s="13" t="n">
        <v>2</v>
      </c>
      <c r="J1695" s="13" t="n">
        <v>1</v>
      </c>
      <c r="K1695" s="13" t="s">
        <v>85</v>
      </c>
      <c r="L1695" s="13" t="n">
        <v>3</v>
      </c>
      <c r="M1695" s="13" t="n">
        <v>729893.08</v>
      </c>
      <c r="N1695" s="13" t="n">
        <v>243297.693333333</v>
      </c>
      <c r="O1695" s="13" t="n">
        <v>849.636666666667</v>
      </c>
      <c r="P1695" s="13" t="n">
        <v>0</v>
      </c>
      <c r="Q1695" s="13" t="n">
        <v>3</v>
      </c>
      <c r="R1695" s="13" t="s">
        <v>117</v>
      </c>
      <c r="S1695" s="13" t="s">
        <v>107</v>
      </c>
      <c r="T1695" s="13" t="n">
        <v>1</v>
      </c>
      <c r="U1695" s="13" t="n">
        <f aca="false">IF(B1695="Individual",1,0)</f>
        <v>1</v>
      </c>
      <c r="V1695" s="13" t="n">
        <f aca="false">IF(B1695="Company",1,0)</f>
        <v>0</v>
      </c>
      <c r="W1695" s="13" t="n">
        <f aca="false">IF(H1695="Home",1,0)</f>
        <v>0</v>
      </c>
      <c r="X1695" s="13" t="n">
        <f aca="false">IF(H1695="Investment",1,0)</f>
        <v>1</v>
      </c>
      <c r="Y1695" s="13" t="n">
        <f aca="false">IF(K1695="Website",1,0)</f>
        <v>1</v>
      </c>
      <c r="Z1695" s="13" t="n">
        <f aca="false">IF(K1695="Agency",1,0)</f>
        <v>0</v>
      </c>
      <c r="AA1695" s="13" t="n">
        <f aca="false">IF(K1695="Client",1,0)</f>
        <v>0</v>
      </c>
      <c r="AB1695" s="13" t="n">
        <f aca="false">(D1695-AVERAGE(D$2:D$2001))/STDEV(D$2:D$2001)</f>
        <v>-1.33413623262935</v>
      </c>
      <c r="AC1695" s="13" t="n">
        <f aca="false">(I1695-AVERAGE(I$2:I$2001))/STDEV(I$2:I$2001)</f>
        <v>-0.727948160798201</v>
      </c>
      <c r="AD1695" s="13" t="n">
        <f aca="false">(L1695-AVERAGE(L$2:L$2001))/STDEV(L$2:L$2001)</f>
        <v>-0.777063122173208</v>
      </c>
      <c r="AE1695" s="13" t="n">
        <f aca="false">(M1695-AVERAGE(M$2:M$2001))/STDEV(M$2:M$2001)</f>
        <v>-1.52511682856695</v>
      </c>
      <c r="AF1695" s="13" t="n">
        <f aca="false">(N1695-AVERAGE(N$2:N$2001))/STDEV(N$2:N$2001)</f>
        <v>-1.48866251390712</v>
      </c>
      <c r="AG1695" s="13" t="n">
        <f aca="false">(O1695-AVERAGE(O$2:O$2001))/STDEV(O$2:O$2001)</f>
        <v>-1.35430837480035</v>
      </c>
      <c r="AH1695" s="0" t="str">
        <f aca="false">IF(B1695="Company","C3 - Corporate Buyers",IF(AND(H1695="Investment",M1695&gt;'Segmentation Summary'!$C$1),"C1 - Global Investors",IF(AND(I1695&gt;=4,M1695&gt;'Segmentation Summary'!$C$1),"C4 - Luxury Investors",IF(AND(D1695&lt;'Segmentation Summary'!$C$2,J1695=1),"C2 - First-Time Buyers","C5 - Other Individual Buyers"))))</f>
        <v>C2 - First-Time Buyers</v>
      </c>
    </row>
    <row r="1696" customFormat="false" ht="15" hidden="false" customHeight="true" outlineLevel="0" collapsed="false">
      <c r="A1696" s="13" t="s">
        <v>3386</v>
      </c>
      <c r="B1696" s="13" t="s">
        <v>34</v>
      </c>
      <c r="C1696" s="13" t="s">
        <v>3387</v>
      </c>
      <c r="D1696" s="13" t="n">
        <v>29</v>
      </c>
      <c r="E1696" s="13" t="s">
        <v>83</v>
      </c>
      <c r="F1696" s="13" t="s">
        <v>33</v>
      </c>
      <c r="G1696" s="13" t="s">
        <v>95</v>
      </c>
      <c r="H1696" s="13" t="s">
        <v>41</v>
      </c>
      <c r="I1696" s="13" t="n">
        <v>1</v>
      </c>
      <c r="J1696" s="13" t="n">
        <v>1</v>
      </c>
      <c r="K1696" s="13" t="s">
        <v>85</v>
      </c>
      <c r="L1696" s="13" t="n">
        <v>3</v>
      </c>
      <c r="M1696" s="13" t="n">
        <v>922597.58</v>
      </c>
      <c r="N1696" s="13" t="n">
        <v>307532.526666667</v>
      </c>
      <c r="O1696" s="13" t="n">
        <v>915.636666666667</v>
      </c>
      <c r="P1696" s="13" t="n">
        <v>0</v>
      </c>
      <c r="Q1696" s="13" t="n">
        <v>3</v>
      </c>
      <c r="R1696" s="13" t="s">
        <v>117</v>
      </c>
      <c r="S1696" s="13" t="s">
        <v>114</v>
      </c>
      <c r="T1696" s="13" t="n">
        <v>1</v>
      </c>
      <c r="U1696" s="13" t="n">
        <f aca="false">IF(B1696="Individual",1,0)</f>
        <v>1</v>
      </c>
      <c r="V1696" s="13" t="n">
        <f aca="false">IF(B1696="Company",1,0)</f>
        <v>0</v>
      </c>
      <c r="W1696" s="13" t="n">
        <f aca="false">IF(H1696="Home",1,0)</f>
        <v>1</v>
      </c>
      <c r="X1696" s="13" t="n">
        <f aca="false">IF(H1696="Investment",1,0)</f>
        <v>0</v>
      </c>
      <c r="Y1696" s="13" t="n">
        <f aca="false">IF(K1696="Website",1,0)</f>
        <v>1</v>
      </c>
      <c r="Z1696" s="13" t="n">
        <f aca="false">IF(K1696="Agency",1,0)</f>
        <v>0</v>
      </c>
      <c r="AA1696" s="13" t="n">
        <f aca="false">IF(K1696="Client",1,0)</f>
        <v>0</v>
      </c>
      <c r="AB1696" s="13" t="n">
        <f aca="false">(D1696-AVERAGE(D$2:D$2001))/STDEV(D$2:D$2001)</f>
        <v>-1.44946114360566</v>
      </c>
      <c r="AC1696" s="13" t="n">
        <f aca="false">(I1696-AVERAGE(I$2:I$2001))/STDEV(I$2:I$2001)</f>
        <v>-1.43538077576244</v>
      </c>
      <c r="AD1696" s="13" t="n">
        <f aca="false">(L1696-AVERAGE(L$2:L$2001))/STDEV(L$2:L$2001)</f>
        <v>-0.777063122173208</v>
      </c>
      <c r="AE1696" s="13" t="n">
        <f aca="false">(M1696-AVERAGE(M$2:M$2001))/STDEV(M$2:M$2001)</f>
        <v>-0.971098682709723</v>
      </c>
      <c r="AF1696" s="13" t="n">
        <f aca="false">(N1696-AVERAGE(N$2:N$2001))/STDEV(N$2:N$2001)</f>
        <v>-0.567360808614529</v>
      </c>
      <c r="AG1696" s="13" t="n">
        <f aca="false">(O1696-AVERAGE(O$2:O$2001))/STDEV(O$2:O$2001)</f>
        <v>-1.05420277440554</v>
      </c>
      <c r="AH1696" s="0" t="str">
        <f aca="false">IF(B1696="Company","C3 - Corporate Buyers",IF(AND(H1696="Investment",M1696&gt;'Segmentation Summary'!$C$1),"C1 - Global Investors",IF(AND(I1696&gt;=4,M1696&gt;'Segmentation Summary'!$C$1),"C4 - Luxury Investors",IF(AND(D1696&lt;'Segmentation Summary'!$C$2,J1696=1),"C2 - First-Time Buyers","C5 - Other Individual Buyers"))))</f>
        <v>C2 - First-Time Buyers</v>
      </c>
    </row>
    <row r="1697" customFormat="false" ht="15" hidden="false" customHeight="true" outlineLevel="0" collapsed="false">
      <c r="A1697" s="13" t="s">
        <v>3388</v>
      </c>
      <c r="B1697" s="13" t="s">
        <v>34</v>
      </c>
      <c r="C1697" s="13" t="s">
        <v>3389</v>
      </c>
      <c r="D1697" s="13" t="n">
        <v>81</v>
      </c>
      <c r="E1697" s="13" t="s">
        <v>83</v>
      </c>
      <c r="F1697" s="13" t="s">
        <v>33</v>
      </c>
      <c r="G1697" s="13" t="s">
        <v>162</v>
      </c>
      <c r="H1697" s="13" t="s">
        <v>41</v>
      </c>
      <c r="I1697" s="13" t="n">
        <v>1</v>
      </c>
      <c r="J1697" s="13" t="n">
        <v>0</v>
      </c>
      <c r="K1697" s="13" t="s">
        <v>85</v>
      </c>
      <c r="L1697" s="13" t="n">
        <v>4</v>
      </c>
      <c r="M1697" s="13" t="n">
        <v>1088561.44</v>
      </c>
      <c r="N1697" s="13" t="n">
        <v>272140.36</v>
      </c>
      <c r="O1697" s="13" t="n">
        <v>975.4225</v>
      </c>
      <c r="P1697" s="13" t="n">
        <v>0</v>
      </c>
      <c r="Q1697" s="13" t="n">
        <v>4</v>
      </c>
      <c r="R1697" s="13" t="s">
        <v>92</v>
      </c>
      <c r="S1697" s="13" t="s">
        <v>103</v>
      </c>
      <c r="T1697" s="13" t="n">
        <v>1</v>
      </c>
      <c r="U1697" s="13" t="n">
        <f aca="false">IF(B1697="Individual",1,0)</f>
        <v>1</v>
      </c>
      <c r="V1697" s="13" t="n">
        <f aca="false">IF(B1697="Company",1,0)</f>
        <v>0</v>
      </c>
      <c r="W1697" s="13" t="n">
        <f aca="false">IF(H1697="Home",1,0)</f>
        <v>1</v>
      </c>
      <c r="X1697" s="13" t="n">
        <f aca="false">IF(H1697="Investment",1,0)</f>
        <v>0</v>
      </c>
      <c r="Y1697" s="13" t="n">
        <f aca="false">IF(K1697="Website",1,0)</f>
        <v>1</v>
      </c>
      <c r="Z1697" s="13" t="n">
        <f aca="false">IF(K1697="Agency",1,0)</f>
        <v>0</v>
      </c>
      <c r="AA1697" s="13" t="n">
        <f aca="false">IF(K1697="Client",1,0)</f>
        <v>0</v>
      </c>
      <c r="AB1697" s="13" t="n">
        <f aca="false">(D1697-AVERAGE(D$2:D$2001))/STDEV(D$2:D$2001)</f>
        <v>1.54898654177821</v>
      </c>
      <c r="AC1697" s="13" t="n">
        <f aca="false">(I1697-AVERAGE(I$2:I$2001))/STDEV(I$2:I$2001)</f>
        <v>-1.43538077576244</v>
      </c>
      <c r="AD1697" s="13" t="n">
        <f aca="false">(L1697-AVERAGE(L$2:L$2001))/STDEV(L$2:L$2001)</f>
        <v>0.413838214490712</v>
      </c>
      <c r="AE1697" s="13" t="n">
        <f aca="false">(M1697-AVERAGE(M$2:M$2001))/STDEV(M$2:M$2001)</f>
        <v>-0.493958865027684</v>
      </c>
      <c r="AF1697" s="13" t="n">
        <f aca="false">(N1697-AVERAGE(N$2:N$2001))/STDEV(N$2:N$2001)</f>
        <v>-1.07498045689466</v>
      </c>
      <c r="AG1697" s="13" t="n">
        <f aca="false">(O1697-AVERAGE(O$2:O$2001))/STDEV(O$2:O$2001)</f>
        <v>-0.782353328835793</v>
      </c>
      <c r="AH1697" s="0" t="str">
        <f aca="false">IF(B1697="Company","C3 - Corporate Buyers",IF(AND(H1697="Investment",M1697&gt;'Segmentation Summary'!$C$1),"C1 - Global Investors",IF(AND(I1697&gt;=4,M1697&gt;'Segmentation Summary'!$C$1),"C4 - Luxury Investors",IF(AND(D1697&lt;'Segmentation Summary'!$C$2,J1697=1),"C2 - First-Time Buyers","C5 - Other Individual Buyers"))))</f>
        <v>C5 - Other Individual Buyers</v>
      </c>
    </row>
    <row r="1698" customFormat="false" ht="15" hidden="false" customHeight="true" outlineLevel="0" collapsed="false">
      <c r="A1698" s="13" t="s">
        <v>3390</v>
      </c>
      <c r="B1698" s="13" t="s">
        <v>34</v>
      </c>
      <c r="C1698" s="13" t="s">
        <v>3391</v>
      </c>
      <c r="D1698" s="13" t="n">
        <v>70</v>
      </c>
      <c r="E1698" s="13" t="s">
        <v>83</v>
      </c>
      <c r="F1698" s="13" t="s">
        <v>33</v>
      </c>
      <c r="G1698" s="13" t="s">
        <v>162</v>
      </c>
      <c r="H1698" s="13" t="s">
        <v>41</v>
      </c>
      <c r="I1698" s="13" t="n">
        <v>3</v>
      </c>
      <c r="J1698" s="13" t="n">
        <v>0</v>
      </c>
      <c r="K1698" s="13" t="s">
        <v>85</v>
      </c>
      <c r="L1698" s="13" t="n">
        <v>4</v>
      </c>
      <c r="M1698" s="13" t="n">
        <v>1261549.09</v>
      </c>
      <c r="N1698" s="13" t="n">
        <v>315387.2725</v>
      </c>
      <c r="O1698" s="13" t="n">
        <v>1119.09</v>
      </c>
      <c r="P1698" s="13" t="n">
        <v>2</v>
      </c>
      <c r="Q1698" s="13" t="n">
        <v>2</v>
      </c>
      <c r="R1698" s="13" t="s">
        <v>86</v>
      </c>
      <c r="S1698" s="13" t="s">
        <v>152</v>
      </c>
      <c r="T1698" s="13" t="n">
        <v>1</v>
      </c>
      <c r="U1698" s="13" t="n">
        <f aca="false">IF(B1698="Individual",1,0)</f>
        <v>1</v>
      </c>
      <c r="V1698" s="13" t="n">
        <f aca="false">IF(B1698="Company",1,0)</f>
        <v>0</v>
      </c>
      <c r="W1698" s="13" t="n">
        <f aca="false">IF(H1698="Home",1,0)</f>
        <v>1</v>
      </c>
      <c r="X1698" s="13" t="n">
        <f aca="false">IF(H1698="Investment",1,0)</f>
        <v>0</v>
      </c>
      <c r="Y1698" s="13" t="n">
        <f aca="false">IF(K1698="Website",1,0)</f>
        <v>1</v>
      </c>
      <c r="Z1698" s="13" t="n">
        <f aca="false">IF(K1698="Agency",1,0)</f>
        <v>0</v>
      </c>
      <c r="AA1698" s="13" t="n">
        <f aca="false">IF(K1698="Client",1,0)</f>
        <v>0</v>
      </c>
      <c r="AB1698" s="13" t="n">
        <f aca="false">(D1698-AVERAGE(D$2:D$2001))/STDEV(D$2:D$2001)</f>
        <v>0.914699531408543</v>
      </c>
      <c r="AC1698" s="13" t="n">
        <f aca="false">(I1698-AVERAGE(I$2:I$2001))/STDEV(I$2:I$2001)</f>
        <v>-0.0205155458339628</v>
      </c>
      <c r="AD1698" s="13" t="n">
        <f aca="false">(L1698-AVERAGE(L$2:L$2001))/STDEV(L$2:L$2001)</f>
        <v>0.413838214490712</v>
      </c>
      <c r="AE1698" s="13" t="n">
        <f aca="false">(M1698-AVERAGE(M$2:M$2001))/STDEV(M$2:M$2001)</f>
        <v>0.003374083134913</v>
      </c>
      <c r="AF1698" s="13" t="n">
        <f aca="false">(N1698-AVERAGE(N$2:N$2001))/STDEV(N$2:N$2001)</f>
        <v>-0.454702452464732</v>
      </c>
      <c r="AG1698" s="13" t="n">
        <f aca="false">(O1698-AVERAGE(O$2:O$2001))/STDEV(O$2:O$2001)</f>
        <v>-0.129089369067301</v>
      </c>
      <c r="AH1698" s="0" t="str">
        <f aca="false">IF(B1698="Company","C3 - Corporate Buyers",IF(AND(H1698="Investment",M1698&gt;'Segmentation Summary'!$C$1),"C1 - Global Investors",IF(AND(I1698&gt;=4,M1698&gt;'Segmentation Summary'!$C$1),"C4 - Luxury Investors",IF(AND(D1698&lt;'Segmentation Summary'!$C$2,J1698=1),"C2 - First-Time Buyers","C5 - Other Individual Buyers"))))</f>
        <v>C5 - Other Individual Buyers</v>
      </c>
    </row>
    <row r="1699" customFormat="false" ht="15" hidden="false" customHeight="true" outlineLevel="0" collapsed="false">
      <c r="A1699" s="13" t="s">
        <v>3392</v>
      </c>
      <c r="B1699" s="13" t="s">
        <v>34</v>
      </c>
      <c r="C1699" s="13" t="s">
        <v>3393</v>
      </c>
      <c r="D1699" s="13" t="n">
        <v>85</v>
      </c>
      <c r="E1699" s="13" t="s">
        <v>83</v>
      </c>
      <c r="F1699" s="13" t="s">
        <v>33</v>
      </c>
      <c r="G1699" s="13" t="s">
        <v>110</v>
      </c>
      <c r="H1699" s="13" t="s">
        <v>43</v>
      </c>
      <c r="I1699" s="13" t="n">
        <v>2</v>
      </c>
      <c r="J1699" s="13" t="n">
        <v>0</v>
      </c>
      <c r="K1699" s="13" t="s">
        <v>91</v>
      </c>
      <c r="L1699" s="13" t="n">
        <v>4</v>
      </c>
      <c r="M1699" s="13" t="n">
        <v>1221442.92</v>
      </c>
      <c r="N1699" s="13" t="n">
        <v>305360.73</v>
      </c>
      <c r="O1699" s="13" t="n">
        <v>1043.61</v>
      </c>
      <c r="P1699" s="13" t="n">
        <v>1</v>
      </c>
      <c r="Q1699" s="13" t="n">
        <v>3</v>
      </c>
      <c r="R1699" s="13" t="s">
        <v>121</v>
      </c>
      <c r="S1699" s="13" t="s">
        <v>114</v>
      </c>
      <c r="T1699" s="13" t="n">
        <v>1</v>
      </c>
      <c r="U1699" s="13" t="n">
        <f aca="false">IF(B1699="Individual",1,0)</f>
        <v>1</v>
      </c>
      <c r="V1699" s="13" t="n">
        <f aca="false">IF(B1699="Company",1,0)</f>
        <v>0</v>
      </c>
      <c r="W1699" s="13" t="n">
        <f aca="false">IF(H1699="Home",1,0)</f>
        <v>0</v>
      </c>
      <c r="X1699" s="13" t="n">
        <f aca="false">IF(H1699="Investment",1,0)</f>
        <v>1</v>
      </c>
      <c r="Y1699" s="13" t="n">
        <f aca="false">IF(K1699="Website",1,0)</f>
        <v>0</v>
      </c>
      <c r="Z1699" s="13" t="n">
        <f aca="false">IF(K1699="Agency",1,0)</f>
        <v>1</v>
      </c>
      <c r="AA1699" s="13" t="n">
        <f aca="false">IF(K1699="Client",1,0)</f>
        <v>0</v>
      </c>
      <c r="AB1699" s="13" t="n">
        <f aca="false">(D1699-AVERAGE(D$2:D$2001))/STDEV(D$2:D$2001)</f>
        <v>1.77963636373081</v>
      </c>
      <c r="AC1699" s="13" t="n">
        <f aca="false">(I1699-AVERAGE(I$2:I$2001))/STDEV(I$2:I$2001)</f>
        <v>-0.727948160798201</v>
      </c>
      <c r="AD1699" s="13" t="n">
        <f aca="false">(L1699-AVERAGE(L$2:L$2001))/STDEV(L$2:L$2001)</f>
        <v>0.413838214490712</v>
      </c>
      <c r="AE1699" s="13" t="n">
        <f aca="false">(M1699-AVERAGE(M$2:M$2001))/STDEV(M$2:M$2001)</f>
        <v>-0.111929638059117</v>
      </c>
      <c r="AF1699" s="13" t="n">
        <f aca="false">(N1699-AVERAGE(N$2:N$2001))/STDEV(N$2:N$2001)</f>
        <v>-0.598510262403347</v>
      </c>
      <c r="AG1699" s="13" t="n">
        <f aca="false">(O1699-AVERAGE(O$2:O$2001))/STDEV(O$2:O$2001)</f>
        <v>-0.472301046609723</v>
      </c>
      <c r="AH1699" s="0" t="str">
        <f aca="false">IF(B1699="Company","C3 - Corporate Buyers",IF(AND(H1699="Investment",M1699&gt;'Segmentation Summary'!$C$1),"C1 - Global Investors",IF(AND(I1699&gt;=4,M1699&gt;'Segmentation Summary'!$C$1),"C4 - Luxury Investors",IF(AND(D1699&lt;'Segmentation Summary'!$C$2,J1699=1),"C2 - First-Time Buyers","C5 - Other Individual Buyers"))))</f>
        <v>C1 - Global Investors</v>
      </c>
    </row>
    <row r="1700" customFormat="false" ht="15" hidden="false" customHeight="true" outlineLevel="0" collapsed="false">
      <c r="A1700" s="13" t="s">
        <v>3394</v>
      </c>
      <c r="B1700" s="13" t="s">
        <v>34</v>
      </c>
      <c r="C1700" s="13" t="s">
        <v>3395</v>
      </c>
      <c r="D1700" s="13" t="n">
        <v>65</v>
      </c>
      <c r="E1700" s="13" t="s">
        <v>83</v>
      </c>
      <c r="F1700" s="13" t="s">
        <v>33</v>
      </c>
      <c r="G1700" s="13" t="s">
        <v>95</v>
      </c>
      <c r="H1700" s="13" t="s">
        <v>41</v>
      </c>
      <c r="I1700" s="13" t="n">
        <v>5</v>
      </c>
      <c r="J1700" s="13" t="n">
        <v>0</v>
      </c>
      <c r="K1700" s="13" t="s">
        <v>85</v>
      </c>
      <c r="L1700" s="13" t="n">
        <v>6</v>
      </c>
      <c r="M1700" s="13" t="n">
        <v>1608263.51</v>
      </c>
      <c r="N1700" s="13" t="n">
        <v>268043.918333333</v>
      </c>
      <c r="O1700" s="13" t="n">
        <v>937.103333333333</v>
      </c>
      <c r="P1700" s="13" t="n">
        <v>0</v>
      </c>
      <c r="Q1700" s="13" t="n">
        <v>6</v>
      </c>
      <c r="R1700" s="13" t="s">
        <v>101</v>
      </c>
      <c r="S1700" s="13" t="s">
        <v>133</v>
      </c>
      <c r="T1700" s="13" t="n">
        <v>1</v>
      </c>
      <c r="U1700" s="13" t="n">
        <f aca="false">IF(B1700="Individual",1,0)</f>
        <v>1</v>
      </c>
      <c r="V1700" s="13" t="n">
        <f aca="false">IF(B1700="Company",1,0)</f>
        <v>0</v>
      </c>
      <c r="W1700" s="13" t="n">
        <f aca="false">IF(H1700="Home",1,0)</f>
        <v>1</v>
      </c>
      <c r="X1700" s="13" t="n">
        <f aca="false">IF(H1700="Investment",1,0)</f>
        <v>0</v>
      </c>
      <c r="Y1700" s="13" t="n">
        <f aca="false">IF(K1700="Website",1,0)</f>
        <v>1</v>
      </c>
      <c r="Z1700" s="13" t="n">
        <f aca="false">IF(K1700="Agency",1,0)</f>
        <v>0</v>
      </c>
      <c r="AA1700" s="13" t="n">
        <f aca="false">IF(K1700="Client",1,0)</f>
        <v>0</v>
      </c>
      <c r="AB1700" s="13" t="n">
        <f aca="false">(D1700-AVERAGE(D$2:D$2001))/STDEV(D$2:D$2001)</f>
        <v>0.626387253967787</v>
      </c>
      <c r="AC1700" s="13" t="n">
        <f aca="false">(I1700-AVERAGE(I$2:I$2001))/STDEV(I$2:I$2001)</f>
        <v>1.39434968409451</v>
      </c>
      <c r="AD1700" s="13" t="n">
        <f aca="false">(L1700-AVERAGE(L$2:L$2001))/STDEV(L$2:L$2001)</f>
        <v>2.79564088781855</v>
      </c>
      <c r="AE1700" s="13" t="n">
        <f aca="false">(M1700-AVERAGE(M$2:M$2001))/STDEV(M$2:M$2001)</f>
        <v>1.00016492149294</v>
      </c>
      <c r="AF1700" s="13" t="n">
        <f aca="false">(N1700-AVERAGE(N$2:N$2001))/STDEV(N$2:N$2001)</f>
        <v>-1.13373453933381</v>
      </c>
      <c r="AG1700" s="13" t="n">
        <f aca="false">(O1700-AVERAGE(O$2:O$2001))/STDEV(O$2:O$2001)</f>
        <v>-0.956592670034713</v>
      </c>
      <c r="AH1700" s="0" t="str">
        <f aca="false">IF(B1700="Company","C3 - Corporate Buyers",IF(AND(H1700="Investment",M1700&gt;'Segmentation Summary'!$C$1),"C1 - Global Investors",IF(AND(I1700&gt;=4,M1700&gt;'Segmentation Summary'!$C$1),"C4 - Luxury Investors",IF(AND(D1700&lt;'Segmentation Summary'!$C$2,J1700=1),"C2 - First-Time Buyers","C5 - Other Individual Buyers"))))</f>
        <v>C4 - Luxury Investors</v>
      </c>
    </row>
    <row r="1701" customFormat="false" ht="15" hidden="false" customHeight="true" outlineLevel="0" collapsed="false">
      <c r="A1701" s="13" t="s">
        <v>3396</v>
      </c>
      <c r="B1701" s="13" t="s">
        <v>34</v>
      </c>
      <c r="C1701" s="13" t="s">
        <v>3397</v>
      </c>
      <c r="D1701" s="13" t="n">
        <v>32</v>
      </c>
      <c r="E1701" s="13" t="s">
        <v>90</v>
      </c>
      <c r="F1701" s="13" t="s">
        <v>33</v>
      </c>
      <c r="G1701" s="13" t="s">
        <v>95</v>
      </c>
      <c r="H1701" s="13" t="s">
        <v>43</v>
      </c>
      <c r="I1701" s="13" t="n">
        <v>4</v>
      </c>
      <c r="J1701" s="13" t="n">
        <v>0</v>
      </c>
      <c r="K1701" s="13" t="s">
        <v>85</v>
      </c>
      <c r="L1701" s="13" t="n">
        <v>4</v>
      </c>
      <c r="M1701" s="13" t="n">
        <v>1580876.65</v>
      </c>
      <c r="N1701" s="13" t="n">
        <v>395219.1625</v>
      </c>
      <c r="O1701" s="13" t="n">
        <v>1299.3275</v>
      </c>
      <c r="P1701" s="13" t="n">
        <v>0</v>
      </c>
      <c r="Q1701" s="13" t="n">
        <v>4</v>
      </c>
      <c r="R1701" s="13" t="s">
        <v>98</v>
      </c>
      <c r="S1701" s="13" t="s">
        <v>133</v>
      </c>
      <c r="T1701" s="13" t="n">
        <v>1</v>
      </c>
      <c r="U1701" s="13" t="n">
        <f aca="false">IF(B1701="Individual",1,0)</f>
        <v>1</v>
      </c>
      <c r="V1701" s="13" t="n">
        <f aca="false">IF(B1701="Company",1,0)</f>
        <v>0</v>
      </c>
      <c r="W1701" s="13" t="n">
        <f aca="false">IF(H1701="Home",1,0)</f>
        <v>0</v>
      </c>
      <c r="X1701" s="13" t="n">
        <f aca="false">IF(H1701="Investment",1,0)</f>
        <v>1</v>
      </c>
      <c r="Y1701" s="13" t="n">
        <f aca="false">IF(K1701="Website",1,0)</f>
        <v>1</v>
      </c>
      <c r="Z1701" s="13" t="n">
        <f aca="false">IF(K1701="Agency",1,0)</f>
        <v>0</v>
      </c>
      <c r="AA1701" s="13" t="n">
        <f aca="false">IF(K1701="Client",1,0)</f>
        <v>0</v>
      </c>
      <c r="AB1701" s="13" t="n">
        <f aca="false">(D1701-AVERAGE(D$2:D$2001))/STDEV(D$2:D$2001)</f>
        <v>-1.2764737771412</v>
      </c>
      <c r="AC1701" s="13" t="n">
        <f aca="false">(I1701-AVERAGE(I$2:I$2001))/STDEV(I$2:I$2001)</f>
        <v>0.686917069130275</v>
      </c>
      <c r="AD1701" s="13" t="n">
        <f aca="false">(L1701-AVERAGE(L$2:L$2001))/STDEV(L$2:L$2001)</f>
        <v>0.413838214490712</v>
      </c>
      <c r="AE1701" s="13" t="n">
        <f aca="false">(M1701-AVERAGE(M$2:M$2001))/STDEV(M$2:M$2001)</f>
        <v>0.921428735269724</v>
      </c>
      <c r="AF1701" s="13" t="n">
        <f aca="false">(N1701-AVERAGE(N$2:N$2001))/STDEV(N$2:N$2001)</f>
        <v>0.690303342320489</v>
      </c>
      <c r="AG1701" s="13" t="n">
        <f aca="false">(O1701-AVERAGE(O$2:O$2001))/STDEV(O$2:O$2001)</f>
        <v>0.690460375647222</v>
      </c>
      <c r="AH1701" s="0" t="str">
        <f aca="false">IF(B1701="Company","C3 - Corporate Buyers",IF(AND(H1701="Investment",M1701&gt;'Segmentation Summary'!$C$1),"C1 - Global Investors",IF(AND(I1701&gt;=4,M1701&gt;'Segmentation Summary'!$C$1),"C4 - Luxury Investors",IF(AND(D1701&lt;'Segmentation Summary'!$C$2,J1701=1),"C2 - First-Time Buyers","C5 - Other Individual Buyers"))))</f>
        <v>C1 - Global Investors</v>
      </c>
    </row>
    <row r="1702" customFormat="false" ht="15" hidden="false" customHeight="true" outlineLevel="0" collapsed="false">
      <c r="A1702" s="13" t="s">
        <v>3398</v>
      </c>
      <c r="B1702" s="13" t="s">
        <v>34</v>
      </c>
      <c r="C1702" s="13" t="s">
        <v>3399</v>
      </c>
      <c r="D1702" s="13" t="n">
        <v>70</v>
      </c>
      <c r="E1702" s="13" t="s">
        <v>90</v>
      </c>
      <c r="F1702" s="13" t="s">
        <v>33</v>
      </c>
      <c r="G1702" s="13" t="s">
        <v>95</v>
      </c>
      <c r="H1702" s="13" t="s">
        <v>41</v>
      </c>
      <c r="I1702" s="13" t="n">
        <v>1</v>
      </c>
      <c r="J1702" s="13" t="n">
        <v>1</v>
      </c>
      <c r="K1702" s="13" t="s">
        <v>85</v>
      </c>
      <c r="L1702" s="13" t="n">
        <v>3</v>
      </c>
      <c r="M1702" s="13" t="n">
        <v>886990.72</v>
      </c>
      <c r="N1702" s="13" t="n">
        <v>295663.573333333</v>
      </c>
      <c r="O1702" s="13" t="n">
        <v>934.433333333333</v>
      </c>
      <c r="P1702" s="13" t="n">
        <v>1</v>
      </c>
      <c r="Q1702" s="13" t="n">
        <v>2</v>
      </c>
      <c r="R1702" s="13" t="s">
        <v>92</v>
      </c>
      <c r="S1702" s="13" t="s">
        <v>133</v>
      </c>
      <c r="T1702" s="13" t="n">
        <v>1</v>
      </c>
      <c r="U1702" s="13" t="n">
        <f aca="false">IF(B1702="Individual",1,0)</f>
        <v>1</v>
      </c>
      <c r="V1702" s="13" t="n">
        <f aca="false">IF(B1702="Company",1,0)</f>
        <v>0</v>
      </c>
      <c r="W1702" s="13" t="n">
        <f aca="false">IF(H1702="Home",1,0)</f>
        <v>1</v>
      </c>
      <c r="X1702" s="13" t="n">
        <f aca="false">IF(H1702="Investment",1,0)</f>
        <v>0</v>
      </c>
      <c r="Y1702" s="13" t="n">
        <f aca="false">IF(K1702="Website",1,0)</f>
        <v>1</v>
      </c>
      <c r="Z1702" s="13" t="n">
        <f aca="false">IF(K1702="Agency",1,0)</f>
        <v>0</v>
      </c>
      <c r="AA1702" s="13" t="n">
        <f aca="false">IF(K1702="Client",1,0)</f>
        <v>0</v>
      </c>
      <c r="AB1702" s="13" t="n">
        <f aca="false">(D1702-AVERAGE(D$2:D$2001))/STDEV(D$2:D$2001)</f>
        <v>0.914699531408543</v>
      </c>
      <c r="AC1702" s="13" t="n">
        <f aca="false">(I1702-AVERAGE(I$2:I$2001))/STDEV(I$2:I$2001)</f>
        <v>-1.43538077576244</v>
      </c>
      <c r="AD1702" s="13" t="n">
        <f aca="false">(L1702-AVERAGE(L$2:L$2001))/STDEV(L$2:L$2001)</f>
        <v>-0.777063122173208</v>
      </c>
      <c r="AE1702" s="13" t="n">
        <f aca="false">(M1702-AVERAGE(M$2:M$2001))/STDEV(M$2:M$2001)</f>
        <v>-1.07346705790074</v>
      </c>
      <c r="AF1702" s="13" t="n">
        <f aca="false">(N1702-AVERAGE(N$2:N$2001))/STDEV(N$2:N$2001)</f>
        <v>-0.737593786246686</v>
      </c>
      <c r="AG1702" s="13" t="n">
        <f aca="false">(O1702-AVERAGE(O$2:O$2001))/STDEV(O$2:O$2001)</f>
        <v>-0.968733305687048</v>
      </c>
      <c r="AH1702" s="0" t="str">
        <f aca="false">IF(B1702="Company","C3 - Corporate Buyers",IF(AND(H1702="Investment",M1702&gt;'Segmentation Summary'!$C$1),"C1 - Global Investors",IF(AND(I1702&gt;=4,M1702&gt;'Segmentation Summary'!$C$1),"C4 - Luxury Investors",IF(AND(D1702&lt;'Segmentation Summary'!$C$2,J1702=1),"C2 - First-Time Buyers","C5 - Other Individual Buyers"))))</f>
        <v>C5 - Other Individual Buyers</v>
      </c>
    </row>
    <row r="1703" customFormat="false" ht="15" hidden="false" customHeight="true" outlineLevel="0" collapsed="false">
      <c r="A1703" s="13" t="s">
        <v>3400</v>
      </c>
      <c r="B1703" s="13" t="s">
        <v>34</v>
      </c>
      <c r="C1703" s="13" t="s">
        <v>3401</v>
      </c>
      <c r="D1703" s="13" t="n">
        <v>55</v>
      </c>
      <c r="E1703" s="13" t="s">
        <v>90</v>
      </c>
      <c r="F1703" s="13" t="s">
        <v>33</v>
      </c>
      <c r="G1703" s="13" t="s">
        <v>95</v>
      </c>
      <c r="H1703" s="13" t="s">
        <v>43</v>
      </c>
      <c r="I1703" s="13" t="n">
        <v>2</v>
      </c>
      <c r="J1703" s="13" t="n">
        <v>1</v>
      </c>
      <c r="K1703" s="13" t="s">
        <v>85</v>
      </c>
      <c r="L1703" s="13" t="n">
        <v>4</v>
      </c>
      <c r="M1703" s="13" t="n">
        <v>1937061.37</v>
      </c>
      <c r="N1703" s="13" t="n">
        <v>484265.3425</v>
      </c>
      <c r="O1703" s="13" t="n">
        <v>1591.4725</v>
      </c>
      <c r="P1703" s="13" t="n">
        <v>0</v>
      </c>
      <c r="Q1703" s="13" t="n">
        <v>4</v>
      </c>
      <c r="R1703" s="13" t="s">
        <v>124</v>
      </c>
      <c r="S1703" s="13" t="s">
        <v>154</v>
      </c>
      <c r="T1703" s="13" t="n">
        <v>1</v>
      </c>
      <c r="U1703" s="13" t="n">
        <f aca="false">IF(B1703="Individual",1,0)</f>
        <v>1</v>
      </c>
      <c r="V1703" s="13" t="n">
        <f aca="false">IF(B1703="Company",1,0)</f>
        <v>0</v>
      </c>
      <c r="W1703" s="13" t="n">
        <f aca="false">IF(H1703="Home",1,0)</f>
        <v>0</v>
      </c>
      <c r="X1703" s="13" t="n">
        <f aca="false">IF(H1703="Investment",1,0)</f>
        <v>1</v>
      </c>
      <c r="Y1703" s="13" t="n">
        <f aca="false">IF(K1703="Website",1,0)</f>
        <v>1</v>
      </c>
      <c r="Z1703" s="13" t="n">
        <f aca="false">IF(K1703="Agency",1,0)</f>
        <v>0</v>
      </c>
      <c r="AA1703" s="13" t="n">
        <f aca="false">IF(K1703="Client",1,0)</f>
        <v>0</v>
      </c>
      <c r="AB1703" s="13" t="n">
        <f aca="false">(D1703-AVERAGE(D$2:D$2001))/STDEV(D$2:D$2001)</f>
        <v>0.0497626990862745</v>
      </c>
      <c r="AC1703" s="13" t="n">
        <f aca="false">(I1703-AVERAGE(I$2:I$2001))/STDEV(I$2:I$2001)</f>
        <v>-0.727948160798201</v>
      </c>
      <c r="AD1703" s="13" t="n">
        <f aca="false">(L1703-AVERAGE(L$2:L$2001))/STDEV(L$2:L$2001)</f>
        <v>0.413838214490712</v>
      </c>
      <c r="AE1703" s="13" t="n">
        <f aca="false">(M1703-AVERAGE(M$2:M$2001))/STDEV(M$2:M$2001)</f>
        <v>1.94544632778612</v>
      </c>
      <c r="AF1703" s="13" t="n">
        <f aca="false">(N1703-AVERAGE(N$2:N$2001))/STDEV(N$2:N$2001)</f>
        <v>1.96746704348663</v>
      </c>
      <c r="AG1703" s="13" t="n">
        <f aca="false">(O1703-AVERAGE(O$2:O$2001))/STDEV(O$2:O$2001)</f>
        <v>2.01885962757662</v>
      </c>
      <c r="AH1703" s="0" t="str">
        <f aca="false">IF(B1703="Company","C3 - Corporate Buyers",IF(AND(H1703="Investment",M1703&gt;'Segmentation Summary'!$C$1),"C1 - Global Investors",IF(AND(I1703&gt;=4,M1703&gt;'Segmentation Summary'!$C$1),"C4 - Luxury Investors",IF(AND(D1703&lt;'Segmentation Summary'!$C$2,J1703=1),"C2 - First-Time Buyers","C5 - Other Individual Buyers"))))</f>
        <v>C1 - Global Investors</v>
      </c>
    </row>
    <row r="1704" customFormat="false" ht="15" hidden="false" customHeight="true" outlineLevel="0" collapsed="false">
      <c r="A1704" s="13" t="s">
        <v>3402</v>
      </c>
      <c r="B1704" s="13" t="s">
        <v>34</v>
      </c>
      <c r="C1704" s="13" t="s">
        <v>3401</v>
      </c>
      <c r="D1704" s="13" t="n">
        <v>42</v>
      </c>
      <c r="E1704" s="13" t="s">
        <v>90</v>
      </c>
      <c r="F1704" s="13" t="s">
        <v>44</v>
      </c>
      <c r="G1704" s="13" t="s">
        <v>318</v>
      </c>
      <c r="H1704" s="13" t="s">
        <v>41</v>
      </c>
      <c r="I1704" s="13" t="n">
        <v>4</v>
      </c>
      <c r="J1704" s="13" t="n">
        <v>1</v>
      </c>
      <c r="K1704" s="13" t="s">
        <v>91</v>
      </c>
      <c r="L1704" s="13" t="n">
        <v>4</v>
      </c>
      <c r="M1704" s="13" t="n">
        <v>1246198</v>
      </c>
      <c r="N1704" s="13" t="n">
        <v>311549.5</v>
      </c>
      <c r="O1704" s="13" t="n">
        <v>1075.0475</v>
      </c>
      <c r="P1704" s="13" t="n">
        <v>0</v>
      </c>
      <c r="Q1704" s="13" t="n">
        <v>4</v>
      </c>
      <c r="R1704" s="13" t="s">
        <v>117</v>
      </c>
      <c r="S1704" s="13" t="s">
        <v>141</v>
      </c>
      <c r="T1704" s="13" t="n">
        <v>1</v>
      </c>
      <c r="U1704" s="13" t="n">
        <f aca="false">IF(B1704="Individual",1,0)</f>
        <v>1</v>
      </c>
      <c r="V1704" s="13" t="n">
        <f aca="false">IF(B1704="Company",1,0)</f>
        <v>0</v>
      </c>
      <c r="W1704" s="13" t="n">
        <f aca="false">IF(H1704="Home",1,0)</f>
        <v>1</v>
      </c>
      <c r="X1704" s="13" t="n">
        <f aca="false">IF(H1704="Investment",1,0)</f>
        <v>0</v>
      </c>
      <c r="Y1704" s="13" t="n">
        <f aca="false">IF(K1704="Website",1,0)</f>
        <v>0</v>
      </c>
      <c r="Z1704" s="13" t="n">
        <f aca="false">IF(K1704="Agency",1,0)</f>
        <v>1</v>
      </c>
      <c r="AA1704" s="13" t="n">
        <f aca="false">IF(K1704="Client",1,0)</f>
        <v>0</v>
      </c>
      <c r="AB1704" s="13" t="n">
        <f aca="false">(D1704-AVERAGE(D$2:D$2001))/STDEV(D$2:D$2001)</f>
        <v>-0.699849222259691</v>
      </c>
      <c r="AC1704" s="13" t="n">
        <f aca="false">(I1704-AVERAGE(I$2:I$2001))/STDEV(I$2:I$2001)</f>
        <v>0.686917069130275</v>
      </c>
      <c r="AD1704" s="13" t="n">
        <f aca="false">(L1704-AVERAGE(L$2:L$2001))/STDEV(L$2:L$2001)</f>
        <v>0.413838214490712</v>
      </c>
      <c r="AE1704" s="13" t="n">
        <f aca="false">(M1704-AVERAGE(M$2:M$2001))/STDEV(M$2:M$2001)</f>
        <v>-0.0407597197533822</v>
      </c>
      <c r="AF1704" s="13" t="n">
        <f aca="false">(N1704-AVERAGE(N$2:N$2001))/STDEV(N$2:N$2001)</f>
        <v>-0.50974651758166</v>
      </c>
      <c r="AG1704" s="13" t="n">
        <f aca="false">(O1704-AVERAGE(O$2:O$2001))/STDEV(O$2:O$2001)</f>
        <v>-0.32935301914894</v>
      </c>
      <c r="AH1704" s="0" t="str">
        <f aca="false">IF(B1704="Company","C3 - Corporate Buyers",IF(AND(H1704="Investment",M1704&gt;'Segmentation Summary'!$C$1),"C1 - Global Investors",IF(AND(I1704&gt;=4,M1704&gt;'Segmentation Summary'!$C$1),"C4 - Luxury Investors",IF(AND(D1704&lt;'Segmentation Summary'!$C$2,J1704=1),"C2 - First-Time Buyers","C5 - Other Individual Buyers"))))</f>
        <v>C4 - Luxury Investors</v>
      </c>
    </row>
    <row r="1705" customFormat="false" ht="15" hidden="false" customHeight="true" outlineLevel="0" collapsed="false">
      <c r="A1705" s="13" t="s">
        <v>3403</v>
      </c>
      <c r="B1705" s="13" t="s">
        <v>34</v>
      </c>
      <c r="C1705" s="13" t="s">
        <v>3404</v>
      </c>
      <c r="D1705" s="13" t="n">
        <v>31</v>
      </c>
      <c r="E1705" s="13" t="s">
        <v>90</v>
      </c>
      <c r="F1705" s="13" t="s">
        <v>37</v>
      </c>
      <c r="G1705" s="13" t="s">
        <v>676</v>
      </c>
      <c r="H1705" s="13" t="s">
        <v>41</v>
      </c>
      <c r="I1705" s="13" t="n">
        <v>5</v>
      </c>
      <c r="J1705" s="13" t="n">
        <v>0</v>
      </c>
      <c r="K1705" s="13" t="s">
        <v>85</v>
      </c>
      <c r="L1705" s="13" t="n">
        <v>3</v>
      </c>
      <c r="M1705" s="13" t="n">
        <v>829461.56</v>
      </c>
      <c r="N1705" s="13" t="n">
        <v>276487.186666667</v>
      </c>
      <c r="O1705" s="13" t="n">
        <v>899.99</v>
      </c>
      <c r="P1705" s="13" t="n">
        <v>0</v>
      </c>
      <c r="Q1705" s="13" t="n">
        <v>3</v>
      </c>
      <c r="R1705" s="13" t="s">
        <v>98</v>
      </c>
      <c r="S1705" s="13" t="s">
        <v>133</v>
      </c>
      <c r="T1705" s="13" t="n">
        <v>1</v>
      </c>
      <c r="U1705" s="13" t="n">
        <f aca="false">IF(B1705="Individual",1,0)</f>
        <v>1</v>
      </c>
      <c r="V1705" s="13" t="n">
        <f aca="false">IF(B1705="Company",1,0)</f>
        <v>0</v>
      </c>
      <c r="W1705" s="13" t="n">
        <f aca="false">IF(H1705="Home",1,0)</f>
        <v>1</v>
      </c>
      <c r="X1705" s="13" t="n">
        <f aca="false">IF(H1705="Investment",1,0)</f>
        <v>0</v>
      </c>
      <c r="Y1705" s="13" t="n">
        <f aca="false">IF(K1705="Website",1,0)</f>
        <v>1</v>
      </c>
      <c r="Z1705" s="13" t="n">
        <f aca="false">IF(K1705="Agency",1,0)</f>
        <v>0</v>
      </c>
      <c r="AA1705" s="13" t="n">
        <f aca="false">IF(K1705="Client",1,0)</f>
        <v>0</v>
      </c>
      <c r="AB1705" s="13" t="n">
        <f aca="false">(D1705-AVERAGE(D$2:D$2001))/STDEV(D$2:D$2001)</f>
        <v>-1.33413623262935</v>
      </c>
      <c r="AC1705" s="13" t="n">
        <f aca="false">(I1705-AVERAGE(I$2:I$2001))/STDEV(I$2:I$2001)</f>
        <v>1.39434968409451</v>
      </c>
      <c r="AD1705" s="13" t="n">
        <f aca="false">(L1705-AVERAGE(L$2:L$2001))/STDEV(L$2:L$2001)</f>
        <v>-0.777063122173208</v>
      </c>
      <c r="AE1705" s="13" t="n">
        <f aca="false">(M1705-AVERAGE(M$2:M$2001))/STDEV(M$2:M$2001)</f>
        <v>-1.23886121608555</v>
      </c>
      <c r="AF1705" s="13" t="n">
        <f aca="false">(N1705-AVERAGE(N$2:N$2001))/STDEV(N$2:N$2001)</f>
        <v>-1.01263517454871</v>
      </c>
      <c r="AG1705" s="13" t="n">
        <f aca="false">(O1705-AVERAGE(O$2:O$2001))/STDEV(O$2:O$2001)</f>
        <v>-1.12534902128702</v>
      </c>
      <c r="AH1705" s="0" t="str">
        <f aca="false">IF(B1705="Company","C3 - Corporate Buyers",IF(AND(H1705="Investment",M1705&gt;'Segmentation Summary'!$C$1),"C1 - Global Investors",IF(AND(I1705&gt;=4,M1705&gt;'Segmentation Summary'!$C$1),"C4 - Luxury Investors",IF(AND(D1705&lt;'Segmentation Summary'!$C$2,J1705=1),"C2 - First-Time Buyers","C5 - Other Individual Buyers"))))</f>
        <v>C5 - Other Individual Buyers</v>
      </c>
    </row>
    <row r="1706" customFormat="false" ht="15" hidden="false" customHeight="true" outlineLevel="0" collapsed="false">
      <c r="A1706" s="13" t="s">
        <v>3405</v>
      </c>
      <c r="B1706" s="13" t="s">
        <v>34</v>
      </c>
      <c r="C1706" s="13" t="s">
        <v>3406</v>
      </c>
      <c r="D1706" s="13" t="n">
        <v>74</v>
      </c>
      <c r="E1706" s="13" t="s">
        <v>90</v>
      </c>
      <c r="F1706" s="13" t="s">
        <v>33</v>
      </c>
      <c r="G1706" s="13" t="s">
        <v>157</v>
      </c>
      <c r="H1706" s="13" t="s">
        <v>41</v>
      </c>
      <c r="I1706" s="13" t="n">
        <v>3</v>
      </c>
      <c r="J1706" s="13" t="n">
        <v>0</v>
      </c>
      <c r="K1706" s="13" t="s">
        <v>116</v>
      </c>
      <c r="L1706" s="13" t="n">
        <v>4</v>
      </c>
      <c r="M1706" s="13" t="n">
        <v>1183422.85</v>
      </c>
      <c r="N1706" s="13" t="n">
        <v>295855.7125</v>
      </c>
      <c r="O1706" s="13" t="n">
        <v>1035.1925</v>
      </c>
      <c r="P1706" s="13" t="n">
        <v>0</v>
      </c>
      <c r="Q1706" s="13" t="n">
        <v>4</v>
      </c>
      <c r="R1706" s="13" t="s">
        <v>117</v>
      </c>
      <c r="S1706" s="13" t="s">
        <v>87</v>
      </c>
      <c r="T1706" s="13" t="n">
        <v>1</v>
      </c>
      <c r="U1706" s="13" t="n">
        <f aca="false">IF(B1706="Individual",1,0)</f>
        <v>1</v>
      </c>
      <c r="V1706" s="13" t="n">
        <f aca="false">IF(B1706="Company",1,0)</f>
        <v>0</v>
      </c>
      <c r="W1706" s="13" t="n">
        <f aca="false">IF(H1706="Home",1,0)</f>
        <v>1</v>
      </c>
      <c r="X1706" s="13" t="n">
        <f aca="false">IF(H1706="Investment",1,0)</f>
        <v>0</v>
      </c>
      <c r="Y1706" s="13" t="n">
        <f aca="false">IF(K1706="Website",1,0)</f>
        <v>0</v>
      </c>
      <c r="Z1706" s="13" t="n">
        <f aca="false">IF(K1706="Agency",1,0)</f>
        <v>0</v>
      </c>
      <c r="AA1706" s="13" t="n">
        <f aca="false">IF(K1706="Client",1,0)</f>
        <v>1</v>
      </c>
      <c r="AB1706" s="13" t="n">
        <f aca="false">(D1706-AVERAGE(D$2:D$2001))/STDEV(D$2:D$2001)</f>
        <v>1.14534935336115</v>
      </c>
      <c r="AC1706" s="13" t="n">
        <f aca="false">(I1706-AVERAGE(I$2:I$2001))/STDEV(I$2:I$2001)</f>
        <v>-0.0205155458339628</v>
      </c>
      <c r="AD1706" s="13" t="n">
        <f aca="false">(L1706-AVERAGE(L$2:L$2001))/STDEV(L$2:L$2001)</f>
        <v>0.413838214490712</v>
      </c>
      <c r="AE1706" s="13" t="n">
        <f aca="false">(M1706-AVERAGE(M$2:M$2001))/STDEV(M$2:M$2001)</f>
        <v>-0.22123590068797</v>
      </c>
      <c r="AF1706" s="13" t="n">
        <f aca="false">(N1706-AVERAGE(N$2:N$2001))/STDEV(N$2:N$2001)</f>
        <v>-0.734837989543903</v>
      </c>
      <c r="AG1706" s="13" t="n">
        <f aca="false">(O1706-AVERAGE(O$2:O$2001))/STDEV(O$2:O$2001)</f>
        <v>-0.510575878296438</v>
      </c>
      <c r="AH1706" s="0" t="str">
        <f aca="false">IF(B1706="Company","C3 - Corporate Buyers",IF(AND(H1706="Investment",M1706&gt;'Segmentation Summary'!$C$1),"C1 - Global Investors",IF(AND(I1706&gt;=4,M1706&gt;'Segmentation Summary'!$C$1),"C4 - Luxury Investors",IF(AND(D1706&lt;'Segmentation Summary'!$C$2,J1706=1),"C2 - First-Time Buyers","C5 - Other Individual Buyers"))))</f>
        <v>C5 - Other Individual Buyers</v>
      </c>
    </row>
    <row r="1707" customFormat="false" ht="15" hidden="false" customHeight="true" outlineLevel="0" collapsed="false">
      <c r="A1707" s="13" t="s">
        <v>3407</v>
      </c>
      <c r="B1707" s="13" t="s">
        <v>34</v>
      </c>
      <c r="C1707" s="13" t="s">
        <v>3408</v>
      </c>
      <c r="D1707" s="13" t="n">
        <v>70</v>
      </c>
      <c r="E1707" s="13" t="s">
        <v>90</v>
      </c>
      <c r="F1707" s="13" t="s">
        <v>33</v>
      </c>
      <c r="G1707" s="13" t="s">
        <v>162</v>
      </c>
      <c r="H1707" s="13" t="s">
        <v>43</v>
      </c>
      <c r="I1707" s="13" t="n">
        <v>1</v>
      </c>
      <c r="J1707" s="13" t="n">
        <v>0</v>
      </c>
      <c r="K1707" s="13" t="s">
        <v>85</v>
      </c>
      <c r="L1707" s="13" t="n">
        <v>4</v>
      </c>
      <c r="M1707" s="13" t="n">
        <v>1247321.2</v>
      </c>
      <c r="N1707" s="13" t="n">
        <v>311830.3</v>
      </c>
      <c r="O1707" s="13" t="n">
        <v>1136.6925</v>
      </c>
      <c r="P1707" s="13" t="n">
        <v>1</v>
      </c>
      <c r="Q1707" s="13" t="n">
        <v>3</v>
      </c>
      <c r="R1707" s="13" t="s">
        <v>101</v>
      </c>
      <c r="S1707" s="13" t="s">
        <v>133</v>
      </c>
      <c r="T1707" s="13" t="n">
        <v>1</v>
      </c>
      <c r="U1707" s="13" t="n">
        <f aca="false">IF(B1707="Individual",1,0)</f>
        <v>1</v>
      </c>
      <c r="V1707" s="13" t="n">
        <f aca="false">IF(B1707="Company",1,0)</f>
        <v>0</v>
      </c>
      <c r="W1707" s="13" t="n">
        <f aca="false">IF(H1707="Home",1,0)</f>
        <v>0</v>
      </c>
      <c r="X1707" s="13" t="n">
        <f aca="false">IF(H1707="Investment",1,0)</f>
        <v>1</v>
      </c>
      <c r="Y1707" s="13" t="n">
        <f aca="false">IF(K1707="Website",1,0)</f>
        <v>1</v>
      </c>
      <c r="Z1707" s="13" t="n">
        <f aca="false">IF(K1707="Agency",1,0)</f>
        <v>0</v>
      </c>
      <c r="AA1707" s="13" t="n">
        <f aca="false">IF(K1707="Client",1,0)</f>
        <v>0</v>
      </c>
      <c r="AB1707" s="13" t="n">
        <f aca="false">(D1707-AVERAGE(D$2:D$2001))/STDEV(D$2:D$2001)</f>
        <v>0.914699531408543</v>
      </c>
      <c r="AC1707" s="13" t="n">
        <f aca="false">(I1707-AVERAGE(I$2:I$2001))/STDEV(I$2:I$2001)</f>
        <v>-1.43538077576244</v>
      </c>
      <c r="AD1707" s="13" t="n">
        <f aca="false">(L1707-AVERAGE(L$2:L$2001))/STDEV(L$2:L$2001)</f>
        <v>0.413838214490712</v>
      </c>
      <c r="AE1707" s="13" t="n">
        <f aca="false">(M1707-AVERAGE(M$2:M$2001))/STDEV(M$2:M$2001)</f>
        <v>-0.0375305622535479</v>
      </c>
      <c r="AF1707" s="13" t="n">
        <f aca="false">(N1707-AVERAGE(N$2:N$2001))/STDEV(N$2:N$2001)</f>
        <v>-0.505719084093919</v>
      </c>
      <c r="AG1707" s="13" t="n">
        <f aca="false">(O1707-AVERAGE(O$2:O$2001))/STDEV(O$2:O$2001)</f>
        <v>-0.0490498413256409</v>
      </c>
      <c r="AH1707" s="0" t="str">
        <f aca="false">IF(B1707="Company","C3 - Corporate Buyers",IF(AND(H1707="Investment",M1707&gt;'Segmentation Summary'!$C$1),"C1 - Global Investors",IF(AND(I1707&gt;=4,M1707&gt;'Segmentation Summary'!$C$1),"C4 - Luxury Investors",IF(AND(D1707&lt;'Segmentation Summary'!$C$2,J1707=1),"C2 - First-Time Buyers","C5 - Other Individual Buyers"))))</f>
        <v>C1 - Global Investors</v>
      </c>
    </row>
    <row r="1708" customFormat="false" ht="15" hidden="false" customHeight="true" outlineLevel="0" collapsed="false">
      <c r="A1708" s="13" t="s">
        <v>3409</v>
      </c>
      <c r="B1708" s="13" t="s">
        <v>34</v>
      </c>
      <c r="C1708" s="13" t="s">
        <v>3410</v>
      </c>
      <c r="D1708" s="13" t="n">
        <v>59</v>
      </c>
      <c r="E1708" s="13" t="s">
        <v>90</v>
      </c>
      <c r="F1708" s="13" t="s">
        <v>33</v>
      </c>
      <c r="G1708" s="13" t="s">
        <v>106</v>
      </c>
      <c r="H1708" s="13" t="s">
        <v>41</v>
      </c>
      <c r="I1708" s="13" t="n">
        <v>2</v>
      </c>
      <c r="J1708" s="13" t="n">
        <v>1</v>
      </c>
      <c r="K1708" s="13" t="s">
        <v>85</v>
      </c>
      <c r="L1708" s="13" t="n">
        <v>4</v>
      </c>
      <c r="M1708" s="13" t="n">
        <v>1176467.77</v>
      </c>
      <c r="N1708" s="13" t="n">
        <v>294116.9425</v>
      </c>
      <c r="O1708" s="13" t="n">
        <v>1025.3225</v>
      </c>
      <c r="P1708" s="13" t="n">
        <v>1</v>
      </c>
      <c r="Q1708" s="13" t="n">
        <v>3</v>
      </c>
      <c r="R1708" s="13" t="s">
        <v>98</v>
      </c>
      <c r="S1708" s="13" t="s">
        <v>125</v>
      </c>
      <c r="T1708" s="13" t="n">
        <v>1</v>
      </c>
      <c r="U1708" s="13" t="n">
        <f aca="false">IF(B1708="Individual",1,0)</f>
        <v>1</v>
      </c>
      <c r="V1708" s="13" t="n">
        <f aca="false">IF(B1708="Company",1,0)</f>
        <v>0</v>
      </c>
      <c r="W1708" s="13" t="n">
        <f aca="false">IF(H1708="Home",1,0)</f>
        <v>1</v>
      </c>
      <c r="X1708" s="13" t="n">
        <f aca="false">IF(H1708="Investment",1,0)</f>
        <v>0</v>
      </c>
      <c r="Y1708" s="13" t="n">
        <f aca="false">IF(K1708="Website",1,0)</f>
        <v>1</v>
      </c>
      <c r="Z1708" s="13" t="n">
        <f aca="false">IF(K1708="Agency",1,0)</f>
        <v>0</v>
      </c>
      <c r="AA1708" s="13" t="n">
        <f aca="false">IF(K1708="Client",1,0)</f>
        <v>0</v>
      </c>
      <c r="AB1708" s="13" t="n">
        <f aca="false">(D1708-AVERAGE(D$2:D$2001))/STDEV(D$2:D$2001)</f>
        <v>0.280412521038879</v>
      </c>
      <c r="AC1708" s="13" t="n">
        <f aca="false">(I1708-AVERAGE(I$2:I$2001))/STDEV(I$2:I$2001)</f>
        <v>-0.727948160798201</v>
      </c>
      <c r="AD1708" s="13" t="n">
        <f aca="false">(L1708-AVERAGE(L$2:L$2001))/STDEV(L$2:L$2001)</f>
        <v>0.413838214490712</v>
      </c>
      <c r="AE1708" s="13" t="n">
        <f aca="false">(M1708-AVERAGE(M$2:M$2001))/STDEV(M$2:M$2001)</f>
        <v>-0.241231492518409</v>
      </c>
      <c r="AF1708" s="13" t="n">
        <f aca="false">(N1708-AVERAGE(N$2:N$2001))/STDEV(N$2:N$2001)</f>
        <v>-0.759776666628946</v>
      </c>
      <c r="AG1708" s="13" t="n">
        <f aca="false">(O1708-AVERAGE(O$2:O$2001))/STDEV(O$2:O$2001)</f>
        <v>-0.555455306719116</v>
      </c>
      <c r="AH1708" s="0" t="str">
        <f aca="false">IF(B1708="Company","C3 - Corporate Buyers",IF(AND(H1708="Investment",M1708&gt;'Segmentation Summary'!$C$1),"C1 - Global Investors",IF(AND(I1708&gt;=4,M1708&gt;'Segmentation Summary'!$C$1),"C4 - Luxury Investors",IF(AND(D1708&lt;'Segmentation Summary'!$C$2,J1708=1),"C2 - First-Time Buyers","C5 - Other Individual Buyers"))))</f>
        <v>C5 - Other Individual Buyers</v>
      </c>
    </row>
    <row r="1709" customFormat="false" ht="15" hidden="false" customHeight="true" outlineLevel="0" collapsed="false">
      <c r="A1709" s="13" t="s">
        <v>3411</v>
      </c>
      <c r="B1709" s="13" t="s">
        <v>34</v>
      </c>
      <c r="C1709" s="13" t="s">
        <v>3412</v>
      </c>
      <c r="D1709" s="13" t="n">
        <v>57</v>
      </c>
      <c r="E1709" s="13" t="s">
        <v>83</v>
      </c>
      <c r="F1709" s="13" t="s">
        <v>38</v>
      </c>
      <c r="G1709" s="13" t="s">
        <v>665</v>
      </c>
      <c r="H1709" s="13" t="s">
        <v>41</v>
      </c>
      <c r="I1709" s="13" t="n">
        <v>1</v>
      </c>
      <c r="J1709" s="13" t="n">
        <v>1</v>
      </c>
      <c r="K1709" s="13" t="s">
        <v>91</v>
      </c>
      <c r="L1709" s="13" t="n">
        <v>4</v>
      </c>
      <c r="M1709" s="13" t="n">
        <v>1740983.97</v>
      </c>
      <c r="N1709" s="13" t="n">
        <v>435245.9925</v>
      </c>
      <c r="O1709" s="13" t="n">
        <v>1564.0775</v>
      </c>
      <c r="P1709" s="13" t="n">
        <v>0</v>
      </c>
      <c r="Q1709" s="13" t="n">
        <v>4</v>
      </c>
      <c r="R1709" s="13" t="s">
        <v>98</v>
      </c>
      <c r="S1709" s="13" t="s">
        <v>93</v>
      </c>
      <c r="T1709" s="13" t="n">
        <v>1</v>
      </c>
      <c r="U1709" s="13" t="n">
        <f aca="false">IF(B1709="Individual",1,0)</f>
        <v>1</v>
      </c>
      <c r="V1709" s="13" t="n">
        <f aca="false">IF(B1709="Company",1,0)</f>
        <v>0</v>
      </c>
      <c r="W1709" s="13" t="n">
        <f aca="false">IF(H1709="Home",1,0)</f>
        <v>1</v>
      </c>
      <c r="X1709" s="13" t="n">
        <f aca="false">IF(H1709="Investment",1,0)</f>
        <v>0</v>
      </c>
      <c r="Y1709" s="13" t="n">
        <f aca="false">IF(K1709="Website",1,0)</f>
        <v>0</v>
      </c>
      <c r="Z1709" s="13" t="n">
        <f aca="false">IF(K1709="Agency",1,0)</f>
        <v>1</v>
      </c>
      <c r="AA1709" s="13" t="n">
        <f aca="false">IF(K1709="Client",1,0)</f>
        <v>0</v>
      </c>
      <c r="AB1709" s="13" t="n">
        <f aca="false">(D1709-AVERAGE(D$2:D$2001))/STDEV(D$2:D$2001)</f>
        <v>0.165087610062577</v>
      </c>
      <c r="AC1709" s="13" t="n">
        <f aca="false">(I1709-AVERAGE(I$2:I$2001))/STDEV(I$2:I$2001)</f>
        <v>-1.43538077576244</v>
      </c>
      <c r="AD1709" s="13" t="n">
        <f aca="false">(L1709-AVERAGE(L$2:L$2001))/STDEV(L$2:L$2001)</f>
        <v>0.413838214490712</v>
      </c>
      <c r="AE1709" s="13" t="n">
        <f aca="false">(M1709-AVERAGE(M$2:M$2001))/STDEV(M$2:M$2001)</f>
        <v>1.38173122205426</v>
      </c>
      <c r="AF1709" s="13" t="n">
        <f aca="false">(N1709-AVERAGE(N$2:N$2001))/STDEV(N$2:N$2001)</f>
        <v>1.26439663131669</v>
      </c>
      <c r="AG1709" s="13" t="n">
        <f aca="false">(O1709-AVERAGE(O$2:O$2001))/STDEV(O$2:O$2001)</f>
        <v>1.89429306814002</v>
      </c>
      <c r="AH1709" s="0" t="str">
        <f aca="false">IF(B1709="Company","C3 - Corporate Buyers",IF(AND(H1709="Investment",M1709&gt;'Segmentation Summary'!$C$1),"C1 - Global Investors",IF(AND(I1709&gt;=4,M1709&gt;'Segmentation Summary'!$C$1),"C4 - Luxury Investors",IF(AND(D1709&lt;'Segmentation Summary'!$C$2,J1709=1),"C2 - First-Time Buyers","C5 - Other Individual Buyers"))))</f>
        <v>C5 - Other Individual Buyers</v>
      </c>
    </row>
    <row r="1710" customFormat="false" ht="15" hidden="false" customHeight="true" outlineLevel="0" collapsed="false">
      <c r="A1710" s="13" t="s">
        <v>3413</v>
      </c>
      <c r="B1710" s="13" t="s">
        <v>34</v>
      </c>
      <c r="C1710" s="13" t="s">
        <v>3412</v>
      </c>
      <c r="D1710" s="13" t="n">
        <v>79</v>
      </c>
      <c r="E1710" s="13" t="s">
        <v>83</v>
      </c>
      <c r="F1710" s="13" t="s">
        <v>33</v>
      </c>
      <c r="G1710" s="13" t="s">
        <v>95</v>
      </c>
      <c r="H1710" s="13" t="s">
        <v>43</v>
      </c>
      <c r="I1710" s="13" t="n">
        <v>4</v>
      </c>
      <c r="J1710" s="13" t="n">
        <v>0</v>
      </c>
      <c r="K1710" s="13" t="s">
        <v>85</v>
      </c>
      <c r="L1710" s="13" t="n">
        <v>3</v>
      </c>
      <c r="M1710" s="13" t="n">
        <v>962066.42</v>
      </c>
      <c r="N1710" s="13" t="n">
        <v>320688.806666667</v>
      </c>
      <c r="O1710" s="13" t="n">
        <v>880.66</v>
      </c>
      <c r="P1710" s="13" t="n">
        <v>0</v>
      </c>
      <c r="Q1710" s="13" t="n">
        <v>3</v>
      </c>
      <c r="R1710" s="13" t="s">
        <v>111</v>
      </c>
      <c r="S1710" s="13" t="s">
        <v>87</v>
      </c>
      <c r="T1710" s="13" t="n">
        <v>1</v>
      </c>
      <c r="U1710" s="13" t="n">
        <f aca="false">IF(B1710="Individual",1,0)</f>
        <v>1</v>
      </c>
      <c r="V1710" s="13" t="n">
        <f aca="false">IF(B1710="Company",1,0)</f>
        <v>0</v>
      </c>
      <c r="W1710" s="13" t="n">
        <f aca="false">IF(H1710="Home",1,0)</f>
        <v>0</v>
      </c>
      <c r="X1710" s="13" t="n">
        <f aca="false">IF(H1710="Investment",1,0)</f>
        <v>1</v>
      </c>
      <c r="Y1710" s="13" t="n">
        <f aca="false">IF(K1710="Website",1,0)</f>
        <v>1</v>
      </c>
      <c r="Z1710" s="13" t="n">
        <f aca="false">IF(K1710="Agency",1,0)</f>
        <v>0</v>
      </c>
      <c r="AA1710" s="13" t="n">
        <f aca="false">IF(K1710="Client",1,0)</f>
        <v>0</v>
      </c>
      <c r="AB1710" s="13" t="n">
        <f aca="false">(D1710-AVERAGE(D$2:D$2001))/STDEV(D$2:D$2001)</f>
        <v>1.4336616308019</v>
      </c>
      <c r="AC1710" s="13" t="n">
        <f aca="false">(I1710-AVERAGE(I$2:I$2001))/STDEV(I$2:I$2001)</f>
        <v>0.686917069130275</v>
      </c>
      <c r="AD1710" s="13" t="n">
        <f aca="false">(L1710-AVERAGE(L$2:L$2001))/STDEV(L$2:L$2001)</f>
        <v>-0.777063122173208</v>
      </c>
      <c r="AE1710" s="13" t="n">
        <f aca="false">(M1710-AVERAGE(M$2:M$2001))/STDEV(M$2:M$2001)</f>
        <v>-0.857627261150104</v>
      </c>
      <c r="AF1710" s="13" t="n">
        <f aca="false">(N1710-AVERAGE(N$2:N$2001))/STDEV(N$2:N$2001)</f>
        <v>-0.378664075544362</v>
      </c>
      <c r="AG1710" s="13" t="n">
        <f aca="false">(O1710-AVERAGE(O$2:O$2001))/STDEV(O$2:O$2001)</f>
        <v>-1.21324358576629</v>
      </c>
      <c r="AH1710" s="0" t="str">
        <f aca="false">IF(B1710="Company","C3 - Corporate Buyers",IF(AND(H1710="Investment",M1710&gt;'Segmentation Summary'!$C$1),"C1 - Global Investors",IF(AND(I1710&gt;=4,M1710&gt;'Segmentation Summary'!$C$1),"C4 - Luxury Investors",IF(AND(D1710&lt;'Segmentation Summary'!$C$2,J1710=1),"C2 - First-Time Buyers","C5 - Other Individual Buyers"))))</f>
        <v>C5 - Other Individual Buyers</v>
      </c>
    </row>
    <row r="1711" customFormat="false" ht="15" hidden="false" customHeight="true" outlineLevel="0" collapsed="false">
      <c r="A1711" s="13" t="s">
        <v>3414</v>
      </c>
      <c r="B1711" s="13" t="s">
        <v>34</v>
      </c>
      <c r="C1711" s="13" t="s">
        <v>3415</v>
      </c>
      <c r="D1711" s="13" t="n">
        <v>66</v>
      </c>
      <c r="E1711" s="13" t="s">
        <v>83</v>
      </c>
      <c r="F1711" s="13" t="s">
        <v>33</v>
      </c>
      <c r="G1711" s="13" t="s">
        <v>95</v>
      </c>
      <c r="H1711" s="13" t="s">
        <v>41</v>
      </c>
      <c r="I1711" s="13" t="n">
        <v>3</v>
      </c>
      <c r="J1711" s="13" t="n">
        <v>0</v>
      </c>
      <c r="K1711" s="13" t="s">
        <v>91</v>
      </c>
      <c r="L1711" s="13" t="n">
        <v>7</v>
      </c>
      <c r="M1711" s="13" t="n">
        <v>2582959.87</v>
      </c>
      <c r="N1711" s="13" t="n">
        <v>368994.267142857</v>
      </c>
      <c r="O1711" s="13" t="n">
        <v>1162.73857142857</v>
      </c>
      <c r="P1711" s="13" t="n">
        <v>1</v>
      </c>
      <c r="Q1711" s="13" t="n">
        <v>6</v>
      </c>
      <c r="R1711" s="13" t="s">
        <v>101</v>
      </c>
      <c r="S1711" s="13" t="s">
        <v>87</v>
      </c>
      <c r="T1711" s="13" t="n">
        <v>1</v>
      </c>
      <c r="U1711" s="13" t="n">
        <f aca="false">IF(B1711="Individual",1,0)</f>
        <v>1</v>
      </c>
      <c r="V1711" s="13" t="n">
        <f aca="false">IF(B1711="Company",1,0)</f>
        <v>0</v>
      </c>
      <c r="W1711" s="13" t="n">
        <f aca="false">IF(H1711="Home",1,0)</f>
        <v>1</v>
      </c>
      <c r="X1711" s="13" t="n">
        <f aca="false">IF(H1711="Investment",1,0)</f>
        <v>0</v>
      </c>
      <c r="Y1711" s="13" t="n">
        <f aca="false">IF(K1711="Website",1,0)</f>
        <v>0</v>
      </c>
      <c r="Z1711" s="13" t="n">
        <f aca="false">IF(K1711="Agency",1,0)</f>
        <v>1</v>
      </c>
      <c r="AA1711" s="13" t="n">
        <f aca="false">IF(K1711="Client",1,0)</f>
        <v>0</v>
      </c>
      <c r="AB1711" s="13" t="n">
        <f aca="false">(D1711-AVERAGE(D$2:D$2001))/STDEV(D$2:D$2001)</f>
        <v>0.684049709455938</v>
      </c>
      <c r="AC1711" s="13" t="n">
        <f aca="false">(I1711-AVERAGE(I$2:I$2001))/STDEV(I$2:I$2001)</f>
        <v>-0.0205155458339628</v>
      </c>
      <c r="AD1711" s="13" t="n">
        <f aca="false">(L1711-AVERAGE(L$2:L$2001))/STDEV(L$2:L$2001)</f>
        <v>3.98654222448247</v>
      </c>
      <c r="AE1711" s="13" t="n">
        <f aca="false">(M1711-AVERAGE(M$2:M$2001))/STDEV(M$2:M$2001)</f>
        <v>3.80238007547735</v>
      </c>
      <c r="AF1711" s="13" t="n">
        <f aca="false">(N1711-AVERAGE(N$2:N$2001))/STDEV(N$2:N$2001)</f>
        <v>0.314167224892169</v>
      </c>
      <c r="AG1711" s="13" t="n">
        <f aca="false">(O1711-AVERAGE(O$2:O$2001))/STDEV(O$2:O$2001)</f>
        <v>0.0693830663106756</v>
      </c>
      <c r="AH1711" s="0" t="str">
        <f aca="false">IF(B1711="Company","C3 - Corporate Buyers",IF(AND(H1711="Investment",M1711&gt;'Segmentation Summary'!$C$1),"C1 - Global Investors",IF(AND(I1711&gt;=4,M1711&gt;'Segmentation Summary'!$C$1),"C4 - Luxury Investors",IF(AND(D1711&lt;'Segmentation Summary'!$C$2,J1711=1),"C2 - First-Time Buyers","C5 - Other Individual Buyers"))))</f>
        <v>C5 - Other Individual Buyers</v>
      </c>
    </row>
    <row r="1712" customFormat="false" ht="15" hidden="false" customHeight="true" outlineLevel="0" collapsed="false">
      <c r="A1712" s="13" t="s">
        <v>3416</v>
      </c>
      <c r="B1712" s="13" t="s">
        <v>34</v>
      </c>
      <c r="C1712" s="13" t="s">
        <v>3417</v>
      </c>
      <c r="D1712" s="13" t="n">
        <v>70</v>
      </c>
      <c r="E1712" s="13" t="s">
        <v>83</v>
      </c>
      <c r="F1712" s="13" t="s">
        <v>33</v>
      </c>
      <c r="G1712" s="13" t="s">
        <v>95</v>
      </c>
      <c r="H1712" s="13" t="s">
        <v>41</v>
      </c>
      <c r="I1712" s="13" t="n">
        <v>2</v>
      </c>
      <c r="J1712" s="13" t="n">
        <v>1</v>
      </c>
      <c r="K1712" s="13" t="s">
        <v>85</v>
      </c>
      <c r="L1712" s="13" t="n">
        <v>3</v>
      </c>
      <c r="M1712" s="13" t="n">
        <v>530494.44</v>
      </c>
      <c r="N1712" s="13" t="n">
        <v>176831.48</v>
      </c>
      <c r="O1712" s="13" t="n">
        <v>610.62</v>
      </c>
      <c r="P1712" s="13" t="n">
        <v>0</v>
      </c>
      <c r="Q1712" s="13" t="n">
        <v>3</v>
      </c>
      <c r="R1712" s="13" t="s">
        <v>92</v>
      </c>
      <c r="S1712" s="13" t="s">
        <v>124</v>
      </c>
      <c r="T1712" s="13" t="n">
        <v>1</v>
      </c>
      <c r="U1712" s="13" t="n">
        <f aca="false">IF(B1712="Individual",1,0)</f>
        <v>1</v>
      </c>
      <c r="V1712" s="13" t="n">
        <f aca="false">IF(B1712="Company",1,0)</f>
        <v>0</v>
      </c>
      <c r="W1712" s="13" t="n">
        <f aca="false">IF(H1712="Home",1,0)</f>
        <v>1</v>
      </c>
      <c r="X1712" s="13" t="n">
        <f aca="false">IF(H1712="Investment",1,0)</f>
        <v>0</v>
      </c>
      <c r="Y1712" s="13" t="n">
        <f aca="false">IF(K1712="Website",1,0)</f>
        <v>1</v>
      </c>
      <c r="Z1712" s="13" t="n">
        <f aca="false">IF(K1712="Agency",1,0)</f>
        <v>0</v>
      </c>
      <c r="AA1712" s="13" t="n">
        <f aca="false">IF(K1712="Client",1,0)</f>
        <v>0</v>
      </c>
      <c r="AB1712" s="13" t="n">
        <f aca="false">(D1712-AVERAGE(D$2:D$2001))/STDEV(D$2:D$2001)</f>
        <v>0.914699531408543</v>
      </c>
      <c r="AC1712" s="13" t="n">
        <f aca="false">(I1712-AVERAGE(I$2:I$2001))/STDEV(I$2:I$2001)</f>
        <v>-0.727948160798201</v>
      </c>
      <c r="AD1712" s="13" t="n">
        <f aca="false">(L1712-AVERAGE(L$2:L$2001))/STDEV(L$2:L$2001)</f>
        <v>-0.777063122173208</v>
      </c>
      <c r="AE1712" s="13" t="n">
        <f aca="false">(M1712-AVERAGE(M$2:M$2001))/STDEV(M$2:M$2001)</f>
        <v>-2.09838037362819</v>
      </c>
      <c r="AF1712" s="13" t="n">
        <f aca="false">(N1712-AVERAGE(N$2:N$2001))/STDEV(N$2:N$2001)</f>
        <v>-2.44196825956962</v>
      </c>
      <c r="AG1712" s="13" t="n">
        <f aca="false">(O1712-AVERAGE(O$2:O$2001))/STDEV(O$2:O$2001)</f>
        <v>-2.44113019683618</v>
      </c>
      <c r="AH1712" s="0" t="str">
        <f aca="false">IF(B1712="Company","C3 - Corporate Buyers",IF(AND(H1712="Investment",M1712&gt;'Segmentation Summary'!$C$1),"C1 - Global Investors",IF(AND(I1712&gt;=4,M1712&gt;'Segmentation Summary'!$C$1),"C4 - Luxury Investors",IF(AND(D1712&lt;'Segmentation Summary'!$C$2,J1712=1),"C2 - First-Time Buyers","C5 - Other Individual Buyers"))))</f>
        <v>C5 - Other Individual Buyers</v>
      </c>
    </row>
    <row r="1713" customFormat="false" ht="15" hidden="false" customHeight="true" outlineLevel="0" collapsed="false">
      <c r="A1713" s="13" t="s">
        <v>3418</v>
      </c>
      <c r="B1713" s="13" t="s">
        <v>34</v>
      </c>
      <c r="C1713" s="13" t="s">
        <v>3419</v>
      </c>
      <c r="D1713" s="13" t="n">
        <v>83</v>
      </c>
      <c r="E1713" s="13" t="s">
        <v>83</v>
      </c>
      <c r="F1713" s="13" t="s">
        <v>40</v>
      </c>
      <c r="G1713" s="13" t="s">
        <v>235</v>
      </c>
      <c r="H1713" s="13" t="s">
        <v>41</v>
      </c>
      <c r="I1713" s="13" t="n">
        <v>1</v>
      </c>
      <c r="J1713" s="13" t="n">
        <v>1</v>
      </c>
      <c r="K1713" s="13" t="s">
        <v>85</v>
      </c>
      <c r="L1713" s="13" t="n">
        <v>3</v>
      </c>
      <c r="M1713" s="13" t="n">
        <v>778830.8</v>
      </c>
      <c r="N1713" s="13" t="n">
        <v>259610.266666667</v>
      </c>
      <c r="O1713" s="13" t="n">
        <v>899.62</v>
      </c>
      <c r="P1713" s="13" t="n">
        <v>0</v>
      </c>
      <c r="Q1713" s="13" t="n">
        <v>3</v>
      </c>
      <c r="R1713" s="13" t="s">
        <v>121</v>
      </c>
      <c r="S1713" s="13" t="s">
        <v>141</v>
      </c>
      <c r="T1713" s="13" t="n">
        <v>1</v>
      </c>
      <c r="U1713" s="13" t="n">
        <f aca="false">IF(B1713="Individual",1,0)</f>
        <v>1</v>
      </c>
      <c r="V1713" s="13" t="n">
        <f aca="false">IF(B1713="Company",1,0)</f>
        <v>0</v>
      </c>
      <c r="W1713" s="13" t="n">
        <f aca="false">IF(H1713="Home",1,0)</f>
        <v>1</v>
      </c>
      <c r="X1713" s="13" t="n">
        <f aca="false">IF(H1713="Investment",1,0)</f>
        <v>0</v>
      </c>
      <c r="Y1713" s="13" t="n">
        <f aca="false">IF(K1713="Website",1,0)</f>
        <v>1</v>
      </c>
      <c r="Z1713" s="13" t="n">
        <f aca="false">IF(K1713="Agency",1,0)</f>
        <v>0</v>
      </c>
      <c r="AA1713" s="13" t="n">
        <f aca="false">IF(K1713="Client",1,0)</f>
        <v>0</v>
      </c>
      <c r="AB1713" s="13" t="n">
        <f aca="false">(D1713-AVERAGE(D$2:D$2001))/STDEV(D$2:D$2001)</f>
        <v>1.66431145275451</v>
      </c>
      <c r="AC1713" s="13" t="n">
        <f aca="false">(I1713-AVERAGE(I$2:I$2001))/STDEV(I$2:I$2001)</f>
        <v>-1.43538077576244</v>
      </c>
      <c r="AD1713" s="13" t="n">
        <f aca="false">(L1713-AVERAGE(L$2:L$2001))/STDEV(L$2:L$2001)</f>
        <v>-0.777063122173208</v>
      </c>
      <c r="AE1713" s="13" t="n">
        <f aca="false">(M1713-AVERAGE(M$2:M$2001))/STDEV(M$2:M$2001)</f>
        <v>-1.38442273529523</v>
      </c>
      <c r="AF1713" s="13" t="n">
        <f aca="false">(N1713-AVERAGE(N$2:N$2001))/STDEV(N$2:N$2001)</f>
        <v>-1.25469597503993</v>
      </c>
      <c r="AG1713" s="13" t="n">
        <f aca="false">(O1713-AVERAGE(O$2:O$2001))/STDEV(O$2:O$2001)</f>
        <v>-1.12703143147105</v>
      </c>
      <c r="AH1713" s="0" t="str">
        <f aca="false">IF(B1713="Company","C3 - Corporate Buyers",IF(AND(H1713="Investment",M1713&gt;'Segmentation Summary'!$C$1),"C1 - Global Investors",IF(AND(I1713&gt;=4,M1713&gt;'Segmentation Summary'!$C$1),"C4 - Luxury Investors",IF(AND(D1713&lt;'Segmentation Summary'!$C$2,J1713=1),"C2 - First-Time Buyers","C5 - Other Individual Buyers"))))</f>
        <v>C5 - Other Individual Buyers</v>
      </c>
    </row>
    <row r="1714" customFormat="false" ht="15" hidden="false" customHeight="true" outlineLevel="0" collapsed="false">
      <c r="A1714" s="13" t="s">
        <v>3420</v>
      </c>
      <c r="B1714" s="13" t="s">
        <v>34</v>
      </c>
      <c r="C1714" s="13" t="s">
        <v>3421</v>
      </c>
      <c r="D1714" s="13" t="n">
        <v>26</v>
      </c>
      <c r="E1714" s="13" t="s">
        <v>83</v>
      </c>
      <c r="F1714" s="13" t="s">
        <v>47</v>
      </c>
      <c r="G1714" s="13" t="s">
        <v>2880</v>
      </c>
      <c r="H1714" s="13" t="s">
        <v>41</v>
      </c>
      <c r="I1714" s="13" t="n">
        <v>2</v>
      </c>
      <c r="J1714" s="13" t="n">
        <v>1</v>
      </c>
      <c r="K1714" s="13" t="s">
        <v>91</v>
      </c>
      <c r="L1714" s="13" t="n">
        <v>4</v>
      </c>
      <c r="M1714" s="13" t="n">
        <v>1608368.22</v>
      </c>
      <c r="N1714" s="13" t="n">
        <v>402092.055</v>
      </c>
      <c r="O1714" s="13" t="n">
        <v>1400.6975</v>
      </c>
      <c r="P1714" s="13" t="n">
        <v>1</v>
      </c>
      <c r="Q1714" s="13" t="n">
        <v>3</v>
      </c>
      <c r="R1714" s="13" t="s">
        <v>98</v>
      </c>
      <c r="S1714" s="13" t="s">
        <v>107</v>
      </c>
      <c r="T1714" s="13" t="n">
        <v>1</v>
      </c>
      <c r="U1714" s="13" t="n">
        <f aca="false">IF(B1714="Individual",1,0)</f>
        <v>1</v>
      </c>
      <c r="V1714" s="13" t="n">
        <f aca="false">IF(B1714="Company",1,0)</f>
        <v>0</v>
      </c>
      <c r="W1714" s="13" t="n">
        <f aca="false">IF(H1714="Home",1,0)</f>
        <v>1</v>
      </c>
      <c r="X1714" s="13" t="n">
        <f aca="false">IF(H1714="Investment",1,0)</f>
        <v>0</v>
      </c>
      <c r="Y1714" s="13" t="n">
        <f aca="false">IF(K1714="Website",1,0)</f>
        <v>0</v>
      </c>
      <c r="Z1714" s="13" t="n">
        <f aca="false">IF(K1714="Agency",1,0)</f>
        <v>1</v>
      </c>
      <c r="AA1714" s="13" t="n">
        <f aca="false">IF(K1714="Client",1,0)</f>
        <v>0</v>
      </c>
      <c r="AB1714" s="13" t="n">
        <f aca="false">(D1714-AVERAGE(D$2:D$2001))/STDEV(D$2:D$2001)</f>
        <v>-1.62244851007011</v>
      </c>
      <c r="AC1714" s="13" t="n">
        <f aca="false">(I1714-AVERAGE(I$2:I$2001))/STDEV(I$2:I$2001)</f>
        <v>-0.727948160798201</v>
      </c>
      <c r="AD1714" s="13" t="n">
        <f aca="false">(L1714-AVERAGE(L$2:L$2001))/STDEV(L$2:L$2001)</f>
        <v>0.413838214490712</v>
      </c>
      <c r="AE1714" s="13" t="n">
        <f aca="false">(M1714-AVERAGE(M$2:M$2001))/STDEV(M$2:M$2001)</f>
        <v>1.00046595878087</v>
      </c>
      <c r="AF1714" s="13" t="n">
        <f aca="false">(N1714-AVERAGE(N$2:N$2001))/STDEV(N$2:N$2001)</f>
        <v>0.788879259030414</v>
      </c>
      <c r="AG1714" s="13" t="n">
        <f aca="false">(O1714-AVERAGE(O$2:O$2001))/STDEV(O$2:O$2001)</f>
        <v>1.15139529552633</v>
      </c>
      <c r="AH1714" s="0" t="str">
        <f aca="false">IF(B1714="Company","C3 - Corporate Buyers",IF(AND(H1714="Investment",M1714&gt;'Segmentation Summary'!$C$1),"C1 - Global Investors",IF(AND(I1714&gt;=4,M1714&gt;'Segmentation Summary'!$C$1),"C4 - Luxury Investors",IF(AND(D1714&lt;'Segmentation Summary'!$C$2,J1714=1),"C2 - First-Time Buyers","C5 - Other Individual Buyers"))))</f>
        <v>C2 - First-Time Buyers</v>
      </c>
    </row>
    <row r="1715" customFormat="false" ht="15" hidden="false" customHeight="true" outlineLevel="0" collapsed="false">
      <c r="A1715" s="13" t="s">
        <v>3422</v>
      </c>
      <c r="B1715" s="13" t="s">
        <v>34</v>
      </c>
      <c r="C1715" s="13" t="s">
        <v>3423</v>
      </c>
      <c r="D1715" s="13" t="n">
        <v>75</v>
      </c>
      <c r="E1715" s="13" t="s">
        <v>83</v>
      </c>
      <c r="F1715" s="13" t="s">
        <v>45</v>
      </c>
      <c r="G1715" s="13" t="s">
        <v>196</v>
      </c>
      <c r="H1715" s="13" t="s">
        <v>41</v>
      </c>
      <c r="I1715" s="13" t="n">
        <v>1</v>
      </c>
      <c r="J1715" s="13" t="n">
        <v>0</v>
      </c>
      <c r="K1715" s="13" t="s">
        <v>91</v>
      </c>
      <c r="L1715" s="13" t="n">
        <v>3</v>
      </c>
      <c r="M1715" s="13" t="n">
        <v>946560.97</v>
      </c>
      <c r="N1715" s="13" t="n">
        <v>315520.323333333</v>
      </c>
      <c r="O1715" s="13" t="n">
        <v>1049.38</v>
      </c>
      <c r="P1715" s="13" t="n">
        <v>0</v>
      </c>
      <c r="Q1715" s="13" t="n">
        <v>3</v>
      </c>
      <c r="R1715" s="13" t="s">
        <v>92</v>
      </c>
      <c r="S1715" s="13" t="s">
        <v>135</v>
      </c>
      <c r="T1715" s="13" t="n">
        <v>1</v>
      </c>
      <c r="U1715" s="13" t="n">
        <f aca="false">IF(B1715="Individual",1,0)</f>
        <v>1</v>
      </c>
      <c r="V1715" s="13" t="n">
        <f aca="false">IF(B1715="Company",1,0)</f>
        <v>0</v>
      </c>
      <c r="W1715" s="13" t="n">
        <f aca="false">IF(H1715="Home",1,0)</f>
        <v>1</v>
      </c>
      <c r="X1715" s="13" t="n">
        <f aca="false">IF(H1715="Investment",1,0)</f>
        <v>0</v>
      </c>
      <c r="Y1715" s="13" t="n">
        <f aca="false">IF(K1715="Website",1,0)</f>
        <v>0</v>
      </c>
      <c r="Z1715" s="13" t="n">
        <f aca="false">IF(K1715="Agency",1,0)</f>
        <v>1</v>
      </c>
      <c r="AA1715" s="13" t="n">
        <f aca="false">IF(K1715="Client",1,0)</f>
        <v>0</v>
      </c>
      <c r="AB1715" s="13" t="n">
        <f aca="false">(D1715-AVERAGE(D$2:D$2001))/STDEV(D$2:D$2001)</f>
        <v>1.2030118088493</v>
      </c>
      <c r="AC1715" s="13" t="n">
        <f aca="false">(I1715-AVERAGE(I$2:I$2001))/STDEV(I$2:I$2001)</f>
        <v>-1.43538077576244</v>
      </c>
      <c r="AD1715" s="13" t="n">
        <f aca="false">(L1715-AVERAGE(L$2:L$2001))/STDEV(L$2:L$2001)</f>
        <v>-0.777063122173208</v>
      </c>
      <c r="AE1715" s="13" t="n">
        <f aca="false">(M1715-AVERAGE(M$2:M$2001))/STDEV(M$2:M$2001)</f>
        <v>-0.902204843197654</v>
      </c>
      <c r="AF1715" s="13" t="n">
        <f aca="false">(N1715-AVERAGE(N$2:N$2001))/STDEV(N$2:N$2001)</f>
        <v>-0.452794142700711</v>
      </c>
      <c r="AG1715" s="13" t="n">
        <f aca="false">(O1715-AVERAGE(O$2:O$2001))/STDEV(O$2:O$2001)</f>
        <v>-0.446064541847934</v>
      </c>
      <c r="AH1715" s="0" t="str">
        <f aca="false">IF(B1715="Company","C3 - Corporate Buyers",IF(AND(H1715="Investment",M1715&gt;'Segmentation Summary'!$C$1),"C1 - Global Investors",IF(AND(I1715&gt;=4,M1715&gt;'Segmentation Summary'!$C$1),"C4 - Luxury Investors",IF(AND(D1715&lt;'Segmentation Summary'!$C$2,J1715=1),"C2 - First-Time Buyers","C5 - Other Individual Buyers"))))</f>
        <v>C5 - Other Individual Buyers</v>
      </c>
    </row>
    <row r="1716" customFormat="false" ht="15" hidden="false" customHeight="true" outlineLevel="0" collapsed="false">
      <c r="A1716" s="13" t="s">
        <v>3424</v>
      </c>
      <c r="B1716" s="13" t="s">
        <v>34</v>
      </c>
      <c r="C1716" s="13" t="s">
        <v>3425</v>
      </c>
      <c r="D1716" s="13" t="n">
        <v>28</v>
      </c>
      <c r="E1716" s="13" t="s">
        <v>83</v>
      </c>
      <c r="F1716" s="13" t="s">
        <v>33</v>
      </c>
      <c r="G1716" s="13" t="s">
        <v>95</v>
      </c>
      <c r="H1716" s="13" t="s">
        <v>41</v>
      </c>
      <c r="I1716" s="13" t="n">
        <v>1</v>
      </c>
      <c r="J1716" s="13" t="n">
        <v>0</v>
      </c>
      <c r="K1716" s="13" t="s">
        <v>91</v>
      </c>
      <c r="L1716" s="13" t="n">
        <v>3</v>
      </c>
      <c r="M1716" s="13" t="n">
        <v>944672.95</v>
      </c>
      <c r="N1716" s="13" t="n">
        <v>314890.983333333</v>
      </c>
      <c r="O1716" s="13" t="n">
        <v>1092.50666666667</v>
      </c>
      <c r="P1716" s="13" t="n">
        <v>0</v>
      </c>
      <c r="Q1716" s="13" t="n">
        <v>3</v>
      </c>
      <c r="R1716" s="13" t="s">
        <v>101</v>
      </c>
      <c r="S1716" s="13" t="s">
        <v>87</v>
      </c>
      <c r="T1716" s="13" t="n">
        <v>1</v>
      </c>
      <c r="U1716" s="13" t="n">
        <f aca="false">IF(B1716="Individual",1,0)</f>
        <v>1</v>
      </c>
      <c r="V1716" s="13" t="n">
        <f aca="false">IF(B1716="Company",1,0)</f>
        <v>0</v>
      </c>
      <c r="W1716" s="13" t="n">
        <f aca="false">IF(H1716="Home",1,0)</f>
        <v>1</v>
      </c>
      <c r="X1716" s="13" t="n">
        <f aca="false">IF(H1716="Investment",1,0)</f>
        <v>0</v>
      </c>
      <c r="Y1716" s="13" t="n">
        <f aca="false">IF(K1716="Website",1,0)</f>
        <v>0</v>
      </c>
      <c r="Z1716" s="13" t="n">
        <f aca="false">IF(K1716="Agency",1,0)</f>
        <v>1</v>
      </c>
      <c r="AA1716" s="13" t="n">
        <f aca="false">IF(K1716="Client",1,0)</f>
        <v>0</v>
      </c>
      <c r="AB1716" s="13" t="n">
        <f aca="false">(D1716-AVERAGE(D$2:D$2001))/STDEV(D$2:D$2001)</f>
        <v>-1.50712359909381</v>
      </c>
      <c r="AC1716" s="13" t="n">
        <f aca="false">(I1716-AVERAGE(I$2:I$2001))/STDEV(I$2:I$2001)</f>
        <v>-1.43538077576244</v>
      </c>
      <c r="AD1716" s="13" t="n">
        <f aca="false">(L1716-AVERAGE(L$2:L$2001))/STDEV(L$2:L$2001)</f>
        <v>-0.777063122173208</v>
      </c>
      <c r="AE1716" s="13" t="n">
        <f aca="false">(M1716-AVERAGE(M$2:M$2001))/STDEV(M$2:M$2001)</f>
        <v>-0.907632829257872</v>
      </c>
      <c r="AF1716" s="13" t="n">
        <f aca="false">(N1716-AVERAGE(N$2:N$2001))/STDEV(N$2:N$2001)</f>
        <v>-0.461820584976976</v>
      </c>
      <c r="AG1716" s="13" t="n">
        <f aca="false">(O1716-AVERAGE(O$2:O$2001))/STDEV(O$2:O$2001)</f>
        <v>-0.249965235892971</v>
      </c>
      <c r="AH1716" s="0" t="str">
        <f aca="false">IF(B1716="Company","C3 - Corporate Buyers",IF(AND(H1716="Investment",M1716&gt;'Segmentation Summary'!$C$1),"C1 - Global Investors",IF(AND(I1716&gt;=4,M1716&gt;'Segmentation Summary'!$C$1),"C4 - Luxury Investors",IF(AND(D1716&lt;'Segmentation Summary'!$C$2,J1716=1),"C2 - First-Time Buyers","C5 - Other Individual Buyers"))))</f>
        <v>C5 - Other Individual Buyers</v>
      </c>
    </row>
    <row r="1717" customFormat="false" ht="15" hidden="false" customHeight="true" outlineLevel="0" collapsed="false">
      <c r="A1717" s="13" t="s">
        <v>3426</v>
      </c>
      <c r="B1717" s="13" t="s">
        <v>34</v>
      </c>
      <c r="C1717" s="13" t="s">
        <v>3427</v>
      </c>
      <c r="D1717" s="13" t="n">
        <v>41</v>
      </c>
      <c r="E1717" s="13" t="s">
        <v>83</v>
      </c>
      <c r="F1717" s="13" t="s">
        <v>33</v>
      </c>
      <c r="G1717" s="13" t="s">
        <v>95</v>
      </c>
      <c r="H1717" s="13" t="s">
        <v>41</v>
      </c>
      <c r="I1717" s="13" t="n">
        <v>4</v>
      </c>
      <c r="J1717" s="13" t="n">
        <v>1</v>
      </c>
      <c r="K1717" s="13" t="s">
        <v>85</v>
      </c>
      <c r="L1717" s="13" t="n">
        <v>4</v>
      </c>
      <c r="M1717" s="13" t="n">
        <v>1206149.98</v>
      </c>
      <c r="N1717" s="13" t="n">
        <v>301537.495</v>
      </c>
      <c r="O1717" s="13" t="n">
        <v>947.7475</v>
      </c>
      <c r="P1717" s="13" t="n">
        <v>1</v>
      </c>
      <c r="Q1717" s="13" t="n">
        <v>3</v>
      </c>
      <c r="R1717" s="13" t="s">
        <v>111</v>
      </c>
      <c r="S1717" s="13" t="s">
        <v>133</v>
      </c>
      <c r="T1717" s="13" t="n">
        <v>1</v>
      </c>
      <c r="U1717" s="13" t="n">
        <f aca="false">IF(B1717="Individual",1,0)</f>
        <v>1</v>
      </c>
      <c r="V1717" s="13" t="n">
        <f aca="false">IF(B1717="Company",1,0)</f>
        <v>0</v>
      </c>
      <c r="W1717" s="13" t="n">
        <f aca="false">IF(H1717="Home",1,0)</f>
        <v>1</v>
      </c>
      <c r="X1717" s="13" t="n">
        <f aca="false">IF(H1717="Investment",1,0)</f>
        <v>0</v>
      </c>
      <c r="Y1717" s="13" t="n">
        <f aca="false">IF(K1717="Website",1,0)</f>
        <v>1</v>
      </c>
      <c r="Z1717" s="13" t="n">
        <f aca="false">IF(K1717="Agency",1,0)</f>
        <v>0</v>
      </c>
      <c r="AA1717" s="13" t="n">
        <f aca="false">IF(K1717="Client",1,0)</f>
        <v>0</v>
      </c>
      <c r="AB1717" s="13" t="n">
        <f aca="false">(D1717-AVERAGE(D$2:D$2001))/STDEV(D$2:D$2001)</f>
        <v>-0.757511677747842</v>
      </c>
      <c r="AC1717" s="13" t="n">
        <f aca="false">(I1717-AVERAGE(I$2:I$2001))/STDEV(I$2:I$2001)</f>
        <v>0.686917069130275</v>
      </c>
      <c r="AD1717" s="13" t="n">
        <f aca="false">(L1717-AVERAGE(L$2:L$2001))/STDEV(L$2:L$2001)</f>
        <v>0.413838214490712</v>
      </c>
      <c r="AE1717" s="13" t="n">
        <f aca="false">(M1717-AVERAGE(M$2:M$2001))/STDEV(M$2:M$2001)</f>
        <v>-0.155896261897718</v>
      </c>
      <c r="AF1717" s="13" t="n">
        <f aca="false">(N1717-AVERAGE(N$2:N$2001))/STDEV(N$2:N$2001)</f>
        <v>-0.653345820346741</v>
      </c>
      <c r="AG1717" s="13" t="n">
        <f aca="false">(O1717-AVERAGE(O$2:O$2001))/STDEV(O$2:O$2001)</f>
        <v>-0.908193063546797</v>
      </c>
      <c r="AH1717" s="0" t="str">
        <f aca="false">IF(B1717="Company","C3 - Corporate Buyers",IF(AND(H1717="Investment",M1717&gt;'Segmentation Summary'!$C$1),"C1 - Global Investors",IF(AND(I1717&gt;=4,M1717&gt;'Segmentation Summary'!$C$1),"C4 - Luxury Investors",IF(AND(D1717&lt;'Segmentation Summary'!$C$2,J1717=1),"C2 - First-Time Buyers","C5 - Other Individual Buyers"))))</f>
        <v>C2 - First-Time Buyers</v>
      </c>
    </row>
    <row r="1718" customFormat="false" ht="15" hidden="false" customHeight="true" outlineLevel="0" collapsed="false">
      <c r="A1718" s="13" t="s">
        <v>3428</v>
      </c>
      <c r="B1718" s="13" t="s">
        <v>34</v>
      </c>
      <c r="C1718" s="13" t="s">
        <v>3429</v>
      </c>
      <c r="D1718" s="13" t="n">
        <v>54</v>
      </c>
      <c r="E1718" s="13" t="s">
        <v>83</v>
      </c>
      <c r="F1718" s="13" t="s">
        <v>42</v>
      </c>
      <c r="G1718" s="13" t="s">
        <v>288</v>
      </c>
      <c r="H1718" s="13" t="s">
        <v>43</v>
      </c>
      <c r="I1718" s="13" t="n">
        <v>3</v>
      </c>
      <c r="J1718" s="13" t="n">
        <v>0</v>
      </c>
      <c r="K1718" s="13" t="s">
        <v>91</v>
      </c>
      <c r="L1718" s="13" t="n">
        <v>3</v>
      </c>
      <c r="M1718" s="13" t="n">
        <v>827208.61</v>
      </c>
      <c r="N1718" s="13" t="n">
        <v>275736.203333333</v>
      </c>
      <c r="O1718" s="13" t="n">
        <v>842.68</v>
      </c>
      <c r="P1718" s="13" t="n">
        <v>1</v>
      </c>
      <c r="Q1718" s="13" t="n">
        <v>2</v>
      </c>
      <c r="R1718" s="13" t="s">
        <v>86</v>
      </c>
      <c r="S1718" s="13" t="s">
        <v>93</v>
      </c>
      <c r="T1718" s="13" t="n">
        <v>1</v>
      </c>
      <c r="U1718" s="13" t="n">
        <f aca="false">IF(B1718="Individual",1,0)</f>
        <v>1</v>
      </c>
      <c r="V1718" s="13" t="n">
        <f aca="false">IF(B1718="Company",1,0)</f>
        <v>0</v>
      </c>
      <c r="W1718" s="13" t="n">
        <f aca="false">IF(H1718="Home",1,0)</f>
        <v>0</v>
      </c>
      <c r="X1718" s="13" t="n">
        <f aca="false">IF(H1718="Investment",1,0)</f>
        <v>1</v>
      </c>
      <c r="Y1718" s="13" t="n">
        <f aca="false">IF(K1718="Website",1,0)</f>
        <v>0</v>
      </c>
      <c r="Z1718" s="13" t="n">
        <f aca="false">IF(K1718="Agency",1,0)</f>
        <v>1</v>
      </c>
      <c r="AA1718" s="13" t="n">
        <f aca="false">IF(K1718="Client",1,0)</f>
        <v>0</v>
      </c>
      <c r="AB1718" s="13" t="n">
        <f aca="false">(D1718-AVERAGE(D$2:D$2001))/STDEV(D$2:D$2001)</f>
        <v>-0.00789975640187674</v>
      </c>
      <c r="AC1718" s="13" t="n">
        <f aca="false">(I1718-AVERAGE(I$2:I$2001))/STDEV(I$2:I$2001)</f>
        <v>-0.0205155458339628</v>
      </c>
      <c r="AD1718" s="13" t="n">
        <f aca="false">(L1718-AVERAGE(L$2:L$2001))/STDEV(L$2:L$2001)</f>
        <v>-0.777063122173208</v>
      </c>
      <c r="AE1718" s="13" t="n">
        <f aca="false">(M1718-AVERAGE(M$2:M$2001))/STDEV(M$2:M$2001)</f>
        <v>-1.24533836208738</v>
      </c>
      <c r="AF1718" s="13" t="n">
        <f aca="false">(N1718-AVERAGE(N$2:N$2001))/STDEV(N$2:N$2001)</f>
        <v>-1.02340631210357</v>
      </c>
      <c r="AG1718" s="13" t="n">
        <f aca="false">(O1718-AVERAGE(O$2:O$2001))/STDEV(O$2:O$2001)</f>
        <v>-1.38594071762984</v>
      </c>
      <c r="AH1718" s="0" t="str">
        <f aca="false">IF(B1718="Company","C3 - Corporate Buyers",IF(AND(H1718="Investment",M1718&gt;'Segmentation Summary'!$C$1),"C1 - Global Investors",IF(AND(I1718&gt;=4,M1718&gt;'Segmentation Summary'!$C$1),"C4 - Luxury Investors",IF(AND(D1718&lt;'Segmentation Summary'!$C$2,J1718=1),"C2 - First-Time Buyers","C5 - Other Individual Buyers"))))</f>
        <v>C5 - Other Individual Buyers</v>
      </c>
    </row>
    <row r="1719" customFormat="false" ht="15" hidden="false" customHeight="true" outlineLevel="0" collapsed="false">
      <c r="A1719" s="13" t="s">
        <v>3430</v>
      </c>
      <c r="B1719" s="13" t="s">
        <v>34</v>
      </c>
      <c r="C1719" s="13" t="s">
        <v>3431</v>
      </c>
      <c r="D1719" s="13" t="n">
        <v>63</v>
      </c>
      <c r="E1719" s="13" t="s">
        <v>83</v>
      </c>
      <c r="F1719" s="13" t="s">
        <v>35</v>
      </c>
      <c r="G1719" s="13" t="s">
        <v>185</v>
      </c>
      <c r="H1719" s="13" t="s">
        <v>41</v>
      </c>
      <c r="I1719" s="13" t="n">
        <v>3</v>
      </c>
      <c r="J1719" s="13" t="n">
        <v>0</v>
      </c>
      <c r="K1719" s="13" t="s">
        <v>85</v>
      </c>
      <c r="L1719" s="13" t="n">
        <v>4</v>
      </c>
      <c r="M1719" s="13" t="n">
        <v>1317304.52</v>
      </c>
      <c r="N1719" s="13" t="n">
        <v>329326.13</v>
      </c>
      <c r="O1719" s="13" t="n">
        <v>1070.475</v>
      </c>
      <c r="P1719" s="13" t="n">
        <v>1</v>
      </c>
      <c r="Q1719" s="13" t="n">
        <v>3</v>
      </c>
      <c r="R1719" s="13" t="s">
        <v>124</v>
      </c>
      <c r="S1719" s="13" t="s">
        <v>114</v>
      </c>
      <c r="T1719" s="13" t="n">
        <v>1</v>
      </c>
      <c r="U1719" s="13" t="n">
        <f aca="false">IF(B1719="Individual",1,0)</f>
        <v>1</v>
      </c>
      <c r="V1719" s="13" t="n">
        <f aca="false">IF(B1719="Company",1,0)</f>
        <v>0</v>
      </c>
      <c r="W1719" s="13" t="n">
        <f aca="false">IF(H1719="Home",1,0)</f>
        <v>1</v>
      </c>
      <c r="X1719" s="13" t="n">
        <f aca="false">IF(H1719="Investment",1,0)</f>
        <v>0</v>
      </c>
      <c r="Y1719" s="13" t="n">
        <f aca="false">IF(K1719="Website",1,0)</f>
        <v>1</v>
      </c>
      <c r="Z1719" s="13" t="n">
        <f aca="false">IF(K1719="Agency",1,0)</f>
        <v>0</v>
      </c>
      <c r="AA1719" s="13" t="n">
        <f aca="false">IF(K1719="Client",1,0)</f>
        <v>0</v>
      </c>
      <c r="AB1719" s="13" t="n">
        <f aca="false">(D1719-AVERAGE(D$2:D$2001))/STDEV(D$2:D$2001)</f>
        <v>0.511062342991484</v>
      </c>
      <c r="AC1719" s="13" t="n">
        <f aca="false">(I1719-AVERAGE(I$2:I$2001))/STDEV(I$2:I$2001)</f>
        <v>-0.0205155458339628</v>
      </c>
      <c r="AD1719" s="13" t="n">
        <f aca="false">(L1719-AVERAGE(L$2:L$2001))/STDEV(L$2:L$2001)</f>
        <v>0.413838214490712</v>
      </c>
      <c r="AE1719" s="13" t="n">
        <f aca="false">(M1719-AVERAGE(M$2:M$2001))/STDEV(M$2:M$2001)</f>
        <v>0.163668834684941</v>
      </c>
      <c r="AF1719" s="13" t="n">
        <f aca="false">(N1719-AVERAGE(N$2:N$2001))/STDEV(N$2:N$2001)</f>
        <v>-0.254781435811044</v>
      </c>
      <c r="AG1719" s="13" t="n">
        <f aca="false">(O1719-AVERAGE(O$2:O$2001))/STDEV(O$2:O$2001)</f>
        <v>-0.350144426085383</v>
      </c>
      <c r="AH1719" s="0" t="str">
        <f aca="false">IF(B1719="Company","C3 - Corporate Buyers",IF(AND(H1719="Investment",M1719&gt;'Segmentation Summary'!$C$1),"C1 - Global Investors",IF(AND(I1719&gt;=4,M1719&gt;'Segmentation Summary'!$C$1),"C4 - Luxury Investors",IF(AND(D1719&lt;'Segmentation Summary'!$C$2,J1719=1),"C2 - First-Time Buyers","C5 - Other Individual Buyers"))))</f>
        <v>C5 - Other Individual Buyers</v>
      </c>
    </row>
    <row r="1720" customFormat="false" ht="15" hidden="false" customHeight="true" outlineLevel="0" collapsed="false">
      <c r="A1720" s="13" t="s">
        <v>3432</v>
      </c>
      <c r="B1720" s="13" t="s">
        <v>34</v>
      </c>
      <c r="C1720" s="13" t="s">
        <v>3433</v>
      </c>
      <c r="D1720" s="13" t="n">
        <v>53</v>
      </c>
      <c r="E1720" s="13" t="s">
        <v>83</v>
      </c>
      <c r="F1720" s="13" t="s">
        <v>40</v>
      </c>
      <c r="G1720" s="13" t="s">
        <v>235</v>
      </c>
      <c r="H1720" s="13" t="s">
        <v>41</v>
      </c>
      <c r="I1720" s="13" t="n">
        <v>5</v>
      </c>
      <c r="J1720" s="13" t="n">
        <v>0</v>
      </c>
      <c r="K1720" s="13" t="s">
        <v>85</v>
      </c>
      <c r="L1720" s="13" t="n">
        <v>4</v>
      </c>
      <c r="M1720" s="13" t="n">
        <v>1280242.15</v>
      </c>
      <c r="N1720" s="13" t="n">
        <v>320060.5375</v>
      </c>
      <c r="O1720" s="13" t="n">
        <v>1102.08</v>
      </c>
      <c r="P1720" s="13" t="n">
        <v>1</v>
      </c>
      <c r="Q1720" s="13" t="n">
        <v>3</v>
      </c>
      <c r="R1720" s="13" t="s">
        <v>111</v>
      </c>
      <c r="S1720" s="13" t="s">
        <v>154</v>
      </c>
      <c r="T1720" s="13" t="n">
        <v>1</v>
      </c>
      <c r="U1720" s="13" t="n">
        <f aca="false">IF(B1720="Individual",1,0)</f>
        <v>1</v>
      </c>
      <c r="V1720" s="13" t="n">
        <f aca="false">IF(B1720="Company",1,0)</f>
        <v>0</v>
      </c>
      <c r="W1720" s="13" t="n">
        <f aca="false">IF(H1720="Home",1,0)</f>
        <v>1</v>
      </c>
      <c r="X1720" s="13" t="n">
        <f aca="false">IF(H1720="Investment",1,0)</f>
        <v>0</v>
      </c>
      <c r="Y1720" s="13" t="n">
        <f aca="false">IF(K1720="Website",1,0)</f>
        <v>1</v>
      </c>
      <c r="Z1720" s="13" t="n">
        <f aca="false">IF(K1720="Agency",1,0)</f>
        <v>0</v>
      </c>
      <c r="AA1720" s="13" t="n">
        <f aca="false">IF(K1720="Client",1,0)</f>
        <v>0</v>
      </c>
      <c r="AB1720" s="13" t="n">
        <f aca="false">(D1720-AVERAGE(D$2:D$2001))/STDEV(D$2:D$2001)</f>
        <v>-0.065562211890028</v>
      </c>
      <c r="AC1720" s="13" t="n">
        <f aca="false">(I1720-AVERAGE(I$2:I$2001))/STDEV(I$2:I$2001)</f>
        <v>1.39434968409451</v>
      </c>
      <c r="AD1720" s="13" t="n">
        <f aca="false">(L1720-AVERAGE(L$2:L$2001))/STDEV(L$2:L$2001)</f>
        <v>0.413838214490712</v>
      </c>
      <c r="AE1720" s="13" t="n">
        <f aca="false">(M1720-AVERAGE(M$2:M$2001))/STDEV(M$2:M$2001)</f>
        <v>0.0571159233181875</v>
      </c>
      <c r="AF1720" s="13" t="n">
        <f aca="false">(N1720-AVERAGE(N$2:N$2001))/STDEV(N$2:N$2001)</f>
        <v>-0.387675159166692</v>
      </c>
      <c r="AG1720" s="13" t="n">
        <f aca="false">(O1720-AVERAGE(O$2:O$2001))/STDEV(O$2:O$2001)</f>
        <v>-0.206434766987235</v>
      </c>
      <c r="AH1720" s="0" t="str">
        <f aca="false">IF(B1720="Company","C3 - Corporate Buyers",IF(AND(H1720="Investment",M1720&gt;'Segmentation Summary'!$C$1),"C1 - Global Investors",IF(AND(I1720&gt;=4,M1720&gt;'Segmentation Summary'!$C$1),"C4 - Luxury Investors",IF(AND(D1720&lt;'Segmentation Summary'!$C$2,J1720=1),"C2 - First-Time Buyers","C5 - Other Individual Buyers"))))</f>
        <v>C4 - Luxury Investors</v>
      </c>
    </row>
    <row r="1721" customFormat="false" ht="15" hidden="false" customHeight="true" outlineLevel="0" collapsed="false">
      <c r="A1721" s="13" t="s">
        <v>3434</v>
      </c>
      <c r="B1721" s="13" t="s">
        <v>34</v>
      </c>
      <c r="C1721" s="13" t="s">
        <v>3435</v>
      </c>
      <c r="D1721" s="13" t="n">
        <v>63</v>
      </c>
      <c r="E1721" s="13" t="s">
        <v>83</v>
      </c>
      <c r="F1721" s="13" t="s">
        <v>33</v>
      </c>
      <c r="G1721" s="13" t="s">
        <v>95</v>
      </c>
      <c r="H1721" s="13" t="s">
        <v>41</v>
      </c>
      <c r="I1721" s="13" t="n">
        <v>2</v>
      </c>
      <c r="J1721" s="13" t="n">
        <v>0</v>
      </c>
      <c r="K1721" s="13" t="s">
        <v>85</v>
      </c>
      <c r="L1721" s="13" t="n">
        <v>3</v>
      </c>
      <c r="M1721" s="13" t="n">
        <v>1215398.18</v>
      </c>
      <c r="N1721" s="13" t="n">
        <v>405132.726666667</v>
      </c>
      <c r="O1721" s="13" t="n">
        <v>1337.17333333333</v>
      </c>
      <c r="P1721" s="13" t="n">
        <v>1</v>
      </c>
      <c r="Q1721" s="13" t="n">
        <v>2</v>
      </c>
      <c r="R1721" s="13" t="s">
        <v>92</v>
      </c>
      <c r="S1721" s="13" t="s">
        <v>135</v>
      </c>
      <c r="T1721" s="13" t="n">
        <v>1</v>
      </c>
      <c r="U1721" s="13" t="n">
        <f aca="false">IF(B1721="Individual",1,0)</f>
        <v>1</v>
      </c>
      <c r="V1721" s="13" t="n">
        <f aca="false">IF(B1721="Company",1,0)</f>
        <v>0</v>
      </c>
      <c r="W1721" s="13" t="n">
        <f aca="false">IF(H1721="Home",1,0)</f>
        <v>1</v>
      </c>
      <c r="X1721" s="13" t="n">
        <f aca="false">IF(H1721="Investment",1,0)</f>
        <v>0</v>
      </c>
      <c r="Y1721" s="13" t="n">
        <f aca="false">IF(K1721="Website",1,0)</f>
        <v>1</v>
      </c>
      <c r="Z1721" s="13" t="n">
        <f aca="false">IF(K1721="Agency",1,0)</f>
        <v>0</v>
      </c>
      <c r="AA1721" s="13" t="n">
        <f aca="false">IF(K1721="Client",1,0)</f>
        <v>0</v>
      </c>
      <c r="AB1721" s="13" t="n">
        <f aca="false">(D1721-AVERAGE(D$2:D$2001))/STDEV(D$2:D$2001)</f>
        <v>0.511062342991484</v>
      </c>
      <c r="AC1721" s="13" t="n">
        <f aca="false">(I1721-AVERAGE(I$2:I$2001))/STDEV(I$2:I$2001)</f>
        <v>-0.727948160798201</v>
      </c>
      <c r="AD1721" s="13" t="n">
        <f aca="false">(L1721-AVERAGE(L$2:L$2001))/STDEV(L$2:L$2001)</f>
        <v>-0.777063122173208</v>
      </c>
      <c r="AE1721" s="13" t="n">
        <f aca="false">(M1721-AVERAGE(M$2:M$2001))/STDEV(M$2:M$2001)</f>
        <v>-0.129308036835424</v>
      </c>
      <c r="AF1721" s="13" t="n">
        <f aca="false">(N1721-AVERAGE(N$2:N$2001))/STDEV(N$2:N$2001)</f>
        <v>0.832490736578709</v>
      </c>
      <c r="AG1721" s="13" t="n">
        <f aca="false">(O1721-AVERAGE(O$2:O$2001))/STDEV(O$2:O$2001)</f>
        <v>0.862547444358444</v>
      </c>
      <c r="AH1721" s="0" t="str">
        <f aca="false">IF(B1721="Company","C3 - Corporate Buyers",IF(AND(H1721="Investment",M1721&gt;'Segmentation Summary'!$C$1),"C1 - Global Investors",IF(AND(I1721&gt;=4,M1721&gt;'Segmentation Summary'!$C$1),"C4 - Luxury Investors",IF(AND(D1721&lt;'Segmentation Summary'!$C$2,J1721=1),"C2 - First-Time Buyers","C5 - Other Individual Buyers"))))</f>
        <v>C5 - Other Individual Buyers</v>
      </c>
    </row>
    <row r="1722" customFormat="false" ht="15" hidden="false" customHeight="true" outlineLevel="0" collapsed="false">
      <c r="A1722" s="13" t="s">
        <v>3436</v>
      </c>
      <c r="B1722" s="13" t="s">
        <v>34</v>
      </c>
      <c r="C1722" s="13" t="s">
        <v>3437</v>
      </c>
      <c r="D1722" s="13" t="n">
        <v>47</v>
      </c>
      <c r="E1722" s="13" t="s">
        <v>83</v>
      </c>
      <c r="F1722" s="13" t="s">
        <v>40</v>
      </c>
      <c r="G1722" s="13" t="s">
        <v>528</v>
      </c>
      <c r="H1722" s="13" t="s">
        <v>41</v>
      </c>
      <c r="I1722" s="13" t="n">
        <v>5</v>
      </c>
      <c r="J1722" s="13" t="n">
        <v>1</v>
      </c>
      <c r="K1722" s="13" t="s">
        <v>85</v>
      </c>
      <c r="L1722" s="13" t="n">
        <v>4</v>
      </c>
      <c r="M1722" s="13" t="n">
        <v>1080880</v>
      </c>
      <c r="N1722" s="13" t="n">
        <v>270220</v>
      </c>
      <c r="O1722" s="13" t="n">
        <v>955.7625</v>
      </c>
      <c r="P1722" s="13" t="n">
        <v>1</v>
      </c>
      <c r="Q1722" s="13" t="n">
        <v>3</v>
      </c>
      <c r="R1722" s="13" t="s">
        <v>86</v>
      </c>
      <c r="S1722" s="13" t="s">
        <v>152</v>
      </c>
      <c r="T1722" s="13" t="n">
        <v>1</v>
      </c>
      <c r="U1722" s="13" t="n">
        <f aca="false">IF(B1722="Individual",1,0)</f>
        <v>1</v>
      </c>
      <c r="V1722" s="13" t="n">
        <f aca="false">IF(B1722="Company",1,0)</f>
        <v>0</v>
      </c>
      <c r="W1722" s="13" t="n">
        <f aca="false">IF(H1722="Home",1,0)</f>
        <v>1</v>
      </c>
      <c r="X1722" s="13" t="n">
        <f aca="false">IF(H1722="Investment",1,0)</f>
        <v>0</v>
      </c>
      <c r="Y1722" s="13" t="n">
        <f aca="false">IF(K1722="Website",1,0)</f>
        <v>1</v>
      </c>
      <c r="Z1722" s="13" t="n">
        <f aca="false">IF(K1722="Agency",1,0)</f>
        <v>0</v>
      </c>
      <c r="AA1722" s="13" t="n">
        <f aca="false">IF(K1722="Client",1,0)</f>
        <v>0</v>
      </c>
      <c r="AB1722" s="13" t="n">
        <f aca="false">(D1722-AVERAGE(D$2:D$2001))/STDEV(D$2:D$2001)</f>
        <v>-0.411536944818935</v>
      </c>
      <c r="AC1722" s="13" t="n">
        <f aca="false">(I1722-AVERAGE(I$2:I$2001))/STDEV(I$2:I$2001)</f>
        <v>1.39434968409451</v>
      </c>
      <c r="AD1722" s="13" t="n">
        <f aca="false">(L1722-AVERAGE(L$2:L$2001))/STDEV(L$2:L$2001)</f>
        <v>0.413838214490712</v>
      </c>
      <c r="AE1722" s="13" t="n">
        <f aca="false">(M1722-AVERAGE(M$2:M$2001))/STDEV(M$2:M$2001)</f>
        <v>-0.516042714373774</v>
      </c>
      <c r="AF1722" s="13" t="n">
        <f aca="false">(N1722-AVERAGE(N$2:N$2001))/STDEV(N$2:N$2001)</f>
        <v>-1.10252362702471</v>
      </c>
      <c r="AG1722" s="13" t="n">
        <f aca="false">(O1722-AVERAGE(O$2:O$2001))/STDEV(O$2:O$2001)</f>
        <v>-0.871748421317033</v>
      </c>
      <c r="AH1722" s="0" t="str">
        <f aca="false">IF(B1722="Company","C3 - Corporate Buyers",IF(AND(H1722="Investment",M1722&gt;'Segmentation Summary'!$C$1),"C1 - Global Investors",IF(AND(I1722&gt;=4,M1722&gt;'Segmentation Summary'!$C$1),"C4 - Luxury Investors",IF(AND(D1722&lt;'Segmentation Summary'!$C$2,J1722=1),"C2 - First-Time Buyers","C5 - Other Individual Buyers"))))</f>
        <v>C2 - First-Time Buyers</v>
      </c>
    </row>
    <row r="1723" customFormat="false" ht="15" hidden="false" customHeight="true" outlineLevel="0" collapsed="false">
      <c r="A1723" s="13" t="s">
        <v>3438</v>
      </c>
      <c r="B1723" s="13" t="s">
        <v>34</v>
      </c>
      <c r="C1723" s="13" t="s">
        <v>3439</v>
      </c>
      <c r="D1723" s="13" t="n">
        <v>69</v>
      </c>
      <c r="E1723" s="13" t="s">
        <v>83</v>
      </c>
      <c r="F1723" s="13" t="s">
        <v>33</v>
      </c>
      <c r="G1723" s="13" t="s">
        <v>157</v>
      </c>
      <c r="H1723" s="13" t="s">
        <v>41</v>
      </c>
      <c r="I1723" s="13" t="n">
        <v>5</v>
      </c>
      <c r="J1723" s="13" t="n">
        <v>0</v>
      </c>
      <c r="K1723" s="13" t="s">
        <v>91</v>
      </c>
      <c r="L1723" s="13" t="n">
        <v>3</v>
      </c>
      <c r="M1723" s="13" t="n">
        <v>1306722.36</v>
      </c>
      <c r="N1723" s="13" t="n">
        <v>435574.12</v>
      </c>
      <c r="O1723" s="13" t="n">
        <v>1438.29333333333</v>
      </c>
      <c r="P1723" s="13" t="n">
        <v>1</v>
      </c>
      <c r="Q1723" s="13" t="n">
        <v>2</v>
      </c>
      <c r="R1723" s="13" t="s">
        <v>111</v>
      </c>
      <c r="S1723" s="13" t="s">
        <v>87</v>
      </c>
      <c r="T1723" s="13" t="n">
        <v>1</v>
      </c>
      <c r="U1723" s="13" t="n">
        <f aca="false">IF(B1723="Individual",1,0)</f>
        <v>1</v>
      </c>
      <c r="V1723" s="13" t="n">
        <f aca="false">IF(B1723="Company",1,0)</f>
        <v>0</v>
      </c>
      <c r="W1723" s="13" t="n">
        <f aca="false">IF(H1723="Home",1,0)</f>
        <v>1</v>
      </c>
      <c r="X1723" s="13" t="n">
        <f aca="false">IF(H1723="Investment",1,0)</f>
        <v>0</v>
      </c>
      <c r="Y1723" s="13" t="n">
        <f aca="false">IF(K1723="Website",1,0)</f>
        <v>0</v>
      </c>
      <c r="Z1723" s="13" t="n">
        <f aca="false">IF(K1723="Agency",1,0)</f>
        <v>1</v>
      </c>
      <c r="AA1723" s="13" t="n">
        <f aca="false">IF(K1723="Client",1,0)</f>
        <v>0</v>
      </c>
      <c r="AB1723" s="13" t="n">
        <f aca="false">(D1723-AVERAGE(D$2:D$2001))/STDEV(D$2:D$2001)</f>
        <v>0.857037075920391</v>
      </c>
      <c r="AC1723" s="13" t="n">
        <f aca="false">(I1723-AVERAGE(I$2:I$2001))/STDEV(I$2:I$2001)</f>
        <v>1.39434968409451</v>
      </c>
      <c r="AD1723" s="13" t="n">
        <f aca="false">(L1723-AVERAGE(L$2:L$2001))/STDEV(L$2:L$2001)</f>
        <v>-0.777063122173208</v>
      </c>
      <c r="AE1723" s="13" t="n">
        <f aca="false">(M1723-AVERAGE(M$2:M$2001))/STDEV(M$2:M$2001)</f>
        <v>0.133245525097648</v>
      </c>
      <c r="AF1723" s="13" t="n">
        <f aca="false">(N1723-AVERAGE(N$2:N$2001))/STDEV(N$2:N$2001)</f>
        <v>1.26910286949956</v>
      </c>
      <c r="AG1723" s="13" t="n">
        <f aca="false">(O1723-AVERAGE(O$2:O$2001))/STDEV(O$2:O$2001)</f>
        <v>1.3223456005997</v>
      </c>
      <c r="AH1723" s="0" t="str">
        <f aca="false">IF(B1723="Company","C3 - Corporate Buyers",IF(AND(H1723="Investment",M1723&gt;'Segmentation Summary'!$C$1),"C1 - Global Investors",IF(AND(I1723&gt;=4,M1723&gt;'Segmentation Summary'!$C$1),"C4 - Luxury Investors",IF(AND(D1723&lt;'Segmentation Summary'!$C$2,J1723=1),"C2 - First-Time Buyers","C5 - Other Individual Buyers"))))</f>
        <v>C4 - Luxury Investors</v>
      </c>
    </row>
    <row r="1724" customFormat="false" ht="15" hidden="false" customHeight="true" outlineLevel="0" collapsed="false">
      <c r="A1724" s="13" t="s">
        <v>3440</v>
      </c>
      <c r="B1724" s="13" t="s">
        <v>34</v>
      </c>
      <c r="C1724" s="13" t="s">
        <v>3441</v>
      </c>
      <c r="D1724" s="13" t="n">
        <v>32</v>
      </c>
      <c r="E1724" s="13" t="s">
        <v>90</v>
      </c>
      <c r="F1724" s="13" t="s">
        <v>33</v>
      </c>
      <c r="G1724" s="13" t="s">
        <v>84</v>
      </c>
      <c r="H1724" s="13" t="s">
        <v>41</v>
      </c>
      <c r="I1724" s="13" t="n">
        <v>1</v>
      </c>
      <c r="J1724" s="13" t="n">
        <v>1</v>
      </c>
      <c r="K1724" s="13" t="s">
        <v>85</v>
      </c>
      <c r="L1724" s="13" t="n">
        <v>4</v>
      </c>
      <c r="M1724" s="13" t="n">
        <v>1151831.48</v>
      </c>
      <c r="N1724" s="13" t="n">
        <v>287957.87</v>
      </c>
      <c r="O1724" s="13" t="n">
        <v>1027.325</v>
      </c>
      <c r="P1724" s="13" t="n">
        <v>0</v>
      </c>
      <c r="Q1724" s="13" t="n">
        <v>4</v>
      </c>
      <c r="R1724" s="13" t="s">
        <v>92</v>
      </c>
      <c r="S1724" s="13" t="s">
        <v>93</v>
      </c>
      <c r="T1724" s="13" t="n">
        <v>1</v>
      </c>
      <c r="U1724" s="13" t="n">
        <f aca="false">IF(B1724="Individual",1,0)</f>
        <v>1</v>
      </c>
      <c r="V1724" s="13" t="n">
        <f aca="false">IF(B1724="Company",1,0)</f>
        <v>0</v>
      </c>
      <c r="W1724" s="13" t="n">
        <f aca="false">IF(H1724="Home",1,0)</f>
        <v>1</v>
      </c>
      <c r="X1724" s="13" t="n">
        <f aca="false">IF(H1724="Investment",1,0)</f>
        <v>0</v>
      </c>
      <c r="Y1724" s="13" t="n">
        <f aca="false">IF(K1724="Website",1,0)</f>
        <v>1</v>
      </c>
      <c r="Z1724" s="13" t="n">
        <f aca="false">IF(K1724="Agency",1,0)</f>
        <v>0</v>
      </c>
      <c r="AA1724" s="13" t="n">
        <f aca="false">IF(K1724="Client",1,0)</f>
        <v>0</v>
      </c>
      <c r="AB1724" s="13" t="n">
        <f aca="false">(D1724-AVERAGE(D$2:D$2001))/STDEV(D$2:D$2001)</f>
        <v>-1.2764737771412</v>
      </c>
      <c r="AC1724" s="13" t="n">
        <f aca="false">(I1724-AVERAGE(I$2:I$2001))/STDEV(I$2:I$2001)</f>
        <v>-1.43538077576244</v>
      </c>
      <c r="AD1724" s="13" t="n">
        <f aca="false">(L1724-AVERAGE(L$2:L$2001))/STDEV(L$2:L$2001)</f>
        <v>0.413838214490712</v>
      </c>
      <c r="AE1724" s="13" t="n">
        <f aca="false">(M1724-AVERAGE(M$2:M$2001))/STDEV(M$2:M$2001)</f>
        <v>-0.312059894068974</v>
      </c>
      <c r="AF1724" s="13" t="n">
        <f aca="false">(N1724-AVERAGE(N$2:N$2001))/STDEV(N$2:N$2001)</f>
        <v>-0.84811446876544</v>
      </c>
      <c r="AG1724" s="13" t="n">
        <f aca="false">(O1724-AVERAGE(O$2:O$2001))/STDEV(O$2:O$2001)</f>
        <v>-0.546349829979864</v>
      </c>
      <c r="AH1724" s="0" t="str">
        <f aca="false">IF(B1724="Company","C3 - Corporate Buyers",IF(AND(H1724="Investment",M1724&gt;'Segmentation Summary'!$C$1),"C1 - Global Investors",IF(AND(I1724&gt;=4,M1724&gt;'Segmentation Summary'!$C$1),"C4 - Luxury Investors",IF(AND(D1724&lt;'Segmentation Summary'!$C$2,J1724=1),"C2 - First-Time Buyers","C5 - Other Individual Buyers"))))</f>
        <v>C2 - First-Time Buyers</v>
      </c>
    </row>
    <row r="1725" customFormat="false" ht="15" hidden="false" customHeight="true" outlineLevel="0" collapsed="false">
      <c r="A1725" s="13" t="s">
        <v>3442</v>
      </c>
      <c r="B1725" s="13" t="s">
        <v>34</v>
      </c>
      <c r="C1725" s="13" t="s">
        <v>3443</v>
      </c>
      <c r="D1725" s="13" t="n">
        <v>43</v>
      </c>
      <c r="E1725" s="13" t="s">
        <v>90</v>
      </c>
      <c r="F1725" s="13" t="s">
        <v>33</v>
      </c>
      <c r="G1725" s="13" t="s">
        <v>265</v>
      </c>
      <c r="H1725" s="13" t="s">
        <v>41</v>
      </c>
      <c r="I1725" s="13" t="n">
        <v>2</v>
      </c>
      <c r="J1725" s="13" t="n">
        <v>0</v>
      </c>
      <c r="K1725" s="13" t="s">
        <v>85</v>
      </c>
      <c r="L1725" s="13" t="n">
        <v>3</v>
      </c>
      <c r="M1725" s="13" t="n">
        <v>1096583.29</v>
      </c>
      <c r="N1725" s="13" t="n">
        <v>365527.763333333</v>
      </c>
      <c r="O1725" s="13" t="n">
        <v>1190.31333333333</v>
      </c>
      <c r="P1725" s="13" t="n">
        <v>0</v>
      </c>
      <c r="Q1725" s="13" t="n">
        <v>3</v>
      </c>
      <c r="R1725" s="13" t="s">
        <v>150</v>
      </c>
      <c r="S1725" s="13" t="s">
        <v>164</v>
      </c>
      <c r="T1725" s="13" t="n">
        <v>1</v>
      </c>
      <c r="U1725" s="13" t="n">
        <f aca="false">IF(B1725="Individual",1,0)</f>
        <v>1</v>
      </c>
      <c r="V1725" s="13" t="n">
        <f aca="false">IF(B1725="Company",1,0)</f>
        <v>0</v>
      </c>
      <c r="W1725" s="13" t="n">
        <f aca="false">IF(H1725="Home",1,0)</f>
        <v>1</v>
      </c>
      <c r="X1725" s="13" t="n">
        <f aca="false">IF(H1725="Investment",1,0)</f>
        <v>0</v>
      </c>
      <c r="Y1725" s="13" t="n">
        <f aca="false">IF(K1725="Website",1,0)</f>
        <v>1</v>
      </c>
      <c r="Z1725" s="13" t="n">
        <f aca="false">IF(K1725="Agency",1,0)</f>
        <v>0</v>
      </c>
      <c r="AA1725" s="13" t="n">
        <f aca="false">IF(K1725="Client",1,0)</f>
        <v>0</v>
      </c>
      <c r="AB1725" s="13" t="n">
        <f aca="false">(D1725-AVERAGE(D$2:D$2001))/STDEV(D$2:D$2001)</f>
        <v>-0.64218676677154</v>
      </c>
      <c r="AC1725" s="13" t="n">
        <f aca="false">(I1725-AVERAGE(I$2:I$2001))/STDEV(I$2:I$2001)</f>
        <v>-0.727948160798201</v>
      </c>
      <c r="AD1725" s="13" t="n">
        <f aca="false">(L1725-AVERAGE(L$2:L$2001))/STDEV(L$2:L$2001)</f>
        <v>-0.777063122173208</v>
      </c>
      <c r="AE1725" s="13" t="n">
        <f aca="false">(M1725-AVERAGE(M$2:M$2001))/STDEV(M$2:M$2001)</f>
        <v>-0.470896349812186</v>
      </c>
      <c r="AF1725" s="13" t="n">
        <f aca="false">(N1725-AVERAGE(N$2:N$2001))/STDEV(N$2:N$2001)</f>
        <v>0.264448159622011</v>
      </c>
      <c r="AG1725" s="13" t="n">
        <f aca="false">(O1725-AVERAGE(O$2:O$2001))/STDEV(O$2:O$2001)</f>
        <v>0.194767012934491</v>
      </c>
      <c r="AH1725" s="0" t="str">
        <f aca="false">IF(B1725="Company","C3 - Corporate Buyers",IF(AND(H1725="Investment",M1725&gt;'Segmentation Summary'!$C$1),"C1 - Global Investors",IF(AND(I1725&gt;=4,M1725&gt;'Segmentation Summary'!$C$1),"C4 - Luxury Investors",IF(AND(D1725&lt;'Segmentation Summary'!$C$2,J1725=1),"C2 - First-Time Buyers","C5 - Other Individual Buyers"))))</f>
        <v>C5 - Other Individual Buyers</v>
      </c>
    </row>
    <row r="1726" customFormat="false" ht="15" hidden="false" customHeight="true" outlineLevel="0" collapsed="false">
      <c r="A1726" s="13" t="s">
        <v>3444</v>
      </c>
      <c r="B1726" s="13" t="s">
        <v>34</v>
      </c>
      <c r="C1726" s="13" t="s">
        <v>3445</v>
      </c>
      <c r="D1726" s="13" t="n">
        <v>77</v>
      </c>
      <c r="E1726" s="13" t="s">
        <v>90</v>
      </c>
      <c r="F1726" s="13" t="s">
        <v>40</v>
      </c>
      <c r="G1726" s="13" t="s">
        <v>219</v>
      </c>
      <c r="H1726" s="13" t="s">
        <v>43</v>
      </c>
      <c r="I1726" s="13" t="n">
        <v>1</v>
      </c>
      <c r="J1726" s="13" t="n">
        <v>1</v>
      </c>
      <c r="K1726" s="13" t="s">
        <v>85</v>
      </c>
      <c r="L1726" s="13" t="n">
        <v>3</v>
      </c>
      <c r="M1726" s="13" t="n">
        <v>1094232.67</v>
      </c>
      <c r="N1726" s="13" t="n">
        <v>364744.223333333</v>
      </c>
      <c r="O1726" s="13" t="n">
        <v>1243.82333333333</v>
      </c>
      <c r="P1726" s="13" t="n">
        <v>0</v>
      </c>
      <c r="Q1726" s="13" t="n">
        <v>3</v>
      </c>
      <c r="R1726" s="13" t="s">
        <v>86</v>
      </c>
      <c r="S1726" s="13" t="s">
        <v>164</v>
      </c>
      <c r="T1726" s="13" t="n">
        <v>1</v>
      </c>
      <c r="U1726" s="13" t="n">
        <f aca="false">IF(B1726="Individual",1,0)</f>
        <v>1</v>
      </c>
      <c r="V1726" s="13" t="n">
        <f aca="false">IF(B1726="Company",1,0)</f>
        <v>0</v>
      </c>
      <c r="W1726" s="13" t="n">
        <f aca="false">IF(H1726="Home",1,0)</f>
        <v>0</v>
      </c>
      <c r="X1726" s="13" t="n">
        <f aca="false">IF(H1726="Investment",1,0)</f>
        <v>1</v>
      </c>
      <c r="Y1726" s="13" t="n">
        <f aca="false">IF(K1726="Website",1,0)</f>
        <v>1</v>
      </c>
      <c r="Z1726" s="13" t="n">
        <f aca="false">IF(K1726="Agency",1,0)</f>
        <v>0</v>
      </c>
      <c r="AA1726" s="13" t="n">
        <f aca="false">IF(K1726="Client",1,0)</f>
        <v>0</v>
      </c>
      <c r="AB1726" s="13" t="n">
        <f aca="false">(D1726-AVERAGE(D$2:D$2001))/STDEV(D$2:D$2001)</f>
        <v>1.3183367198256</v>
      </c>
      <c r="AC1726" s="13" t="n">
        <f aca="false">(I1726-AVERAGE(I$2:I$2001))/STDEV(I$2:I$2001)</f>
        <v>-1.43538077576244</v>
      </c>
      <c r="AD1726" s="13" t="n">
        <f aca="false">(L1726-AVERAGE(L$2:L$2001))/STDEV(L$2:L$2001)</f>
        <v>-0.777063122173208</v>
      </c>
      <c r="AE1726" s="13" t="n">
        <f aca="false">(M1726-AVERAGE(M$2:M$2001))/STDEV(M$2:M$2001)</f>
        <v>-0.477654293368331</v>
      </c>
      <c r="AF1726" s="13" t="n">
        <f aca="false">(N1726-AVERAGE(N$2:N$2001))/STDEV(N$2:N$2001)</f>
        <v>0.253210071178332</v>
      </c>
      <c r="AG1726" s="13" t="n">
        <f aca="false">(O1726-AVERAGE(O$2:O$2001))/STDEV(O$2:O$2001)</f>
        <v>0.438079901981854</v>
      </c>
      <c r="AH1726" s="0" t="str">
        <f aca="false">IF(B1726="Company","C3 - Corporate Buyers",IF(AND(H1726="Investment",M1726&gt;'Segmentation Summary'!$C$1),"C1 - Global Investors",IF(AND(I1726&gt;=4,M1726&gt;'Segmentation Summary'!$C$1),"C4 - Luxury Investors",IF(AND(D1726&lt;'Segmentation Summary'!$C$2,J1726=1),"C2 - First-Time Buyers","C5 - Other Individual Buyers"))))</f>
        <v>C5 - Other Individual Buyers</v>
      </c>
    </row>
    <row r="1727" customFormat="false" ht="15" hidden="false" customHeight="true" outlineLevel="0" collapsed="false">
      <c r="A1727" s="13" t="s">
        <v>3446</v>
      </c>
      <c r="B1727" s="13" t="s">
        <v>34</v>
      </c>
      <c r="C1727" s="13" t="s">
        <v>3447</v>
      </c>
      <c r="D1727" s="13" t="n">
        <v>49</v>
      </c>
      <c r="E1727" s="13" t="s">
        <v>90</v>
      </c>
      <c r="F1727" s="13" t="s">
        <v>33</v>
      </c>
      <c r="G1727" s="13" t="s">
        <v>95</v>
      </c>
      <c r="H1727" s="13" t="s">
        <v>43</v>
      </c>
      <c r="I1727" s="13" t="n">
        <v>2</v>
      </c>
      <c r="J1727" s="13" t="n">
        <v>1</v>
      </c>
      <c r="K1727" s="13" t="s">
        <v>85</v>
      </c>
      <c r="L1727" s="13" t="n">
        <v>3</v>
      </c>
      <c r="M1727" s="13" t="n">
        <v>1230825.62</v>
      </c>
      <c r="N1727" s="13" t="n">
        <v>410275.206666667</v>
      </c>
      <c r="O1727" s="13" t="n">
        <v>1308.51333333333</v>
      </c>
      <c r="P1727" s="13" t="n">
        <v>1</v>
      </c>
      <c r="Q1727" s="13" t="n">
        <v>2</v>
      </c>
      <c r="R1727" s="13" t="s">
        <v>124</v>
      </c>
      <c r="S1727" s="13" t="s">
        <v>133</v>
      </c>
      <c r="T1727" s="13" t="n">
        <v>1</v>
      </c>
      <c r="U1727" s="13" t="n">
        <f aca="false">IF(B1727="Individual",1,0)</f>
        <v>1</v>
      </c>
      <c r="V1727" s="13" t="n">
        <f aca="false">IF(B1727="Company",1,0)</f>
        <v>0</v>
      </c>
      <c r="W1727" s="13" t="n">
        <f aca="false">IF(H1727="Home",1,0)</f>
        <v>0</v>
      </c>
      <c r="X1727" s="13" t="n">
        <f aca="false">IF(H1727="Investment",1,0)</f>
        <v>1</v>
      </c>
      <c r="Y1727" s="13" t="n">
        <f aca="false">IF(K1727="Website",1,0)</f>
        <v>1</v>
      </c>
      <c r="Z1727" s="13" t="n">
        <f aca="false">IF(K1727="Agency",1,0)</f>
        <v>0</v>
      </c>
      <c r="AA1727" s="13" t="n">
        <f aca="false">IF(K1727="Client",1,0)</f>
        <v>0</v>
      </c>
      <c r="AB1727" s="13" t="n">
        <f aca="false">(D1727-AVERAGE(D$2:D$2001))/STDEV(D$2:D$2001)</f>
        <v>-0.296212033842633</v>
      </c>
      <c r="AC1727" s="13" t="n">
        <f aca="false">(I1727-AVERAGE(I$2:I$2001))/STDEV(I$2:I$2001)</f>
        <v>-0.727948160798201</v>
      </c>
      <c r="AD1727" s="13" t="n">
        <f aca="false">(L1727-AVERAGE(L$2:L$2001))/STDEV(L$2:L$2001)</f>
        <v>-0.777063122173208</v>
      </c>
      <c r="AE1727" s="13" t="n">
        <f aca="false">(M1727-AVERAGE(M$2:M$2001))/STDEV(M$2:M$2001)</f>
        <v>-0.0849547305860959</v>
      </c>
      <c r="AF1727" s="13" t="n">
        <f aca="false">(N1727-AVERAGE(N$2:N$2001))/STDEV(N$2:N$2001)</f>
        <v>0.906247845417885</v>
      </c>
      <c r="AG1727" s="13" t="n">
        <f aca="false">(O1727-AVERAGE(O$2:O$2001))/STDEV(O$2:O$2001)</f>
        <v>0.732228860914276</v>
      </c>
      <c r="AH1727" s="0" t="str">
        <f aca="false">IF(B1727="Company","C3 - Corporate Buyers",IF(AND(H1727="Investment",M1727&gt;'Segmentation Summary'!$C$1),"C1 - Global Investors",IF(AND(I1727&gt;=4,M1727&gt;'Segmentation Summary'!$C$1),"C4 - Luxury Investors",IF(AND(D1727&lt;'Segmentation Summary'!$C$2,J1727=1),"C2 - First-Time Buyers","C5 - Other Individual Buyers"))))</f>
        <v>C1 - Global Investors</v>
      </c>
    </row>
    <row r="1728" customFormat="false" ht="15" hidden="false" customHeight="true" outlineLevel="0" collapsed="false">
      <c r="A1728" s="13" t="s">
        <v>3448</v>
      </c>
      <c r="B1728" s="13" t="s">
        <v>34</v>
      </c>
      <c r="C1728" s="13" t="s">
        <v>3449</v>
      </c>
      <c r="D1728" s="13" t="n">
        <v>42</v>
      </c>
      <c r="E1728" s="13" t="s">
        <v>90</v>
      </c>
      <c r="F1728" s="13" t="s">
        <v>33</v>
      </c>
      <c r="G1728" s="13" t="s">
        <v>97</v>
      </c>
      <c r="H1728" s="13" t="s">
        <v>41</v>
      </c>
      <c r="I1728" s="13" t="n">
        <v>2</v>
      </c>
      <c r="J1728" s="13" t="n">
        <v>1</v>
      </c>
      <c r="K1728" s="13" t="s">
        <v>91</v>
      </c>
      <c r="L1728" s="13" t="n">
        <v>4</v>
      </c>
      <c r="M1728" s="13" t="n">
        <v>1233960.52</v>
      </c>
      <c r="N1728" s="13" t="n">
        <v>308490.13</v>
      </c>
      <c r="O1728" s="13" t="n">
        <v>1009.23</v>
      </c>
      <c r="P1728" s="13" t="n">
        <v>0</v>
      </c>
      <c r="Q1728" s="13" t="n">
        <v>4</v>
      </c>
      <c r="R1728" s="13" t="s">
        <v>124</v>
      </c>
      <c r="S1728" s="13" t="s">
        <v>154</v>
      </c>
      <c r="T1728" s="13" t="n">
        <v>1</v>
      </c>
      <c r="U1728" s="13" t="n">
        <f aca="false">IF(B1728="Individual",1,0)</f>
        <v>1</v>
      </c>
      <c r="V1728" s="13" t="n">
        <f aca="false">IF(B1728="Company",1,0)</f>
        <v>0</v>
      </c>
      <c r="W1728" s="13" t="n">
        <f aca="false">IF(H1728="Home",1,0)</f>
        <v>1</v>
      </c>
      <c r="X1728" s="13" t="n">
        <f aca="false">IF(H1728="Investment",1,0)</f>
        <v>0</v>
      </c>
      <c r="Y1728" s="13" t="n">
        <f aca="false">IF(K1728="Website",1,0)</f>
        <v>0</v>
      </c>
      <c r="Z1728" s="13" t="n">
        <f aca="false">IF(K1728="Agency",1,0)</f>
        <v>1</v>
      </c>
      <c r="AA1728" s="13" t="n">
        <f aca="false">IF(K1728="Client",1,0)</f>
        <v>0</v>
      </c>
      <c r="AB1728" s="13" t="n">
        <f aca="false">(D1728-AVERAGE(D$2:D$2001))/STDEV(D$2:D$2001)</f>
        <v>-0.699849222259691</v>
      </c>
      <c r="AC1728" s="13" t="n">
        <f aca="false">(I1728-AVERAGE(I$2:I$2001))/STDEV(I$2:I$2001)</f>
        <v>-0.727948160798201</v>
      </c>
      <c r="AD1728" s="13" t="n">
        <f aca="false">(L1728-AVERAGE(L$2:L$2001))/STDEV(L$2:L$2001)</f>
        <v>0.413838214490712</v>
      </c>
      <c r="AE1728" s="13" t="n">
        <f aca="false">(M1728-AVERAGE(M$2:M$2001))/STDEV(M$2:M$2001)</f>
        <v>-0.0759420117059048</v>
      </c>
      <c r="AF1728" s="13" t="n">
        <f aca="false">(N1728-AVERAGE(N$2:N$2001))/STDEV(N$2:N$2001)</f>
        <v>-0.553626179937043</v>
      </c>
      <c r="AG1728" s="13" t="n">
        <f aca="false">(O1728-AVERAGE(O$2:O$2001))/STDEV(O$2:O$2001)</f>
        <v>-0.628628782088107</v>
      </c>
      <c r="AH1728" s="0" t="str">
        <f aca="false">IF(B1728="Company","C3 - Corporate Buyers",IF(AND(H1728="Investment",M1728&gt;'Segmentation Summary'!$C$1),"C1 - Global Investors",IF(AND(I1728&gt;=4,M1728&gt;'Segmentation Summary'!$C$1),"C4 - Luxury Investors",IF(AND(D1728&lt;'Segmentation Summary'!$C$2,J1728=1),"C2 - First-Time Buyers","C5 - Other Individual Buyers"))))</f>
        <v>C2 - First-Time Buyers</v>
      </c>
    </row>
    <row r="1729" customFormat="false" ht="15" hidden="false" customHeight="true" outlineLevel="0" collapsed="false">
      <c r="A1729" s="13" t="s">
        <v>3450</v>
      </c>
      <c r="B1729" s="13" t="s">
        <v>34</v>
      </c>
      <c r="C1729" s="13" t="s">
        <v>3451</v>
      </c>
      <c r="D1729" s="13" t="n">
        <v>50</v>
      </c>
      <c r="E1729" s="13" t="s">
        <v>90</v>
      </c>
      <c r="F1729" s="13" t="s">
        <v>33</v>
      </c>
      <c r="G1729" s="13" t="s">
        <v>95</v>
      </c>
      <c r="H1729" s="13" t="s">
        <v>41</v>
      </c>
      <c r="I1729" s="13" t="n">
        <v>5</v>
      </c>
      <c r="J1729" s="13" t="n">
        <v>0</v>
      </c>
      <c r="K1729" s="13" t="s">
        <v>85</v>
      </c>
      <c r="L1729" s="13" t="n">
        <v>3</v>
      </c>
      <c r="M1729" s="13" t="n">
        <v>928645.01</v>
      </c>
      <c r="N1729" s="13" t="n">
        <v>309548.336666667</v>
      </c>
      <c r="O1729" s="13" t="n">
        <v>1016.50333333333</v>
      </c>
      <c r="P1729" s="13" t="n">
        <v>0</v>
      </c>
      <c r="Q1729" s="13" t="n">
        <v>3</v>
      </c>
      <c r="R1729" s="13" t="s">
        <v>150</v>
      </c>
      <c r="S1729" s="13" t="s">
        <v>125</v>
      </c>
      <c r="T1729" s="13" t="n">
        <v>1</v>
      </c>
      <c r="U1729" s="13" t="n">
        <f aca="false">IF(B1729="Individual",1,0)</f>
        <v>1</v>
      </c>
      <c r="V1729" s="13" t="n">
        <f aca="false">IF(B1729="Company",1,0)</f>
        <v>0</v>
      </c>
      <c r="W1729" s="13" t="n">
        <f aca="false">IF(H1729="Home",1,0)</f>
        <v>1</v>
      </c>
      <c r="X1729" s="13" t="n">
        <f aca="false">IF(H1729="Investment",1,0)</f>
        <v>0</v>
      </c>
      <c r="Y1729" s="13" t="n">
        <f aca="false">IF(K1729="Website",1,0)</f>
        <v>1</v>
      </c>
      <c r="Z1729" s="13" t="n">
        <f aca="false">IF(K1729="Agency",1,0)</f>
        <v>0</v>
      </c>
      <c r="AA1729" s="13" t="n">
        <f aca="false">IF(K1729="Client",1,0)</f>
        <v>0</v>
      </c>
      <c r="AB1729" s="13" t="n">
        <f aca="false">(D1729-AVERAGE(D$2:D$2001))/STDEV(D$2:D$2001)</f>
        <v>-0.238549578354482</v>
      </c>
      <c r="AC1729" s="13" t="n">
        <f aca="false">(I1729-AVERAGE(I$2:I$2001))/STDEV(I$2:I$2001)</f>
        <v>1.39434968409451</v>
      </c>
      <c r="AD1729" s="13" t="n">
        <f aca="false">(L1729-AVERAGE(L$2:L$2001))/STDEV(L$2:L$2001)</f>
        <v>-0.777063122173208</v>
      </c>
      <c r="AE1729" s="13" t="n">
        <f aca="false">(M1729-AVERAGE(M$2:M$2001))/STDEV(M$2:M$2001)</f>
        <v>-0.953712550285201</v>
      </c>
      <c r="AF1729" s="13" t="n">
        <f aca="false">(N1729-AVERAGE(N$2:N$2001))/STDEV(N$2:N$2001)</f>
        <v>-0.538448626638304</v>
      </c>
      <c r="AG1729" s="13" t="n">
        <f aca="false">(O1729-AVERAGE(O$2:O$2001))/STDEV(O$2:O$2001)</f>
        <v>-0.595556538650674</v>
      </c>
      <c r="AH1729" s="0" t="str">
        <f aca="false">IF(B1729="Company","C3 - Corporate Buyers",IF(AND(H1729="Investment",M1729&gt;'Segmentation Summary'!$C$1),"C1 - Global Investors",IF(AND(I1729&gt;=4,M1729&gt;'Segmentation Summary'!$C$1),"C4 - Luxury Investors",IF(AND(D1729&lt;'Segmentation Summary'!$C$2,J1729=1),"C2 - First-Time Buyers","C5 - Other Individual Buyers"))))</f>
        <v>C5 - Other Individual Buyers</v>
      </c>
    </row>
    <row r="1730" customFormat="false" ht="15" hidden="false" customHeight="true" outlineLevel="0" collapsed="false">
      <c r="A1730" s="13" t="s">
        <v>3452</v>
      </c>
      <c r="B1730" s="13" t="s">
        <v>34</v>
      </c>
      <c r="C1730" s="13" t="s">
        <v>3453</v>
      </c>
      <c r="D1730" s="13" t="n">
        <v>33</v>
      </c>
      <c r="E1730" s="13" t="s">
        <v>83</v>
      </c>
      <c r="F1730" s="13" t="s">
        <v>33</v>
      </c>
      <c r="G1730" s="13" t="s">
        <v>145</v>
      </c>
      <c r="H1730" s="13" t="s">
        <v>41</v>
      </c>
      <c r="I1730" s="13" t="n">
        <v>4</v>
      </c>
      <c r="J1730" s="13" t="n">
        <v>0</v>
      </c>
      <c r="K1730" s="13" t="s">
        <v>85</v>
      </c>
      <c r="L1730" s="13" t="n">
        <v>3</v>
      </c>
      <c r="M1730" s="13" t="n">
        <v>1327801.32</v>
      </c>
      <c r="N1730" s="13" t="n">
        <v>442600.44</v>
      </c>
      <c r="O1730" s="13" t="n">
        <v>1451.53666666667</v>
      </c>
      <c r="P1730" s="13" t="n">
        <v>0</v>
      </c>
      <c r="Q1730" s="13" t="n">
        <v>3</v>
      </c>
      <c r="R1730" s="13" t="s">
        <v>128</v>
      </c>
      <c r="S1730" s="13" t="s">
        <v>135</v>
      </c>
      <c r="T1730" s="13" t="n">
        <v>1</v>
      </c>
      <c r="U1730" s="13" t="n">
        <f aca="false">IF(B1730="Individual",1,0)</f>
        <v>1</v>
      </c>
      <c r="V1730" s="13" t="n">
        <f aca="false">IF(B1730="Company",1,0)</f>
        <v>0</v>
      </c>
      <c r="W1730" s="13" t="n">
        <f aca="false">IF(H1730="Home",1,0)</f>
        <v>1</v>
      </c>
      <c r="X1730" s="13" t="n">
        <f aca="false">IF(H1730="Investment",1,0)</f>
        <v>0</v>
      </c>
      <c r="Y1730" s="13" t="n">
        <f aca="false">IF(K1730="Website",1,0)</f>
        <v>1</v>
      </c>
      <c r="Z1730" s="13" t="n">
        <f aca="false">IF(K1730="Agency",1,0)</f>
        <v>0</v>
      </c>
      <c r="AA1730" s="13" t="n">
        <f aca="false">IF(K1730="Client",1,0)</f>
        <v>0</v>
      </c>
      <c r="AB1730" s="13" t="n">
        <f aca="false">(D1730-AVERAGE(D$2:D$2001))/STDEV(D$2:D$2001)</f>
        <v>-1.21881132165305</v>
      </c>
      <c r="AC1730" s="13" t="n">
        <f aca="false">(I1730-AVERAGE(I$2:I$2001))/STDEV(I$2:I$2001)</f>
        <v>0.686917069130275</v>
      </c>
      <c r="AD1730" s="13" t="n">
        <f aca="false">(L1730-AVERAGE(L$2:L$2001))/STDEV(L$2:L$2001)</f>
        <v>-0.777063122173208</v>
      </c>
      <c r="AE1730" s="13" t="n">
        <f aca="false">(M1730-AVERAGE(M$2:M$2001))/STDEV(M$2:M$2001)</f>
        <v>0.193846737502126</v>
      </c>
      <c r="AF1730" s="13" t="n">
        <f aca="false">(N1730-AVERAGE(N$2:N$2001))/STDEV(N$2:N$2001)</f>
        <v>1.36987935263199</v>
      </c>
      <c r="AG1730" s="13" t="n">
        <f aca="false">(O1730-AVERAGE(O$2:O$2001))/STDEV(O$2:O$2001)</f>
        <v>1.38256375970925</v>
      </c>
      <c r="AH1730" s="0" t="str">
        <f aca="false">IF(B1730="Company","C3 - Corporate Buyers",IF(AND(H1730="Investment",M1730&gt;'Segmentation Summary'!$C$1),"C1 - Global Investors",IF(AND(I1730&gt;=4,M1730&gt;'Segmentation Summary'!$C$1),"C4 - Luxury Investors",IF(AND(D1730&lt;'Segmentation Summary'!$C$2,J1730=1),"C2 - First-Time Buyers","C5 - Other Individual Buyers"))))</f>
        <v>C4 - Luxury Investors</v>
      </c>
    </row>
    <row r="1731" customFormat="false" ht="15" hidden="false" customHeight="true" outlineLevel="0" collapsed="false">
      <c r="A1731" s="13" t="s">
        <v>3454</v>
      </c>
      <c r="B1731" s="13" t="s">
        <v>34</v>
      </c>
      <c r="C1731" s="13" t="s">
        <v>3455</v>
      </c>
      <c r="D1731" s="13" t="n">
        <v>60</v>
      </c>
      <c r="E1731" s="13" t="s">
        <v>83</v>
      </c>
      <c r="F1731" s="13" t="s">
        <v>33</v>
      </c>
      <c r="G1731" s="13" t="s">
        <v>95</v>
      </c>
      <c r="H1731" s="13" t="s">
        <v>43</v>
      </c>
      <c r="I1731" s="13" t="n">
        <v>4</v>
      </c>
      <c r="J1731" s="13" t="n">
        <v>0</v>
      </c>
      <c r="K1731" s="13" t="s">
        <v>91</v>
      </c>
      <c r="L1731" s="13" t="n">
        <v>4</v>
      </c>
      <c r="M1731" s="13" t="n">
        <v>1662617.88</v>
      </c>
      <c r="N1731" s="13" t="n">
        <v>415654.47</v>
      </c>
      <c r="O1731" s="13" t="n">
        <v>1269.065</v>
      </c>
      <c r="P1731" s="13" t="n">
        <v>2</v>
      </c>
      <c r="Q1731" s="13" t="n">
        <v>2</v>
      </c>
      <c r="R1731" s="13" t="s">
        <v>124</v>
      </c>
      <c r="S1731" s="13" t="s">
        <v>154</v>
      </c>
      <c r="T1731" s="13" t="n">
        <v>1</v>
      </c>
      <c r="U1731" s="13" t="n">
        <f aca="false">IF(B1731="Individual",1,0)</f>
        <v>1</v>
      </c>
      <c r="V1731" s="13" t="n">
        <f aca="false">IF(B1731="Company",1,0)</f>
        <v>0</v>
      </c>
      <c r="W1731" s="13" t="n">
        <f aca="false">IF(H1731="Home",1,0)</f>
        <v>0</v>
      </c>
      <c r="X1731" s="13" t="n">
        <f aca="false">IF(H1731="Investment",1,0)</f>
        <v>1</v>
      </c>
      <c r="Y1731" s="13" t="n">
        <f aca="false">IF(K1731="Website",1,0)</f>
        <v>0</v>
      </c>
      <c r="Z1731" s="13" t="n">
        <f aca="false">IF(K1731="Agency",1,0)</f>
        <v>1</v>
      </c>
      <c r="AA1731" s="13" t="n">
        <f aca="false">IF(K1731="Client",1,0)</f>
        <v>0</v>
      </c>
      <c r="AB1731" s="13" t="n">
        <f aca="false">(D1731-AVERAGE(D$2:D$2001))/STDEV(D$2:D$2001)</f>
        <v>0.338074976527031</v>
      </c>
      <c r="AC1731" s="13" t="n">
        <f aca="false">(I1731-AVERAGE(I$2:I$2001))/STDEV(I$2:I$2001)</f>
        <v>0.686917069130275</v>
      </c>
      <c r="AD1731" s="13" t="n">
        <f aca="false">(L1731-AVERAGE(L$2:L$2001))/STDEV(L$2:L$2001)</f>
        <v>0.413838214490712</v>
      </c>
      <c r="AE1731" s="13" t="n">
        <f aca="false">(M1731-AVERAGE(M$2:M$2001))/STDEV(M$2:M$2001)</f>
        <v>1.15643167855693</v>
      </c>
      <c r="AF1731" s="13" t="n">
        <f aca="false">(N1731-AVERAGE(N$2:N$2001))/STDEV(N$2:N$2001)</f>
        <v>0.983401069378159</v>
      </c>
      <c r="AG1731" s="13" t="n">
        <f aca="false">(O1731-AVERAGE(O$2:O$2001))/STDEV(O$2:O$2001)</f>
        <v>0.552855137284377</v>
      </c>
      <c r="AH1731" s="0" t="str">
        <f aca="false">IF(B1731="Company","C3 - Corporate Buyers",IF(AND(H1731="Investment",M1731&gt;'Segmentation Summary'!$C$1),"C1 - Global Investors",IF(AND(I1731&gt;=4,M1731&gt;'Segmentation Summary'!$C$1),"C4 - Luxury Investors",IF(AND(D1731&lt;'Segmentation Summary'!$C$2,J1731=1),"C2 - First-Time Buyers","C5 - Other Individual Buyers"))))</f>
        <v>C1 - Global Investors</v>
      </c>
    </row>
    <row r="1732" customFormat="false" ht="15" hidden="false" customHeight="true" outlineLevel="0" collapsed="false">
      <c r="A1732" s="13" t="s">
        <v>3456</v>
      </c>
      <c r="B1732" s="13" t="s">
        <v>34</v>
      </c>
      <c r="C1732" s="13" t="s">
        <v>3457</v>
      </c>
      <c r="D1732" s="13" t="n">
        <v>57</v>
      </c>
      <c r="E1732" s="13" t="s">
        <v>83</v>
      </c>
      <c r="F1732" s="13" t="s">
        <v>37</v>
      </c>
      <c r="G1732" s="13" t="s">
        <v>676</v>
      </c>
      <c r="H1732" s="13" t="s">
        <v>41</v>
      </c>
      <c r="I1732" s="13" t="n">
        <v>4</v>
      </c>
      <c r="J1732" s="13" t="n">
        <v>0</v>
      </c>
      <c r="K1732" s="13" t="s">
        <v>116</v>
      </c>
      <c r="L1732" s="13" t="n">
        <v>3</v>
      </c>
      <c r="M1732" s="13" t="n">
        <v>795528.06</v>
      </c>
      <c r="N1732" s="13" t="n">
        <v>265176.02</v>
      </c>
      <c r="O1732" s="13" t="n">
        <v>932.37</v>
      </c>
      <c r="P1732" s="13" t="n">
        <v>0</v>
      </c>
      <c r="Q1732" s="13" t="n">
        <v>3</v>
      </c>
      <c r="R1732" s="13" t="s">
        <v>101</v>
      </c>
      <c r="S1732" s="13" t="s">
        <v>152</v>
      </c>
      <c r="T1732" s="13" t="n">
        <v>1</v>
      </c>
      <c r="U1732" s="13" t="n">
        <f aca="false">IF(B1732="Individual",1,0)</f>
        <v>1</v>
      </c>
      <c r="V1732" s="13" t="n">
        <f aca="false">IF(B1732="Company",1,0)</f>
        <v>0</v>
      </c>
      <c r="W1732" s="13" t="n">
        <f aca="false">IF(H1732="Home",1,0)</f>
        <v>1</v>
      </c>
      <c r="X1732" s="13" t="n">
        <f aca="false">IF(H1732="Investment",1,0)</f>
        <v>0</v>
      </c>
      <c r="Y1732" s="13" t="n">
        <f aca="false">IF(K1732="Website",1,0)</f>
        <v>0</v>
      </c>
      <c r="Z1732" s="13" t="n">
        <f aca="false">IF(K1732="Agency",1,0)</f>
        <v>0</v>
      </c>
      <c r="AA1732" s="13" t="n">
        <f aca="false">IF(K1732="Client",1,0)</f>
        <v>1</v>
      </c>
      <c r="AB1732" s="13" t="n">
        <f aca="false">(D1732-AVERAGE(D$2:D$2001))/STDEV(D$2:D$2001)</f>
        <v>0.165087610062577</v>
      </c>
      <c r="AC1732" s="13" t="n">
        <f aca="false">(I1732-AVERAGE(I$2:I$2001))/STDEV(I$2:I$2001)</f>
        <v>0.686917069130275</v>
      </c>
      <c r="AD1732" s="13" t="n">
        <f aca="false">(L1732-AVERAGE(L$2:L$2001))/STDEV(L$2:L$2001)</f>
        <v>-0.777063122173208</v>
      </c>
      <c r="AE1732" s="13" t="n">
        <f aca="false">(M1732-AVERAGE(M$2:M$2001))/STDEV(M$2:M$2001)</f>
        <v>-1.33641874459394</v>
      </c>
      <c r="AF1732" s="13" t="n">
        <f aca="false">(N1732-AVERAGE(N$2:N$2001))/STDEV(N$2:N$2001)</f>
        <v>-1.17486797874657</v>
      </c>
      <c r="AG1732" s="13" t="n">
        <f aca="false">(O1732-AVERAGE(O$2:O$2001))/STDEV(O$2:O$2001)</f>
        <v>-0.97811539491151</v>
      </c>
      <c r="AH1732" s="0" t="str">
        <f aca="false">IF(B1732="Company","C3 - Corporate Buyers",IF(AND(H1732="Investment",M1732&gt;'Segmentation Summary'!$C$1),"C1 - Global Investors",IF(AND(I1732&gt;=4,M1732&gt;'Segmentation Summary'!$C$1),"C4 - Luxury Investors",IF(AND(D1732&lt;'Segmentation Summary'!$C$2,J1732=1),"C2 - First-Time Buyers","C5 - Other Individual Buyers"))))</f>
        <v>C5 - Other Individual Buyers</v>
      </c>
    </row>
    <row r="1733" customFormat="false" ht="15" hidden="false" customHeight="true" outlineLevel="0" collapsed="false">
      <c r="A1733" s="13" t="s">
        <v>3458</v>
      </c>
      <c r="B1733" s="13" t="s">
        <v>34</v>
      </c>
      <c r="C1733" s="13" t="s">
        <v>3459</v>
      </c>
      <c r="D1733" s="13" t="n">
        <v>36</v>
      </c>
      <c r="E1733" s="13" t="s">
        <v>83</v>
      </c>
      <c r="F1733" s="13" t="s">
        <v>33</v>
      </c>
      <c r="G1733" s="13" t="s">
        <v>95</v>
      </c>
      <c r="H1733" s="13" t="s">
        <v>41</v>
      </c>
      <c r="I1733" s="13" t="n">
        <v>1</v>
      </c>
      <c r="J1733" s="13" t="n">
        <v>0</v>
      </c>
      <c r="K1733" s="13" t="s">
        <v>116</v>
      </c>
      <c r="L1733" s="13" t="n">
        <v>4</v>
      </c>
      <c r="M1733" s="13" t="n">
        <v>1399698.79</v>
      </c>
      <c r="N1733" s="13" t="n">
        <v>349924.6975</v>
      </c>
      <c r="O1733" s="13" t="n">
        <v>1075.505</v>
      </c>
      <c r="P1733" s="13" t="n">
        <v>1</v>
      </c>
      <c r="Q1733" s="13" t="n">
        <v>3</v>
      </c>
      <c r="R1733" s="13" t="s">
        <v>98</v>
      </c>
      <c r="S1733" s="13" t="s">
        <v>125</v>
      </c>
      <c r="T1733" s="13" t="n">
        <v>1</v>
      </c>
      <c r="U1733" s="13" t="n">
        <f aca="false">IF(B1733="Individual",1,0)</f>
        <v>1</v>
      </c>
      <c r="V1733" s="13" t="n">
        <f aca="false">IF(B1733="Company",1,0)</f>
        <v>0</v>
      </c>
      <c r="W1733" s="13" t="n">
        <f aca="false">IF(H1733="Home",1,0)</f>
        <v>1</v>
      </c>
      <c r="X1733" s="13" t="n">
        <f aca="false">IF(H1733="Investment",1,0)</f>
        <v>0</v>
      </c>
      <c r="Y1733" s="13" t="n">
        <f aca="false">IF(K1733="Website",1,0)</f>
        <v>0</v>
      </c>
      <c r="Z1733" s="13" t="n">
        <f aca="false">IF(K1733="Agency",1,0)</f>
        <v>0</v>
      </c>
      <c r="AA1733" s="13" t="n">
        <f aca="false">IF(K1733="Client",1,0)</f>
        <v>1</v>
      </c>
      <c r="AB1733" s="13" t="n">
        <f aca="false">(D1733-AVERAGE(D$2:D$2001))/STDEV(D$2:D$2001)</f>
        <v>-1.0458239551886</v>
      </c>
      <c r="AC1733" s="13" t="n">
        <f aca="false">(I1733-AVERAGE(I$2:I$2001))/STDEV(I$2:I$2001)</f>
        <v>-1.43538077576244</v>
      </c>
      <c r="AD1733" s="13" t="n">
        <f aca="false">(L1733-AVERAGE(L$2:L$2001))/STDEV(L$2:L$2001)</f>
        <v>0.413838214490712</v>
      </c>
      <c r="AE1733" s="13" t="n">
        <f aca="false">(M1733-AVERAGE(M$2:M$2001))/STDEV(M$2:M$2001)</f>
        <v>0.400549243262114</v>
      </c>
      <c r="AF1733" s="13" t="n">
        <f aca="false">(N1733-AVERAGE(N$2:N$2001))/STDEV(N$2:N$2001)</f>
        <v>0.0406578823834089</v>
      </c>
      <c r="AG1733" s="13" t="n">
        <f aca="false">(O1733-AVERAGE(O$2:O$2001))/STDEV(O$2:O$2001)</f>
        <v>-0.327272741691657</v>
      </c>
      <c r="AH1733" s="0" t="str">
        <f aca="false">IF(B1733="Company","C3 - Corporate Buyers",IF(AND(H1733="Investment",M1733&gt;'Segmentation Summary'!$C$1),"C1 - Global Investors",IF(AND(I1733&gt;=4,M1733&gt;'Segmentation Summary'!$C$1),"C4 - Luxury Investors",IF(AND(D1733&lt;'Segmentation Summary'!$C$2,J1733=1),"C2 - First-Time Buyers","C5 - Other Individual Buyers"))))</f>
        <v>C5 - Other Individual Buyers</v>
      </c>
    </row>
    <row r="1734" customFormat="false" ht="15" hidden="false" customHeight="true" outlineLevel="0" collapsed="false">
      <c r="A1734" s="13" t="s">
        <v>3460</v>
      </c>
      <c r="B1734" s="13" t="s">
        <v>34</v>
      </c>
      <c r="C1734" s="13" t="s">
        <v>3461</v>
      </c>
      <c r="D1734" s="13" t="n">
        <v>32</v>
      </c>
      <c r="E1734" s="13" t="s">
        <v>83</v>
      </c>
      <c r="F1734" s="13" t="s">
        <v>33</v>
      </c>
      <c r="G1734" s="13" t="s">
        <v>95</v>
      </c>
      <c r="H1734" s="13" t="s">
        <v>41</v>
      </c>
      <c r="I1734" s="13" t="n">
        <v>5</v>
      </c>
      <c r="J1734" s="13" t="n">
        <v>1</v>
      </c>
      <c r="K1734" s="13" t="s">
        <v>116</v>
      </c>
      <c r="L1734" s="13" t="n">
        <v>4</v>
      </c>
      <c r="M1734" s="13" t="n">
        <v>1490170.38</v>
      </c>
      <c r="N1734" s="13" t="n">
        <v>372542.595</v>
      </c>
      <c r="O1734" s="13" t="n">
        <v>1167.105</v>
      </c>
      <c r="P1734" s="13" t="n">
        <v>1</v>
      </c>
      <c r="Q1734" s="13" t="n">
        <v>3</v>
      </c>
      <c r="R1734" s="13" t="s">
        <v>98</v>
      </c>
      <c r="S1734" s="13" t="s">
        <v>133</v>
      </c>
      <c r="T1734" s="13" t="n">
        <v>1</v>
      </c>
      <c r="U1734" s="13" t="n">
        <f aca="false">IF(B1734="Individual",1,0)</f>
        <v>1</v>
      </c>
      <c r="V1734" s="13" t="n">
        <f aca="false">IF(B1734="Company",1,0)</f>
        <v>0</v>
      </c>
      <c r="W1734" s="13" t="n">
        <f aca="false">IF(H1734="Home",1,0)</f>
        <v>1</v>
      </c>
      <c r="X1734" s="13" t="n">
        <f aca="false">IF(H1734="Investment",1,0)</f>
        <v>0</v>
      </c>
      <c r="Y1734" s="13" t="n">
        <f aca="false">IF(K1734="Website",1,0)</f>
        <v>0</v>
      </c>
      <c r="Z1734" s="13" t="n">
        <f aca="false">IF(K1734="Agency",1,0)</f>
        <v>0</v>
      </c>
      <c r="AA1734" s="13" t="n">
        <f aca="false">IF(K1734="Client",1,0)</f>
        <v>1</v>
      </c>
      <c r="AB1734" s="13" t="n">
        <f aca="false">(D1734-AVERAGE(D$2:D$2001))/STDEV(D$2:D$2001)</f>
        <v>-1.2764737771412</v>
      </c>
      <c r="AC1734" s="13" t="n">
        <f aca="false">(I1734-AVERAGE(I$2:I$2001))/STDEV(I$2:I$2001)</f>
        <v>1.39434968409451</v>
      </c>
      <c r="AD1734" s="13" t="n">
        <f aca="false">(L1734-AVERAGE(L$2:L$2001))/STDEV(L$2:L$2001)</f>
        <v>0.413838214490712</v>
      </c>
      <c r="AE1734" s="13" t="n">
        <f aca="false">(M1734-AVERAGE(M$2:M$2001))/STDEV(M$2:M$2001)</f>
        <v>0.660651641205884</v>
      </c>
      <c r="AF1734" s="13" t="n">
        <f aca="false">(N1734-AVERAGE(N$2:N$2001))/STDEV(N$2:N$2001)</f>
        <v>0.365059868899802</v>
      </c>
      <c r="AG1734" s="13" t="n">
        <f aca="false">(O1734-AVERAGE(O$2:O$2001))/STDEV(O$2:O$2001)</f>
        <v>0.0892374552199189</v>
      </c>
      <c r="AH1734" s="0" t="str">
        <f aca="false">IF(B1734="Company","C3 - Corporate Buyers",IF(AND(H1734="Investment",M1734&gt;'Segmentation Summary'!$C$1),"C1 - Global Investors",IF(AND(I1734&gt;=4,M1734&gt;'Segmentation Summary'!$C$1),"C4 - Luxury Investors",IF(AND(D1734&lt;'Segmentation Summary'!$C$2,J1734=1),"C2 - First-Time Buyers","C5 - Other Individual Buyers"))))</f>
        <v>C4 - Luxury Investors</v>
      </c>
    </row>
    <row r="1735" customFormat="false" ht="15" hidden="false" customHeight="true" outlineLevel="0" collapsed="false">
      <c r="A1735" s="13" t="s">
        <v>3462</v>
      </c>
      <c r="B1735" s="13" t="s">
        <v>34</v>
      </c>
      <c r="C1735" s="13" t="s">
        <v>3461</v>
      </c>
      <c r="D1735" s="13" t="n">
        <v>51</v>
      </c>
      <c r="E1735" s="13" t="s">
        <v>83</v>
      </c>
      <c r="F1735" s="13" t="s">
        <v>44</v>
      </c>
      <c r="G1735" s="13" t="s">
        <v>497</v>
      </c>
      <c r="H1735" s="13" t="s">
        <v>43</v>
      </c>
      <c r="I1735" s="13" t="n">
        <v>1</v>
      </c>
      <c r="J1735" s="13" t="n">
        <v>1</v>
      </c>
      <c r="K1735" s="13" t="s">
        <v>91</v>
      </c>
      <c r="L1735" s="13" t="n">
        <v>4</v>
      </c>
      <c r="M1735" s="13" t="n">
        <v>1076161.86</v>
      </c>
      <c r="N1735" s="13" t="n">
        <v>269040.465</v>
      </c>
      <c r="O1735" s="13" t="n">
        <v>854.58</v>
      </c>
      <c r="P1735" s="13" t="n">
        <v>0</v>
      </c>
      <c r="Q1735" s="13" t="n">
        <v>4</v>
      </c>
      <c r="R1735" s="13" t="s">
        <v>86</v>
      </c>
      <c r="S1735" s="13" t="s">
        <v>164</v>
      </c>
      <c r="T1735" s="13" t="n">
        <v>1</v>
      </c>
      <c r="U1735" s="13" t="n">
        <f aca="false">IF(B1735="Individual",1,0)</f>
        <v>1</v>
      </c>
      <c r="V1735" s="13" t="n">
        <f aca="false">IF(B1735="Company",1,0)</f>
        <v>0</v>
      </c>
      <c r="W1735" s="13" t="n">
        <f aca="false">IF(H1735="Home",1,0)</f>
        <v>0</v>
      </c>
      <c r="X1735" s="13" t="n">
        <f aca="false">IF(H1735="Investment",1,0)</f>
        <v>1</v>
      </c>
      <c r="Y1735" s="13" t="n">
        <f aca="false">IF(K1735="Website",1,0)</f>
        <v>0</v>
      </c>
      <c r="Z1735" s="13" t="n">
        <f aca="false">IF(K1735="Agency",1,0)</f>
        <v>1</v>
      </c>
      <c r="AA1735" s="13" t="n">
        <f aca="false">IF(K1735="Client",1,0)</f>
        <v>0</v>
      </c>
      <c r="AB1735" s="13" t="n">
        <f aca="false">(D1735-AVERAGE(D$2:D$2001))/STDEV(D$2:D$2001)</f>
        <v>-0.18088712286633</v>
      </c>
      <c r="AC1735" s="13" t="n">
        <f aca="false">(I1735-AVERAGE(I$2:I$2001))/STDEV(I$2:I$2001)</f>
        <v>-1.43538077576244</v>
      </c>
      <c r="AD1735" s="13" t="n">
        <f aca="false">(L1735-AVERAGE(L$2:L$2001))/STDEV(L$2:L$2001)</f>
        <v>0.413838214490712</v>
      </c>
      <c r="AE1735" s="13" t="n">
        <f aca="false">(M1735-AVERAGE(M$2:M$2001))/STDEV(M$2:M$2001)</f>
        <v>-0.529607188346591</v>
      </c>
      <c r="AF1735" s="13" t="n">
        <f aca="false">(N1735-AVERAGE(N$2:N$2001))/STDEV(N$2:N$2001)</f>
        <v>-1.1194413576478</v>
      </c>
      <c r="AG1735" s="13" t="n">
        <f aca="false">(O1735-AVERAGE(O$2:O$2001))/STDEV(O$2:O$2001)</f>
        <v>-1.33183076846775</v>
      </c>
      <c r="AH1735" s="0" t="str">
        <f aca="false">IF(B1735="Company","C3 - Corporate Buyers",IF(AND(H1735="Investment",M1735&gt;'Segmentation Summary'!$C$1),"C1 - Global Investors",IF(AND(I1735&gt;=4,M1735&gt;'Segmentation Summary'!$C$1),"C4 - Luxury Investors",IF(AND(D1735&lt;'Segmentation Summary'!$C$2,J1735=1),"C2 - First-Time Buyers","C5 - Other Individual Buyers"))))</f>
        <v>C2 - First-Time Buyers</v>
      </c>
    </row>
    <row r="1736" customFormat="false" ht="15" hidden="false" customHeight="true" outlineLevel="0" collapsed="false">
      <c r="A1736" s="13" t="s">
        <v>3463</v>
      </c>
      <c r="B1736" s="13" t="s">
        <v>34</v>
      </c>
      <c r="C1736" s="13" t="s">
        <v>3464</v>
      </c>
      <c r="D1736" s="13" t="n">
        <v>30</v>
      </c>
      <c r="E1736" s="13" t="s">
        <v>83</v>
      </c>
      <c r="F1736" s="13" t="s">
        <v>33</v>
      </c>
      <c r="G1736" s="13" t="s">
        <v>84</v>
      </c>
      <c r="H1736" s="13" t="s">
        <v>41</v>
      </c>
      <c r="I1736" s="13" t="n">
        <v>1</v>
      </c>
      <c r="J1736" s="13" t="n">
        <v>0</v>
      </c>
      <c r="K1736" s="13" t="s">
        <v>85</v>
      </c>
      <c r="L1736" s="13" t="n">
        <v>3</v>
      </c>
      <c r="M1736" s="13" t="n">
        <v>972150.6</v>
      </c>
      <c r="N1736" s="13" t="n">
        <v>324050.2</v>
      </c>
      <c r="O1736" s="13" t="n">
        <v>1156.56333333333</v>
      </c>
      <c r="P1736" s="13" t="n">
        <v>1</v>
      </c>
      <c r="Q1736" s="13" t="n">
        <v>2</v>
      </c>
      <c r="R1736" s="13" t="s">
        <v>92</v>
      </c>
      <c r="S1736" s="13" t="s">
        <v>215</v>
      </c>
      <c r="T1736" s="13" t="n">
        <v>1</v>
      </c>
      <c r="U1736" s="13" t="n">
        <f aca="false">IF(B1736="Individual",1,0)</f>
        <v>1</v>
      </c>
      <c r="V1736" s="13" t="n">
        <f aca="false">IF(B1736="Company",1,0)</f>
        <v>0</v>
      </c>
      <c r="W1736" s="13" t="n">
        <f aca="false">IF(H1736="Home",1,0)</f>
        <v>1</v>
      </c>
      <c r="X1736" s="13" t="n">
        <f aca="false">IF(H1736="Investment",1,0)</f>
        <v>0</v>
      </c>
      <c r="Y1736" s="13" t="n">
        <f aca="false">IF(K1736="Website",1,0)</f>
        <v>1</v>
      </c>
      <c r="Z1736" s="13" t="n">
        <f aca="false">IF(K1736="Agency",1,0)</f>
        <v>0</v>
      </c>
      <c r="AA1736" s="13" t="n">
        <f aca="false">IF(K1736="Client",1,0)</f>
        <v>0</v>
      </c>
      <c r="AB1736" s="13" t="n">
        <f aca="false">(D1736-AVERAGE(D$2:D$2001))/STDEV(D$2:D$2001)</f>
        <v>-1.39179868811751</v>
      </c>
      <c r="AC1736" s="13" t="n">
        <f aca="false">(I1736-AVERAGE(I$2:I$2001))/STDEV(I$2:I$2001)</f>
        <v>-1.43538077576244</v>
      </c>
      <c r="AD1736" s="13" t="n">
        <f aca="false">(L1736-AVERAGE(L$2:L$2001))/STDEV(L$2:L$2001)</f>
        <v>-0.777063122173208</v>
      </c>
      <c r="AE1736" s="13" t="n">
        <f aca="false">(M1736-AVERAGE(M$2:M$2001))/STDEV(M$2:M$2001)</f>
        <v>-0.828635625220012</v>
      </c>
      <c r="AF1736" s="13" t="n">
        <f aca="false">(N1736-AVERAGE(N$2:N$2001))/STDEV(N$2:N$2001)</f>
        <v>-0.330452579546726</v>
      </c>
      <c r="AG1736" s="13" t="n">
        <f aca="false">(O1736-AVERAGE(O$2:O$2001))/STDEV(O$2:O$2001)</f>
        <v>0.0413039218235118</v>
      </c>
      <c r="AH1736" s="0" t="str">
        <f aca="false">IF(B1736="Company","C3 - Corporate Buyers",IF(AND(H1736="Investment",M1736&gt;'Segmentation Summary'!$C$1),"C1 - Global Investors",IF(AND(I1736&gt;=4,M1736&gt;'Segmentation Summary'!$C$1),"C4 - Luxury Investors",IF(AND(D1736&lt;'Segmentation Summary'!$C$2,J1736=1),"C2 - First-Time Buyers","C5 - Other Individual Buyers"))))</f>
        <v>C5 - Other Individual Buyers</v>
      </c>
    </row>
    <row r="1737" customFormat="false" ht="15" hidden="false" customHeight="true" outlineLevel="0" collapsed="false">
      <c r="A1737" s="13" t="s">
        <v>3465</v>
      </c>
      <c r="B1737" s="13" t="s">
        <v>34</v>
      </c>
      <c r="C1737" s="13" t="s">
        <v>3464</v>
      </c>
      <c r="D1737" s="13" t="n">
        <v>82</v>
      </c>
      <c r="E1737" s="13" t="s">
        <v>83</v>
      </c>
      <c r="F1737" s="13" t="s">
        <v>44</v>
      </c>
      <c r="G1737" s="13" t="s">
        <v>497</v>
      </c>
      <c r="H1737" s="13" t="s">
        <v>43</v>
      </c>
      <c r="I1737" s="13" t="n">
        <v>4</v>
      </c>
      <c r="J1737" s="13" t="n">
        <v>0</v>
      </c>
      <c r="K1737" s="13" t="s">
        <v>91</v>
      </c>
      <c r="L1737" s="13" t="n">
        <v>3</v>
      </c>
      <c r="M1737" s="13" t="n">
        <v>849001.36</v>
      </c>
      <c r="N1737" s="13" t="n">
        <v>283000.453333333</v>
      </c>
      <c r="O1737" s="13" t="n">
        <v>904.046666666667</v>
      </c>
      <c r="P1737" s="13" t="n">
        <v>1</v>
      </c>
      <c r="Q1737" s="13" t="n">
        <v>2</v>
      </c>
      <c r="R1737" s="13" t="s">
        <v>111</v>
      </c>
      <c r="S1737" s="13" t="s">
        <v>141</v>
      </c>
      <c r="T1737" s="13" t="n">
        <v>1</v>
      </c>
      <c r="U1737" s="13" t="n">
        <f aca="false">IF(B1737="Individual",1,0)</f>
        <v>1</v>
      </c>
      <c r="V1737" s="13" t="n">
        <f aca="false">IF(B1737="Company",1,0)</f>
        <v>0</v>
      </c>
      <c r="W1737" s="13" t="n">
        <f aca="false">IF(H1737="Home",1,0)</f>
        <v>0</v>
      </c>
      <c r="X1737" s="13" t="n">
        <f aca="false">IF(H1737="Investment",1,0)</f>
        <v>1</v>
      </c>
      <c r="Y1737" s="13" t="n">
        <f aca="false">IF(K1737="Website",1,0)</f>
        <v>0</v>
      </c>
      <c r="Z1737" s="13" t="n">
        <f aca="false">IF(K1737="Agency",1,0)</f>
        <v>1</v>
      </c>
      <c r="AA1737" s="13" t="n">
        <f aca="false">IF(K1737="Client",1,0)</f>
        <v>0</v>
      </c>
      <c r="AB1737" s="13" t="n">
        <f aca="false">(D1737-AVERAGE(D$2:D$2001))/STDEV(D$2:D$2001)</f>
        <v>1.60664899726636</v>
      </c>
      <c r="AC1737" s="13" t="n">
        <f aca="false">(I1737-AVERAGE(I$2:I$2001))/STDEV(I$2:I$2001)</f>
        <v>0.686917069130275</v>
      </c>
      <c r="AD1737" s="13" t="n">
        <f aca="false">(L1737-AVERAGE(L$2:L$2001))/STDEV(L$2:L$2001)</f>
        <v>-0.777063122173208</v>
      </c>
      <c r="AE1737" s="13" t="n">
        <f aca="false">(M1737-AVERAGE(M$2:M$2001))/STDEV(M$2:M$2001)</f>
        <v>-1.18268503044162</v>
      </c>
      <c r="AF1737" s="13" t="n">
        <f aca="false">(N1737-AVERAGE(N$2:N$2001))/STDEV(N$2:N$2001)</f>
        <v>-0.919217267540447</v>
      </c>
      <c r="AG1737" s="13" t="n">
        <f aca="false">(O1737-AVERAGE(O$2:O$2001))/STDEV(O$2:O$2001)</f>
        <v>-1.10690313665669</v>
      </c>
      <c r="AH1737" s="0" t="str">
        <f aca="false">IF(B1737="Company","C3 - Corporate Buyers",IF(AND(H1737="Investment",M1737&gt;'Segmentation Summary'!$C$1),"C1 - Global Investors",IF(AND(I1737&gt;=4,M1737&gt;'Segmentation Summary'!$C$1),"C4 - Luxury Investors",IF(AND(D1737&lt;'Segmentation Summary'!$C$2,J1737=1),"C2 - First-Time Buyers","C5 - Other Individual Buyers"))))</f>
        <v>C5 - Other Individual Buyers</v>
      </c>
    </row>
    <row r="1738" customFormat="false" ht="15" hidden="false" customHeight="true" outlineLevel="0" collapsed="false">
      <c r="A1738" s="13" t="s">
        <v>3466</v>
      </c>
      <c r="B1738" s="13" t="s">
        <v>34</v>
      </c>
      <c r="C1738" s="13" t="s">
        <v>3464</v>
      </c>
      <c r="D1738" s="13" t="n">
        <v>64</v>
      </c>
      <c r="E1738" s="13" t="s">
        <v>83</v>
      </c>
      <c r="F1738" s="13" t="s">
        <v>33</v>
      </c>
      <c r="G1738" s="13" t="s">
        <v>120</v>
      </c>
      <c r="H1738" s="13" t="s">
        <v>43</v>
      </c>
      <c r="I1738" s="13" t="n">
        <v>4</v>
      </c>
      <c r="J1738" s="13" t="n">
        <v>1</v>
      </c>
      <c r="K1738" s="13" t="s">
        <v>91</v>
      </c>
      <c r="L1738" s="13" t="n">
        <v>4</v>
      </c>
      <c r="M1738" s="13" t="n">
        <v>1564795.28</v>
      </c>
      <c r="N1738" s="13" t="n">
        <v>391198.82</v>
      </c>
      <c r="O1738" s="13" t="n">
        <v>1255.1325</v>
      </c>
      <c r="P1738" s="13" t="n">
        <v>1</v>
      </c>
      <c r="Q1738" s="13" t="n">
        <v>3</v>
      </c>
      <c r="R1738" s="13" t="s">
        <v>86</v>
      </c>
      <c r="S1738" s="13" t="s">
        <v>125</v>
      </c>
      <c r="T1738" s="13" t="n">
        <v>1</v>
      </c>
      <c r="U1738" s="13" t="n">
        <f aca="false">IF(B1738="Individual",1,0)</f>
        <v>1</v>
      </c>
      <c r="V1738" s="13" t="n">
        <f aca="false">IF(B1738="Company",1,0)</f>
        <v>0</v>
      </c>
      <c r="W1738" s="13" t="n">
        <f aca="false">IF(H1738="Home",1,0)</f>
        <v>0</v>
      </c>
      <c r="X1738" s="13" t="n">
        <f aca="false">IF(H1738="Investment",1,0)</f>
        <v>1</v>
      </c>
      <c r="Y1738" s="13" t="n">
        <f aca="false">IF(K1738="Website",1,0)</f>
        <v>0</v>
      </c>
      <c r="Z1738" s="13" t="n">
        <f aca="false">IF(K1738="Agency",1,0)</f>
        <v>1</v>
      </c>
      <c r="AA1738" s="13" t="n">
        <f aca="false">IF(K1738="Client",1,0)</f>
        <v>0</v>
      </c>
      <c r="AB1738" s="13" t="n">
        <f aca="false">(D1738-AVERAGE(D$2:D$2001))/STDEV(D$2:D$2001)</f>
        <v>0.568724798479635</v>
      </c>
      <c r="AC1738" s="13" t="n">
        <f aca="false">(I1738-AVERAGE(I$2:I$2001))/STDEV(I$2:I$2001)</f>
        <v>0.686917069130275</v>
      </c>
      <c r="AD1738" s="13" t="n">
        <f aca="false">(L1738-AVERAGE(L$2:L$2001))/STDEV(L$2:L$2001)</f>
        <v>0.413838214490712</v>
      </c>
      <c r="AE1738" s="13" t="n">
        <f aca="false">(M1738-AVERAGE(M$2:M$2001))/STDEV(M$2:M$2001)</f>
        <v>0.875195405014104</v>
      </c>
      <c r="AF1738" s="13" t="n">
        <f aca="false">(N1738-AVERAGE(N$2:N$2001))/STDEV(N$2:N$2001)</f>
        <v>0.632640728300938</v>
      </c>
      <c r="AG1738" s="13" t="n">
        <f aca="false">(O1738-AVERAGE(O$2:O$2001))/STDEV(O$2:O$2001)</f>
        <v>0.489503299746488</v>
      </c>
      <c r="AH1738" s="0" t="str">
        <f aca="false">IF(B1738="Company","C3 - Corporate Buyers",IF(AND(H1738="Investment",M1738&gt;'Segmentation Summary'!$C$1),"C1 - Global Investors",IF(AND(I1738&gt;=4,M1738&gt;'Segmentation Summary'!$C$1),"C4 - Luxury Investors",IF(AND(D1738&lt;'Segmentation Summary'!$C$2,J1738=1),"C2 - First-Time Buyers","C5 - Other Individual Buyers"))))</f>
        <v>C1 - Global Investors</v>
      </c>
    </row>
    <row r="1739" customFormat="false" ht="15" hidden="false" customHeight="true" outlineLevel="0" collapsed="false">
      <c r="A1739" s="13" t="s">
        <v>3467</v>
      </c>
      <c r="B1739" s="13" t="s">
        <v>34</v>
      </c>
      <c r="C1739" s="13" t="s">
        <v>3468</v>
      </c>
      <c r="D1739" s="13" t="n">
        <v>84</v>
      </c>
      <c r="E1739" s="13" t="s">
        <v>83</v>
      </c>
      <c r="F1739" s="13" t="s">
        <v>33</v>
      </c>
      <c r="G1739" s="13" t="s">
        <v>95</v>
      </c>
      <c r="H1739" s="13" t="s">
        <v>43</v>
      </c>
      <c r="I1739" s="13" t="n">
        <v>4</v>
      </c>
      <c r="J1739" s="13" t="n">
        <v>0</v>
      </c>
      <c r="K1739" s="13" t="s">
        <v>91</v>
      </c>
      <c r="L1739" s="13" t="n">
        <v>3</v>
      </c>
      <c r="M1739" s="13" t="n">
        <v>794765.34</v>
      </c>
      <c r="N1739" s="13" t="n">
        <v>264921.78</v>
      </c>
      <c r="O1739" s="13" t="n">
        <v>880.66</v>
      </c>
      <c r="P1739" s="13" t="n">
        <v>1</v>
      </c>
      <c r="Q1739" s="13" t="n">
        <v>2</v>
      </c>
      <c r="R1739" s="13" t="s">
        <v>86</v>
      </c>
      <c r="S1739" s="13" t="s">
        <v>87</v>
      </c>
      <c r="T1739" s="13" t="n">
        <v>1</v>
      </c>
      <c r="U1739" s="13" t="n">
        <f aca="false">IF(B1739="Individual",1,0)</f>
        <v>1</v>
      </c>
      <c r="V1739" s="13" t="n">
        <f aca="false">IF(B1739="Company",1,0)</f>
        <v>0</v>
      </c>
      <c r="W1739" s="13" t="n">
        <f aca="false">IF(H1739="Home",1,0)</f>
        <v>0</v>
      </c>
      <c r="X1739" s="13" t="n">
        <f aca="false">IF(H1739="Investment",1,0)</f>
        <v>1</v>
      </c>
      <c r="Y1739" s="13" t="n">
        <f aca="false">IF(K1739="Website",1,0)</f>
        <v>0</v>
      </c>
      <c r="Z1739" s="13" t="n">
        <f aca="false">IF(K1739="Agency",1,0)</f>
        <v>1</v>
      </c>
      <c r="AA1739" s="13" t="n">
        <f aca="false">IF(K1739="Client",1,0)</f>
        <v>0</v>
      </c>
      <c r="AB1739" s="13" t="n">
        <f aca="false">(D1739-AVERAGE(D$2:D$2001))/STDEV(D$2:D$2001)</f>
        <v>1.72197390824266</v>
      </c>
      <c r="AC1739" s="13" t="n">
        <f aca="false">(I1739-AVERAGE(I$2:I$2001))/STDEV(I$2:I$2001)</f>
        <v>0.686917069130275</v>
      </c>
      <c r="AD1739" s="13" t="n">
        <f aca="false">(L1739-AVERAGE(L$2:L$2001))/STDEV(L$2:L$2001)</f>
        <v>-0.777063122173208</v>
      </c>
      <c r="AE1739" s="13" t="n">
        <f aca="false">(M1739-AVERAGE(M$2:M$2001))/STDEV(M$2:M$2001)</f>
        <v>-1.33861153573379</v>
      </c>
      <c r="AF1739" s="13" t="n">
        <f aca="false">(N1739-AVERAGE(N$2:N$2001))/STDEV(N$2:N$2001)</f>
        <v>-1.17851446980755</v>
      </c>
      <c r="AG1739" s="13" t="n">
        <f aca="false">(O1739-AVERAGE(O$2:O$2001))/STDEV(O$2:O$2001)</f>
        <v>-1.21324358576629</v>
      </c>
      <c r="AH1739" s="0" t="str">
        <f aca="false">IF(B1739="Company","C3 - Corporate Buyers",IF(AND(H1739="Investment",M1739&gt;'Segmentation Summary'!$C$1),"C1 - Global Investors",IF(AND(I1739&gt;=4,M1739&gt;'Segmentation Summary'!$C$1),"C4 - Luxury Investors",IF(AND(D1739&lt;'Segmentation Summary'!$C$2,J1739=1),"C2 - First-Time Buyers","C5 - Other Individual Buyers"))))</f>
        <v>C5 - Other Individual Buyers</v>
      </c>
    </row>
    <row r="1740" customFormat="false" ht="15" hidden="false" customHeight="true" outlineLevel="0" collapsed="false">
      <c r="A1740" s="13" t="s">
        <v>3469</v>
      </c>
      <c r="B1740" s="13" t="s">
        <v>34</v>
      </c>
      <c r="C1740" s="13" t="s">
        <v>3470</v>
      </c>
      <c r="D1740" s="13" t="n">
        <v>78</v>
      </c>
      <c r="E1740" s="13" t="s">
        <v>90</v>
      </c>
      <c r="F1740" s="13" t="s">
        <v>33</v>
      </c>
      <c r="G1740" s="13" t="s">
        <v>265</v>
      </c>
      <c r="H1740" s="13" t="s">
        <v>41</v>
      </c>
      <c r="I1740" s="13" t="n">
        <v>4</v>
      </c>
      <c r="J1740" s="13" t="n">
        <v>0</v>
      </c>
      <c r="K1740" s="13" t="s">
        <v>116</v>
      </c>
      <c r="L1740" s="13" t="n">
        <v>4</v>
      </c>
      <c r="M1740" s="13" t="n">
        <v>1358669.02</v>
      </c>
      <c r="N1740" s="13" t="n">
        <v>339667.255</v>
      </c>
      <c r="O1740" s="13" t="n">
        <v>1115.61</v>
      </c>
      <c r="P1740" s="13" t="n">
        <v>0</v>
      </c>
      <c r="Q1740" s="13" t="n">
        <v>4</v>
      </c>
      <c r="R1740" s="13" t="s">
        <v>117</v>
      </c>
      <c r="S1740" s="13" t="s">
        <v>154</v>
      </c>
      <c r="T1740" s="13" t="n">
        <v>1</v>
      </c>
      <c r="U1740" s="13" t="n">
        <f aca="false">IF(B1740="Individual",1,0)</f>
        <v>1</v>
      </c>
      <c r="V1740" s="13" t="n">
        <f aca="false">IF(B1740="Company",1,0)</f>
        <v>0</v>
      </c>
      <c r="W1740" s="13" t="n">
        <f aca="false">IF(H1740="Home",1,0)</f>
        <v>1</v>
      </c>
      <c r="X1740" s="13" t="n">
        <f aca="false">IF(H1740="Investment",1,0)</f>
        <v>0</v>
      </c>
      <c r="Y1740" s="13" t="n">
        <f aca="false">IF(K1740="Website",1,0)</f>
        <v>0</v>
      </c>
      <c r="Z1740" s="13" t="n">
        <f aca="false">IF(K1740="Agency",1,0)</f>
        <v>0</v>
      </c>
      <c r="AA1740" s="13" t="n">
        <f aca="false">IF(K1740="Client",1,0)</f>
        <v>1</v>
      </c>
      <c r="AB1740" s="13" t="n">
        <f aca="false">(D1740-AVERAGE(D$2:D$2001))/STDEV(D$2:D$2001)</f>
        <v>1.37599917531375</v>
      </c>
      <c r="AC1740" s="13" t="n">
        <f aca="false">(I1740-AVERAGE(I$2:I$2001))/STDEV(I$2:I$2001)</f>
        <v>0.686917069130275</v>
      </c>
      <c r="AD1740" s="13" t="n">
        <f aca="false">(L1740-AVERAGE(L$2:L$2001))/STDEV(L$2:L$2001)</f>
        <v>0.413838214490712</v>
      </c>
      <c r="AE1740" s="13" t="n">
        <f aca="false">(M1740-AVERAGE(M$2:M$2001))/STDEV(M$2:M$2001)</f>
        <v>0.282590207015693</v>
      </c>
      <c r="AF1740" s="13" t="n">
        <f aca="false">(N1740-AVERAGE(N$2:N$2001))/STDEV(N$2:N$2001)</f>
        <v>-0.106461659721585</v>
      </c>
      <c r="AG1740" s="13" t="n">
        <f aca="false">(O1740-AVERAGE(O$2:O$2001))/STDEV(O$2:O$2001)</f>
        <v>-0.1449131189063</v>
      </c>
      <c r="AH1740" s="0" t="str">
        <f aca="false">IF(B1740="Company","C3 - Corporate Buyers",IF(AND(H1740="Investment",M1740&gt;'Segmentation Summary'!$C$1),"C1 - Global Investors",IF(AND(I1740&gt;=4,M1740&gt;'Segmentation Summary'!$C$1),"C4 - Luxury Investors",IF(AND(D1740&lt;'Segmentation Summary'!$C$2,J1740=1),"C2 - First-Time Buyers","C5 - Other Individual Buyers"))))</f>
        <v>C4 - Luxury Investors</v>
      </c>
    </row>
    <row r="1741" customFormat="false" ht="15" hidden="false" customHeight="true" outlineLevel="0" collapsed="false">
      <c r="A1741" s="13" t="s">
        <v>3471</v>
      </c>
      <c r="B1741" s="13" t="s">
        <v>34</v>
      </c>
      <c r="C1741" s="13" t="s">
        <v>3472</v>
      </c>
      <c r="D1741" s="13" t="n">
        <v>68</v>
      </c>
      <c r="E1741" s="13" t="s">
        <v>90</v>
      </c>
      <c r="F1741" s="13" t="s">
        <v>33</v>
      </c>
      <c r="G1741" s="13" t="s">
        <v>106</v>
      </c>
      <c r="H1741" s="13" t="s">
        <v>41</v>
      </c>
      <c r="I1741" s="13" t="n">
        <v>4</v>
      </c>
      <c r="J1741" s="13" t="n">
        <v>0</v>
      </c>
      <c r="K1741" s="13" t="s">
        <v>85</v>
      </c>
      <c r="L1741" s="13" t="n">
        <v>4</v>
      </c>
      <c r="M1741" s="13" t="n">
        <v>1337283.29</v>
      </c>
      <c r="N1741" s="13" t="n">
        <v>334320.8225</v>
      </c>
      <c r="O1741" s="13" t="n">
        <v>1173.8125</v>
      </c>
      <c r="P1741" s="13" t="n">
        <v>0</v>
      </c>
      <c r="Q1741" s="13" t="n">
        <v>4</v>
      </c>
      <c r="R1741" s="13" t="s">
        <v>215</v>
      </c>
      <c r="S1741" s="13" t="s">
        <v>87</v>
      </c>
      <c r="T1741" s="13" t="n">
        <v>1</v>
      </c>
      <c r="U1741" s="13" t="n">
        <f aca="false">IF(B1741="Individual",1,0)</f>
        <v>1</v>
      </c>
      <c r="V1741" s="13" t="n">
        <f aca="false">IF(B1741="Company",1,0)</f>
        <v>0</v>
      </c>
      <c r="W1741" s="13" t="n">
        <f aca="false">IF(H1741="Home",1,0)</f>
        <v>1</v>
      </c>
      <c r="X1741" s="13" t="n">
        <f aca="false">IF(H1741="Investment",1,0)</f>
        <v>0</v>
      </c>
      <c r="Y1741" s="13" t="n">
        <f aca="false">IF(K1741="Website",1,0)</f>
        <v>1</v>
      </c>
      <c r="Z1741" s="13" t="n">
        <f aca="false">IF(K1741="Agency",1,0)</f>
        <v>0</v>
      </c>
      <c r="AA1741" s="13" t="n">
        <f aca="false">IF(K1741="Client",1,0)</f>
        <v>0</v>
      </c>
      <c r="AB1741" s="13" t="n">
        <f aca="false">(D1741-AVERAGE(D$2:D$2001))/STDEV(D$2:D$2001)</f>
        <v>0.79937462043224</v>
      </c>
      <c r="AC1741" s="13" t="n">
        <f aca="false">(I1741-AVERAGE(I$2:I$2001))/STDEV(I$2:I$2001)</f>
        <v>0.686917069130275</v>
      </c>
      <c r="AD1741" s="13" t="n">
        <f aca="false">(L1741-AVERAGE(L$2:L$2001))/STDEV(L$2:L$2001)</f>
        <v>0.413838214490712</v>
      </c>
      <c r="AE1741" s="13" t="n">
        <f aca="false">(M1741-AVERAGE(M$2:M$2001))/STDEV(M$2:M$2001)</f>
        <v>0.221107042468922</v>
      </c>
      <c r="AF1741" s="13" t="n">
        <f aca="false">(N1741-AVERAGE(N$2:N$2001))/STDEV(N$2:N$2001)</f>
        <v>-0.183144000499538</v>
      </c>
      <c r="AG1741" s="13" t="n">
        <f aca="false">(O1741-AVERAGE(O$2:O$2001))/STDEV(O$2:O$2001)</f>
        <v>0.119736823623679</v>
      </c>
      <c r="AH1741" s="0" t="str">
        <f aca="false">IF(B1741="Company","C3 - Corporate Buyers",IF(AND(H1741="Investment",M1741&gt;'Segmentation Summary'!$C$1),"C1 - Global Investors",IF(AND(I1741&gt;=4,M1741&gt;'Segmentation Summary'!$C$1),"C4 - Luxury Investors",IF(AND(D1741&lt;'Segmentation Summary'!$C$2,J1741=1),"C2 - First-Time Buyers","C5 - Other Individual Buyers"))))</f>
        <v>C4 - Luxury Investors</v>
      </c>
    </row>
    <row r="1742" customFormat="false" ht="15" hidden="false" customHeight="true" outlineLevel="0" collapsed="false">
      <c r="A1742" s="13" t="s">
        <v>3473</v>
      </c>
      <c r="B1742" s="13" t="s">
        <v>34</v>
      </c>
      <c r="C1742" s="13" t="s">
        <v>3474</v>
      </c>
      <c r="D1742" s="13" t="n">
        <v>60</v>
      </c>
      <c r="E1742" s="13" t="s">
        <v>90</v>
      </c>
      <c r="F1742" s="13" t="s">
        <v>33</v>
      </c>
      <c r="G1742" s="13" t="s">
        <v>120</v>
      </c>
      <c r="H1742" s="13" t="s">
        <v>41</v>
      </c>
      <c r="I1742" s="13" t="n">
        <v>5</v>
      </c>
      <c r="J1742" s="13" t="n">
        <v>0</v>
      </c>
      <c r="K1742" s="13" t="s">
        <v>91</v>
      </c>
      <c r="L1742" s="13" t="n">
        <v>4</v>
      </c>
      <c r="M1742" s="13" t="n">
        <v>1298009.03</v>
      </c>
      <c r="N1742" s="13" t="n">
        <v>324502.2575</v>
      </c>
      <c r="O1742" s="13" t="n">
        <v>1072.985</v>
      </c>
      <c r="P1742" s="13" t="n">
        <v>0</v>
      </c>
      <c r="Q1742" s="13" t="n">
        <v>4</v>
      </c>
      <c r="R1742" s="13" t="s">
        <v>117</v>
      </c>
      <c r="S1742" s="13" t="s">
        <v>86</v>
      </c>
      <c r="T1742" s="13" t="n">
        <v>1</v>
      </c>
      <c r="U1742" s="13" t="n">
        <f aca="false">IF(B1742="Individual",1,0)</f>
        <v>1</v>
      </c>
      <c r="V1742" s="13" t="n">
        <f aca="false">IF(B1742="Company",1,0)</f>
        <v>0</v>
      </c>
      <c r="W1742" s="13" t="n">
        <f aca="false">IF(H1742="Home",1,0)</f>
        <v>1</v>
      </c>
      <c r="X1742" s="13" t="n">
        <f aca="false">IF(H1742="Investment",1,0)</f>
        <v>0</v>
      </c>
      <c r="Y1742" s="13" t="n">
        <f aca="false">IF(K1742="Website",1,0)</f>
        <v>0</v>
      </c>
      <c r="Z1742" s="13" t="n">
        <f aca="false">IF(K1742="Agency",1,0)</f>
        <v>1</v>
      </c>
      <c r="AA1742" s="13" t="n">
        <f aca="false">IF(K1742="Client",1,0)</f>
        <v>0</v>
      </c>
      <c r="AB1742" s="13" t="n">
        <f aca="false">(D1742-AVERAGE(D$2:D$2001))/STDEV(D$2:D$2001)</f>
        <v>0.338074976527031</v>
      </c>
      <c r="AC1742" s="13" t="n">
        <f aca="false">(I1742-AVERAGE(I$2:I$2001))/STDEV(I$2:I$2001)</f>
        <v>1.39434968409451</v>
      </c>
      <c r="AD1742" s="13" t="n">
        <f aca="false">(L1742-AVERAGE(L$2:L$2001))/STDEV(L$2:L$2001)</f>
        <v>0.413838214490712</v>
      </c>
      <c r="AE1742" s="13" t="n">
        <f aca="false">(M1742-AVERAGE(M$2:M$2001))/STDEV(M$2:M$2001)</f>
        <v>0.108195031046694</v>
      </c>
      <c r="AF1742" s="13" t="n">
        <f aca="false">(N1742-AVERAGE(N$2:N$2001))/STDEV(N$2:N$2001)</f>
        <v>-0.323968849084174</v>
      </c>
      <c r="AG1742" s="13" t="n">
        <f aca="false">(O1742-AVERAGE(O$2:O$2001))/STDEV(O$2:O$2001)</f>
        <v>-0.338731319161278</v>
      </c>
      <c r="AH1742" s="0" t="str">
        <f aca="false">IF(B1742="Company","C3 - Corporate Buyers",IF(AND(H1742="Investment",M1742&gt;'Segmentation Summary'!$C$1),"C1 - Global Investors",IF(AND(I1742&gt;=4,M1742&gt;'Segmentation Summary'!$C$1),"C4 - Luxury Investors",IF(AND(D1742&lt;'Segmentation Summary'!$C$2,J1742=1),"C2 - First-Time Buyers","C5 - Other Individual Buyers"))))</f>
        <v>C4 - Luxury Investors</v>
      </c>
    </row>
    <row r="1743" customFormat="false" ht="15" hidden="false" customHeight="true" outlineLevel="0" collapsed="false">
      <c r="A1743" s="13" t="s">
        <v>3475</v>
      </c>
      <c r="B1743" s="13" t="s">
        <v>34</v>
      </c>
      <c r="C1743" s="13" t="s">
        <v>3476</v>
      </c>
      <c r="D1743" s="13" t="n">
        <v>59</v>
      </c>
      <c r="E1743" s="13" t="s">
        <v>90</v>
      </c>
      <c r="F1743" s="13" t="s">
        <v>33</v>
      </c>
      <c r="G1743" s="13" t="s">
        <v>207</v>
      </c>
      <c r="H1743" s="13" t="s">
        <v>41</v>
      </c>
      <c r="I1743" s="13" t="n">
        <v>3</v>
      </c>
      <c r="J1743" s="13" t="n">
        <v>0</v>
      </c>
      <c r="K1743" s="13" t="s">
        <v>91</v>
      </c>
      <c r="L1743" s="13" t="n">
        <v>4</v>
      </c>
      <c r="M1743" s="13" t="n">
        <v>1553533.51</v>
      </c>
      <c r="N1743" s="13" t="n">
        <v>388383.3775</v>
      </c>
      <c r="O1743" s="13" t="n">
        <v>1294.645</v>
      </c>
      <c r="P1743" s="13" t="n">
        <v>0</v>
      </c>
      <c r="Q1743" s="13" t="n">
        <v>4</v>
      </c>
      <c r="R1743" s="13" t="s">
        <v>92</v>
      </c>
      <c r="S1743" s="13" t="s">
        <v>114</v>
      </c>
      <c r="T1743" s="13" t="n">
        <v>1</v>
      </c>
      <c r="U1743" s="13" t="n">
        <f aca="false">IF(B1743="Individual",1,0)</f>
        <v>1</v>
      </c>
      <c r="V1743" s="13" t="n">
        <f aca="false">IF(B1743="Company",1,0)</f>
        <v>0</v>
      </c>
      <c r="W1743" s="13" t="n">
        <f aca="false">IF(H1743="Home",1,0)</f>
        <v>1</v>
      </c>
      <c r="X1743" s="13" t="n">
        <f aca="false">IF(H1743="Investment",1,0)</f>
        <v>0</v>
      </c>
      <c r="Y1743" s="13" t="n">
        <f aca="false">IF(K1743="Website",1,0)</f>
        <v>0</v>
      </c>
      <c r="Z1743" s="13" t="n">
        <f aca="false">IF(K1743="Agency",1,0)</f>
        <v>1</v>
      </c>
      <c r="AA1743" s="13" t="n">
        <f aca="false">IF(K1743="Client",1,0)</f>
        <v>0</v>
      </c>
      <c r="AB1743" s="13" t="n">
        <f aca="false">(D1743-AVERAGE(D$2:D$2001))/STDEV(D$2:D$2001)</f>
        <v>0.280412521038879</v>
      </c>
      <c r="AC1743" s="13" t="n">
        <f aca="false">(I1743-AVERAGE(I$2:I$2001))/STDEV(I$2:I$2001)</f>
        <v>-0.0205155458339628</v>
      </c>
      <c r="AD1743" s="13" t="n">
        <f aca="false">(L1743-AVERAGE(L$2:L$2001))/STDEV(L$2:L$2001)</f>
        <v>0.413838214490712</v>
      </c>
      <c r="AE1743" s="13" t="n">
        <f aca="false">(M1743-AVERAGE(M$2:M$2001))/STDEV(M$2:M$2001)</f>
        <v>0.842818242392211</v>
      </c>
      <c r="AF1743" s="13" t="n">
        <f aca="false">(N1743-AVERAGE(N$2:N$2001))/STDEV(N$2:N$2001)</f>
        <v>0.592259647790573</v>
      </c>
      <c r="AG1743" s="13" t="n">
        <f aca="false">(O1743-AVERAGE(O$2:O$2001))/STDEV(O$2:O$2001)</f>
        <v>0.66916879271012</v>
      </c>
      <c r="AH1743" s="0" t="str">
        <f aca="false">IF(B1743="Company","C3 - Corporate Buyers",IF(AND(H1743="Investment",M1743&gt;'Segmentation Summary'!$C$1),"C1 - Global Investors",IF(AND(I1743&gt;=4,M1743&gt;'Segmentation Summary'!$C$1),"C4 - Luxury Investors",IF(AND(D1743&lt;'Segmentation Summary'!$C$2,J1743=1),"C2 - First-Time Buyers","C5 - Other Individual Buyers"))))</f>
        <v>C5 - Other Individual Buyers</v>
      </c>
    </row>
    <row r="1744" customFormat="false" ht="15" hidden="false" customHeight="true" outlineLevel="0" collapsed="false">
      <c r="A1744" s="13" t="s">
        <v>3477</v>
      </c>
      <c r="B1744" s="13" t="s">
        <v>34</v>
      </c>
      <c r="C1744" s="13" t="s">
        <v>3478</v>
      </c>
      <c r="D1744" s="13" t="n">
        <v>28</v>
      </c>
      <c r="E1744" s="13" t="s">
        <v>90</v>
      </c>
      <c r="F1744" s="13" t="s">
        <v>33</v>
      </c>
      <c r="G1744" s="13" t="s">
        <v>95</v>
      </c>
      <c r="H1744" s="13" t="s">
        <v>41</v>
      </c>
      <c r="I1744" s="13" t="n">
        <v>4</v>
      </c>
      <c r="J1744" s="13" t="n">
        <v>1</v>
      </c>
      <c r="K1744" s="13" t="s">
        <v>85</v>
      </c>
      <c r="L1744" s="13" t="n">
        <v>3</v>
      </c>
      <c r="M1744" s="13" t="n">
        <v>1195359.88</v>
      </c>
      <c r="N1744" s="13" t="n">
        <v>398453.293333333</v>
      </c>
      <c r="O1744" s="13" t="n">
        <v>1303.47333333333</v>
      </c>
      <c r="P1744" s="13" t="n">
        <v>0</v>
      </c>
      <c r="Q1744" s="13" t="n">
        <v>3</v>
      </c>
      <c r="R1744" s="13" t="s">
        <v>117</v>
      </c>
      <c r="S1744" s="13" t="s">
        <v>114</v>
      </c>
      <c r="T1744" s="13" t="n">
        <v>1</v>
      </c>
      <c r="U1744" s="13" t="n">
        <f aca="false">IF(B1744="Individual",1,0)</f>
        <v>1</v>
      </c>
      <c r="V1744" s="13" t="n">
        <f aca="false">IF(B1744="Company",1,0)</f>
        <v>0</v>
      </c>
      <c r="W1744" s="13" t="n">
        <f aca="false">IF(H1744="Home",1,0)</f>
        <v>1</v>
      </c>
      <c r="X1744" s="13" t="n">
        <f aca="false">IF(H1744="Investment",1,0)</f>
        <v>0</v>
      </c>
      <c r="Y1744" s="13" t="n">
        <f aca="false">IF(K1744="Website",1,0)</f>
        <v>1</v>
      </c>
      <c r="Z1744" s="13" t="n">
        <f aca="false">IF(K1744="Agency",1,0)</f>
        <v>0</v>
      </c>
      <c r="AA1744" s="13" t="n">
        <f aca="false">IF(K1744="Client",1,0)</f>
        <v>0</v>
      </c>
      <c r="AB1744" s="13" t="n">
        <f aca="false">(D1744-AVERAGE(D$2:D$2001))/STDEV(D$2:D$2001)</f>
        <v>-1.50712359909381</v>
      </c>
      <c r="AC1744" s="13" t="n">
        <f aca="false">(I1744-AVERAGE(I$2:I$2001))/STDEV(I$2:I$2001)</f>
        <v>0.686917069130275</v>
      </c>
      <c r="AD1744" s="13" t="n">
        <f aca="false">(L1744-AVERAGE(L$2:L$2001))/STDEV(L$2:L$2001)</f>
        <v>-0.777063122173208</v>
      </c>
      <c r="AE1744" s="13" t="n">
        <f aca="false">(M1744-AVERAGE(M$2:M$2001))/STDEV(M$2:M$2001)</f>
        <v>-0.186917391116881</v>
      </c>
      <c r="AF1744" s="13" t="n">
        <f aca="false">(N1744-AVERAGE(N$2:N$2001))/STDEV(N$2:N$2001)</f>
        <v>0.736689548951196</v>
      </c>
      <c r="AG1744" s="13" t="n">
        <f aca="false">(O1744-AVERAGE(O$2:O$2001))/STDEV(O$2:O$2001)</f>
        <v>0.709311705975036</v>
      </c>
      <c r="AH1744" s="0" t="str">
        <f aca="false">IF(B1744="Company","C3 - Corporate Buyers",IF(AND(H1744="Investment",M1744&gt;'Segmentation Summary'!$C$1),"C1 - Global Investors",IF(AND(I1744&gt;=4,M1744&gt;'Segmentation Summary'!$C$1),"C4 - Luxury Investors",IF(AND(D1744&lt;'Segmentation Summary'!$C$2,J1744=1),"C2 - First-Time Buyers","C5 - Other Individual Buyers"))))</f>
        <v>C2 - First-Time Buyers</v>
      </c>
    </row>
    <row r="1745" customFormat="false" ht="15" hidden="false" customHeight="true" outlineLevel="0" collapsed="false">
      <c r="A1745" s="13" t="s">
        <v>3479</v>
      </c>
      <c r="B1745" s="13" t="s">
        <v>34</v>
      </c>
      <c r="C1745" s="13" t="s">
        <v>3480</v>
      </c>
      <c r="D1745" s="13" t="n">
        <v>62</v>
      </c>
      <c r="E1745" s="13" t="s">
        <v>90</v>
      </c>
      <c r="F1745" s="13" t="s">
        <v>33</v>
      </c>
      <c r="G1745" s="13" t="s">
        <v>95</v>
      </c>
      <c r="H1745" s="13" t="s">
        <v>41</v>
      </c>
      <c r="I1745" s="13" t="n">
        <v>2</v>
      </c>
      <c r="J1745" s="13" t="n">
        <v>0</v>
      </c>
      <c r="K1745" s="13" t="s">
        <v>85</v>
      </c>
      <c r="L1745" s="13" t="n">
        <v>3</v>
      </c>
      <c r="M1745" s="13" t="n">
        <v>808100.3</v>
      </c>
      <c r="N1745" s="13" t="n">
        <v>269366.766666667</v>
      </c>
      <c r="O1745" s="13" t="n">
        <v>952.073333333333</v>
      </c>
      <c r="P1745" s="13" t="n">
        <v>1</v>
      </c>
      <c r="Q1745" s="13" t="n">
        <v>2</v>
      </c>
      <c r="R1745" s="13" t="s">
        <v>103</v>
      </c>
      <c r="S1745" s="13" t="s">
        <v>154</v>
      </c>
      <c r="T1745" s="13" t="n">
        <v>1</v>
      </c>
      <c r="U1745" s="13" t="n">
        <f aca="false">IF(B1745="Individual",1,0)</f>
        <v>1</v>
      </c>
      <c r="V1745" s="13" t="n">
        <f aca="false">IF(B1745="Company",1,0)</f>
        <v>0</v>
      </c>
      <c r="W1745" s="13" t="n">
        <f aca="false">IF(H1745="Home",1,0)</f>
        <v>1</v>
      </c>
      <c r="X1745" s="13" t="n">
        <f aca="false">IF(H1745="Investment",1,0)</f>
        <v>0</v>
      </c>
      <c r="Y1745" s="13" t="n">
        <f aca="false">IF(K1745="Website",1,0)</f>
        <v>1</v>
      </c>
      <c r="Z1745" s="13" t="n">
        <f aca="false">IF(K1745="Agency",1,0)</f>
        <v>0</v>
      </c>
      <c r="AA1745" s="13" t="n">
        <f aca="false">IF(K1745="Client",1,0)</f>
        <v>0</v>
      </c>
      <c r="AB1745" s="13" t="n">
        <f aca="false">(D1745-AVERAGE(D$2:D$2001))/STDEV(D$2:D$2001)</f>
        <v>0.453399887503333</v>
      </c>
      <c r="AC1745" s="13" t="n">
        <f aca="false">(I1745-AVERAGE(I$2:I$2001))/STDEV(I$2:I$2001)</f>
        <v>-0.727948160798201</v>
      </c>
      <c r="AD1745" s="13" t="n">
        <f aca="false">(L1745-AVERAGE(L$2:L$2001))/STDEV(L$2:L$2001)</f>
        <v>-0.777063122173208</v>
      </c>
      <c r="AE1745" s="13" t="n">
        <f aca="false">(M1745-AVERAGE(M$2:M$2001))/STDEV(M$2:M$2001)</f>
        <v>-1.30027403030823</v>
      </c>
      <c r="AF1745" s="13" t="n">
        <f aca="false">(N1745-AVERAGE(N$2:N$2001))/STDEV(N$2:N$2001)</f>
        <v>-1.11476130686632</v>
      </c>
      <c r="AG1745" s="13" t="n">
        <f aca="false">(O1745-AVERAGE(O$2:O$2001))/STDEV(O$2:O$2001)</f>
        <v>-0.888523263399709</v>
      </c>
      <c r="AH1745" s="0" t="str">
        <f aca="false">IF(B1745="Company","C3 - Corporate Buyers",IF(AND(H1745="Investment",M1745&gt;'Segmentation Summary'!$C$1),"C1 - Global Investors",IF(AND(I1745&gt;=4,M1745&gt;'Segmentation Summary'!$C$1),"C4 - Luxury Investors",IF(AND(D1745&lt;'Segmentation Summary'!$C$2,J1745=1),"C2 - First-Time Buyers","C5 - Other Individual Buyers"))))</f>
        <v>C5 - Other Individual Buyers</v>
      </c>
    </row>
    <row r="1746" customFormat="false" ht="15" hidden="false" customHeight="true" outlineLevel="0" collapsed="false">
      <c r="A1746" s="13" t="s">
        <v>3481</v>
      </c>
      <c r="B1746" s="13" t="s">
        <v>34</v>
      </c>
      <c r="C1746" s="13" t="s">
        <v>3482</v>
      </c>
      <c r="D1746" s="13" t="n">
        <v>39</v>
      </c>
      <c r="E1746" s="13" t="s">
        <v>90</v>
      </c>
      <c r="F1746" s="13" t="s">
        <v>46</v>
      </c>
      <c r="G1746" s="13" t="s">
        <v>214</v>
      </c>
      <c r="H1746" s="13" t="s">
        <v>41</v>
      </c>
      <c r="I1746" s="13" t="n">
        <v>5</v>
      </c>
      <c r="J1746" s="13" t="n">
        <v>1</v>
      </c>
      <c r="K1746" s="13" t="s">
        <v>91</v>
      </c>
      <c r="L1746" s="13" t="n">
        <v>3</v>
      </c>
      <c r="M1746" s="13" t="n">
        <v>886017.55</v>
      </c>
      <c r="N1746" s="13" t="n">
        <v>295339.183333333</v>
      </c>
      <c r="O1746" s="13" t="n">
        <v>980.87</v>
      </c>
      <c r="P1746" s="13" t="n">
        <v>0</v>
      </c>
      <c r="Q1746" s="13" t="n">
        <v>3</v>
      </c>
      <c r="R1746" s="13" t="s">
        <v>111</v>
      </c>
      <c r="S1746" s="13" t="s">
        <v>141</v>
      </c>
      <c r="T1746" s="13" t="n">
        <v>1</v>
      </c>
      <c r="U1746" s="13" t="n">
        <f aca="false">IF(B1746="Individual",1,0)</f>
        <v>1</v>
      </c>
      <c r="V1746" s="13" t="n">
        <f aca="false">IF(B1746="Company",1,0)</f>
        <v>0</v>
      </c>
      <c r="W1746" s="13" t="n">
        <f aca="false">IF(H1746="Home",1,0)</f>
        <v>1</v>
      </c>
      <c r="X1746" s="13" t="n">
        <f aca="false">IF(H1746="Investment",1,0)</f>
        <v>0</v>
      </c>
      <c r="Y1746" s="13" t="n">
        <f aca="false">IF(K1746="Website",1,0)</f>
        <v>0</v>
      </c>
      <c r="Z1746" s="13" t="n">
        <f aca="false">IF(K1746="Agency",1,0)</f>
        <v>1</v>
      </c>
      <c r="AA1746" s="13" t="n">
        <f aca="false">IF(K1746="Client",1,0)</f>
        <v>0</v>
      </c>
      <c r="AB1746" s="13" t="n">
        <f aca="false">(D1746-AVERAGE(D$2:D$2001))/STDEV(D$2:D$2001)</f>
        <v>-0.872836588724145</v>
      </c>
      <c r="AC1746" s="13" t="n">
        <f aca="false">(I1746-AVERAGE(I$2:I$2001))/STDEV(I$2:I$2001)</f>
        <v>1.39434968409451</v>
      </c>
      <c r="AD1746" s="13" t="n">
        <f aca="false">(L1746-AVERAGE(L$2:L$2001))/STDEV(L$2:L$2001)</f>
        <v>-0.777063122173208</v>
      </c>
      <c r="AE1746" s="13" t="n">
        <f aca="false">(M1746-AVERAGE(M$2:M$2001))/STDEV(M$2:M$2001)</f>
        <v>-1.07626488482748</v>
      </c>
      <c r="AF1746" s="13" t="n">
        <f aca="false">(N1746-AVERAGE(N$2:N$2001))/STDEV(N$2:N$2001)</f>
        <v>-0.742246418544009</v>
      </c>
      <c r="AG1746" s="13" t="n">
        <f aca="false">(O1746-AVERAGE(O$2:O$2001))/STDEV(O$2:O$2001)</f>
        <v>-0.757583249166844</v>
      </c>
      <c r="AH1746" s="0" t="str">
        <f aca="false">IF(B1746="Company","C3 - Corporate Buyers",IF(AND(H1746="Investment",M1746&gt;'Segmentation Summary'!$C$1),"C1 - Global Investors",IF(AND(I1746&gt;=4,M1746&gt;'Segmentation Summary'!$C$1),"C4 - Luxury Investors",IF(AND(D1746&lt;'Segmentation Summary'!$C$2,J1746=1),"C2 - First-Time Buyers","C5 - Other Individual Buyers"))))</f>
        <v>C2 - First-Time Buyers</v>
      </c>
    </row>
    <row r="1747" customFormat="false" ht="15" hidden="false" customHeight="true" outlineLevel="0" collapsed="false">
      <c r="A1747" s="13" t="s">
        <v>3483</v>
      </c>
      <c r="B1747" s="13" t="s">
        <v>34</v>
      </c>
      <c r="C1747" s="13" t="s">
        <v>3484</v>
      </c>
      <c r="D1747" s="13" t="n">
        <v>42</v>
      </c>
      <c r="E1747" s="13" t="s">
        <v>90</v>
      </c>
      <c r="F1747" s="13" t="s">
        <v>33</v>
      </c>
      <c r="G1747" s="13" t="s">
        <v>106</v>
      </c>
      <c r="H1747" s="13" t="s">
        <v>41</v>
      </c>
      <c r="I1747" s="13" t="n">
        <v>3</v>
      </c>
      <c r="J1747" s="13" t="n">
        <v>0</v>
      </c>
      <c r="K1747" s="13" t="s">
        <v>85</v>
      </c>
      <c r="L1747" s="13" t="n">
        <v>3</v>
      </c>
      <c r="M1747" s="13" t="n">
        <v>1076884.84</v>
      </c>
      <c r="N1747" s="13" t="n">
        <v>358961.613333333</v>
      </c>
      <c r="O1747" s="13" t="n">
        <v>1050.64333333333</v>
      </c>
      <c r="P1747" s="13" t="n">
        <v>1</v>
      </c>
      <c r="Q1747" s="13" t="n">
        <v>2</v>
      </c>
      <c r="R1747" s="13" t="s">
        <v>86</v>
      </c>
      <c r="S1747" s="13" t="s">
        <v>152</v>
      </c>
      <c r="T1747" s="13" t="n">
        <v>1</v>
      </c>
      <c r="U1747" s="13" t="n">
        <f aca="false">IF(B1747="Individual",1,0)</f>
        <v>1</v>
      </c>
      <c r="V1747" s="13" t="n">
        <f aca="false">IF(B1747="Company",1,0)</f>
        <v>0</v>
      </c>
      <c r="W1747" s="13" t="n">
        <f aca="false">IF(H1747="Home",1,0)</f>
        <v>1</v>
      </c>
      <c r="X1747" s="13" t="n">
        <f aca="false">IF(H1747="Investment",1,0)</f>
        <v>0</v>
      </c>
      <c r="Y1747" s="13" t="n">
        <f aca="false">IF(K1747="Website",1,0)</f>
        <v>1</v>
      </c>
      <c r="Z1747" s="13" t="n">
        <f aca="false">IF(K1747="Agency",1,0)</f>
        <v>0</v>
      </c>
      <c r="AA1747" s="13" t="n">
        <f aca="false">IF(K1747="Client",1,0)</f>
        <v>0</v>
      </c>
      <c r="AB1747" s="13" t="n">
        <f aca="false">(D1747-AVERAGE(D$2:D$2001))/STDEV(D$2:D$2001)</f>
        <v>-0.699849222259691</v>
      </c>
      <c r="AC1747" s="13" t="n">
        <f aca="false">(I1747-AVERAGE(I$2:I$2001))/STDEV(I$2:I$2001)</f>
        <v>-0.0205155458339628</v>
      </c>
      <c r="AD1747" s="13" t="n">
        <f aca="false">(L1747-AVERAGE(L$2:L$2001))/STDEV(L$2:L$2001)</f>
        <v>-0.777063122173208</v>
      </c>
      <c r="AE1747" s="13" t="n">
        <f aca="false">(M1747-AVERAGE(M$2:M$2001))/STDEV(M$2:M$2001)</f>
        <v>-0.527528648203045</v>
      </c>
      <c r="AF1747" s="13" t="n">
        <f aca="false">(N1747-AVERAGE(N$2:N$2001))/STDEV(N$2:N$2001)</f>
        <v>0.17027176220202</v>
      </c>
      <c r="AG1747" s="13" t="n">
        <f aca="false">(O1747-AVERAGE(O$2:O$2001))/STDEV(O$2:O$2001)</f>
        <v>-0.440320096264635</v>
      </c>
      <c r="AH1747" s="0" t="str">
        <f aca="false">IF(B1747="Company","C3 - Corporate Buyers",IF(AND(H1747="Investment",M1747&gt;'Segmentation Summary'!$C$1),"C1 - Global Investors",IF(AND(I1747&gt;=4,M1747&gt;'Segmentation Summary'!$C$1),"C4 - Luxury Investors",IF(AND(D1747&lt;'Segmentation Summary'!$C$2,J1747=1),"C2 - First-Time Buyers","C5 - Other Individual Buyers"))))</f>
        <v>C5 - Other Individual Buyers</v>
      </c>
    </row>
    <row r="1748" customFormat="false" ht="15" hidden="false" customHeight="true" outlineLevel="0" collapsed="false">
      <c r="A1748" s="13" t="s">
        <v>3485</v>
      </c>
      <c r="B1748" s="13" t="s">
        <v>34</v>
      </c>
      <c r="C1748" s="13" t="s">
        <v>3486</v>
      </c>
      <c r="D1748" s="13" t="n">
        <v>47</v>
      </c>
      <c r="E1748" s="13" t="s">
        <v>90</v>
      </c>
      <c r="F1748" s="13" t="s">
        <v>37</v>
      </c>
      <c r="G1748" s="13" t="s">
        <v>940</v>
      </c>
      <c r="H1748" s="13" t="s">
        <v>41</v>
      </c>
      <c r="I1748" s="13" t="n">
        <v>2</v>
      </c>
      <c r="J1748" s="13" t="n">
        <v>0</v>
      </c>
      <c r="K1748" s="13" t="s">
        <v>85</v>
      </c>
      <c r="L1748" s="13" t="n">
        <v>3</v>
      </c>
      <c r="M1748" s="13" t="n">
        <v>847190.33</v>
      </c>
      <c r="N1748" s="13" t="n">
        <v>282396.776666667</v>
      </c>
      <c r="O1748" s="13" t="n">
        <v>976.816666666667</v>
      </c>
      <c r="P1748" s="13" t="n">
        <v>1</v>
      </c>
      <c r="Q1748" s="13" t="n">
        <v>2</v>
      </c>
      <c r="R1748" s="13" t="s">
        <v>124</v>
      </c>
      <c r="S1748" s="13" t="s">
        <v>135</v>
      </c>
      <c r="T1748" s="13" t="n">
        <v>1</v>
      </c>
      <c r="U1748" s="13" t="n">
        <f aca="false">IF(B1748="Individual",1,0)</f>
        <v>1</v>
      </c>
      <c r="V1748" s="13" t="n">
        <f aca="false">IF(B1748="Company",1,0)</f>
        <v>0</v>
      </c>
      <c r="W1748" s="13" t="n">
        <f aca="false">IF(H1748="Home",1,0)</f>
        <v>1</v>
      </c>
      <c r="X1748" s="13" t="n">
        <f aca="false">IF(H1748="Investment",1,0)</f>
        <v>0</v>
      </c>
      <c r="Y1748" s="13" t="n">
        <f aca="false">IF(K1748="Website",1,0)</f>
        <v>1</v>
      </c>
      <c r="Z1748" s="13" t="n">
        <f aca="false">IF(K1748="Agency",1,0)</f>
        <v>0</v>
      </c>
      <c r="AA1748" s="13" t="n">
        <f aca="false">IF(K1748="Client",1,0)</f>
        <v>0</v>
      </c>
      <c r="AB1748" s="13" t="n">
        <f aca="false">(D1748-AVERAGE(D$2:D$2001))/STDEV(D$2:D$2001)</f>
        <v>-0.411536944818935</v>
      </c>
      <c r="AC1748" s="13" t="n">
        <f aca="false">(I1748-AVERAGE(I$2:I$2001))/STDEV(I$2:I$2001)</f>
        <v>-0.727948160798201</v>
      </c>
      <c r="AD1748" s="13" t="n">
        <f aca="false">(L1748-AVERAGE(L$2:L$2001))/STDEV(L$2:L$2001)</f>
        <v>-0.777063122173208</v>
      </c>
      <c r="AE1748" s="13" t="n">
        <f aca="false">(M1748-AVERAGE(M$2:M$2001))/STDEV(M$2:M$2001)</f>
        <v>-1.18789167316502</v>
      </c>
      <c r="AF1748" s="13" t="n">
        <f aca="false">(N1748-AVERAGE(N$2:N$2001))/STDEV(N$2:N$2001)</f>
        <v>-0.927875628021568</v>
      </c>
      <c r="AG1748" s="13" t="n">
        <f aca="false">(O1748-AVERAGE(O$2:O$2001))/STDEV(O$2:O$2001)</f>
        <v>-0.776013976948665</v>
      </c>
      <c r="AH1748" s="0" t="str">
        <f aca="false">IF(B1748="Company","C3 - Corporate Buyers",IF(AND(H1748="Investment",M1748&gt;'Segmentation Summary'!$C$1),"C1 - Global Investors",IF(AND(I1748&gt;=4,M1748&gt;'Segmentation Summary'!$C$1),"C4 - Luxury Investors",IF(AND(D1748&lt;'Segmentation Summary'!$C$2,J1748=1),"C2 - First-Time Buyers","C5 - Other Individual Buyers"))))</f>
        <v>C5 - Other Individual Buyers</v>
      </c>
    </row>
    <row r="1749" customFormat="false" ht="15" hidden="false" customHeight="true" outlineLevel="0" collapsed="false">
      <c r="A1749" s="13" t="s">
        <v>3487</v>
      </c>
      <c r="B1749" s="13" t="s">
        <v>34</v>
      </c>
      <c r="C1749" s="13" t="s">
        <v>3488</v>
      </c>
      <c r="D1749" s="13" t="n">
        <v>48</v>
      </c>
      <c r="E1749" s="13" t="s">
        <v>90</v>
      </c>
      <c r="F1749" s="13" t="s">
        <v>40</v>
      </c>
      <c r="G1749" s="13" t="s">
        <v>205</v>
      </c>
      <c r="H1749" s="13" t="s">
        <v>43</v>
      </c>
      <c r="I1749" s="13" t="n">
        <v>1</v>
      </c>
      <c r="J1749" s="13" t="n">
        <v>0</v>
      </c>
      <c r="K1749" s="13" t="s">
        <v>116</v>
      </c>
      <c r="L1749" s="13" t="n">
        <v>3</v>
      </c>
      <c r="M1749" s="13" t="n">
        <v>731788.96</v>
      </c>
      <c r="N1749" s="13" t="n">
        <v>243929.653333333</v>
      </c>
      <c r="O1749" s="13" t="n">
        <v>753.313333333333</v>
      </c>
      <c r="P1749" s="13" t="n">
        <v>0</v>
      </c>
      <c r="Q1749" s="13" t="n">
        <v>3</v>
      </c>
      <c r="R1749" s="13" t="s">
        <v>121</v>
      </c>
      <c r="S1749" s="13" t="s">
        <v>125</v>
      </c>
      <c r="T1749" s="13" t="n">
        <v>1</v>
      </c>
      <c r="U1749" s="13" t="n">
        <f aca="false">IF(B1749="Individual",1,0)</f>
        <v>1</v>
      </c>
      <c r="V1749" s="13" t="n">
        <f aca="false">IF(B1749="Company",1,0)</f>
        <v>0</v>
      </c>
      <c r="W1749" s="13" t="n">
        <f aca="false">IF(H1749="Home",1,0)</f>
        <v>0</v>
      </c>
      <c r="X1749" s="13" t="n">
        <f aca="false">IF(H1749="Investment",1,0)</f>
        <v>1</v>
      </c>
      <c r="Y1749" s="13" t="n">
        <f aca="false">IF(K1749="Website",1,0)</f>
        <v>0</v>
      </c>
      <c r="Z1749" s="13" t="n">
        <f aca="false">IF(K1749="Agency",1,0)</f>
        <v>0</v>
      </c>
      <c r="AA1749" s="13" t="n">
        <f aca="false">IF(K1749="Client",1,0)</f>
        <v>1</v>
      </c>
      <c r="AB1749" s="13" t="n">
        <f aca="false">(D1749-AVERAGE(D$2:D$2001))/STDEV(D$2:D$2001)</f>
        <v>-0.353874489330784</v>
      </c>
      <c r="AC1749" s="13" t="n">
        <f aca="false">(I1749-AVERAGE(I$2:I$2001))/STDEV(I$2:I$2001)</f>
        <v>-1.43538077576244</v>
      </c>
      <c r="AD1749" s="13" t="n">
        <f aca="false">(L1749-AVERAGE(L$2:L$2001))/STDEV(L$2:L$2001)</f>
        <v>-0.777063122173208</v>
      </c>
      <c r="AE1749" s="13" t="n">
        <f aca="false">(M1749-AVERAGE(M$2:M$2001))/STDEV(M$2:M$2001)</f>
        <v>-1.51966624530414</v>
      </c>
      <c r="AF1749" s="13" t="n">
        <f aca="false">(N1749-AVERAGE(N$2:N$2001))/STDEV(N$2:N$2001)</f>
        <v>-1.4795984937258</v>
      </c>
      <c r="AG1749" s="13" t="n">
        <f aca="false">(O1749-AVERAGE(O$2:O$2001))/STDEV(O$2:O$2001)</f>
        <v>-1.79229582604321</v>
      </c>
      <c r="AH1749" s="0" t="str">
        <f aca="false">IF(B1749="Company","C3 - Corporate Buyers",IF(AND(H1749="Investment",M1749&gt;'Segmentation Summary'!$C$1),"C1 - Global Investors",IF(AND(I1749&gt;=4,M1749&gt;'Segmentation Summary'!$C$1),"C4 - Luxury Investors",IF(AND(D1749&lt;'Segmentation Summary'!$C$2,J1749=1),"C2 - First-Time Buyers","C5 - Other Individual Buyers"))))</f>
        <v>C5 - Other Individual Buyers</v>
      </c>
    </row>
    <row r="1750" customFormat="false" ht="15" hidden="false" customHeight="true" outlineLevel="0" collapsed="false">
      <c r="A1750" s="13" t="s">
        <v>3489</v>
      </c>
      <c r="B1750" s="13" t="s">
        <v>34</v>
      </c>
      <c r="C1750" s="13" t="s">
        <v>3490</v>
      </c>
      <c r="D1750" s="13" t="n">
        <v>59</v>
      </c>
      <c r="E1750" s="13" t="s">
        <v>90</v>
      </c>
      <c r="F1750" s="13" t="s">
        <v>33</v>
      </c>
      <c r="G1750" s="13" t="s">
        <v>265</v>
      </c>
      <c r="H1750" s="13" t="s">
        <v>43</v>
      </c>
      <c r="I1750" s="13" t="n">
        <v>2</v>
      </c>
      <c r="J1750" s="13" t="n">
        <v>0</v>
      </c>
      <c r="K1750" s="13" t="s">
        <v>85</v>
      </c>
      <c r="L1750" s="13" t="n">
        <v>3</v>
      </c>
      <c r="M1750" s="13" t="n">
        <v>974749.8</v>
      </c>
      <c r="N1750" s="13" t="n">
        <v>324916.6</v>
      </c>
      <c r="O1750" s="13" t="n">
        <v>1088.58666666667</v>
      </c>
      <c r="P1750" s="13" t="n">
        <v>1</v>
      </c>
      <c r="Q1750" s="13" t="n">
        <v>2</v>
      </c>
      <c r="R1750" s="13" t="s">
        <v>86</v>
      </c>
      <c r="S1750" s="13" t="s">
        <v>103</v>
      </c>
      <c r="T1750" s="13" t="n">
        <v>1</v>
      </c>
      <c r="U1750" s="13" t="n">
        <f aca="false">IF(B1750="Individual",1,0)</f>
        <v>1</v>
      </c>
      <c r="V1750" s="13" t="n">
        <f aca="false">IF(B1750="Company",1,0)</f>
        <v>0</v>
      </c>
      <c r="W1750" s="13" t="n">
        <f aca="false">IF(H1750="Home",1,0)</f>
        <v>0</v>
      </c>
      <c r="X1750" s="13" t="n">
        <f aca="false">IF(H1750="Investment",1,0)</f>
        <v>1</v>
      </c>
      <c r="Y1750" s="13" t="n">
        <f aca="false">IF(K1750="Website",1,0)</f>
        <v>1</v>
      </c>
      <c r="Z1750" s="13" t="n">
        <f aca="false">IF(K1750="Agency",1,0)</f>
        <v>0</v>
      </c>
      <c r="AA1750" s="13" t="n">
        <f aca="false">IF(K1750="Client",1,0)</f>
        <v>0</v>
      </c>
      <c r="AB1750" s="13" t="n">
        <f aca="false">(D1750-AVERAGE(D$2:D$2001))/STDEV(D$2:D$2001)</f>
        <v>0.280412521038879</v>
      </c>
      <c r="AC1750" s="13" t="n">
        <f aca="false">(I1750-AVERAGE(I$2:I$2001))/STDEV(I$2:I$2001)</f>
        <v>-0.727948160798201</v>
      </c>
      <c r="AD1750" s="13" t="n">
        <f aca="false">(L1750-AVERAGE(L$2:L$2001))/STDEV(L$2:L$2001)</f>
        <v>-0.777063122173208</v>
      </c>
      <c r="AE1750" s="13" t="n">
        <f aca="false">(M1750-AVERAGE(M$2:M$2001))/STDEV(M$2:M$2001)</f>
        <v>-0.821163023569754</v>
      </c>
      <c r="AF1750" s="13" t="n">
        <f aca="false">(N1750-AVERAGE(N$2:N$2001))/STDEV(N$2:N$2001)</f>
        <v>-0.31802605399908</v>
      </c>
      <c r="AG1750" s="13" t="n">
        <f aca="false">(O1750-AVERAGE(O$2:O$2001))/STDEV(O$2:O$2001)</f>
        <v>-0.267789689734602</v>
      </c>
      <c r="AH1750" s="0" t="str">
        <f aca="false">IF(B1750="Company","C3 - Corporate Buyers",IF(AND(H1750="Investment",M1750&gt;'Segmentation Summary'!$C$1),"C1 - Global Investors",IF(AND(I1750&gt;=4,M1750&gt;'Segmentation Summary'!$C$1),"C4 - Luxury Investors",IF(AND(D1750&lt;'Segmentation Summary'!$C$2,J1750=1),"C2 - First-Time Buyers","C5 - Other Individual Buyers"))))</f>
        <v>C5 - Other Individual Buyers</v>
      </c>
    </row>
    <row r="1751" customFormat="false" ht="15" hidden="false" customHeight="true" outlineLevel="0" collapsed="false">
      <c r="A1751" s="13" t="s">
        <v>3491</v>
      </c>
      <c r="B1751" s="13" t="s">
        <v>34</v>
      </c>
      <c r="C1751" s="13" t="s">
        <v>3492</v>
      </c>
      <c r="D1751" s="13" t="n">
        <v>36</v>
      </c>
      <c r="E1751" s="13" t="s">
        <v>90</v>
      </c>
      <c r="F1751" s="13" t="s">
        <v>33</v>
      </c>
      <c r="G1751" s="13" t="s">
        <v>95</v>
      </c>
      <c r="H1751" s="13" t="s">
        <v>41</v>
      </c>
      <c r="I1751" s="13" t="n">
        <v>4</v>
      </c>
      <c r="J1751" s="13" t="n">
        <v>1</v>
      </c>
      <c r="K1751" s="13" t="s">
        <v>91</v>
      </c>
      <c r="L1751" s="13" t="n">
        <v>4</v>
      </c>
      <c r="M1751" s="13" t="n">
        <v>1000550.86</v>
      </c>
      <c r="N1751" s="13" t="n">
        <v>250137.715</v>
      </c>
      <c r="O1751" s="13" t="n">
        <v>832.615</v>
      </c>
      <c r="P1751" s="13" t="n">
        <v>1</v>
      </c>
      <c r="Q1751" s="13" t="n">
        <v>3</v>
      </c>
      <c r="R1751" s="13" t="s">
        <v>107</v>
      </c>
      <c r="S1751" s="13" t="s">
        <v>125</v>
      </c>
      <c r="T1751" s="13" t="n">
        <v>1</v>
      </c>
      <c r="U1751" s="13" t="n">
        <f aca="false">IF(B1751="Individual",1,0)</f>
        <v>1</v>
      </c>
      <c r="V1751" s="13" t="n">
        <f aca="false">IF(B1751="Company",1,0)</f>
        <v>0</v>
      </c>
      <c r="W1751" s="13" t="n">
        <f aca="false">IF(H1751="Home",1,0)</f>
        <v>1</v>
      </c>
      <c r="X1751" s="13" t="n">
        <f aca="false">IF(H1751="Investment",1,0)</f>
        <v>0</v>
      </c>
      <c r="Y1751" s="13" t="n">
        <f aca="false">IF(K1751="Website",1,0)</f>
        <v>0</v>
      </c>
      <c r="Z1751" s="13" t="n">
        <f aca="false">IF(K1751="Agency",1,0)</f>
        <v>1</v>
      </c>
      <c r="AA1751" s="13" t="n">
        <f aca="false">IF(K1751="Client",1,0)</f>
        <v>0</v>
      </c>
      <c r="AB1751" s="13" t="n">
        <f aca="false">(D1751-AVERAGE(D$2:D$2001))/STDEV(D$2:D$2001)</f>
        <v>-1.0458239551886</v>
      </c>
      <c r="AC1751" s="13" t="n">
        <f aca="false">(I1751-AVERAGE(I$2:I$2001))/STDEV(I$2:I$2001)</f>
        <v>0.686917069130275</v>
      </c>
      <c r="AD1751" s="13" t="n">
        <f aca="false">(L1751-AVERAGE(L$2:L$2001))/STDEV(L$2:L$2001)</f>
        <v>0.413838214490712</v>
      </c>
      <c r="AE1751" s="13" t="n">
        <f aca="false">(M1751-AVERAGE(M$2:M$2001))/STDEV(M$2:M$2001)</f>
        <v>-0.746985952342299</v>
      </c>
      <c r="AF1751" s="13" t="n">
        <f aca="false">(N1751-AVERAGE(N$2:N$2001))/STDEV(N$2:N$2001)</f>
        <v>-1.39055805408799</v>
      </c>
      <c r="AG1751" s="13" t="n">
        <f aca="false">(O1751-AVERAGE(O$2:O$2001))/STDEV(O$2:O$2001)</f>
        <v>-1.43170682169005</v>
      </c>
      <c r="AH1751" s="0" t="str">
        <f aca="false">IF(B1751="Company","C3 - Corporate Buyers",IF(AND(H1751="Investment",M1751&gt;'Segmentation Summary'!$C$1),"C1 - Global Investors",IF(AND(I1751&gt;=4,M1751&gt;'Segmentation Summary'!$C$1),"C4 - Luxury Investors",IF(AND(D1751&lt;'Segmentation Summary'!$C$2,J1751=1),"C2 - First-Time Buyers","C5 - Other Individual Buyers"))))</f>
        <v>C2 - First-Time Buyers</v>
      </c>
    </row>
    <row r="1752" customFormat="false" ht="15" hidden="false" customHeight="true" outlineLevel="0" collapsed="false">
      <c r="A1752" s="13" t="s">
        <v>3493</v>
      </c>
      <c r="B1752" s="13" t="s">
        <v>34</v>
      </c>
      <c r="C1752" s="13" t="s">
        <v>3494</v>
      </c>
      <c r="D1752" s="13" t="n">
        <v>63</v>
      </c>
      <c r="E1752" s="13" t="s">
        <v>90</v>
      </c>
      <c r="F1752" s="13" t="s">
        <v>35</v>
      </c>
      <c r="G1752" s="13" t="s">
        <v>374</v>
      </c>
      <c r="H1752" s="13" t="s">
        <v>43</v>
      </c>
      <c r="I1752" s="13" t="n">
        <v>3</v>
      </c>
      <c r="J1752" s="13" t="n">
        <v>1</v>
      </c>
      <c r="K1752" s="13" t="s">
        <v>116</v>
      </c>
      <c r="L1752" s="13" t="n">
        <v>4</v>
      </c>
      <c r="M1752" s="13" t="n">
        <v>1689083.06</v>
      </c>
      <c r="N1752" s="13" t="n">
        <v>422270.765</v>
      </c>
      <c r="O1752" s="13" t="n">
        <v>1253.3075</v>
      </c>
      <c r="P1752" s="13" t="n">
        <v>0</v>
      </c>
      <c r="Q1752" s="13" t="n">
        <v>4</v>
      </c>
      <c r="R1752" s="13" t="s">
        <v>92</v>
      </c>
      <c r="S1752" s="13" t="s">
        <v>135</v>
      </c>
      <c r="T1752" s="13" t="n">
        <v>1</v>
      </c>
      <c r="U1752" s="13" t="n">
        <f aca="false">IF(B1752="Individual",1,0)</f>
        <v>1</v>
      </c>
      <c r="V1752" s="13" t="n">
        <f aca="false">IF(B1752="Company",1,0)</f>
        <v>0</v>
      </c>
      <c r="W1752" s="13" t="n">
        <f aca="false">IF(H1752="Home",1,0)</f>
        <v>0</v>
      </c>
      <c r="X1752" s="13" t="n">
        <f aca="false">IF(H1752="Investment",1,0)</f>
        <v>1</v>
      </c>
      <c r="Y1752" s="13" t="n">
        <f aca="false">IF(K1752="Website",1,0)</f>
        <v>0</v>
      </c>
      <c r="Z1752" s="13" t="n">
        <f aca="false">IF(K1752="Agency",1,0)</f>
        <v>0</v>
      </c>
      <c r="AA1752" s="13" t="n">
        <f aca="false">IF(K1752="Client",1,0)</f>
        <v>1</v>
      </c>
      <c r="AB1752" s="13" t="n">
        <f aca="false">(D1752-AVERAGE(D$2:D$2001))/STDEV(D$2:D$2001)</f>
        <v>0.511062342991484</v>
      </c>
      <c r="AC1752" s="13" t="n">
        <f aca="false">(I1752-AVERAGE(I$2:I$2001))/STDEV(I$2:I$2001)</f>
        <v>-0.0205155458339628</v>
      </c>
      <c r="AD1752" s="13" t="n">
        <f aca="false">(L1752-AVERAGE(L$2:L$2001))/STDEV(L$2:L$2001)</f>
        <v>0.413838214490712</v>
      </c>
      <c r="AE1752" s="13" t="n">
        <f aca="false">(M1752-AVERAGE(M$2:M$2001))/STDEV(M$2:M$2001)</f>
        <v>1.2325180696551</v>
      </c>
      <c r="AF1752" s="13" t="n">
        <f aca="false">(N1752-AVERAGE(N$2:N$2001))/STDEV(N$2:N$2001)</f>
        <v>1.07829668208391</v>
      </c>
      <c r="AG1752" s="13" t="n">
        <f aca="false">(O1752-AVERAGE(O$2:O$2001))/STDEV(O$2:O$2001)</f>
        <v>0.481204925190117</v>
      </c>
      <c r="AH1752" s="0" t="str">
        <f aca="false">IF(B1752="Company","C3 - Corporate Buyers",IF(AND(H1752="Investment",M1752&gt;'Segmentation Summary'!$C$1),"C1 - Global Investors",IF(AND(I1752&gt;=4,M1752&gt;'Segmentation Summary'!$C$1),"C4 - Luxury Investors",IF(AND(D1752&lt;'Segmentation Summary'!$C$2,J1752=1),"C2 - First-Time Buyers","C5 - Other Individual Buyers"))))</f>
        <v>C1 - Global Investors</v>
      </c>
    </row>
    <row r="1753" customFormat="false" ht="15" hidden="false" customHeight="true" outlineLevel="0" collapsed="false">
      <c r="A1753" s="13" t="s">
        <v>3495</v>
      </c>
      <c r="B1753" s="13" t="s">
        <v>34</v>
      </c>
      <c r="C1753" s="13" t="s">
        <v>3494</v>
      </c>
      <c r="D1753" s="13" t="n">
        <v>56</v>
      </c>
      <c r="E1753" s="13" t="s">
        <v>90</v>
      </c>
      <c r="F1753" s="13" t="s">
        <v>38</v>
      </c>
      <c r="G1753" s="13" t="s">
        <v>665</v>
      </c>
      <c r="H1753" s="13" t="s">
        <v>43</v>
      </c>
      <c r="I1753" s="13" t="n">
        <v>2</v>
      </c>
      <c r="J1753" s="13" t="n">
        <v>0</v>
      </c>
      <c r="K1753" s="13" t="s">
        <v>85</v>
      </c>
      <c r="L1753" s="13" t="n">
        <v>3</v>
      </c>
      <c r="M1753" s="13" t="n">
        <v>1061694.13</v>
      </c>
      <c r="N1753" s="13" t="n">
        <v>353898.043333333</v>
      </c>
      <c r="O1753" s="13" t="n">
        <v>1244.55666666667</v>
      </c>
      <c r="P1753" s="13" t="n">
        <v>0</v>
      </c>
      <c r="Q1753" s="13" t="n">
        <v>3</v>
      </c>
      <c r="R1753" s="13" t="s">
        <v>117</v>
      </c>
      <c r="S1753" s="13" t="s">
        <v>154</v>
      </c>
      <c r="T1753" s="13" t="n">
        <v>1</v>
      </c>
      <c r="U1753" s="13" t="n">
        <f aca="false">IF(B1753="Individual",1,0)</f>
        <v>1</v>
      </c>
      <c r="V1753" s="13" t="n">
        <f aca="false">IF(B1753="Company",1,0)</f>
        <v>0</v>
      </c>
      <c r="W1753" s="13" t="n">
        <f aca="false">IF(H1753="Home",1,0)</f>
        <v>0</v>
      </c>
      <c r="X1753" s="13" t="n">
        <f aca="false">IF(H1753="Investment",1,0)</f>
        <v>1</v>
      </c>
      <c r="Y1753" s="13" t="n">
        <f aca="false">IF(K1753="Website",1,0)</f>
        <v>1</v>
      </c>
      <c r="Z1753" s="13" t="n">
        <f aca="false">IF(K1753="Agency",1,0)</f>
        <v>0</v>
      </c>
      <c r="AA1753" s="13" t="n">
        <f aca="false">IF(K1753="Client",1,0)</f>
        <v>0</v>
      </c>
      <c r="AB1753" s="13" t="n">
        <f aca="false">(D1753-AVERAGE(D$2:D$2001))/STDEV(D$2:D$2001)</f>
        <v>0.107425154574426</v>
      </c>
      <c r="AC1753" s="13" t="n">
        <f aca="false">(I1753-AVERAGE(I$2:I$2001))/STDEV(I$2:I$2001)</f>
        <v>-0.727948160798201</v>
      </c>
      <c r="AD1753" s="13" t="n">
        <f aca="false">(L1753-AVERAGE(L$2:L$2001))/STDEV(L$2:L$2001)</f>
        <v>-0.777063122173208</v>
      </c>
      <c r="AE1753" s="13" t="n">
        <f aca="false">(M1753-AVERAGE(M$2:M$2001))/STDEV(M$2:M$2001)</f>
        <v>-0.571201364659874</v>
      </c>
      <c r="AF1753" s="13" t="n">
        <f aca="false">(N1753-AVERAGE(N$2:N$2001))/STDEV(N$2:N$2001)</f>
        <v>0.0976464367550012</v>
      </c>
      <c r="AG1753" s="13" t="n">
        <f aca="false">(O1753-AVERAGE(O$2:O$2001))/STDEV(O$2:O$2001)</f>
        <v>0.441414408652938</v>
      </c>
      <c r="AH1753" s="0" t="str">
        <f aca="false">IF(B1753="Company","C3 - Corporate Buyers",IF(AND(H1753="Investment",M1753&gt;'Segmentation Summary'!$C$1),"C1 - Global Investors",IF(AND(I1753&gt;=4,M1753&gt;'Segmentation Summary'!$C$1),"C4 - Luxury Investors",IF(AND(D1753&lt;'Segmentation Summary'!$C$2,J1753=1),"C2 - First-Time Buyers","C5 - Other Individual Buyers"))))</f>
        <v>C5 - Other Individual Buyers</v>
      </c>
    </row>
    <row r="1754" customFormat="false" ht="15" hidden="false" customHeight="true" outlineLevel="0" collapsed="false">
      <c r="A1754" s="13" t="s">
        <v>3496</v>
      </c>
      <c r="B1754" s="13" t="s">
        <v>34</v>
      </c>
      <c r="C1754" s="13" t="s">
        <v>3497</v>
      </c>
      <c r="D1754" s="13" t="n">
        <v>80</v>
      </c>
      <c r="E1754" s="13" t="s">
        <v>90</v>
      </c>
      <c r="F1754" s="13" t="s">
        <v>33</v>
      </c>
      <c r="G1754" s="13" t="s">
        <v>97</v>
      </c>
      <c r="H1754" s="13" t="s">
        <v>43</v>
      </c>
      <c r="I1754" s="13" t="n">
        <v>2</v>
      </c>
      <c r="J1754" s="13" t="n">
        <v>0</v>
      </c>
      <c r="K1754" s="13" t="s">
        <v>85</v>
      </c>
      <c r="L1754" s="13" t="n">
        <v>4</v>
      </c>
      <c r="M1754" s="13" t="n">
        <v>1044217.01</v>
      </c>
      <c r="N1754" s="13" t="n">
        <v>261054.2525</v>
      </c>
      <c r="O1754" s="13" t="n">
        <v>872.2</v>
      </c>
      <c r="P1754" s="13" t="n">
        <v>0</v>
      </c>
      <c r="Q1754" s="13" t="n">
        <v>4</v>
      </c>
      <c r="R1754" s="13" t="s">
        <v>92</v>
      </c>
      <c r="S1754" s="13" t="s">
        <v>114</v>
      </c>
      <c r="T1754" s="13" t="n">
        <v>1</v>
      </c>
      <c r="U1754" s="13" t="n">
        <f aca="false">IF(B1754="Individual",1,0)</f>
        <v>1</v>
      </c>
      <c r="V1754" s="13" t="n">
        <f aca="false">IF(B1754="Company",1,0)</f>
        <v>0</v>
      </c>
      <c r="W1754" s="13" t="n">
        <f aca="false">IF(H1754="Home",1,0)</f>
        <v>0</v>
      </c>
      <c r="X1754" s="13" t="n">
        <f aca="false">IF(H1754="Investment",1,0)</f>
        <v>1</v>
      </c>
      <c r="Y1754" s="13" t="n">
        <f aca="false">IF(K1754="Website",1,0)</f>
        <v>1</v>
      </c>
      <c r="Z1754" s="13" t="n">
        <f aca="false">IF(K1754="Agency",1,0)</f>
        <v>0</v>
      </c>
      <c r="AA1754" s="13" t="n">
        <f aca="false">IF(K1754="Client",1,0)</f>
        <v>0</v>
      </c>
      <c r="AB1754" s="13" t="n">
        <f aca="false">(D1754-AVERAGE(D$2:D$2001))/STDEV(D$2:D$2001)</f>
        <v>1.49132408629005</v>
      </c>
      <c r="AC1754" s="13" t="n">
        <f aca="false">(I1754-AVERAGE(I$2:I$2001))/STDEV(I$2:I$2001)</f>
        <v>-0.727948160798201</v>
      </c>
      <c r="AD1754" s="13" t="n">
        <f aca="false">(L1754-AVERAGE(L$2:L$2001))/STDEV(L$2:L$2001)</f>
        <v>0.413838214490712</v>
      </c>
      <c r="AE1754" s="13" t="n">
        <f aca="false">(M1754-AVERAGE(M$2:M$2001))/STDEV(M$2:M$2001)</f>
        <v>-0.621447423352454</v>
      </c>
      <c r="AF1754" s="13" t="n">
        <f aca="false">(N1754-AVERAGE(N$2:N$2001))/STDEV(N$2:N$2001)</f>
        <v>-1.23398530231561</v>
      </c>
      <c r="AG1754" s="13" t="n">
        <f aca="false">(O1754-AVERAGE(O$2:O$2001))/STDEV(O$2:O$2001)</f>
        <v>-1.25171166727144</v>
      </c>
      <c r="AH1754" s="0" t="str">
        <f aca="false">IF(B1754="Company","C3 - Corporate Buyers",IF(AND(H1754="Investment",M1754&gt;'Segmentation Summary'!$C$1),"C1 - Global Investors",IF(AND(I1754&gt;=4,M1754&gt;'Segmentation Summary'!$C$1),"C4 - Luxury Investors",IF(AND(D1754&lt;'Segmentation Summary'!$C$2,J1754=1),"C2 - First-Time Buyers","C5 - Other Individual Buyers"))))</f>
        <v>C5 - Other Individual Buyers</v>
      </c>
    </row>
    <row r="1755" customFormat="false" ht="15" hidden="false" customHeight="true" outlineLevel="0" collapsed="false">
      <c r="A1755" s="13" t="s">
        <v>3498</v>
      </c>
      <c r="B1755" s="13" t="s">
        <v>34</v>
      </c>
      <c r="C1755" s="13" t="s">
        <v>3499</v>
      </c>
      <c r="D1755" s="13" t="n">
        <v>49</v>
      </c>
      <c r="E1755" s="13" t="s">
        <v>90</v>
      </c>
      <c r="F1755" s="13" t="s">
        <v>35</v>
      </c>
      <c r="G1755" s="13" t="s">
        <v>374</v>
      </c>
      <c r="H1755" s="13" t="s">
        <v>41</v>
      </c>
      <c r="I1755" s="13" t="n">
        <v>2</v>
      </c>
      <c r="J1755" s="13" t="n">
        <v>0</v>
      </c>
      <c r="K1755" s="13" t="s">
        <v>85</v>
      </c>
      <c r="L1755" s="13" t="n">
        <v>3</v>
      </c>
      <c r="M1755" s="13" t="n">
        <v>1345808.87</v>
      </c>
      <c r="N1755" s="13" t="n">
        <v>448602.956666667</v>
      </c>
      <c r="O1755" s="13" t="n">
        <v>1445.29333333333</v>
      </c>
      <c r="P1755" s="13" t="n">
        <v>0</v>
      </c>
      <c r="Q1755" s="13" t="n">
        <v>3</v>
      </c>
      <c r="R1755" s="13" t="s">
        <v>92</v>
      </c>
      <c r="S1755" s="13" t="s">
        <v>103</v>
      </c>
      <c r="T1755" s="13" t="n">
        <v>1</v>
      </c>
      <c r="U1755" s="13" t="n">
        <f aca="false">IF(B1755="Individual",1,0)</f>
        <v>1</v>
      </c>
      <c r="V1755" s="13" t="n">
        <f aca="false">IF(B1755="Company",1,0)</f>
        <v>0</v>
      </c>
      <c r="W1755" s="13" t="n">
        <f aca="false">IF(H1755="Home",1,0)</f>
        <v>1</v>
      </c>
      <c r="X1755" s="13" t="n">
        <f aca="false">IF(H1755="Investment",1,0)</f>
        <v>0</v>
      </c>
      <c r="Y1755" s="13" t="n">
        <f aca="false">IF(K1755="Website",1,0)</f>
        <v>1</v>
      </c>
      <c r="Z1755" s="13" t="n">
        <f aca="false">IF(K1755="Agency",1,0)</f>
        <v>0</v>
      </c>
      <c r="AA1755" s="13" t="n">
        <f aca="false">IF(K1755="Client",1,0)</f>
        <v>0</v>
      </c>
      <c r="AB1755" s="13" t="n">
        <f aca="false">(D1755-AVERAGE(D$2:D$2001))/STDEV(D$2:D$2001)</f>
        <v>-0.296212033842633</v>
      </c>
      <c r="AC1755" s="13" t="n">
        <f aca="false">(I1755-AVERAGE(I$2:I$2001))/STDEV(I$2:I$2001)</f>
        <v>-0.727948160798201</v>
      </c>
      <c r="AD1755" s="13" t="n">
        <f aca="false">(L1755-AVERAGE(L$2:L$2001))/STDEV(L$2:L$2001)</f>
        <v>-0.777063122173208</v>
      </c>
      <c r="AE1755" s="13" t="n">
        <f aca="false">(M1755-AVERAGE(M$2:M$2001))/STDEV(M$2:M$2001)</f>
        <v>0.245617762374048</v>
      </c>
      <c r="AF1755" s="13" t="n">
        <f aca="false">(N1755-AVERAGE(N$2:N$2001))/STDEV(N$2:N$2001)</f>
        <v>1.45597171956241</v>
      </c>
      <c r="AG1755" s="13" t="n">
        <f aca="false">(O1755-AVERAGE(O$2:O$2001))/STDEV(O$2:O$2001)</f>
        <v>1.35417498245975</v>
      </c>
      <c r="AH1755" s="0" t="str">
        <f aca="false">IF(B1755="Company","C3 - Corporate Buyers",IF(AND(H1755="Investment",M1755&gt;'Segmentation Summary'!$C$1),"C1 - Global Investors",IF(AND(I1755&gt;=4,M1755&gt;'Segmentation Summary'!$C$1),"C4 - Luxury Investors",IF(AND(D1755&lt;'Segmentation Summary'!$C$2,J1755=1),"C2 - First-Time Buyers","C5 - Other Individual Buyers"))))</f>
        <v>C5 - Other Individual Buyers</v>
      </c>
    </row>
    <row r="1756" customFormat="false" ht="15" hidden="false" customHeight="true" outlineLevel="0" collapsed="false">
      <c r="A1756" s="13" t="s">
        <v>3500</v>
      </c>
      <c r="B1756" s="13" t="s">
        <v>34</v>
      </c>
      <c r="C1756" s="13" t="s">
        <v>3501</v>
      </c>
      <c r="D1756" s="13" t="n">
        <v>58</v>
      </c>
      <c r="E1756" s="13" t="s">
        <v>90</v>
      </c>
      <c r="F1756" s="13" t="s">
        <v>45</v>
      </c>
      <c r="G1756" s="13" t="s">
        <v>405</v>
      </c>
      <c r="H1756" s="13" t="s">
        <v>41</v>
      </c>
      <c r="I1756" s="13" t="n">
        <v>5</v>
      </c>
      <c r="J1756" s="13" t="n">
        <v>1</v>
      </c>
      <c r="K1756" s="13" t="s">
        <v>85</v>
      </c>
      <c r="L1756" s="13" t="n">
        <v>3</v>
      </c>
      <c r="M1756" s="13" t="n">
        <v>908970.34</v>
      </c>
      <c r="N1756" s="13" t="n">
        <v>302990.113333333</v>
      </c>
      <c r="O1756" s="13" t="n">
        <v>1077.32333333333</v>
      </c>
      <c r="P1756" s="13" t="n">
        <v>0</v>
      </c>
      <c r="Q1756" s="13" t="n">
        <v>3</v>
      </c>
      <c r="R1756" s="13" t="s">
        <v>98</v>
      </c>
      <c r="S1756" s="13" t="s">
        <v>93</v>
      </c>
      <c r="T1756" s="13" t="n">
        <v>1</v>
      </c>
      <c r="U1756" s="13" t="n">
        <f aca="false">IF(B1756="Individual",1,0)</f>
        <v>1</v>
      </c>
      <c r="V1756" s="13" t="n">
        <f aca="false">IF(B1756="Company",1,0)</f>
        <v>0</v>
      </c>
      <c r="W1756" s="13" t="n">
        <f aca="false">IF(H1756="Home",1,0)</f>
        <v>1</v>
      </c>
      <c r="X1756" s="13" t="n">
        <f aca="false">IF(H1756="Investment",1,0)</f>
        <v>0</v>
      </c>
      <c r="Y1756" s="13" t="n">
        <f aca="false">IF(K1756="Website",1,0)</f>
        <v>1</v>
      </c>
      <c r="Z1756" s="13" t="n">
        <f aca="false">IF(K1756="Agency",1,0)</f>
        <v>0</v>
      </c>
      <c r="AA1756" s="13" t="n">
        <f aca="false">IF(K1756="Client",1,0)</f>
        <v>0</v>
      </c>
      <c r="AB1756" s="13" t="n">
        <f aca="false">(D1756-AVERAGE(D$2:D$2001))/STDEV(D$2:D$2001)</f>
        <v>0.222750065550728</v>
      </c>
      <c r="AC1756" s="13" t="n">
        <f aca="false">(I1756-AVERAGE(I$2:I$2001))/STDEV(I$2:I$2001)</f>
        <v>1.39434968409451</v>
      </c>
      <c r="AD1756" s="13" t="n">
        <f aca="false">(L1756-AVERAGE(L$2:L$2001))/STDEV(L$2:L$2001)</f>
        <v>-0.777063122173208</v>
      </c>
      <c r="AE1756" s="13" t="n">
        <f aca="false">(M1756-AVERAGE(M$2:M$2001))/STDEV(M$2:M$2001)</f>
        <v>-1.01027648207586</v>
      </c>
      <c r="AF1756" s="13" t="n">
        <f aca="false">(N1756-AVERAGE(N$2:N$2001))/STDEV(N$2:N$2001)</f>
        <v>-0.632511334162366</v>
      </c>
      <c r="AG1756" s="13" t="n">
        <f aca="false">(O1756-AVERAGE(O$2:O$2001))/STDEV(O$2:O$2001)</f>
        <v>-0.319004680832311</v>
      </c>
      <c r="AH1756" s="0" t="str">
        <f aca="false">IF(B1756="Company","C3 - Corporate Buyers",IF(AND(H1756="Investment",M1756&gt;'Segmentation Summary'!$C$1),"C1 - Global Investors",IF(AND(I1756&gt;=4,M1756&gt;'Segmentation Summary'!$C$1),"C4 - Luxury Investors",IF(AND(D1756&lt;'Segmentation Summary'!$C$2,J1756=1),"C2 - First-Time Buyers","C5 - Other Individual Buyers"))))</f>
        <v>C5 - Other Individual Buyers</v>
      </c>
    </row>
    <row r="1757" customFormat="false" ht="15" hidden="false" customHeight="true" outlineLevel="0" collapsed="false">
      <c r="A1757" s="13" t="s">
        <v>3502</v>
      </c>
      <c r="B1757" s="13" t="s">
        <v>34</v>
      </c>
      <c r="C1757" s="13" t="s">
        <v>3503</v>
      </c>
      <c r="D1757" s="13" t="n">
        <v>48</v>
      </c>
      <c r="E1757" s="13" t="s">
        <v>90</v>
      </c>
      <c r="F1757" s="13" t="s">
        <v>33</v>
      </c>
      <c r="G1757" s="13" t="s">
        <v>120</v>
      </c>
      <c r="H1757" s="13" t="s">
        <v>41</v>
      </c>
      <c r="I1757" s="13" t="n">
        <v>3</v>
      </c>
      <c r="J1757" s="13" t="n">
        <v>0</v>
      </c>
      <c r="K1757" s="13" t="s">
        <v>91</v>
      </c>
      <c r="L1757" s="13" t="n">
        <v>3</v>
      </c>
      <c r="M1757" s="13" t="n">
        <v>786895.89</v>
      </c>
      <c r="N1757" s="13" t="n">
        <v>262298.63</v>
      </c>
      <c r="O1757" s="13" t="n">
        <v>899.62</v>
      </c>
      <c r="P1757" s="13" t="n">
        <v>0</v>
      </c>
      <c r="Q1757" s="13" t="n">
        <v>3</v>
      </c>
      <c r="R1757" s="13" t="s">
        <v>111</v>
      </c>
      <c r="S1757" s="13" t="s">
        <v>107</v>
      </c>
      <c r="T1757" s="13" t="n">
        <v>1</v>
      </c>
      <c r="U1757" s="13" t="n">
        <f aca="false">IF(B1757="Individual",1,0)</f>
        <v>1</v>
      </c>
      <c r="V1757" s="13" t="n">
        <f aca="false">IF(B1757="Company",1,0)</f>
        <v>0</v>
      </c>
      <c r="W1757" s="13" t="n">
        <f aca="false">IF(H1757="Home",1,0)</f>
        <v>1</v>
      </c>
      <c r="X1757" s="13" t="n">
        <f aca="false">IF(H1757="Investment",1,0)</f>
        <v>0</v>
      </c>
      <c r="Y1757" s="13" t="n">
        <f aca="false">IF(K1757="Website",1,0)</f>
        <v>0</v>
      </c>
      <c r="Z1757" s="13" t="n">
        <f aca="false">IF(K1757="Agency",1,0)</f>
        <v>1</v>
      </c>
      <c r="AA1757" s="13" t="n">
        <f aca="false">IF(K1757="Client",1,0)</f>
        <v>0</v>
      </c>
      <c r="AB1757" s="13" t="n">
        <f aca="false">(D1757-AVERAGE(D$2:D$2001))/STDEV(D$2:D$2001)</f>
        <v>-0.353874489330784</v>
      </c>
      <c r="AC1757" s="13" t="n">
        <f aca="false">(I1757-AVERAGE(I$2:I$2001))/STDEV(I$2:I$2001)</f>
        <v>-0.0205155458339628</v>
      </c>
      <c r="AD1757" s="13" t="n">
        <f aca="false">(L1757-AVERAGE(L$2:L$2001))/STDEV(L$2:L$2001)</f>
        <v>-0.777063122173208</v>
      </c>
      <c r="AE1757" s="13" t="n">
        <f aca="false">(M1757-AVERAGE(M$2:M$2001))/STDEV(M$2:M$2001)</f>
        <v>-1.36123590671587</v>
      </c>
      <c r="AF1757" s="13" t="n">
        <f aca="false">(N1757-AVERAGE(N$2:N$2001))/STDEV(N$2:N$2001)</f>
        <v>-1.21613755439932</v>
      </c>
      <c r="AG1757" s="13" t="n">
        <f aca="false">(O1757-AVERAGE(O$2:O$2001))/STDEV(O$2:O$2001)</f>
        <v>-1.12703143147105</v>
      </c>
      <c r="AH1757" s="0" t="str">
        <f aca="false">IF(B1757="Company","C3 - Corporate Buyers",IF(AND(H1757="Investment",M1757&gt;'Segmentation Summary'!$C$1),"C1 - Global Investors",IF(AND(I1757&gt;=4,M1757&gt;'Segmentation Summary'!$C$1),"C4 - Luxury Investors",IF(AND(D1757&lt;'Segmentation Summary'!$C$2,J1757=1),"C2 - First-Time Buyers","C5 - Other Individual Buyers"))))</f>
        <v>C5 - Other Individual Buyers</v>
      </c>
    </row>
    <row r="1758" customFormat="false" ht="15" hidden="false" customHeight="true" outlineLevel="0" collapsed="false">
      <c r="A1758" s="13" t="s">
        <v>3504</v>
      </c>
      <c r="B1758" s="13" t="s">
        <v>34</v>
      </c>
      <c r="C1758" s="13" t="s">
        <v>3505</v>
      </c>
      <c r="D1758" s="13" t="n">
        <v>50</v>
      </c>
      <c r="E1758" s="13" t="s">
        <v>90</v>
      </c>
      <c r="F1758" s="13" t="s">
        <v>33</v>
      </c>
      <c r="G1758" s="13" t="s">
        <v>162</v>
      </c>
      <c r="H1758" s="13" t="s">
        <v>43</v>
      </c>
      <c r="I1758" s="13" t="n">
        <v>4</v>
      </c>
      <c r="J1758" s="13" t="n">
        <v>1</v>
      </c>
      <c r="K1758" s="13" t="s">
        <v>85</v>
      </c>
      <c r="L1758" s="13" t="n">
        <v>4</v>
      </c>
      <c r="M1758" s="13" t="n">
        <v>957106.48</v>
      </c>
      <c r="N1758" s="13" t="n">
        <v>239276.62</v>
      </c>
      <c r="O1758" s="13" t="n">
        <v>860.9325</v>
      </c>
      <c r="P1758" s="13" t="n">
        <v>0</v>
      </c>
      <c r="Q1758" s="13" t="n">
        <v>4</v>
      </c>
      <c r="R1758" s="13" t="s">
        <v>128</v>
      </c>
      <c r="S1758" s="13" t="s">
        <v>133</v>
      </c>
      <c r="T1758" s="13" t="n">
        <v>1</v>
      </c>
      <c r="U1758" s="13" t="n">
        <f aca="false">IF(B1758="Individual",1,0)</f>
        <v>1</v>
      </c>
      <c r="V1758" s="13" t="n">
        <f aca="false">IF(B1758="Company",1,0)</f>
        <v>0</v>
      </c>
      <c r="W1758" s="13" t="n">
        <f aca="false">IF(H1758="Home",1,0)</f>
        <v>0</v>
      </c>
      <c r="X1758" s="13" t="n">
        <f aca="false">IF(H1758="Investment",1,0)</f>
        <v>1</v>
      </c>
      <c r="Y1758" s="13" t="n">
        <f aca="false">IF(K1758="Website",1,0)</f>
        <v>1</v>
      </c>
      <c r="Z1758" s="13" t="n">
        <f aca="false">IF(K1758="Agency",1,0)</f>
        <v>0</v>
      </c>
      <c r="AA1758" s="13" t="n">
        <f aca="false">IF(K1758="Client",1,0)</f>
        <v>0</v>
      </c>
      <c r="AB1758" s="13" t="n">
        <f aca="false">(D1758-AVERAGE(D$2:D$2001))/STDEV(D$2:D$2001)</f>
        <v>-0.238549578354482</v>
      </c>
      <c r="AC1758" s="13" t="n">
        <f aca="false">(I1758-AVERAGE(I$2:I$2001))/STDEV(I$2:I$2001)</f>
        <v>0.686917069130275</v>
      </c>
      <c r="AD1758" s="13" t="n">
        <f aca="false">(L1758-AVERAGE(L$2:L$2001))/STDEV(L$2:L$2001)</f>
        <v>0.413838214490712</v>
      </c>
      <c r="AE1758" s="13" t="n">
        <f aca="false">(M1758-AVERAGE(M$2:M$2001))/STDEV(M$2:M$2001)</f>
        <v>-0.871886900973581</v>
      </c>
      <c r="AF1758" s="13" t="n">
        <f aca="false">(N1758-AVERAGE(N$2:N$2001))/STDEV(N$2:N$2001)</f>
        <v>-1.54633561005858</v>
      </c>
      <c r="AG1758" s="13" t="n">
        <f aca="false">(O1758-AVERAGE(O$2:O$2001))/STDEV(O$2:O$2001)</f>
        <v>-1.30294560442975</v>
      </c>
      <c r="AH1758" s="0" t="str">
        <f aca="false">IF(B1758="Company","C3 - Corporate Buyers",IF(AND(H1758="Investment",M1758&gt;'Segmentation Summary'!$C$1),"C1 - Global Investors",IF(AND(I1758&gt;=4,M1758&gt;'Segmentation Summary'!$C$1),"C4 - Luxury Investors",IF(AND(D1758&lt;'Segmentation Summary'!$C$2,J1758=1),"C2 - First-Time Buyers","C5 - Other Individual Buyers"))))</f>
        <v>C2 - First-Time Buyers</v>
      </c>
    </row>
    <row r="1759" customFormat="false" ht="15" hidden="false" customHeight="true" outlineLevel="0" collapsed="false">
      <c r="A1759" s="13" t="s">
        <v>3506</v>
      </c>
      <c r="B1759" s="13" t="s">
        <v>34</v>
      </c>
      <c r="C1759" s="13" t="s">
        <v>3507</v>
      </c>
      <c r="D1759" s="13" t="n">
        <v>55</v>
      </c>
      <c r="E1759" s="13" t="s">
        <v>90</v>
      </c>
      <c r="F1759" s="13" t="s">
        <v>33</v>
      </c>
      <c r="G1759" s="13" t="s">
        <v>95</v>
      </c>
      <c r="H1759" s="13" t="s">
        <v>41</v>
      </c>
      <c r="I1759" s="13" t="n">
        <v>3</v>
      </c>
      <c r="J1759" s="13" t="n">
        <v>0</v>
      </c>
      <c r="K1759" s="13" t="s">
        <v>85</v>
      </c>
      <c r="L1759" s="13" t="n">
        <v>4</v>
      </c>
      <c r="M1759" s="13" t="n">
        <v>1364413.45</v>
      </c>
      <c r="N1759" s="13" t="n">
        <v>341103.3625</v>
      </c>
      <c r="O1759" s="13" t="n">
        <v>1151.61</v>
      </c>
      <c r="P1759" s="13" t="n">
        <v>1</v>
      </c>
      <c r="Q1759" s="13" t="n">
        <v>3</v>
      </c>
      <c r="R1759" s="13" t="s">
        <v>98</v>
      </c>
      <c r="S1759" s="13" t="s">
        <v>114</v>
      </c>
      <c r="T1759" s="13" t="n">
        <v>1</v>
      </c>
      <c r="U1759" s="13" t="n">
        <f aca="false">IF(B1759="Individual",1,0)</f>
        <v>1</v>
      </c>
      <c r="V1759" s="13" t="n">
        <f aca="false">IF(B1759="Company",1,0)</f>
        <v>0</v>
      </c>
      <c r="W1759" s="13" t="n">
        <f aca="false">IF(H1759="Home",1,0)</f>
        <v>1</v>
      </c>
      <c r="X1759" s="13" t="n">
        <f aca="false">IF(H1759="Investment",1,0)</f>
        <v>0</v>
      </c>
      <c r="Y1759" s="13" t="n">
        <f aca="false">IF(K1759="Website",1,0)</f>
        <v>1</v>
      </c>
      <c r="Z1759" s="13" t="n">
        <f aca="false">IF(K1759="Agency",1,0)</f>
        <v>0</v>
      </c>
      <c r="AA1759" s="13" t="n">
        <f aca="false">IF(K1759="Client",1,0)</f>
        <v>0</v>
      </c>
      <c r="AB1759" s="13" t="n">
        <f aca="false">(D1759-AVERAGE(D$2:D$2001))/STDEV(D$2:D$2001)</f>
        <v>0.0497626990862745</v>
      </c>
      <c r="AC1759" s="13" t="n">
        <f aca="false">(I1759-AVERAGE(I$2:I$2001))/STDEV(I$2:I$2001)</f>
        <v>-0.0205155458339628</v>
      </c>
      <c r="AD1759" s="13" t="n">
        <f aca="false">(L1759-AVERAGE(L$2:L$2001))/STDEV(L$2:L$2001)</f>
        <v>0.413838214490712</v>
      </c>
      <c r="AE1759" s="13" t="n">
        <f aca="false">(M1759-AVERAGE(M$2:M$2001))/STDEV(M$2:M$2001)</f>
        <v>0.29910522590527</v>
      </c>
      <c r="AF1759" s="13" t="n">
        <f aca="false">(N1759-AVERAGE(N$2:N$2001))/STDEV(N$2:N$2001)</f>
        <v>-0.0858639836621241</v>
      </c>
      <c r="AG1759" s="13" t="n">
        <f aca="false">(O1759-AVERAGE(O$2:O$2001))/STDEV(O$2:O$2001)</f>
        <v>0.018780844945411</v>
      </c>
      <c r="AH1759" s="0" t="str">
        <f aca="false">IF(B1759="Company","C3 - Corporate Buyers",IF(AND(H1759="Investment",M1759&gt;'Segmentation Summary'!$C$1),"C1 - Global Investors",IF(AND(I1759&gt;=4,M1759&gt;'Segmentation Summary'!$C$1),"C4 - Luxury Investors",IF(AND(D1759&lt;'Segmentation Summary'!$C$2,J1759=1),"C2 - First-Time Buyers","C5 - Other Individual Buyers"))))</f>
        <v>C5 - Other Individual Buyers</v>
      </c>
    </row>
    <row r="1760" customFormat="false" ht="15" hidden="false" customHeight="true" outlineLevel="0" collapsed="false">
      <c r="A1760" s="13" t="s">
        <v>3508</v>
      </c>
      <c r="B1760" s="13" t="s">
        <v>34</v>
      </c>
      <c r="C1760" s="13" t="s">
        <v>3509</v>
      </c>
      <c r="D1760" s="13" t="n">
        <v>81</v>
      </c>
      <c r="E1760" s="13" t="s">
        <v>90</v>
      </c>
      <c r="F1760" s="13" t="s">
        <v>35</v>
      </c>
      <c r="G1760" s="13" t="s">
        <v>374</v>
      </c>
      <c r="H1760" s="13" t="s">
        <v>41</v>
      </c>
      <c r="I1760" s="13" t="n">
        <v>4</v>
      </c>
      <c r="J1760" s="13" t="n">
        <v>0</v>
      </c>
      <c r="K1760" s="13" t="s">
        <v>85</v>
      </c>
      <c r="L1760" s="13" t="n">
        <v>4</v>
      </c>
      <c r="M1760" s="13" t="n">
        <v>1462320.39</v>
      </c>
      <c r="N1760" s="13" t="n">
        <v>365580.0975</v>
      </c>
      <c r="O1760" s="13" t="n">
        <v>1326.2525</v>
      </c>
      <c r="P1760" s="13" t="n">
        <v>0</v>
      </c>
      <c r="Q1760" s="13" t="n">
        <v>4</v>
      </c>
      <c r="R1760" s="13" t="s">
        <v>101</v>
      </c>
      <c r="S1760" s="13" t="s">
        <v>135</v>
      </c>
      <c r="T1760" s="13" t="n">
        <v>1</v>
      </c>
      <c r="U1760" s="13" t="n">
        <f aca="false">IF(B1760="Individual",1,0)</f>
        <v>1</v>
      </c>
      <c r="V1760" s="13" t="n">
        <f aca="false">IF(B1760="Company",1,0)</f>
        <v>0</v>
      </c>
      <c r="W1760" s="13" t="n">
        <f aca="false">IF(H1760="Home",1,0)</f>
        <v>1</v>
      </c>
      <c r="X1760" s="13" t="n">
        <f aca="false">IF(H1760="Investment",1,0)</f>
        <v>0</v>
      </c>
      <c r="Y1760" s="13" t="n">
        <f aca="false">IF(K1760="Website",1,0)</f>
        <v>1</v>
      </c>
      <c r="Z1760" s="13" t="n">
        <f aca="false">IF(K1760="Agency",1,0)</f>
        <v>0</v>
      </c>
      <c r="AA1760" s="13" t="n">
        <f aca="false">IF(K1760="Client",1,0)</f>
        <v>0</v>
      </c>
      <c r="AB1760" s="13" t="n">
        <f aca="false">(D1760-AVERAGE(D$2:D$2001))/STDEV(D$2:D$2001)</f>
        <v>1.54898654177821</v>
      </c>
      <c r="AC1760" s="13" t="n">
        <f aca="false">(I1760-AVERAGE(I$2:I$2001))/STDEV(I$2:I$2001)</f>
        <v>0.686917069130275</v>
      </c>
      <c r="AD1760" s="13" t="n">
        <f aca="false">(L1760-AVERAGE(L$2:L$2001))/STDEV(L$2:L$2001)</f>
        <v>0.413838214490712</v>
      </c>
      <c r="AE1760" s="13" t="n">
        <f aca="false">(M1760-AVERAGE(M$2:M$2001))/STDEV(M$2:M$2001)</f>
        <v>0.580583973756799</v>
      </c>
      <c r="AF1760" s="13" t="n">
        <f aca="false">(N1760-AVERAGE(N$2:N$2001))/STDEV(N$2:N$2001)</f>
        <v>0.265198773494474</v>
      </c>
      <c r="AG1760" s="13" t="n">
        <f aca="false">(O1760-AVERAGE(O$2:O$2001))/STDEV(O$2:O$2001)</f>
        <v>0.812889819444647</v>
      </c>
      <c r="AH1760" s="0" t="str">
        <f aca="false">IF(B1760="Company","C3 - Corporate Buyers",IF(AND(H1760="Investment",M1760&gt;'Segmentation Summary'!$C$1),"C1 - Global Investors",IF(AND(I1760&gt;=4,M1760&gt;'Segmentation Summary'!$C$1),"C4 - Luxury Investors",IF(AND(D1760&lt;'Segmentation Summary'!$C$2,J1760=1),"C2 - First-Time Buyers","C5 - Other Individual Buyers"))))</f>
        <v>C4 - Luxury Investors</v>
      </c>
    </row>
    <row r="1761" customFormat="false" ht="15" hidden="false" customHeight="true" outlineLevel="0" collapsed="false">
      <c r="A1761" s="13" t="s">
        <v>3510</v>
      </c>
      <c r="B1761" s="13" t="s">
        <v>34</v>
      </c>
      <c r="C1761" s="13" t="s">
        <v>3511</v>
      </c>
      <c r="D1761" s="13" t="n">
        <v>49</v>
      </c>
      <c r="E1761" s="13" t="s">
        <v>90</v>
      </c>
      <c r="F1761" s="13" t="s">
        <v>33</v>
      </c>
      <c r="G1761" s="13" t="s">
        <v>84</v>
      </c>
      <c r="H1761" s="13" t="s">
        <v>43</v>
      </c>
      <c r="I1761" s="13" t="n">
        <v>4</v>
      </c>
      <c r="J1761" s="13" t="n">
        <v>0</v>
      </c>
      <c r="K1761" s="13" t="s">
        <v>85</v>
      </c>
      <c r="L1761" s="13" t="n">
        <v>4</v>
      </c>
      <c r="M1761" s="13" t="n">
        <v>1072189.52</v>
      </c>
      <c r="N1761" s="13" t="n">
        <v>268047.38</v>
      </c>
      <c r="O1761" s="13" t="n">
        <v>842.75</v>
      </c>
      <c r="P1761" s="13" t="n">
        <v>0</v>
      </c>
      <c r="Q1761" s="13" t="n">
        <v>4</v>
      </c>
      <c r="R1761" s="13" t="s">
        <v>98</v>
      </c>
      <c r="S1761" s="13" t="s">
        <v>107</v>
      </c>
      <c r="T1761" s="13" t="n">
        <v>1</v>
      </c>
      <c r="U1761" s="13" t="n">
        <f aca="false">IF(B1761="Individual",1,0)</f>
        <v>1</v>
      </c>
      <c r="V1761" s="13" t="n">
        <f aca="false">IF(B1761="Company",1,0)</f>
        <v>0</v>
      </c>
      <c r="W1761" s="13" t="n">
        <f aca="false">IF(H1761="Home",1,0)</f>
        <v>0</v>
      </c>
      <c r="X1761" s="13" t="n">
        <f aca="false">IF(H1761="Investment",1,0)</f>
        <v>1</v>
      </c>
      <c r="Y1761" s="13" t="n">
        <f aca="false">IF(K1761="Website",1,0)</f>
        <v>1</v>
      </c>
      <c r="Z1761" s="13" t="n">
        <f aca="false">IF(K1761="Agency",1,0)</f>
        <v>0</v>
      </c>
      <c r="AA1761" s="13" t="n">
        <f aca="false">IF(K1761="Client",1,0)</f>
        <v>0</v>
      </c>
      <c r="AB1761" s="13" t="n">
        <f aca="false">(D1761-AVERAGE(D$2:D$2001))/STDEV(D$2:D$2001)</f>
        <v>-0.296212033842633</v>
      </c>
      <c r="AC1761" s="13" t="n">
        <f aca="false">(I1761-AVERAGE(I$2:I$2001))/STDEV(I$2:I$2001)</f>
        <v>0.686917069130275</v>
      </c>
      <c r="AD1761" s="13" t="n">
        <f aca="false">(L1761-AVERAGE(L$2:L$2001))/STDEV(L$2:L$2001)</f>
        <v>0.413838214490712</v>
      </c>
      <c r="AE1761" s="13" t="n">
        <f aca="false">(M1761-AVERAGE(M$2:M$2001))/STDEV(M$2:M$2001)</f>
        <v>-0.541027515539337</v>
      </c>
      <c r="AF1761" s="13" t="n">
        <f aca="false">(N1761-AVERAGE(N$2:N$2001))/STDEV(N$2:N$2001)</f>
        <v>-1.13368488964628</v>
      </c>
      <c r="AG1761" s="13" t="n">
        <f aca="false">(O1761-AVERAGE(O$2:O$2001))/STDEV(O$2:O$2001)</f>
        <v>-1.38562242381124</v>
      </c>
      <c r="AH1761" s="0" t="str">
        <f aca="false">IF(B1761="Company","C3 - Corporate Buyers",IF(AND(H1761="Investment",M1761&gt;'Segmentation Summary'!$C$1),"C1 - Global Investors",IF(AND(I1761&gt;=4,M1761&gt;'Segmentation Summary'!$C$1),"C4 - Luxury Investors",IF(AND(D1761&lt;'Segmentation Summary'!$C$2,J1761=1),"C2 - First-Time Buyers","C5 - Other Individual Buyers"))))</f>
        <v>C5 - Other Individual Buyers</v>
      </c>
    </row>
    <row r="1762" customFormat="false" ht="15" hidden="false" customHeight="true" outlineLevel="0" collapsed="false">
      <c r="A1762" s="13" t="s">
        <v>3512</v>
      </c>
      <c r="B1762" s="13" t="s">
        <v>34</v>
      </c>
      <c r="C1762" s="13" t="s">
        <v>3513</v>
      </c>
      <c r="D1762" s="13" t="n">
        <v>64</v>
      </c>
      <c r="E1762" s="13" t="s">
        <v>90</v>
      </c>
      <c r="F1762" s="13" t="s">
        <v>33</v>
      </c>
      <c r="G1762" s="13" t="s">
        <v>106</v>
      </c>
      <c r="H1762" s="13" t="s">
        <v>41</v>
      </c>
      <c r="I1762" s="13" t="n">
        <v>2</v>
      </c>
      <c r="J1762" s="13" t="n">
        <v>1</v>
      </c>
      <c r="K1762" s="13" t="s">
        <v>85</v>
      </c>
      <c r="L1762" s="13" t="n">
        <v>4</v>
      </c>
      <c r="M1762" s="13" t="n">
        <v>1631407.56</v>
      </c>
      <c r="N1762" s="13" t="n">
        <v>407851.89</v>
      </c>
      <c r="O1762" s="13" t="n">
        <v>1273.5475</v>
      </c>
      <c r="P1762" s="13" t="n">
        <v>1</v>
      </c>
      <c r="Q1762" s="13" t="n">
        <v>3</v>
      </c>
      <c r="R1762" s="13" t="s">
        <v>86</v>
      </c>
      <c r="S1762" s="13" t="s">
        <v>152</v>
      </c>
      <c r="T1762" s="13" t="n">
        <v>1</v>
      </c>
      <c r="U1762" s="13" t="n">
        <f aca="false">IF(B1762="Individual",1,0)</f>
        <v>1</v>
      </c>
      <c r="V1762" s="13" t="n">
        <f aca="false">IF(B1762="Company",1,0)</f>
        <v>0</v>
      </c>
      <c r="W1762" s="13" t="n">
        <f aca="false">IF(H1762="Home",1,0)</f>
        <v>1</v>
      </c>
      <c r="X1762" s="13" t="n">
        <f aca="false">IF(H1762="Investment",1,0)</f>
        <v>0</v>
      </c>
      <c r="Y1762" s="13" t="n">
        <f aca="false">IF(K1762="Website",1,0)</f>
        <v>1</v>
      </c>
      <c r="Z1762" s="13" t="n">
        <f aca="false">IF(K1762="Agency",1,0)</f>
        <v>0</v>
      </c>
      <c r="AA1762" s="13" t="n">
        <f aca="false">IF(K1762="Client",1,0)</f>
        <v>0</v>
      </c>
      <c r="AB1762" s="13" t="n">
        <f aca="false">(D1762-AVERAGE(D$2:D$2001))/STDEV(D$2:D$2001)</f>
        <v>0.568724798479635</v>
      </c>
      <c r="AC1762" s="13" t="n">
        <f aca="false">(I1762-AVERAGE(I$2:I$2001))/STDEV(I$2:I$2001)</f>
        <v>-0.727948160798201</v>
      </c>
      <c r="AD1762" s="13" t="n">
        <f aca="false">(L1762-AVERAGE(L$2:L$2001))/STDEV(L$2:L$2001)</f>
        <v>0.413838214490712</v>
      </c>
      <c r="AE1762" s="13" t="n">
        <f aca="false">(M1762-AVERAGE(M$2:M$2001))/STDEV(M$2:M$2001)</f>
        <v>1.06670318950758</v>
      </c>
      <c r="AF1762" s="13" t="n">
        <f aca="false">(N1762-AVERAGE(N$2:N$2001))/STDEV(N$2:N$2001)</f>
        <v>0.871490912744322</v>
      </c>
      <c r="AG1762" s="13" t="n">
        <f aca="false">(O1762-AVERAGE(O$2:O$2001))/STDEV(O$2:O$2001)</f>
        <v>0.57323730931119</v>
      </c>
      <c r="AH1762" s="0" t="str">
        <f aca="false">IF(B1762="Company","C3 - Corporate Buyers",IF(AND(H1762="Investment",M1762&gt;'Segmentation Summary'!$C$1),"C1 - Global Investors",IF(AND(I1762&gt;=4,M1762&gt;'Segmentation Summary'!$C$1),"C4 - Luxury Investors",IF(AND(D1762&lt;'Segmentation Summary'!$C$2,J1762=1),"C2 - First-Time Buyers","C5 - Other Individual Buyers"))))</f>
        <v>C5 - Other Individual Buyers</v>
      </c>
    </row>
    <row r="1763" customFormat="false" ht="15" hidden="false" customHeight="true" outlineLevel="0" collapsed="false">
      <c r="A1763" s="13" t="s">
        <v>3514</v>
      </c>
      <c r="B1763" s="13" t="s">
        <v>34</v>
      </c>
      <c r="C1763" s="13" t="s">
        <v>3515</v>
      </c>
      <c r="D1763" s="13" t="n">
        <v>77</v>
      </c>
      <c r="E1763" s="13" t="s">
        <v>90</v>
      </c>
      <c r="F1763" s="13" t="s">
        <v>44</v>
      </c>
      <c r="G1763" s="13" t="s">
        <v>497</v>
      </c>
      <c r="H1763" s="13" t="s">
        <v>43</v>
      </c>
      <c r="I1763" s="13" t="n">
        <v>1</v>
      </c>
      <c r="J1763" s="13" t="n">
        <v>1</v>
      </c>
      <c r="K1763" s="13" t="s">
        <v>116</v>
      </c>
      <c r="L1763" s="13" t="n">
        <v>4</v>
      </c>
      <c r="M1763" s="13" t="n">
        <v>1302917.16</v>
      </c>
      <c r="N1763" s="13" t="n">
        <v>325729.29</v>
      </c>
      <c r="O1763" s="13" t="n">
        <v>1140.38</v>
      </c>
      <c r="P1763" s="13" t="n">
        <v>1</v>
      </c>
      <c r="Q1763" s="13" t="n">
        <v>3</v>
      </c>
      <c r="R1763" s="13" t="s">
        <v>121</v>
      </c>
      <c r="S1763" s="13" t="s">
        <v>135</v>
      </c>
      <c r="T1763" s="13" t="n">
        <v>1</v>
      </c>
      <c r="U1763" s="13" t="n">
        <f aca="false">IF(B1763="Individual",1,0)</f>
        <v>1</v>
      </c>
      <c r="V1763" s="13" t="n">
        <f aca="false">IF(B1763="Company",1,0)</f>
        <v>0</v>
      </c>
      <c r="W1763" s="13" t="n">
        <f aca="false">IF(H1763="Home",1,0)</f>
        <v>0</v>
      </c>
      <c r="X1763" s="13" t="n">
        <f aca="false">IF(H1763="Investment",1,0)</f>
        <v>1</v>
      </c>
      <c r="Y1763" s="13" t="n">
        <f aca="false">IF(K1763="Website",1,0)</f>
        <v>0</v>
      </c>
      <c r="Z1763" s="13" t="n">
        <f aca="false">IF(K1763="Agency",1,0)</f>
        <v>0</v>
      </c>
      <c r="AA1763" s="13" t="n">
        <f aca="false">IF(K1763="Client",1,0)</f>
        <v>1</v>
      </c>
      <c r="AB1763" s="13" t="n">
        <f aca="false">(D1763-AVERAGE(D$2:D$2001))/STDEV(D$2:D$2001)</f>
        <v>1.3183367198256</v>
      </c>
      <c r="AC1763" s="13" t="n">
        <f aca="false">(I1763-AVERAGE(I$2:I$2001))/STDEV(I$2:I$2001)</f>
        <v>-1.43538077576244</v>
      </c>
      <c r="AD1763" s="13" t="n">
        <f aca="false">(L1763-AVERAGE(L$2:L$2001))/STDEV(L$2:L$2001)</f>
        <v>0.413838214490712</v>
      </c>
      <c r="AE1763" s="13" t="n">
        <f aca="false">(M1763-AVERAGE(M$2:M$2001))/STDEV(M$2:M$2001)</f>
        <v>0.122305719080581</v>
      </c>
      <c r="AF1763" s="13" t="n">
        <f aca="false">(N1763-AVERAGE(N$2:N$2001))/STDEV(N$2:N$2001)</f>
        <v>-0.306369875504947</v>
      </c>
      <c r="AG1763" s="13" t="n">
        <f aca="false">(O1763-AVERAGE(O$2:O$2001))/STDEV(O$2:O$2001)</f>
        <v>-0.0322825776672191</v>
      </c>
      <c r="AH1763" s="0" t="str">
        <f aca="false">IF(B1763="Company","C3 - Corporate Buyers",IF(AND(H1763="Investment",M1763&gt;'Segmentation Summary'!$C$1),"C1 - Global Investors",IF(AND(I1763&gt;=4,M1763&gt;'Segmentation Summary'!$C$1),"C4 - Luxury Investors",IF(AND(D1763&lt;'Segmentation Summary'!$C$2,J1763=1),"C2 - First-Time Buyers","C5 - Other Individual Buyers"))))</f>
        <v>C1 - Global Investors</v>
      </c>
    </row>
    <row r="1764" customFormat="false" ht="15" hidden="false" customHeight="true" outlineLevel="0" collapsed="false">
      <c r="A1764" s="13" t="s">
        <v>3516</v>
      </c>
      <c r="B1764" s="13" t="s">
        <v>34</v>
      </c>
      <c r="C1764" s="13" t="s">
        <v>3517</v>
      </c>
      <c r="D1764" s="13" t="n">
        <v>31</v>
      </c>
      <c r="E1764" s="13" t="s">
        <v>90</v>
      </c>
      <c r="F1764" s="13" t="s">
        <v>33</v>
      </c>
      <c r="G1764" s="13" t="s">
        <v>95</v>
      </c>
      <c r="H1764" s="13" t="s">
        <v>41</v>
      </c>
      <c r="I1764" s="13" t="n">
        <v>2</v>
      </c>
      <c r="J1764" s="13" t="n">
        <v>0</v>
      </c>
      <c r="K1764" s="13" t="s">
        <v>85</v>
      </c>
      <c r="L1764" s="13" t="n">
        <v>4</v>
      </c>
      <c r="M1764" s="13" t="n">
        <v>1595352.82</v>
      </c>
      <c r="N1764" s="13" t="n">
        <v>398838.205</v>
      </c>
      <c r="O1764" s="13" t="n">
        <v>1295.0975</v>
      </c>
      <c r="P1764" s="13" t="n">
        <v>1</v>
      </c>
      <c r="Q1764" s="13" t="n">
        <v>3</v>
      </c>
      <c r="R1764" s="13" t="s">
        <v>121</v>
      </c>
      <c r="S1764" s="13" t="s">
        <v>215</v>
      </c>
      <c r="T1764" s="13" t="n">
        <v>1</v>
      </c>
      <c r="U1764" s="13" t="n">
        <f aca="false">IF(B1764="Individual",1,0)</f>
        <v>1</v>
      </c>
      <c r="V1764" s="13" t="n">
        <f aca="false">IF(B1764="Company",1,0)</f>
        <v>0</v>
      </c>
      <c r="W1764" s="13" t="n">
        <f aca="false">IF(H1764="Home",1,0)</f>
        <v>1</v>
      </c>
      <c r="X1764" s="13" t="n">
        <f aca="false">IF(H1764="Investment",1,0)</f>
        <v>0</v>
      </c>
      <c r="Y1764" s="13" t="n">
        <f aca="false">IF(K1764="Website",1,0)</f>
        <v>1</v>
      </c>
      <c r="Z1764" s="13" t="n">
        <f aca="false">IF(K1764="Agency",1,0)</f>
        <v>0</v>
      </c>
      <c r="AA1764" s="13" t="n">
        <f aca="false">IF(K1764="Client",1,0)</f>
        <v>0</v>
      </c>
      <c r="AB1764" s="13" t="n">
        <f aca="false">(D1764-AVERAGE(D$2:D$2001))/STDEV(D$2:D$2001)</f>
        <v>-1.33413623262935</v>
      </c>
      <c r="AC1764" s="13" t="n">
        <f aca="false">(I1764-AVERAGE(I$2:I$2001))/STDEV(I$2:I$2001)</f>
        <v>-0.727948160798201</v>
      </c>
      <c r="AD1764" s="13" t="n">
        <f aca="false">(L1764-AVERAGE(L$2:L$2001))/STDEV(L$2:L$2001)</f>
        <v>0.413838214490712</v>
      </c>
      <c r="AE1764" s="13" t="n">
        <f aca="false">(M1764-AVERAGE(M$2:M$2001))/STDEV(M$2:M$2001)</f>
        <v>0.96304717626365</v>
      </c>
      <c r="AF1764" s="13" t="n">
        <f aca="false">(N1764-AVERAGE(N$2:N$2001))/STDEV(N$2:N$2001)</f>
        <v>0.742210226074263</v>
      </c>
      <c r="AG1764" s="13" t="n">
        <f aca="false">(O1764-AVERAGE(O$2:O$2001))/STDEV(O$2:O$2001)</f>
        <v>0.671226334894646</v>
      </c>
      <c r="AH1764" s="0" t="str">
        <f aca="false">IF(B1764="Company","C3 - Corporate Buyers",IF(AND(H1764="Investment",M1764&gt;'Segmentation Summary'!$C$1),"C1 - Global Investors",IF(AND(I1764&gt;=4,M1764&gt;'Segmentation Summary'!$C$1),"C4 - Luxury Investors",IF(AND(D1764&lt;'Segmentation Summary'!$C$2,J1764=1),"C2 - First-Time Buyers","C5 - Other Individual Buyers"))))</f>
        <v>C5 - Other Individual Buyers</v>
      </c>
    </row>
    <row r="1765" customFormat="false" ht="15" hidden="false" customHeight="true" outlineLevel="0" collapsed="false">
      <c r="A1765" s="13" t="s">
        <v>3518</v>
      </c>
      <c r="B1765" s="13" t="s">
        <v>34</v>
      </c>
      <c r="C1765" s="13" t="s">
        <v>3519</v>
      </c>
      <c r="D1765" s="13" t="n">
        <v>77</v>
      </c>
      <c r="E1765" s="13" t="s">
        <v>90</v>
      </c>
      <c r="F1765" s="13" t="s">
        <v>45</v>
      </c>
      <c r="G1765" s="13" t="s">
        <v>225</v>
      </c>
      <c r="H1765" s="13" t="s">
        <v>43</v>
      </c>
      <c r="I1765" s="13" t="n">
        <v>1</v>
      </c>
      <c r="J1765" s="13" t="n">
        <v>0</v>
      </c>
      <c r="K1765" s="13" t="s">
        <v>116</v>
      </c>
      <c r="L1765" s="13" t="n">
        <v>3</v>
      </c>
      <c r="M1765" s="13" t="n">
        <v>797675.03</v>
      </c>
      <c r="N1765" s="13" t="n">
        <v>265891.676666667</v>
      </c>
      <c r="O1765" s="13" t="n">
        <v>994.826666666667</v>
      </c>
      <c r="P1765" s="13" t="n">
        <v>0</v>
      </c>
      <c r="Q1765" s="13" t="n">
        <v>3</v>
      </c>
      <c r="R1765" s="13" t="s">
        <v>150</v>
      </c>
      <c r="S1765" s="13" t="s">
        <v>133</v>
      </c>
      <c r="T1765" s="13" t="n">
        <v>1</v>
      </c>
      <c r="U1765" s="13" t="n">
        <f aca="false">IF(B1765="Individual",1,0)</f>
        <v>1</v>
      </c>
      <c r="V1765" s="13" t="n">
        <f aca="false">IF(B1765="Company",1,0)</f>
        <v>0</v>
      </c>
      <c r="W1765" s="13" t="n">
        <f aca="false">IF(H1765="Home",1,0)</f>
        <v>0</v>
      </c>
      <c r="X1765" s="13" t="n">
        <f aca="false">IF(H1765="Investment",1,0)</f>
        <v>1</v>
      </c>
      <c r="Y1765" s="13" t="n">
        <f aca="false">IF(K1765="Website",1,0)</f>
        <v>0</v>
      </c>
      <c r="Z1765" s="13" t="n">
        <f aca="false">IF(K1765="Agency",1,0)</f>
        <v>0</v>
      </c>
      <c r="AA1765" s="13" t="n">
        <f aca="false">IF(K1765="Client",1,0)</f>
        <v>1</v>
      </c>
      <c r="AB1765" s="13" t="n">
        <f aca="false">(D1765-AVERAGE(D$2:D$2001))/STDEV(D$2:D$2001)</f>
        <v>1.3183367198256</v>
      </c>
      <c r="AC1765" s="13" t="n">
        <f aca="false">(I1765-AVERAGE(I$2:I$2001))/STDEV(I$2:I$2001)</f>
        <v>-1.43538077576244</v>
      </c>
      <c r="AD1765" s="13" t="n">
        <f aca="false">(L1765-AVERAGE(L$2:L$2001))/STDEV(L$2:L$2001)</f>
        <v>-0.777063122173208</v>
      </c>
      <c r="AE1765" s="13" t="n">
        <f aca="false">(M1765-AVERAGE(M$2:M$2001))/STDEV(M$2:M$2001)</f>
        <v>-1.330246287082</v>
      </c>
      <c r="AF1765" s="13" t="n">
        <f aca="false">(N1765-AVERAGE(N$2:N$2001))/STDEV(N$2:N$2001)</f>
        <v>-1.16460352139237</v>
      </c>
      <c r="AG1765" s="13" t="n">
        <f aca="false">(O1765-AVERAGE(O$2:O$2001))/STDEV(O$2:O$2001)</f>
        <v>-0.694121524477294</v>
      </c>
      <c r="AH1765" s="0" t="str">
        <f aca="false">IF(B1765="Company","C3 - Corporate Buyers",IF(AND(H1765="Investment",M1765&gt;'Segmentation Summary'!$C$1),"C1 - Global Investors",IF(AND(I1765&gt;=4,M1765&gt;'Segmentation Summary'!$C$1),"C4 - Luxury Investors",IF(AND(D1765&lt;'Segmentation Summary'!$C$2,J1765=1),"C2 - First-Time Buyers","C5 - Other Individual Buyers"))))</f>
        <v>C5 - Other Individual Buyers</v>
      </c>
    </row>
    <row r="1766" customFormat="false" ht="15" hidden="false" customHeight="true" outlineLevel="0" collapsed="false">
      <c r="A1766" s="13" t="s">
        <v>3520</v>
      </c>
      <c r="B1766" s="13" t="s">
        <v>34</v>
      </c>
      <c r="C1766" s="13" t="s">
        <v>3519</v>
      </c>
      <c r="D1766" s="13" t="n">
        <v>32</v>
      </c>
      <c r="E1766" s="13" t="s">
        <v>90</v>
      </c>
      <c r="F1766" s="13" t="s">
        <v>37</v>
      </c>
      <c r="G1766" s="13" t="s">
        <v>259</v>
      </c>
      <c r="H1766" s="13" t="s">
        <v>41</v>
      </c>
      <c r="I1766" s="13" t="n">
        <v>5</v>
      </c>
      <c r="J1766" s="13" t="n">
        <v>0</v>
      </c>
      <c r="K1766" s="13" t="s">
        <v>91</v>
      </c>
      <c r="L1766" s="13" t="n">
        <v>4</v>
      </c>
      <c r="M1766" s="13" t="n">
        <v>1440160.68</v>
      </c>
      <c r="N1766" s="13" t="n">
        <v>360040.17</v>
      </c>
      <c r="O1766" s="13" t="n">
        <v>1245.935</v>
      </c>
      <c r="P1766" s="13" t="n">
        <v>1</v>
      </c>
      <c r="Q1766" s="13" t="n">
        <v>3</v>
      </c>
      <c r="R1766" s="13" t="s">
        <v>92</v>
      </c>
      <c r="S1766" s="13" t="s">
        <v>164</v>
      </c>
      <c r="T1766" s="13" t="n">
        <v>1</v>
      </c>
      <c r="U1766" s="13" t="n">
        <f aca="false">IF(B1766="Individual",1,0)</f>
        <v>1</v>
      </c>
      <c r="V1766" s="13" t="n">
        <f aca="false">IF(B1766="Company",1,0)</f>
        <v>0</v>
      </c>
      <c r="W1766" s="13" t="n">
        <f aca="false">IF(H1766="Home",1,0)</f>
        <v>1</v>
      </c>
      <c r="X1766" s="13" t="n">
        <f aca="false">IF(H1766="Investment",1,0)</f>
        <v>0</v>
      </c>
      <c r="Y1766" s="13" t="n">
        <f aca="false">IF(K1766="Website",1,0)</f>
        <v>0</v>
      </c>
      <c r="Z1766" s="13" t="n">
        <f aca="false">IF(K1766="Agency",1,0)</f>
        <v>1</v>
      </c>
      <c r="AA1766" s="13" t="n">
        <f aca="false">IF(K1766="Client",1,0)</f>
        <v>0</v>
      </c>
      <c r="AB1766" s="13" t="n">
        <f aca="false">(D1766-AVERAGE(D$2:D$2001))/STDEV(D$2:D$2001)</f>
        <v>-1.2764737771412</v>
      </c>
      <c r="AC1766" s="13" t="n">
        <f aca="false">(I1766-AVERAGE(I$2:I$2001))/STDEV(I$2:I$2001)</f>
        <v>1.39434968409451</v>
      </c>
      <c r="AD1766" s="13" t="n">
        <f aca="false">(L1766-AVERAGE(L$2:L$2001))/STDEV(L$2:L$2001)</f>
        <v>0.413838214490712</v>
      </c>
      <c r="AE1766" s="13" t="n">
        <f aca="false">(M1766-AVERAGE(M$2:M$2001))/STDEV(M$2:M$2001)</f>
        <v>0.516875645996244</v>
      </c>
      <c r="AF1766" s="13" t="n">
        <f aca="false">(N1766-AVERAGE(N$2:N$2001))/STDEV(N$2:N$2001)</f>
        <v>0.185741189686925</v>
      </c>
      <c r="AG1766" s="13" t="n">
        <f aca="false">(O1766-AVERAGE(O$2:O$2001))/STDEV(O$2:O$2001)</f>
        <v>0.447681765509652</v>
      </c>
      <c r="AH1766" s="0" t="str">
        <f aca="false">IF(B1766="Company","C3 - Corporate Buyers",IF(AND(H1766="Investment",M1766&gt;'Segmentation Summary'!$C$1),"C1 - Global Investors",IF(AND(I1766&gt;=4,M1766&gt;'Segmentation Summary'!$C$1),"C4 - Luxury Investors",IF(AND(D1766&lt;'Segmentation Summary'!$C$2,J1766=1),"C2 - First-Time Buyers","C5 - Other Individual Buyers"))))</f>
        <v>C4 - Luxury Investors</v>
      </c>
    </row>
    <row r="1767" customFormat="false" ht="15" hidden="false" customHeight="true" outlineLevel="0" collapsed="false">
      <c r="A1767" s="13" t="s">
        <v>3521</v>
      </c>
      <c r="B1767" s="13" t="s">
        <v>34</v>
      </c>
      <c r="C1767" s="13" t="s">
        <v>3522</v>
      </c>
      <c r="D1767" s="13" t="n">
        <v>25</v>
      </c>
      <c r="E1767" s="13" t="s">
        <v>90</v>
      </c>
      <c r="F1767" s="13" t="s">
        <v>33</v>
      </c>
      <c r="G1767" s="13" t="s">
        <v>95</v>
      </c>
      <c r="H1767" s="13" t="s">
        <v>43</v>
      </c>
      <c r="I1767" s="13" t="n">
        <v>1</v>
      </c>
      <c r="J1767" s="13" t="n">
        <v>0</v>
      </c>
      <c r="K1767" s="13" t="s">
        <v>91</v>
      </c>
      <c r="L1767" s="13" t="n">
        <v>3</v>
      </c>
      <c r="M1767" s="13" t="n">
        <v>1287173.46</v>
      </c>
      <c r="N1767" s="13" t="n">
        <v>429057.82</v>
      </c>
      <c r="O1767" s="13" t="n">
        <v>1452.26333333333</v>
      </c>
      <c r="P1767" s="13" t="n">
        <v>1</v>
      </c>
      <c r="Q1767" s="13" t="n">
        <v>2</v>
      </c>
      <c r="R1767" s="13" t="s">
        <v>92</v>
      </c>
      <c r="S1767" s="13" t="s">
        <v>150</v>
      </c>
      <c r="T1767" s="13" t="n">
        <v>1</v>
      </c>
      <c r="U1767" s="13" t="n">
        <f aca="false">IF(B1767="Individual",1,0)</f>
        <v>1</v>
      </c>
      <c r="V1767" s="13" t="n">
        <f aca="false">IF(B1767="Company",1,0)</f>
        <v>0</v>
      </c>
      <c r="W1767" s="13" t="n">
        <f aca="false">IF(H1767="Home",1,0)</f>
        <v>0</v>
      </c>
      <c r="X1767" s="13" t="n">
        <f aca="false">IF(H1767="Investment",1,0)</f>
        <v>1</v>
      </c>
      <c r="Y1767" s="13" t="n">
        <f aca="false">IF(K1767="Website",1,0)</f>
        <v>0</v>
      </c>
      <c r="Z1767" s="13" t="n">
        <f aca="false">IF(K1767="Agency",1,0)</f>
        <v>1</v>
      </c>
      <c r="AA1767" s="13" t="n">
        <f aca="false">IF(K1767="Client",1,0)</f>
        <v>0</v>
      </c>
      <c r="AB1767" s="13" t="n">
        <f aca="false">(D1767-AVERAGE(D$2:D$2001))/STDEV(D$2:D$2001)</f>
        <v>-1.68011096555826</v>
      </c>
      <c r="AC1767" s="13" t="n">
        <f aca="false">(I1767-AVERAGE(I$2:I$2001))/STDEV(I$2:I$2001)</f>
        <v>-1.43538077576244</v>
      </c>
      <c r="AD1767" s="13" t="n">
        <f aca="false">(L1767-AVERAGE(L$2:L$2001))/STDEV(L$2:L$2001)</f>
        <v>-0.777063122173208</v>
      </c>
      <c r="AE1767" s="13" t="n">
        <f aca="false">(M1767-AVERAGE(M$2:M$2001))/STDEV(M$2:M$2001)</f>
        <v>0.0770431772980462</v>
      </c>
      <c r="AF1767" s="13" t="n">
        <f aca="false">(N1767-AVERAGE(N$2:N$2001))/STDEV(N$2:N$2001)</f>
        <v>1.17564145626534</v>
      </c>
      <c r="AG1767" s="13" t="n">
        <f aca="false">(O1767-AVERAGE(O$2:O$2001))/STDEV(O$2:O$2001)</f>
        <v>1.38586795268326</v>
      </c>
      <c r="AH1767" s="0" t="str">
        <f aca="false">IF(B1767="Company","C3 - Corporate Buyers",IF(AND(H1767="Investment",M1767&gt;'Segmentation Summary'!$C$1),"C1 - Global Investors",IF(AND(I1767&gt;=4,M1767&gt;'Segmentation Summary'!$C$1),"C4 - Luxury Investors",IF(AND(D1767&lt;'Segmentation Summary'!$C$2,J1767=1),"C2 - First-Time Buyers","C5 - Other Individual Buyers"))))</f>
        <v>C1 - Global Investors</v>
      </c>
    </row>
    <row r="1768" customFormat="false" ht="15" hidden="false" customHeight="true" outlineLevel="0" collapsed="false">
      <c r="A1768" s="13" t="s">
        <v>3523</v>
      </c>
      <c r="B1768" s="13" t="s">
        <v>34</v>
      </c>
      <c r="C1768" s="13" t="s">
        <v>3524</v>
      </c>
      <c r="D1768" s="13" t="n">
        <v>73</v>
      </c>
      <c r="E1768" s="13" t="s">
        <v>90</v>
      </c>
      <c r="F1768" s="13" t="s">
        <v>35</v>
      </c>
      <c r="G1768" s="13" t="s">
        <v>374</v>
      </c>
      <c r="H1768" s="13" t="s">
        <v>41</v>
      </c>
      <c r="I1768" s="13" t="n">
        <v>5</v>
      </c>
      <c r="J1768" s="13" t="n">
        <v>1</v>
      </c>
      <c r="K1768" s="13" t="s">
        <v>85</v>
      </c>
      <c r="L1768" s="13" t="n">
        <v>7</v>
      </c>
      <c r="M1768" s="13" t="n">
        <v>2269897.21</v>
      </c>
      <c r="N1768" s="13" t="n">
        <v>324271.03</v>
      </c>
      <c r="O1768" s="13" t="n">
        <v>1160.95142857143</v>
      </c>
      <c r="P1768" s="13" t="n">
        <v>1</v>
      </c>
      <c r="Q1768" s="13" t="n">
        <v>6</v>
      </c>
      <c r="R1768" s="13" t="s">
        <v>117</v>
      </c>
      <c r="S1768" s="13" t="s">
        <v>125</v>
      </c>
      <c r="T1768" s="13" t="n">
        <v>1</v>
      </c>
      <c r="U1768" s="13" t="n">
        <f aca="false">IF(B1768="Individual",1,0)</f>
        <v>1</v>
      </c>
      <c r="V1768" s="13" t="n">
        <f aca="false">IF(B1768="Company",1,0)</f>
        <v>0</v>
      </c>
      <c r="W1768" s="13" t="n">
        <f aca="false">IF(H1768="Home",1,0)</f>
        <v>1</v>
      </c>
      <c r="X1768" s="13" t="n">
        <f aca="false">IF(H1768="Investment",1,0)</f>
        <v>0</v>
      </c>
      <c r="Y1768" s="13" t="n">
        <f aca="false">IF(K1768="Website",1,0)</f>
        <v>1</v>
      </c>
      <c r="Z1768" s="13" t="n">
        <f aca="false">IF(K1768="Agency",1,0)</f>
        <v>0</v>
      </c>
      <c r="AA1768" s="13" t="n">
        <f aca="false">IF(K1768="Client",1,0)</f>
        <v>0</v>
      </c>
      <c r="AB1768" s="13" t="n">
        <f aca="false">(D1768-AVERAGE(D$2:D$2001))/STDEV(D$2:D$2001)</f>
        <v>1.087686897873</v>
      </c>
      <c r="AC1768" s="13" t="n">
        <f aca="false">(I1768-AVERAGE(I$2:I$2001))/STDEV(I$2:I$2001)</f>
        <v>1.39434968409451</v>
      </c>
      <c r="AD1768" s="13" t="n">
        <f aca="false">(L1768-AVERAGE(L$2:L$2001))/STDEV(L$2:L$2001)</f>
        <v>3.98654222448247</v>
      </c>
      <c r="AE1768" s="13" t="n">
        <f aca="false">(M1768-AVERAGE(M$2:M$2001))/STDEV(M$2:M$2001)</f>
        <v>2.90233677378833</v>
      </c>
      <c r="AF1768" s="13" t="n">
        <f aca="false">(N1768-AVERAGE(N$2:N$2001))/STDEV(N$2:N$2001)</f>
        <v>-0.327285278488685</v>
      </c>
      <c r="AG1768" s="13" t="n">
        <f aca="false">(O1768-AVERAGE(O$2:O$2001))/STDEV(O$2:O$2001)</f>
        <v>0.0612568302480501</v>
      </c>
      <c r="AH1768" s="0" t="str">
        <f aca="false">IF(B1768="Company","C3 - Corporate Buyers",IF(AND(H1768="Investment",M1768&gt;'Segmentation Summary'!$C$1),"C1 - Global Investors",IF(AND(I1768&gt;=4,M1768&gt;'Segmentation Summary'!$C$1),"C4 - Luxury Investors",IF(AND(D1768&lt;'Segmentation Summary'!$C$2,J1768=1),"C2 - First-Time Buyers","C5 - Other Individual Buyers"))))</f>
        <v>C4 - Luxury Investors</v>
      </c>
    </row>
    <row r="1769" customFormat="false" ht="15" hidden="false" customHeight="true" outlineLevel="0" collapsed="false">
      <c r="A1769" s="13" t="s">
        <v>3525</v>
      </c>
      <c r="B1769" s="13" t="s">
        <v>34</v>
      </c>
      <c r="C1769" s="13" t="s">
        <v>3524</v>
      </c>
      <c r="D1769" s="13" t="n">
        <v>49</v>
      </c>
      <c r="E1769" s="13" t="s">
        <v>90</v>
      </c>
      <c r="F1769" s="13" t="s">
        <v>33</v>
      </c>
      <c r="G1769" s="13" t="s">
        <v>162</v>
      </c>
      <c r="H1769" s="13" t="s">
        <v>41</v>
      </c>
      <c r="I1769" s="13" t="n">
        <v>3</v>
      </c>
      <c r="J1769" s="13" t="n">
        <v>1</v>
      </c>
      <c r="K1769" s="13" t="s">
        <v>85</v>
      </c>
      <c r="L1769" s="13" t="n">
        <v>4</v>
      </c>
      <c r="M1769" s="13" t="n">
        <v>1707466.97</v>
      </c>
      <c r="N1769" s="13" t="n">
        <v>426866.7425</v>
      </c>
      <c r="O1769" s="13" t="n">
        <v>1489.73</v>
      </c>
      <c r="P1769" s="13" t="n">
        <v>0</v>
      </c>
      <c r="Q1769" s="13" t="n">
        <v>4</v>
      </c>
      <c r="R1769" s="13" t="s">
        <v>92</v>
      </c>
      <c r="S1769" s="13" t="s">
        <v>107</v>
      </c>
      <c r="T1769" s="13" t="n">
        <v>1</v>
      </c>
      <c r="U1769" s="13" t="n">
        <f aca="false">IF(B1769="Individual",1,0)</f>
        <v>1</v>
      </c>
      <c r="V1769" s="13" t="n">
        <f aca="false">IF(B1769="Company",1,0)</f>
        <v>0</v>
      </c>
      <c r="W1769" s="13" t="n">
        <f aca="false">IF(H1769="Home",1,0)</f>
        <v>1</v>
      </c>
      <c r="X1769" s="13" t="n">
        <f aca="false">IF(H1769="Investment",1,0)</f>
        <v>0</v>
      </c>
      <c r="Y1769" s="13" t="n">
        <f aca="false">IF(K1769="Website",1,0)</f>
        <v>1</v>
      </c>
      <c r="Z1769" s="13" t="n">
        <f aca="false">IF(K1769="Agency",1,0)</f>
        <v>0</v>
      </c>
      <c r="AA1769" s="13" t="n">
        <f aca="false">IF(K1769="Client",1,0)</f>
        <v>0</v>
      </c>
      <c r="AB1769" s="13" t="n">
        <f aca="false">(D1769-AVERAGE(D$2:D$2001))/STDEV(D$2:D$2001)</f>
        <v>-0.296212033842633</v>
      </c>
      <c r="AC1769" s="13" t="n">
        <f aca="false">(I1769-AVERAGE(I$2:I$2001))/STDEV(I$2:I$2001)</f>
        <v>-0.0205155458339628</v>
      </c>
      <c r="AD1769" s="13" t="n">
        <f aca="false">(L1769-AVERAGE(L$2:L$2001))/STDEV(L$2:L$2001)</f>
        <v>0.413838214490712</v>
      </c>
      <c r="AE1769" s="13" t="n">
        <f aca="false">(M1769-AVERAGE(M$2:M$2001))/STDEV(M$2:M$2001)</f>
        <v>1.28537111528614</v>
      </c>
      <c r="AF1769" s="13" t="n">
        <f aca="false">(N1769-AVERAGE(N$2:N$2001))/STDEV(N$2:N$2001)</f>
        <v>1.14421546303978</v>
      </c>
      <c r="AG1769" s="13" t="n">
        <f aca="false">(O1769-AVERAGE(O$2:O$2001))/STDEV(O$2:O$2001)</f>
        <v>1.5562309298771</v>
      </c>
      <c r="AH1769" s="0" t="str">
        <f aca="false">IF(B1769="Company","C3 - Corporate Buyers",IF(AND(H1769="Investment",M1769&gt;'Segmentation Summary'!$C$1),"C1 - Global Investors",IF(AND(I1769&gt;=4,M1769&gt;'Segmentation Summary'!$C$1),"C4 - Luxury Investors",IF(AND(D1769&lt;'Segmentation Summary'!$C$2,J1769=1),"C2 - First-Time Buyers","C5 - Other Individual Buyers"))))</f>
        <v>C2 - First-Time Buyers</v>
      </c>
    </row>
    <row r="1770" customFormat="false" ht="15" hidden="false" customHeight="true" outlineLevel="0" collapsed="false">
      <c r="A1770" s="13" t="s">
        <v>3526</v>
      </c>
      <c r="B1770" s="13" t="s">
        <v>34</v>
      </c>
      <c r="C1770" s="13" t="s">
        <v>3524</v>
      </c>
      <c r="D1770" s="13" t="n">
        <v>35</v>
      </c>
      <c r="E1770" s="13" t="s">
        <v>90</v>
      </c>
      <c r="F1770" s="13" t="s">
        <v>40</v>
      </c>
      <c r="G1770" s="13" t="s">
        <v>239</v>
      </c>
      <c r="H1770" s="13" t="s">
        <v>41</v>
      </c>
      <c r="I1770" s="13" t="n">
        <v>4</v>
      </c>
      <c r="J1770" s="13" t="n">
        <v>0</v>
      </c>
      <c r="K1770" s="13" t="s">
        <v>91</v>
      </c>
      <c r="L1770" s="13" t="n">
        <v>4</v>
      </c>
      <c r="M1770" s="13" t="n">
        <v>1357921.15</v>
      </c>
      <c r="N1770" s="13" t="n">
        <v>339480.2875</v>
      </c>
      <c r="O1770" s="13" t="n">
        <v>1136.6925</v>
      </c>
      <c r="P1770" s="13" t="n">
        <v>1</v>
      </c>
      <c r="Q1770" s="13" t="n">
        <v>3</v>
      </c>
      <c r="R1770" s="13" t="s">
        <v>121</v>
      </c>
      <c r="S1770" s="13" t="s">
        <v>114</v>
      </c>
      <c r="T1770" s="13" t="n">
        <v>1</v>
      </c>
      <c r="U1770" s="13" t="n">
        <f aca="false">IF(B1770="Individual",1,0)</f>
        <v>1</v>
      </c>
      <c r="V1770" s="13" t="n">
        <f aca="false">IF(B1770="Company",1,0)</f>
        <v>0</v>
      </c>
      <c r="W1770" s="13" t="n">
        <f aca="false">IF(H1770="Home",1,0)</f>
        <v>1</v>
      </c>
      <c r="X1770" s="13" t="n">
        <f aca="false">IF(H1770="Investment",1,0)</f>
        <v>0</v>
      </c>
      <c r="Y1770" s="13" t="n">
        <f aca="false">IF(K1770="Website",1,0)</f>
        <v>0</v>
      </c>
      <c r="Z1770" s="13" t="n">
        <f aca="false">IF(K1770="Agency",1,0)</f>
        <v>1</v>
      </c>
      <c r="AA1770" s="13" t="n">
        <f aca="false">IF(K1770="Client",1,0)</f>
        <v>0</v>
      </c>
      <c r="AB1770" s="13" t="n">
        <f aca="false">(D1770-AVERAGE(D$2:D$2001))/STDEV(D$2:D$2001)</f>
        <v>-1.10348641067675</v>
      </c>
      <c r="AC1770" s="13" t="n">
        <f aca="false">(I1770-AVERAGE(I$2:I$2001))/STDEV(I$2:I$2001)</f>
        <v>0.686917069130275</v>
      </c>
      <c r="AD1770" s="13" t="n">
        <f aca="false">(L1770-AVERAGE(L$2:L$2001))/STDEV(L$2:L$2001)</f>
        <v>0.413838214490712</v>
      </c>
      <c r="AE1770" s="13" t="n">
        <f aca="false">(M1770-AVERAGE(M$2:M$2001))/STDEV(M$2:M$2001)</f>
        <v>0.280440109063946</v>
      </c>
      <c r="AF1770" s="13" t="n">
        <f aca="false">(N1770-AVERAGE(N$2:N$2001))/STDEV(N$2:N$2001)</f>
        <v>-0.109143280699574</v>
      </c>
      <c r="AG1770" s="13" t="n">
        <f aca="false">(O1770-AVERAGE(O$2:O$2001))/STDEV(O$2:O$2001)</f>
        <v>-0.0490498413256409</v>
      </c>
      <c r="AH1770" s="0" t="str">
        <f aca="false">IF(B1770="Company","C3 - Corporate Buyers",IF(AND(H1770="Investment",M1770&gt;'Segmentation Summary'!$C$1),"C1 - Global Investors",IF(AND(I1770&gt;=4,M1770&gt;'Segmentation Summary'!$C$1),"C4 - Luxury Investors",IF(AND(D1770&lt;'Segmentation Summary'!$C$2,J1770=1),"C2 - First-Time Buyers","C5 - Other Individual Buyers"))))</f>
        <v>C4 - Luxury Investors</v>
      </c>
    </row>
    <row r="1771" customFormat="false" ht="15" hidden="false" customHeight="true" outlineLevel="0" collapsed="false">
      <c r="A1771" s="13" t="s">
        <v>3527</v>
      </c>
      <c r="B1771" s="13" t="s">
        <v>34</v>
      </c>
      <c r="C1771" s="13" t="s">
        <v>3528</v>
      </c>
      <c r="D1771" s="13" t="n">
        <v>64</v>
      </c>
      <c r="E1771" s="13" t="s">
        <v>90</v>
      </c>
      <c r="F1771" s="13" t="s">
        <v>40</v>
      </c>
      <c r="G1771" s="13" t="s">
        <v>219</v>
      </c>
      <c r="H1771" s="13" t="s">
        <v>41</v>
      </c>
      <c r="I1771" s="13" t="n">
        <v>3</v>
      </c>
      <c r="J1771" s="13" t="n">
        <v>0</v>
      </c>
      <c r="K1771" s="13" t="s">
        <v>85</v>
      </c>
      <c r="L1771" s="13" t="n">
        <v>3</v>
      </c>
      <c r="M1771" s="13" t="n">
        <v>1532429.29</v>
      </c>
      <c r="N1771" s="13" t="n">
        <v>510809.763333333</v>
      </c>
      <c r="O1771" s="13" t="n">
        <v>1504.28</v>
      </c>
      <c r="P1771" s="13" t="n">
        <v>1</v>
      </c>
      <c r="Q1771" s="13" t="n">
        <v>2</v>
      </c>
      <c r="R1771" s="13" t="s">
        <v>128</v>
      </c>
      <c r="S1771" s="13" t="s">
        <v>133</v>
      </c>
      <c r="T1771" s="13" t="n">
        <v>1</v>
      </c>
      <c r="U1771" s="13" t="n">
        <f aca="false">IF(B1771="Individual",1,0)</f>
        <v>1</v>
      </c>
      <c r="V1771" s="13" t="n">
        <f aca="false">IF(B1771="Company",1,0)</f>
        <v>0</v>
      </c>
      <c r="W1771" s="13" t="n">
        <f aca="false">IF(H1771="Home",1,0)</f>
        <v>1</v>
      </c>
      <c r="X1771" s="13" t="n">
        <f aca="false">IF(H1771="Investment",1,0)</f>
        <v>0</v>
      </c>
      <c r="Y1771" s="13" t="n">
        <f aca="false">IF(K1771="Website",1,0)</f>
        <v>1</v>
      </c>
      <c r="Z1771" s="13" t="n">
        <f aca="false">IF(K1771="Agency",1,0)</f>
        <v>0</v>
      </c>
      <c r="AA1771" s="13" t="n">
        <f aca="false">IF(K1771="Client",1,0)</f>
        <v>0</v>
      </c>
      <c r="AB1771" s="13" t="n">
        <f aca="false">(D1771-AVERAGE(D$2:D$2001))/STDEV(D$2:D$2001)</f>
        <v>0.568724798479635</v>
      </c>
      <c r="AC1771" s="13" t="n">
        <f aca="false">(I1771-AVERAGE(I$2:I$2001))/STDEV(I$2:I$2001)</f>
        <v>-0.0205155458339628</v>
      </c>
      <c r="AD1771" s="13" t="n">
        <f aca="false">(L1771-AVERAGE(L$2:L$2001))/STDEV(L$2:L$2001)</f>
        <v>-0.777063122173208</v>
      </c>
      <c r="AE1771" s="13" t="n">
        <f aca="false">(M1771-AVERAGE(M$2:M$2001))/STDEV(M$2:M$2001)</f>
        <v>0.782144408443533</v>
      </c>
      <c r="AF1771" s="13" t="n">
        <f aca="false">(N1771-AVERAGE(N$2:N$2001))/STDEV(N$2:N$2001)</f>
        <v>2.34818602274897</v>
      </c>
      <c r="AG1771" s="13" t="n">
        <f aca="false">(O1771-AVERAGE(O$2:O$2001))/STDEV(O$2:O$2001)</f>
        <v>1.62239057360049</v>
      </c>
      <c r="AH1771" s="0" t="str">
        <f aca="false">IF(B1771="Company","C3 - Corporate Buyers",IF(AND(H1771="Investment",M1771&gt;'Segmentation Summary'!$C$1),"C1 - Global Investors",IF(AND(I1771&gt;=4,M1771&gt;'Segmentation Summary'!$C$1),"C4 - Luxury Investors",IF(AND(D1771&lt;'Segmentation Summary'!$C$2,J1771=1),"C2 - First-Time Buyers","C5 - Other Individual Buyers"))))</f>
        <v>C5 - Other Individual Buyers</v>
      </c>
    </row>
    <row r="1772" customFormat="false" ht="15" hidden="false" customHeight="true" outlineLevel="0" collapsed="false">
      <c r="A1772" s="13" t="s">
        <v>3529</v>
      </c>
      <c r="B1772" s="13" t="s">
        <v>34</v>
      </c>
      <c r="C1772" s="13" t="s">
        <v>3530</v>
      </c>
      <c r="D1772" s="13" t="n">
        <v>41</v>
      </c>
      <c r="E1772" s="13" t="s">
        <v>90</v>
      </c>
      <c r="F1772" s="13" t="s">
        <v>33</v>
      </c>
      <c r="G1772" s="13" t="s">
        <v>95</v>
      </c>
      <c r="H1772" s="13" t="s">
        <v>43</v>
      </c>
      <c r="I1772" s="13" t="n">
        <v>3</v>
      </c>
      <c r="J1772" s="13" t="n">
        <v>0</v>
      </c>
      <c r="K1772" s="13" t="s">
        <v>85</v>
      </c>
      <c r="L1772" s="13" t="n">
        <v>3</v>
      </c>
      <c r="M1772" s="13" t="n">
        <v>663797.37</v>
      </c>
      <c r="N1772" s="13" t="n">
        <v>221265.79</v>
      </c>
      <c r="O1772" s="13" t="n">
        <v>724.086666666667</v>
      </c>
      <c r="P1772" s="13" t="n">
        <v>1</v>
      </c>
      <c r="Q1772" s="13" t="n">
        <v>2</v>
      </c>
      <c r="R1772" s="13" t="s">
        <v>117</v>
      </c>
      <c r="S1772" s="13" t="s">
        <v>87</v>
      </c>
      <c r="T1772" s="13" t="n">
        <v>1</v>
      </c>
      <c r="U1772" s="13" t="n">
        <f aca="false">IF(B1772="Individual",1,0)</f>
        <v>1</v>
      </c>
      <c r="V1772" s="13" t="n">
        <f aca="false">IF(B1772="Company",1,0)</f>
        <v>0</v>
      </c>
      <c r="W1772" s="13" t="n">
        <f aca="false">IF(H1772="Home",1,0)</f>
        <v>0</v>
      </c>
      <c r="X1772" s="13" t="n">
        <f aca="false">IF(H1772="Investment",1,0)</f>
        <v>1</v>
      </c>
      <c r="Y1772" s="13" t="n">
        <f aca="false">IF(K1772="Website",1,0)</f>
        <v>1</v>
      </c>
      <c r="Z1772" s="13" t="n">
        <f aca="false">IF(K1772="Agency",1,0)</f>
        <v>0</v>
      </c>
      <c r="AA1772" s="13" t="n">
        <f aca="false">IF(K1772="Client",1,0)</f>
        <v>0</v>
      </c>
      <c r="AB1772" s="13" t="n">
        <f aca="false">(D1772-AVERAGE(D$2:D$2001))/STDEV(D$2:D$2001)</f>
        <v>-0.757511677747842</v>
      </c>
      <c r="AC1772" s="13" t="n">
        <f aca="false">(I1772-AVERAGE(I$2:I$2001))/STDEV(I$2:I$2001)</f>
        <v>-0.0205155458339628</v>
      </c>
      <c r="AD1772" s="13" t="n">
        <f aca="false">(L1772-AVERAGE(L$2:L$2001))/STDEV(L$2:L$2001)</f>
        <v>-0.777063122173208</v>
      </c>
      <c r="AE1772" s="13" t="n">
        <f aca="false">(M1772-AVERAGE(M$2:M$2001))/STDEV(M$2:M$2001)</f>
        <v>-1.71513949385664</v>
      </c>
      <c r="AF1772" s="13" t="n">
        <f aca="false">(N1772-AVERAGE(N$2:N$2001))/STDEV(N$2:N$2001)</f>
        <v>-1.80465975494468</v>
      </c>
      <c r="AG1772" s="13" t="n">
        <f aca="false">(O1772-AVERAGE(O$2:O$2001))/STDEV(O$2:O$2001)</f>
        <v>-1.92519107373319</v>
      </c>
      <c r="AH1772" s="0" t="str">
        <f aca="false">IF(B1772="Company","C3 - Corporate Buyers",IF(AND(H1772="Investment",M1772&gt;'Segmentation Summary'!$C$1),"C1 - Global Investors",IF(AND(I1772&gt;=4,M1772&gt;'Segmentation Summary'!$C$1),"C4 - Luxury Investors",IF(AND(D1772&lt;'Segmentation Summary'!$C$2,J1772=1),"C2 - First-Time Buyers","C5 - Other Individual Buyers"))))</f>
        <v>C5 - Other Individual Buyers</v>
      </c>
    </row>
    <row r="1773" customFormat="false" ht="15" hidden="false" customHeight="true" outlineLevel="0" collapsed="false">
      <c r="A1773" s="13" t="s">
        <v>3531</v>
      </c>
      <c r="B1773" s="13" t="s">
        <v>34</v>
      </c>
      <c r="C1773" s="13" t="s">
        <v>3532</v>
      </c>
      <c r="D1773" s="13" t="n">
        <v>52</v>
      </c>
      <c r="E1773" s="13" t="s">
        <v>90</v>
      </c>
      <c r="F1773" s="13" t="s">
        <v>33</v>
      </c>
      <c r="G1773" s="13" t="s">
        <v>157</v>
      </c>
      <c r="H1773" s="13" t="s">
        <v>41</v>
      </c>
      <c r="I1773" s="13" t="n">
        <v>3</v>
      </c>
      <c r="J1773" s="13" t="n">
        <v>0</v>
      </c>
      <c r="K1773" s="13" t="s">
        <v>85</v>
      </c>
      <c r="L1773" s="13" t="n">
        <v>4</v>
      </c>
      <c r="M1773" s="13" t="n">
        <v>1262479.23</v>
      </c>
      <c r="N1773" s="13" t="n">
        <v>315619.8075</v>
      </c>
      <c r="O1773" s="13" t="n">
        <v>1069.63</v>
      </c>
      <c r="P1773" s="13" t="n">
        <v>1</v>
      </c>
      <c r="Q1773" s="13" t="n">
        <v>3</v>
      </c>
      <c r="R1773" s="13" t="s">
        <v>98</v>
      </c>
      <c r="S1773" s="13" t="s">
        <v>87</v>
      </c>
      <c r="T1773" s="13" t="n">
        <v>1</v>
      </c>
      <c r="U1773" s="13" t="n">
        <f aca="false">IF(B1773="Individual",1,0)</f>
        <v>1</v>
      </c>
      <c r="V1773" s="13" t="n">
        <f aca="false">IF(B1773="Company",1,0)</f>
        <v>0</v>
      </c>
      <c r="W1773" s="13" t="n">
        <f aca="false">IF(H1773="Home",1,0)</f>
        <v>1</v>
      </c>
      <c r="X1773" s="13" t="n">
        <f aca="false">IF(H1773="Investment",1,0)</f>
        <v>0</v>
      </c>
      <c r="Y1773" s="13" t="n">
        <f aca="false">IF(K1773="Website",1,0)</f>
        <v>1</v>
      </c>
      <c r="Z1773" s="13" t="n">
        <f aca="false">IF(K1773="Agency",1,0)</f>
        <v>0</v>
      </c>
      <c r="AA1773" s="13" t="n">
        <f aca="false">IF(K1773="Client",1,0)</f>
        <v>0</v>
      </c>
      <c r="AB1773" s="13" t="n">
        <f aca="false">(D1773-AVERAGE(D$2:D$2001))/STDEV(D$2:D$2001)</f>
        <v>-0.123224667378179</v>
      </c>
      <c r="AC1773" s="13" t="n">
        <f aca="false">(I1773-AVERAGE(I$2:I$2001))/STDEV(I$2:I$2001)</f>
        <v>-0.0205155458339628</v>
      </c>
      <c r="AD1773" s="13" t="n">
        <f aca="false">(L1773-AVERAGE(L$2:L$2001))/STDEV(L$2:L$2001)</f>
        <v>0.413838214490712</v>
      </c>
      <c r="AE1773" s="13" t="n">
        <f aca="false">(M1773-AVERAGE(M$2:M$2001))/STDEV(M$2:M$2001)</f>
        <v>0.00604820043984145</v>
      </c>
      <c r="AF1773" s="13" t="n">
        <f aca="false">(N1773-AVERAGE(N$2:N$2001))/STDEV(N$2:N$2001)</f>
        <v>-0.451367269964477</v>
      </c>
      <c r="AG1773" s="13" t="n">
        <f aca="false">(O1773-AVERAGE(O$2:O$2001))/STDEV(O$2:O$2001)</f>
        <v>-0.353986687181346</v>
      </c>
      <c r="AH1773" s="0" t="str">
        <f aca="false">IF(B1773="Company","C3 - Corporate Buyers",IF(AND(H1773="Investment",M1773&gt;'Segmentation Summary'!$C$1),"C1 - Global Investors",IF(AND(I1773&gt;=4,M1773&gt;'Segmentation Summary'!$C$1),"C4 - Luxury Investors",IF(AND(D1773&lt;'Segmentation Summary'!$C$2,J1773=1),"C2 - First-Time Buyers","C5 - Other Individual Buyers"))))</f>
        <v>C5 - Other Individual Buyers</v>
      </c>
    </row>
    <row r="1774" customFormat="false" ht="15" hidden="false" customHeight="true" outlineLevel="0" collapsed="false">
      <c r="A1774" s="13" t="s">
        <v>3533</v>
      </c>
      <c r="B1774" s="13" t="s">
        <v>34</v>
      </c>
      <c r="C1774" s="13" t="s">
        <v>3534</v>
      </c>
      <c r="D1774" s="13" t="n">
        <v>30</v>
      </c>
      <c r="E1774" s="13" t="s">
        <v>90</v>
      </c>
      <c r="F1774" s="13" t="s">
        <v>33</v>
      </c>
      <c r="G1774" s="13" t="s">
        <v>95</v>
      </c>
      <c r="H1774" s="13" t="s">
        <v>41</v>
      </c>
      <c r="I1774" s="13" t="n">
        <v>4</v>
      </c>
      <c r="J1774" s="13" t="n">
        <v>1</v>
      </c>
      <c r="K1774" s="13" t="s">
        <v>85</v>
      </c>
      <c r="L1774" s="13" t="n">
        <v>4</v>
      </c>
      <c r="M1774" s="13" t="n">
        <v>1457016.31</v>
      </c>
      <c r="N1774" s="13" t="n">
        <v>364254.0775</v>
      </c>
      <c r="O1774" s="13" t="n">
        <v>1216.595</v>
      </c>
      <c r="P1774" s="13" t="n">
        <v>0</v>
      </c>
      <c r="Q1774" s="13" t="n">
        <v>4</v>
      </c>
      <c r="R1774" s="13" t="s">
        <v>92</v>
      </c>
      <c r="S1774" s="13" t="s">
        <v>152</v>
      </c>
      <c r="T1774" s="13" t="n">
        <v>1</v>
      </c>
      <c r="U1774" s="13" t="n">
        <f aca="false">IF(B1774="Individual",1,0)</f>
        <v>1</v>
      </c>
      <c r="V1774" s="13" t="n">
        <f aca="false">IF(B1774="Company",1,0)</f>
        <v>0</v>
      </c>
      <c r="W1774" s="13" t="n">
        <f aca="false">IF(H1774="Home",1,0)</f>
        <v>1</v>
      </c>
      <c r="X1774" s="13" t="n">
        <f aca="false">IF(H1774="Investment",1,0)</f>
        <v>0</v>
      </c>
      <c r="Y1774" s="13" t="n">
        <f aca="false">IF(K1774="Website",1,0)</f>
        <v>1</v>
      </c>
      <c r="Z1774" s="13" t="n">
        <f aca="false">IF(K1774="Agency",1,0)</f>
        <v>0</v>
      </c>
      <c r="AA1774" s="13" t="n">
        <f aca="false">IF(K1774="Client",1,0)</f>
        <v>0</v>
      </c>
      <c r="AB1774" s="13" t="n">
        <f aca="false">(D1774-AVERAGE(D$2:D$2001))/STDEV(D$2:D$2001)</f>
        <v>-1.39179868811751</v>
      </c>
      <c r="AC1774" s="13" t="n">
        <f aca="false">(I1774-AVERAGE(I$2:I$2001))/STDEV(I$2:I$2001)</f>
        <v>0.686917069130275</v>
      </c>
      <c r="AD1774" s="13" t="n">
        <f aca="false">(L1774-AVERAGE(L$2:L$2001))/STDEV(L$2:L$2001)</f>
        <v>0.413838214490712</v>
      </c>
      <c r="AE1774" s="13" t="n">
        <f aca="false">(M1774-AVERAGE(M$2:M$2001))/STDEV(M$2:M$2001)</f>
        <v>0.565334944455053</v>
      </c>
      <c r="AF1774" s="13" t="n">
        <f aca="false">(N1774-AVERAGE(N$2:N$2001))/STDEV(N$2:N$2001)</f>
        <v>0.246180050725903</v>
      </c>
      <c r="AG1774" s="13" t="n">
        <f aca="false">(O1774-AVERAGE(O$2:O$2001))/STDEV(O$2:O$2001)</f>
        <v>0.314271184970508</v>
      </c>
      <c r="AH1774" s="0" t="str">
        <f aca="false">IF(B1774="Company","C3 - Corporate Buyers",IF(AND(H1774="Investment",M1774&gt;'Segmentation Summary'!$C$1),"C1 - Global Investors",IF(AND(I1774&gt;=4,M1774&gt;'Segmentation Summary'!$C$1),"C4 - Luxury Investors",IF(AND(D1774&lt;'Segmentation Summary'!$C$2,J1774=1),"C2 - First-Time Buyers","C5 - Other Individual Buyers"))))</f>
        <v>C4 - Luxury Investors</v>
      </c>
    </row>
    <row r="1775" customFormat="false" ht="15" hidden="false" customHeight="true" outlineLevel="0" collapsed="false">
      <c r="A1775" s="13" t="s">
        <v>3535</v>
      </c>
      <c r="B1775" s="13" t="s">
        <v>34</v>
      </c>
      <c r="C1775" s="13" t="s">
        <v>3536</v>
      </c>
      <c r="D1775" s="13" t="n">
        <v>58</v>
      </c>
      <c r="E1775" s="13" t="s">
        <v>90</v>
      </c>
      <c r="F1775" s="13" t="s">
        <v>44</v>
      </c>
      <c r="G1775" s="13" t="s">
        <v>1956</v>
      </c>
      <c r="H1775" s="13" t="s">
        <v>41</v>
      </c>
      <c r="I1775" s="13" t="n">
        <v>4</v>
      </c>
      <c r="J1775" s="13" t="n">
        <v>1</v>
      </c>
      <c r="K1775" s="13" t="s">
        <v>91</v>
      </c>
      <c r="L1775" s="13" t="n">
        <v>4</v>
      </c>
      <c r="M1775" s="13" t="n">
        <v>1161022.51</v>
      </c>
      <c r="N1775" s="13" t="n">
        <v>290255.6275</v>
      </c>
      <c r="O1775" s="13" t="n">
        <v>874.9925</v>
      </c>
      <c r="P1775" s="13" t="n">
        <v>1</v>
      </c>
      <c r="Q1775" s="13" t="n">
        <v>3</v>
      </c>
      <c r="R1775" s="13" t="s">
        <v>121</v>
      </c>
      <c r="S1775" s="13" t="s">
        <v>215</v>
      </c>
      <c r="T1775" s="13" t="n">
        <v>1</v>
      </c>
      <c r="U1775" s="13" t="n">
        <f aca="false">IF(B1775="Individual",1,0)</f>
        <v>1</v>
      </c>
      <c r="V1775" s="13" t="n">
        <f aca="false">IF(B1775="Company",1,0)</f>
        <v>0</v>
      </c>
      <c r="W1775" s="13" t="n">
        <f aca="false">IF(H1775="Home",1,0)</f>
        <v>1</v>
      </c>
      <c r="X1775" s="13" t="n">
        <f aca="false">IF(H1775="Investment",1,0)</f>
        <v>0</v>
      </c>
      <c r="Y1775" s="13" t="n">
        <f aca="false">IF(K1775="Website",1,0)</f>
        <v>0</v>
      </c>
      <c r="Z1775" s="13" t="n">
        <f aca="false">IF(K1775="Agency",1,0)</f>
        <v>1</v>
      </c>
      <c r="AA1775" s="13" t="n">
        <f aca="false">IF(K1775="Client",1,0)</f>
        <v>0</v>
      </c>
      <c r="AB1775" s="13" t="n">
        <f aca="false">(D1775-AVERAGE(D$2:D$2001))/STDEV(D$2:D$2001)</f>
        <v>0.222750065550728</v>
      </c>
      <c r="AC1775" s="13" t="n">
        <f aca="false">(I1775-AVERAGE(I$2:I$2001))/STDEV(I$2:I$2001)</f>
        <v>0.686917069130275</v>
      </c>
      <c r="AD1775" s="13" t="n">
        <f aca="false">(L1775-AVERAGE(L$2:L$2001))/STDEV(L$2:L$2001)</f>
        <v>0.413838214490712</v>
      </c>
      <c r="AE1775" s="13" t="n">
        <f aca="false">(M1775-AVERAGE(M$2:M$2001))/STDEV(M$2:M$2001)</f>
        <v>-0.285636030593455</v>
      </c>
      <c r="AF1775" s="13" t="n">
        <f aca="false">(N1775-AVERAGE(N$2:N$2001))/STDEV(N$2:N$2001)</f>
        <v>-0.815158395039624</v>
      </c>
      <c r="AG1775" s="13" t="n">
        <f aca="false">(O1775-AVERAGE(O$2:O$2001))/STDEV(O$2:O$2001)</f>
        <v>-1.23901401743655</v>
      </c>
      <c r="AH1775" s="0" t="str">
        <f aca="false">IF(B1775="Company","C3 - Corporate Buyers",IF(AND(H1775="Investment",M1775&gt;'Segmentation Summary'!$C$1),"C1 - Global Investors",IF(AND(I1775&gt;=4,M1775&gt;'Segmentation Summary'!$C$1),"C4 - Luxury Investors",IF(AND(D1775&lt;'Segmentation Summary'!$C$2,J1775=1),"C2 - First-Time Buyers","C5 - Other Individual Buyers"))))</f>
        <v>C5 - Other Individual Buyers</v>
      </c>
    </row>
    <row r="1776" customFormat="false" ht="15" hidden="false" customHeight="true" outlineLevel="0" collapsed="false">
      <c r="A1776" s="13" t="s">
        <v>3537</v>
      </c>
      <c r="B1776" s="13" t="s">
        <v>34</v>
      </c>
      <c r="C1776" s="13" t="s">
        <v>3538</v>
      </c>
      <c r="D1776" s="13" t="n">
        <v>26</v>
      </c>
      <c r="E1776" s="13" t="s">
        <v>90</v>
      </c>
      <c r="F1776" s="13" t="s">
        <v>33</v>
      </c>
      <c r="G1776" s="13" t="s">
        <v>145</v>
      </c>
      <c r="H1776" s="13" t="s">
        <v>41</v>
      </c>
      <c r="I1776" s="13" t="n">
        <v>1</v>
      </c>
      <c r="J1776" s="13" t="n">
        <v>0</v>
      </c>
      <c r="K1776" s="13" t="s">
        <v>85</v>
      </c>
      <c r="L1776" s="13" t="n">
        <v>3</v>
      </c>
      <c r="M1776" s="13" t="n">
        <v>1034036.3</v>
      </c>
      <c r="N1776" s="13" t="n">
        <v>344678.766666667</v>
      </c>
      <c r="O1776" s="13" t="n">
        <v>1107.81</v>
      </c>
      <c r="P1776" s="13" t="n">
        <v>0</v>
      </c>
      <c r="Q1776" s="13" t="n">
        <v>3</v>
      </c>
      <c r="R1776" s="13" t="s">
        <v>128</v>
      </c>
      <c r="S1776" s="13" t="s">
        <v>107</v>
      </c>
      <c r="T1776" s="13" t="n">
        <v>1</v>
      </c>
      <c r="U1776" s="13" t="n">
        <f aca="false">IF(B1776="Individual",1,0)</f>
        <v>1</v>
      </c>
      <c r="V1776" s="13" t="n">
        <f aca="false">IF(B1776="Company",1,0)</f>
        <v>0</v>
      </c>
      <c r="W1776" s="13" t="n">
        <f aca="false">IF(H1776="Home",1,0)</f>
        <v>1</v>
      </c>
      <c r="X1776" s="13" t="n">
        <f aca="false">IF(H1776="Investment",1,0)</f>
        <v>0</v>
      </c>
      <c r="Y1776" s="13" t="n">
        <f aca="false">IF(K1776="Website",1,0)</f>
        <v>1</v>
      </c>
      <c r="Z1776" s="13" t="n">
        <f aca="false">IF(K1776="Agency",1,0)</f>
        <v>0</v>
      </c>
      <c r="AA1776" s="13" t="n">
        <f aca="false">IF(K1776="Client",1,0)</f>
        <v>0</v>
      </c>
      <c r="AB1776" s="13" t="n">
        <f aca="false">(D1776-AVERAGE(D$2:D$2001))/STDEV(D$2:D$2001)</f>
        <v>-1.62244851007011</v>
      </c>
      <c r="AC1776" s="13" t="n">
        <f aca="false">(I1776-AVERAGE(I$2:I$2001))/STDEV(I$2:I$2001)</f>
        <v>-1.43538077576244</v>
      </c>
      <c r="AD1776" s="13" t="n">
        <f aca="false">(L1776-AVERAGE(L$2:L$2001))/STDEV(L$2:L$2001)</f>
        <v>-0.777063122173208</v>
      </c>
      <c r="AE1776" s="13" t="n">
        <f aca="false">(M1776-AVERAGE(M$2:M$2001))/STDEV(M$2:M$2001)</f>
        <v>-0.650716579379999</v>
      </c>
      <c r="AF1776" s="13" t="n">
        <f aca="false">(N1776-AVERAGE(N$2:N$2001))/STDEV(N$2:N$2001)</f>
        <v>-0.0345829919490008</v>
      </c>
      <c r="AG1776" s="13" t="n">
        <f aca="false">(O1776-AVERAGE(O$2:O$2001))/STDEV(O$2:O$2001)</f>
        <v>-0.180380144407504</v>
      </c>
      <c r="AH1776" s="0" t="str">
        <f aca="false">IF(B1776="Company","C3 - Corporate Buyers",IF(AND(H1776="Investment",M1776&gt;'Segmentation Summary'!$C$1),"C1 - Global Investors",IF(AND(I1776&gt;=4,M1776&gt;'Segmentation Summary'!$C$1),"C4 - Luxury Investors",IF(AND(D1776&lt;'Segmentation Summary'!$C$2,J1776=1),"C2 - First-Time Buyers","C5 - Other Individual Buyers"))))</f>
        <v>C5 - Other Individual Buyers</v>
      </c>
    </row>
    <row r="1777" customFormat="false" ht="15" hidden="false" customHeight="true" outlineLevel="0" collapsed="false">
      <c r="A1777" s="13" t="s">
        <v>3539</v>
      </c>
      <c r="B1777" s="13" t="s">
        <v>34</v>
      </c>
      <c r="C1777" s="13" t="s">
        <v>3540</v>
      </c>
      <c r="D1777" s="13" t="n">
        <v>47</v>
      </c>
      <c r="E1777" s="13" t="s">
        <v>90</v>
      </c>
      <c r="F1777" s="13" t="s">
        <v>33</v>
      </c>
      <c r="G1777" s="13" t="s">
        <v>145</v>
      </c>
      <c r="H1777" s="13" t="s">
        <v>41</v>
      </c>
      <c r="I1777" s="13" t="n">
        <v>3</v>
      </c>
      <c r="J1777" s="13" t="n">
        <v>0</v>
      </c>
      <c r="K1777" s="13" t="s">
        <v>91</v>
      </c>
      <c r="L1777" s="13" t="n">
        <v>8</v>
      </c>
      <c r="M1777" s="13" t="n">
        <v>2172926.76</v>
      </c>
      <c r="N1777" s="13" t="n">
        <v>271615.845</v>
      </c>
      <c r="O1777" s="13" t="n">
        <v>913.85125</v>
      </c>
      <c r="P1777" s="13" t="n">
        <v>3</v>
      </c>
      <c r="Q1777" s="13" t="n">
        <v>5</v>
      </c>
      <c r="R1777" s="13" t="s">
        <v>92</v>
      </c>
      <c r="S1777" s="13" t="s">
        <v>133</v>
      </c>
      <c r="T1777" s="13" t="n">
        <v>1</v>
      </c>
      <c r="U1777" s="13" t="n">
        <f aca="false">IF(B1777="Individual",1,0)</f>
        <v>1</v>
      </c>
      <c r="V1777" s="13" t="n">
        <f aca="false">IF(B1777="Company",1,0)</f>
        <v>0</v>
      </c>
      <c r="W1777" s="13" t="n">
        <f aca="false">IF(H1777="Home",1,0)</f>
        <v>1</v>
      </c>
      <c r="X1777" s="13" t="n">
        <f aca="false">IF(H1777="Investment",1,0)</f>
        <v>0</v>
      </c>
      <c r="Y1777" s="13" t="n">
        <f aca="false">IF(K1777="Website",1,0)</f>
        <v>0</v>
      </c>
      <c r="Z1777" s="13" t="n">
        <f aca="false">IF(K1777="Agency",1,0)</f>
        <v>1</v>
      </c>
      <c r="AA1777" s="13" t="n">
        <f aca="false">IF(K1777="Client",1,0)</f>
        <v>0</v>
      </c>
      <c r="AB1777" s="13" t="n">
        <f aca="false">(D1777-AVERAGE(D$2:D$2001))/STDEV(D$2:D$2001)</f>
        <v>-0.411536944818935</v>
      </c>
      <c r="AC1777" s="13" t="n">
        <f aca="false">(I1777-AVERAGE(I$2:I$2001))/STDEV(I$2:I$2001)</f>
        <v>-0.0205155458339628</v>
      </c>
      <c r="AD1777" s="13" t="n">
        <f aca="false">(L1777-AVERAGE(L$2:L$2001))/STDEV(L$2:L$2001)</f>
        <v>5.17744356114639</v>
      </c>
      <c r="AE1777" s="13" t="n">
        <f aca="false">(M1777-AVERAGE(M$2:M$2001))/STDEV(M$2:M$2001)</f>
        <v>2.62355039925146</v>
      </c>
      <c r="AF1777" s="13" t="n">
        <f aca="false">(N1777-AVERAGE(N$2:N$2001))/STDEV(N$2:N$2001)</f>
        <v>-1.08250342440115</v>
      </c>
      <c r="AG1777" s="13" t="n">
        <f aca="false">(O1777-AVERAGE(O$2:O$2001))/STDEV(O$2:O$2001)</f>
        <v>-1.06232116138592</v>
      </c>
      <c r="AH1777" s="0" t="str">
        <f aca="false">IF(B1777="Company","C3 - Corporate Buyers",IF(AND(H1777="Investment",M1777&gt;'Segmentation Summary'!$C$1),"C1 - Global Investors",IF(AND(I1777&gt;=4,M1777&gt;'Segmentation Summary'!$C$1),"C4 - Luxury Investors",IF(AND(D1777&lt;'Segmentation Summary'!$C$2,J1777=1),"C2 - First-Time Buyers","C5 - Other Individual Buyers"))))</f>
        <v>C5 - Other Individual Buyers</v>
      </c>
    </row>
    <row r="1778" customFormat="false" ht="15" hidden="false" customHeight="true" outlineLevel="0" collapsed="false">
      <c r="A1778" s="13" t="s">
        <v>3541</v>
      </c>
      <c r="B1778" s="13" t="s">
        <v>34</v>
      </c>
      <c r="C1778" s="13" t="s">
        <v>3542</v>
      </c>
      <c r="D1778" s="13" t="n">
        <v>36</v>
      </c>
      <c r="E1778" s="13" t="s">
        <v>90</v>
      </c>
      <c r="F1778" s="13" t="s">
        <v>33</v>
      </c>
      <c r="G1778" s="13" t="s">
        <v>95</v>
      </c>
      <c r="H1778" s="13" t="s">
        <v>41</v>
      </c>
      <c r="I1778" s="13" t="n">
        <v>2</v>
      </c>
      <c r="J1778" s="13" t="n">
        <v>0</v>
      </c>
      <c r="K1778" s="13" t="s">
        <v>85</v>
      </c>
      <c r="L1778" s="13" t="n">
        <v>3</v>
      </c>
      <c r="M1778" s="13" t="n">
        <v>1011087.75</v>
      </c>
      <c r="N1778" s="13" t="n">
        <v>337029.25</v>
      </c>
      <c r="O1778" s="13" t="n">
        <v>1107.81</v>
      </c>
      <c r="P1778" s="13" t="n">
        <v>0</v>
      </c>
      <c r="Q1778" s="13" t="n">
        <v>3</v>
      </c>
      <c r="R1778" s="13" t="s">
        <v>92</v>
      </c>
      <c r="S1778" s="13" t="s">
        <v>152</v>
      </c>
      <c r="T1778" s="13" t="n">
        <v>1</v>
      </c>
      <c r="U1778" s="13" t="n">
        <f aca="false">IF(B1778="Individual",1,0)</f>
        <v>1</v>
      </c>
      <c r="V1778" s="13" t="n">
        <f aca="false">IF(B1778="Company",1,0)</f>
        <v>0</v>
      </c>
      <c r="W1778" s="13" t="n">
        <f aca="false">IF(H1778="Home",1,0)</f>
        <v>1</v>
      </c>
      <c r="X1778" s="13" t="n">
        <f aca="false">IF(H1778="Investment",1,0)</f>
        <v>0</v>
      </c>
      <c r="Y1778" s="13" t="n">
        <f aca="false">IF(K1778="Website",1,0)</f>
        <v>1</v>
      </c>
      <c r="Z1778" s="13" t="n">
        <f aca="false">IF(K1778="Agency",1,0)</f>
        <v>0</v>
      </c>
      <c r="AA1778" s="13" t="n">
        <f aca="false">IF(K1778="Client",1,0)</f>
        <v>0</v>
      </c>
      <c r="AB1778" s="13" t="n">
        <f aca="false">(D1778-AVERAGE(D$2:D$2001))/STDEV(D$2:D$2001)</f>
        <v>-1.0458239551886</v>
      </c>
      <c r="AC1778" s="13" t="n">
        <f aca="false">(I1778-AVERAGE(I$2:I$2001))/STDEV(I$2:I$2001)</f>
        <v>-0.727948160798201</v>
      </c>
      <c r="AD1778" s="13" t="n">
        <f aca="false">(L1778-AVERAGE(L$2:L$2001))/STDEV(L$2:L$2001)</f>
        <v>-0.777063122173208</v>
      </c>
      <c r="AE1778" s="13" t="n">
        <f aca="false">(M1778-AVERAGE(M$2:M$2001))/STDEV(M$2:M$2001)</f>
        <v>-0.716692792292058</v>
      </c>
      <c r="AF1778" s="13" t="n">
        <f aca="false">(N1778-AVERAGE(N$2:N$2001))/STDEV(N$2:N$2001)</f>
        <v>-0.1442978052979</v>
      </c>
      <c r="AG1778" s="13" t="n">
        <f aca="false">(O1778-AVERAGE(O$2:O$2001))/STDEV(O$2:O$2001)</f>
        <v>-0.180380144407504</v>
      </c>
      <c r="AH1778" s="0" t="str">
        <f aca="false">IF(B1778="Company","C3 - Corporate Buyers",IF(AND(H1778="Investment",M1778&gt;'Segmentation Summary'!$C$1),"C1 - Global Investors",IF(AND(I1778&gt;=4,M1778&gt;'Segmentation Summary'!$C$1),"C4 - Luxury Investors",IF(AND(D1778&lt;'Segmentation Summary'!$C$2,J1778=1),"C2 - First-Time Buyers","C5 - Other Individual Buyers"))))</f>
        <v>C5 - Other Individual Buyers</v>
      </c>
    </row>
    <row r="1779" customFormat="false" ht="15" hidden="false" customHeight="true" outlineLevel="0" collapsed="false">
      <c r="A1779" s="13" t="s">
        <v>3543</v>
      </c>
      <c r="B1779" s="13" t="s">
        <v>34</v>
      </c>
      <c r="C1779" s="13" t="s">
        <v>3544</v>
      </c>
      <c r="D1779" s="13" t="n">
        <v>62</v>
      </c>
      <c r="E1779" s="13" t="s">
        <v>90</v>
      </c>
      <c r="F1779" s="13" t="s">
        <v>33</v>
      </c>
      <c r="G1779" s="13" t="s">
        <v>95</v>
      </c>
      <c r="H1779" s="13" t="s">
        <v>41</v>
      </c>
      <c r="I1779" s="13" t="n">
        <v>5</v>
      </c>
      <c r="J1779" s="13" t="n">
        <v>1</v>
      </c>
      <c r="K1779" s="13" t="s">
        <v>85</v>
      </c>
      <c r="L1779" s="13" t="n">
        <v>5</v>
      </c>
      <c r="M1779" s="13" t="n">
        <v>1607228.75</v>
      </c>
      <c r="N1779" s="13" t="n">
        <v>321445.75</v>
      </c>
      <c r="O1779" s="13" t="n">
        <v>1018.368</v>
      </c>
      <c r="P1779" s="13" t="n">
        <v>0</v>
      </c>
      <c r="Q1779" s="13" t="n">
        <v>5</v>
      </c>
      <c r="R1779" s="13" t="s">
        <v>124</v>
      </c>
      <c r="S1779" s="13" t="s">
        <v>114</v>
      </c>
      <c r="T1779" s="13" t="n">
        <v>1</v>
      </c>
      <c r="U1779" s="13" t="n">
        <f aca="false">IF(B1779="Individual",1,0)</f>
        <v>1</v>
      </c>
      <c r="V1779" s="13" t="n">
        <f aca="false">IF(B1779="Company",1,0)</f>
        <v>0</v>
      </c>
      <c r="W1779" s="13" t="n">
        <f aca="false">IF(H1779="Home",1,0)</f>
        <v>1</v>
      </c>
      <c r="X1779" s="13" t="n">
        <f aca="false">IF(H1779="Investment",1,0)</f>
        <v>0</v>
      </c>
      <c r="Y1779" s="13" t="n">
        <f aca="false">IF(K1779="Website",1,0)</f>
        <v>1</v>
      </c>
      <c r="Z1779" s="13" t="n">
        <f aca="false">IF(K1779="Agency",1,0)</f>
        <v>0</v>
      </c>
      <c r="AA1779" s="13" t="n">
        <f aca="false">IF(K1779="Client",1,0)</f>
        <v>0</v>
      </c>
      <c r="AB1779" s="13" t="n">
        <f aca="false">(D1779-AVERAGE(D$2:D$2001))/STDEV(D$2:D$2001)</f>
        <v>0.453399887503333</v>
      </c>
      <c r="AC1779" s="13" t="n">
        <f aca="false">(I1779-AVERAGE(I$2:I$2001))/STDEV(I$2:I$2001)</f>
        <v>1.39434968409451</v>
      </c>
      <c r="AD1779" s="13" t="n">
        <f aca="false">(L1779-AVERAGE(L$2:L$2001))/STDEV(L$2:L$2001)</f>
        <v>1.60473955115463</v>
      </c>
      <c r="AE1779" s="13" t="n">
        <f aca="false">(M1779-AVERAGE(M$2:M$2001))/STDEV(M$2:M$2001)</f>
        <v>0.99719002564667</v>
      </c>
      <c r="AF1779" s="13" t="n">
        <f aca="false">(N1779-AVERAGE(N$2:N$2001))/STDEV(N$2:N$2001)</f>
        <v>-0.367807455426884</v>
      </c>
      <c r="AG1779" s="13" t="n">
        <f aca="false">(O1779-AVERAGE(O$2:O$2001))/STDEV(O$2:O$2001)</f>
        <v>-0.58707779759708</v>
      </c>
      <c r="AH1779" s="0" t="str">
        <f aca="false">IF(B1779="Company","C3 - Corporate Buyers",IF(AND(H1779="Investment",M1779&gt;'Segmentation Summary'!$C$1),"C1 - Global Investors",IF(AND(I1779&gt;=4,M1779&gt;'Segmentation Summary'!$C$1),"C4 - Luxury Investors",IF(AND(D1779&lt;'Segmentation Summary'!$C$2,J1779=1),"C2 - First-Time Buyers","C5 - Other Individual Buyers"))))</f>
        <v>C4 - Luxury Investors</v>
      </c>
    </row>
    <row r="1780" customFormat="false" ht="15" hidden="false" customHeight="true" outlineLevel="0" collapsed="false">
      <c r="A1780" s="13" t="s">
        <v>3545</v>
      </c>
      <c r="B1780" s="13" t="s">
        <v>34</v>
      </c>
      <c r="C1780" s="13" t="s">
        <v>3546</v>
      </c>
      <c r="D1780" s="13" t="n">
        <v>72</v>
      </c>
      <c r="E1780" s="13" t="s">
        <v>83</v>
      </c>
      <c r="F1780" s="13" t="s">
        <v>33</v>
      </c>
      <c r="G1780" s="13" t="s">
        <v>265</v>
      </c>
      <c r="H1780" s="13" t="s">
        <v>41</v>
      </c>
      <c r="I1780" s="13" t="n">
        <v>1</v>
      </c>
      <c r="J1780" s="13" t="n">
        <v>0</v>
      </c>
      <c r="K1780" s="13" t="s">
        <v>91</v>
      </c>
      <c r="L1780" s="13" t="n">
        <v>3</v>
      </c>
      <c r="M1780" s="13" t="n">
        <v>1135017.6</v>
      </c>
      <c r="N1780" s="13" t="n">
        <v>378339.2</v>
      </c>
      <c r="O1780" s="13" t="n">
        <v>1250.30666666667</v>
      </c>
      <c r="P1780" s="13" t="n">
        <v>0</v>
      </c>
      <c r="Q1780" s="13" t="n">
        <v>3</v>
      </c>
      <c r="R1780" s="13" t="s">
        <v>93</v>
      </c>
      <c r="S1780" s="13" t="s">
        <v>114</v>
      </c>
      <c r="T1780" s="13" t="n">
        <v>1</v>
      </c>
      <c r="U1780" s="13" t="n">
        <f aca="false">IF(B1780="Individual",1,0)</f>
        <v>1</v>
      </c>
      <c r="V1780" s="13" t="n">
        <f aca="false">IF(B1780="Company",1,0)</f>
        <v>0</v>
      </c>
      <c r="W1780" s="13" t="n">
        <f aca="false">IF(H1780="Home",1,0)</f>
        <v>1</v>
      </c>
      <c r="X1780" s="13" t="n">
        <f aca="false">IF(H1780="Investment",1,0)</f>
        <v>0</v>
      </c>
      <c r="Y1780" s="13" t="n">
        <f aca="false">IF(K1780="Website",1,0)</f>
        <v>0</v>
      </c>
      <c r="Z1780" s="13" t="n">
        <f aca="false">IF(K1780="Agency",1,0)</f>
        <v>1</v>
      </c>
      <c r="AA1780" s="13" t="n">
        <f aca="false">IF(K1780="Client",1,0)</f>
        <v>0</v>
      </c>
      <c r="AB1780" s="13" t="n">
        <f aca="false">(D1780-AVERAGE(D$2:D$2001))/STDEV(D$2:D$2001)</f>
        <v>1.03002444238485</v>
      </c>
      <c r="AC1780" s="13" t="n">
        <f aca="false">(I1780-AVERAGE(I$2:I$2001))/STDEV(I$2:I$2001)</f>
        <v>-1.43538077576244</v>
      </c>
      <c r="AD1780" s="13" t="n">
        <f aca="false">(L1780-AVERAGE(L$2:L$2001))/STDEV(L$2:L$2001)</f>
        <v>-0.777063122173208</v>
      </c>
      <c r="AE1780" s="13" t="n">
        <f aca="false">(M1780-AVERAGE(M$2:M$2001))/STDEV(M$2:M$2001)</f>
        <v>-0.360399162857539</v>
      </c>
      <c r="AF1780" s="13" t="n">
        <f aca="false">(N1780-AVERAGE(N$2:N$2001))/STDEV(N$2:N$2001)</f>
        <v>0.448198904128468</v>
      </c>
      <c r="AG1780" s="13" t="n">
        <f aca="false">(O1780-AVERAGE(O$2:O$2001))/STDEV(O$2:O$2001)</f>
        <v>0.467559972323697</v>
      </c>
      <c r="AH1780" s="0" t="str">
        <f aca="false">IF(B1780="Company","C3 - Corporate Buyers",IF(AND(H1780="Investment",M1780&gt;'Segmentation Summary'!$C$1),"C1 - Global Investors",IF(AND(I1780&gt;=4,M1780&gt;'Segmentation Summary'!$C$1),"C4 - Luxury Investors",IF(AND(D1780&lt;'Segmentation Summary'!$C$2,J1780=1),"C2 - First-Time Buyers","C5 - Other Individual Buyers"))))</f>
        <v>C5 - Other Individual Buyers</v>
      </c>
    </row>
    <row r="1781" customFormat="false" ht="15" hidden="false" customHeight="true" outlineLevel="0" collapsed="false">
      <c r="A1781" s="13" t="s">
        <v>3547</v>
      </c>
      <c r="B1781" s="13" t="s">
        <v>34</v>
      </c>
      <c r="C1781" s="13" t="s">
        <v>3548</v>
      </c>
      <c r="D1781" s="13" t="n">
        <v>50</v>
      </c>
      <c r="E1781" s="13" t="s">
        <v>83</v>
      </c>
      <c r="F1781" s="13" t="s">
        <v>33</v>
      </c>
      <c r="G1781" s="13" t="s">
        <v>95</v>
      </c>
      <c r="H1781" s="13" t="s">
        <v>41</v>
      </c>
      <c r="I1781" s="13" t="n">
        <v>4</v>
      </c>
      <c r="J1781" s="13" t="n">
        <v>1</v>
      </c>
      <c r="K1781" s="13" t="s">
        <v>85</v>
      </c>
      <c r="L1781" s="13" t="n">
        <v>4</v>
      </c>
      <c r="M1781" s="13" t="n">
        <v>1033261.03</v>
      </c>
      <c r="N1781" s="13" t="n">
        <v>258315.2575</v>
      </c>
      <c r="O1781" s="13" t="n">
        <v>827.2</v>
      </c>
      <c r="P1781" s="13" t="n">
        <v>0</v>
      </c>
      <c r="Q1781" s="13" t="n">
        <v>4</v>
      </c>
      <c r="R1781" s="13" t="s">
        <v>101</v>
      </c>
      <c r="S1781" s="13" t="s">
        <v>164</v>
      </c>
      <c r="T1781" s="13" t="n">
        <v>1</v>
      </c>
      <c r="U1781" s="13" t="n">
        <f aca="false">IF(B1781="Individual",1,0)</f>
        <v>1</v>
      </c>
      <c r="V1781" s="13" t="n">
        <f aca="false">IF(B1781="Company",1,0)</f>
        <v>0</v>
      </c>
      <c r="W1781" s="13" t="n">
        <f aca="false">IF(H1781="Home",1,0)</f>
        <v>1</v>
      </c>
      <c r="X1781" s="13" t="n">
        <f aca="false">IF(H1781="Investment",1,0)</f>
        <v>0</v>
      </c>
      <c r="Y1781" s="13" t="n">
        <f aca="false">IF(K1781="Website",1,0)</f>
        <v>1</v>
      </c>
      <c r="Z1781" s="13" t="n">
        <f aca="false">IF(K1781="Agency",1,0)</f>
        <v>0</v>
      </c>
      <c r="AA1781" s="13" t="n">
        <f aca="false">IF(K1781="Client",1,0)</f>
        <v>0</v>
      </c>
      <c r="AB1781" s="13" t="n">
        <f aca="false">(D1781-AVERAGE(D$2:D$2001))/STDEV(D$2:D$2001)</f>
        <v>-0.238549578354482</v>
      </c>
      <c r="AC1781" s="13" t="n">
        <f aca="false">(I1781-AVERAGE(I$2:I$2001))/STDEV(I$2:I$2001)</f>
        <v>0.686917069130275</v>
      </c>
      <c r="AD1781" s="13" t="n">
        <f aca="false">(L1781-AVERAGE(L$2:L$2001))/STDEV(L$2:L$2001)</f>
        <v>0.413838214490712</v>
      </c>
      <c r="AE1781" s="13" t="n">
        <f aca="false">(M1781-AVERAGE(M$2:M$2001))/STDEV(M$2:M$2001)</f>
        <v>-0.652945451294971</v>
      </c>
      <c r="AF1781" s="13" t="n">
        <f aca="false">(N1781-AVERAGE(N$2:N$2001))/STDEV(N$2:N$2001)</f>
        <v>-1.27326991836175</v>
      </c>
      <c r="AG1781" s="13" t="n">
        <f aca="false">(O1781-AVERAGE(O$2:O$2001))/STDEV(O$2:O$2001)</f>
        <v>-1.45632912208608</v>
      </c>
      <c r="AH1781" s="0" t="str">
        <f aca="false">IF(B1781="Company","C3 - Corporate Buyers",IF(AND(H1781="Investment",M1781&gt;'Segmentation Summary'!$C$1),"C1 - Global Investors",IF(AND(I1781&gt;=4,M1781&gt;'Segmentation Summary'!$C$1),"C4 - Luxury Investors",IF(AND(D1781&lt;'Segmentation Summary'!$C$2,J1781=1),"C2 - First-Time Buyers","C5 - Other Individual Buyers"))))</f>
        <v>C2 - First-Time Buyers</v>
      </c>
    </row>
    <row r="1782" customFormat="false" ht="15" hidden="false" customHeight="true" outlineLevel="0" collapsed="false">
      <c r="A1782" s="13" t="s">
        <v>3549</v>
      </c>
      <c r="B1782" s="13" t="s">
        <v>34</v>
      </c>
      <c r="C1782" s="13" t="s">
        <v>3550</v>
      </c>
      <c r="D1782" s="13" t="n">
        <v>39</v>
      </c>
      <c r="E1782" s="13" t="s">
        <v>83</v>
      </c>
      <c r="F1782" s="13" t="s">
        <v>33</v>
      </c>
      <c r="G1782" s="13" t="s">
        <v>84</v>
      </c>
      <c r="H1782" s="13" t="s">
        <v>43</v>
      </c>
      <c r="I1782" s="13" t="n">
        <v>4</v>
      </c>
      <c r="J1782" s="13" t="n">
        <v>1</v>
      </c>
      <c r="K1782" s="13" t="s">
        <v>85</v>
      </c>
      <c r="L1782" s="13" t="n">
        <v>3</v>
      </c>
      <c r="M1782" s="13" t="n">
        <v>1339350.59</v>
      </c>
      <c r="N1782" s="13" t="n">
        <v>446450.196666667</v>
      </c>
      <c r="O1782" s="13" t="n">
        <v>1451.25333333333</v>
      </c>
      <c r="P1782" s="13" t="n">
        <v>0</v>
      </c>
      <c r="Q1782" s="13" t="n">
        <v>3</v>
      </c>
      <c r="R1782" s="13" t="s">
        <v>92</v>
      </c>
      <c r="S1782" s="13" t="s">
        <v>87</v>
      </c>
      <c r="T1782" s="13" t="n">
        <v>1</v>
      </c>
      <c r="U1782" s="13" t="n">
        <f aca="false">IF(B1782="Individual",1,0)</f>
        <v>1</v>
      </c>
      <c r="V1782" s="13" t="n">
        <f aca="false">IF(B1782="Company",1,0)</f>
        <v>0</v>
      </c>
      <c r="W1782" s="13" t="n">
        <f aca="false">IF(H1782="Home",1,0)</f>
        <v>0</v>
      </c>
      <c r="X1782" s="13" t="n">
        <f aca="false">IF(H1782="Investment",1,0)</f>
        <v>1</v>
      </c>
      <c r="Y1782" s="13" t="n">
        <f aca="false">IF(K1782="Website",1,0)</f>
        <v>1</v>
      </c>
      <c r="Z1782" s="13" t="n">
        <f aca="false">IF(K1782="Agency",1,0)</f>
        <v>0</v>
      </c>
      <c r="AA1782" s="13" t="n">
        <f aca="false">IF(K1782="Client",1,0)</f>
        <v>0</v>
      </c>
      <c r="AB1782" s="13" t="n">
        <f aca="false">(D1782-AVERAGE(D$2:D$2001))/STDEV(D$2:D$2001)</f>
        <v>-0.872836588724145</v>
      </c>
      <c r="AC1782" s="13" t="n">
        <f aca="false">(I1782-AVERAGE(I$2:I$2001))/STDEV(I$2:I$2001)</f>
        <v>0.686917069130275</v>
      </c>
      <c r="AD1782" s="13" t="n">
        <f aca="false">(L1782-AVERAGE(L$2:L$2001))/STDEV(L$2:L$2001)</f>
        <v>-0.777063122173208</v>
      </c>
      <c r="AE1782" s="13" t="n">
        <f aca="false">(M1782-AVERAGE(M$2:M$2001))/STDEV(M$2:M$2001)</f>
        <v>0.22705045174546</v>
      </c>
      <c r="AF1782" s="13" t="n">
        <f aca="false">(N1782-AVERAGE(N$2:N$2001))/STDEV(N$2:N$2001)</f>
        <v>1.4250953031982</v>
      </c>
      <c r="AG1782" s="13" t="n">
        <f aca="false">(O1782-AVERAGE(O$2:O$2001))/STDEV(O$2:O$2001)</f>
        <v>1.38127542758631</v>
      </c>
      <c r="AH1782" s="0" t="str">
        <f aca="false">IF(B1782="Company","C3 - Corporate Buyers",IF(AND(H1782="Investment",M1782&gt;'Segmentation Summary'!$C$1),"C1 - Global Investors",IF(AND(I1782&gt;=4,M1782&gt;'Segmentation Summary'!$C$1),"C4 - Luxury Investors",IF(AND(D1782&lt;'Segmentation Summary'!$C$2,J1782=1),"C2 - First-Time Buyers","C5 - Other Individual Buyers"))))</f>
        <v>C1 - Global Investors</v>
      </c>
    </row>
    <row r="1783" customFormat="false" ht="15" hidden="false" customHeight="true" outlineLevel="0" collapsed="false">
      <c r="A1783" s="13" t="s">
        <v>3551</v>
      </c>
      <c r="B1783" s="13" t="s">
        <v>34</v>
      </c>
      <c r="C1783" s="13" t="s">
        <v>3552</v>
      </c>
      <c r="D1783" s="13" t="n">
        <v>67</v>
      </c>
      <c r="E1783" s="13" t="s">
        <v>83</v>
      </c>
      <c r="F1783" s="13" t="s">
        <v>45</v>
      </c>
      <c r="G1783" s="13" t="s">
        <v>196</v>
      </c>
      <c r="H1783" s="13" t="s">
        <v>41</v>
      </c>
      <c r="I1783" s="13" t="n">
        <v>5</v>
      </c>
      <c r="J1783" s="13" t="n">
        <v>0</v>
      </c>
      <c r="K1783" s="13" t="s">
        <v>85</v>
      </c>
      <c r="L1783" s="13" t="n">
        <v>4</v>
      </c>
      <c r="M1783" s="13" t="n">
        <v>1046863.21</v>
      </c>
      <c r="N1783" s="13" t="n">
        <v>261715.8025</v>
      </c>
      <c r="O1783" s="13" t="n">
        <v>872.2</v>
      </c>
      <c r="P1783" s="13" t="n">
        <v>0</v>
      </c>
      <c r="Q1783" s="13" t="n">
        <v>4</v>
      </c>
      <c r="R1783" s="13" t="s">
        <v>215</v>
      </c>
      <c r="S1783" s="13" t="s">
        <v>135</v>
      </c>
      <c r="T1783" s="13" t="n">
        <v>1</v>
      </c>
      <c r="U1783" s="13" t="n">
        <f aca="false">IF(B1783="Individual",1,0)</f>
        <v>1</v>
      </c>
      <c r="V1783" s="13" t="n">
        <f aca="false">IF(B1783="Company",1,0)</f>
        <v>0</v>
      </c>
      <c r="W1783" s="13" t="n">
        <f aca="false">IF(H1783="Home",1,0)</f>
        <v>1</v>
      </c>
      <c r="X1783" s="13" t="n">
        <f aca="false">IF(H1783="Investment",1,0)</f>
        <v>0</v>
      </c>
      <c r="Y1783" s="13" t="n">
        <f aca="false">IF(K1783="Website",1,0)</f>
        <v>1</v>
      </c>
      <c r="Z1783" s="13" t="n">
        <f aca="false">IF(K1783="Agency",1,0)</f>
        <v>0</v>
      </c>
      <c r="AA1783" s="13" t="n">
        <f aca="false">IF(K1783="Client",1,0)</f>
        <v>0</v>
      </c>
      <c r="AB1783" s="13" t="n">
        <f aca="false">(D1783-AVERAGE(D$2:D$2001))/STDEV(D$2:D$2001)</f>
        <v>0.741712164944089</v>
      </c>
      <c r="AC1783" s="13" t="n">
        <f aca="false">(I1783-AVERAGE(I$2:I$2001))/STDEV(I$2:I$2001)</f>
        <v>1.39434968409451</v>
      </c>
      <c r="AD1783" s="13" t="n">
        <f aca="false">(L1783-AVERAGE(L$2:L$2001))/STDEV(L$2:L$2001)</f>
        <v>0.413838214490712</v>
      </c>
      <c r="AE1783" s="13" t="n">
        <f aca="false">(M1783-AVERAGE(M$2:M$2001))/STDEV(M$2:M$2001)</f>
        <v>-0.613839698480604</v>
      </c>
      <c r="AF1783" s="13" t="n">
        <f aca="false">(N1783-AVERAGE(N$2:N$2001))/STDEV(N$2:N$2001)</f>
        <v>-1.22449688129062</v>
      </c>
      <c r="AG1783" s="13" t="n">
        <f aca="false">(O1783-AVERAGE(O$2:O$2001))/STDEV(O$2:O$2001)</f>
        <v>-1.25171166727144</v>
      </c>
      <c r="AH1783" s="0" t="str">
        <f aca="false">IF(B1783="Company","C3 - Corporate Buyers",IF(AND(H1783="Investment",M1783&gt;'Segmentation Summary'!$C$1),"C1 - Global Investors",IF(AND(I1783&gt;=4,M1783&gt;'Segmentation Summary'!$C$1),"C4 - Luxury Investors",IF(AND(D1783&lt;'Segmentation Summary'!$C$2,J1783=1),"C2 - First-Time Buyers","C5 - Other Individual Buyers"))))</f>
        <v>C5 - Other Individual Buyers</v>
      </c>
    </row>
    <row r="1784" customFormat="false" ht="15" hidden="false" customHeight="true" outlineLevel="0" collapsed="false">
      <c r="A1784" s="13" t="s">
        <v>3553</v>
      </c>
      <c r="B1784" s="13" t="s">
        <v>34</v>
      </c>
      <c r="C1784" s="13" t="s">
        <v>3554</v>
      </c>
      <c r="D1784" s="13" t="n">
        <v>33</v>
      </c>
      <c r="E1784" s="13" t="s">
        <v>83</v>
      </c>
      <c r="F1784" s="13" t="s">
        <v>33</v>
      </c>
      <c r="G1784" s="13" t="s">
        <v>207</v>
      </c>
      <c r="H1784" s="13" t="s">
        <v>43</v>
      </c>
      <c r="I1784" s="13" t="n">
        <v>1</v>
      </c>
      <c r="J1784" s="13" t="n">
        <v>0</v>
      </c>
      <c r="K1784" s="13" t="s">
        <v>85</v>
      </c>
      <c r="L1784" s="13" t="n">
        <v>4</v>
      </c>
      <c r="M1784" s="13" t="n">
        <v>1163601.79</v>
      </c>
      <c r="N1784" s="13" t="n">
        <v>290900.4475</v>
      </c>
      <c r="O1784" s="13" t="n">
        <v>939.4875</v>
      </c>
      <c r="P1784" s="13" t="n">
        <v>0</v>
      </c>
      <c r="Q1784" s="13" t="n">
        <v>4</v>
      </c>
      <c r="R1784" s="13" t="s">
        <v>101</v>
      </c>
      <c r="S1784" s="13" t="s">
        <v>93</v>
      </c>
      <c r="T1784" s="13" t="n">
        <v>1</v>
      </c>
      <c r="U1784" s="13" t="n">
        <f aca="false">IF(B1784="Individual",1,0)</f>
        <v>1</v>
      </c>
      <c r="V1784" s="13" t="n">
        <f aca="false">IF(B1784="Company",1,0)</f>
        <v>0</v>
      </c>
      <c r="W1784" s="13" t="n">
        <f aca="false">IF(H1784="Home",1,0)</f>
        <v>0</v>
      </c>
      <c r="X1784" s="13" t="n">
        <f aca="false">IF(H1784="Investment",1,0)</f>
        <v>1</v>
      </c>
      <c r="Y1784" s="13" t="n">
        <f aca="false">IF(K1784="Website",1,0)</f>
        <v>1</v>
      </c>
      <c r="Z1784" s="13" t="n">
        <f aca="false">IF(K1784="Agency",1,0)</f>
        <v>0</v>
      </c>
      <c r="AA1784" s="13" t="n">
        <f aca="false">IF(K1784="Client",1,0)</f>
        <v>0</v>
      </c>
      <c r="AB1784" s="13" t="n">
        <f aca="false">(D1784-AVERAGE(D$2:D$2001))/STDEV(D$2:D$2001)</f>
        <v>-1.21881132165305</v>
      </c>
      <c r="AC1784" s="13" t="n">
        <f aca="false">(I1784-AVERAGE(I$2:I$2001))/STDEV(I$2:I$2001)</f>
        <v>-1.43538077576244</v>
      </c>
      <c r="AD1784" s="13" t="n">
        <f aca="false">(L1784-AVERAGE(L$2:L$2001))/STDEV(L$2:L$2001)</f>
        <v>0.413838214490712</v>
      </c>
      <c r="AE1784" s="13" t="n">
        <f aca="false">(M1784-AVERAGE(M$2:M$2001))/STDEV(M$2:M$2001)</f>
        <v>-0.278220698189455</v>
      </c>
      <c r="AF1784" s="13" t="n">
        <f aca="false">(N1784-AVERAGE(N$2:N$2001))/STDEV(N$2:N$2001)</f>
        <v>-0.805909927583907</v>
      </c>
      <c r="AG1784" s="13" t="n">
        <f aca="false">(O1784-AVERAGE(O$2:O$2001))/STDEV(O$2:O$2001)</f>
        <v>-0.945751734141662</v>
      </c>
      <c r="AH1784" s="0" t="str">
        <f aca="false">IF(B1784="Company","C3 - Corporate Buyers",IF(AND(H1784="Investment",M1784&gt;'Segmentation Summary'!$C$1),"C1 - Global Investors",IF(AND(I1784&gt;=4,M1784&gt;'Segmentation Summary'!$C$1),"C4 - Luxury Investors",IF(AND(D1784&lt;'Segmentation Summary'!$C$2,J1784=1),"C2 - First-Time Buyers","C5 - Other Individual Buyers"))))</f>
        <v>C5 - Other Individual Buyers</v>
      </c>
    </row>
    <row r="1785" customFormat="false" ht="15" hidden="false" customHeight="true" outlineLevel="0" collapsed="false">
      <c r="A1785" s="13" t="s">
        <v>3555</v>
      </c>
      <c r="B1785" s="13" t="s">
        <v>34</v>
      </c>
      <c r="C1785" s="13" t="s">
        <v>3556</v>
      </c>
      <c r="D1785" s="13" t="n">
        <v>48</v>
      </c>
      <c r="E1785" s="13" t="s">
        <v>83</v>
      </c>
      <c r="F1785" s="13" t="s">
        <v>33</v>
      </c>
      <c r="G1785" s="13" t="s">
        <v>265</v>
      </c>
      <c r="H1785" s="13" t="s">
        <v>43</v>
      </c>
      <c r="I1785" s="13" t="n">
        <v>5</v>
      </c>
      <c r="J1785" s="13" t="n">
        <v>0</v>
      </c>
      <c r="K1785" s="13" t="s">
        <v>91</v>
      </c>
      <c r="L1785" s="13" t="n">
        <v>3</v>
      </c>
      <c r="M1785" s="13" t="n">
        <v>1253745.81</v>
      </c>
      <c r="N1785" s="13" t="n">
        <v>417915.27</v>
      </c>
      <c r="O1785" s="13" t="n">
        <v>1303.47333333333</v>
      </c>
      <c r="P1785" s="13" t="n">
        <v>0</v>
      </c>
      <c r="Q1785" s="13" t="n">
        <v>3</v>
      </c>
      <c r="R1785" s="13" t="s">
        <v>111</v>
      </c>
      <c r="S1785" s="13" t="s">
        <v>112</v>
      </c>
      <c r="T1785" s="13" t="n">
        <v>1</v>
      </c>
      <c r="U1785" s="13" t="n">
        <f aca="false">IF(B1785="Individual",1,0)</f>
        <v>1</v>
      </c>
      <c r="V1785" s="13" t="n">
        <f aca="false">IF(B1785="Company",1,0)</f>
        <v>0</v>
      </c>
      <c r="W1785" s="13" t="n">
        <f aca="false">IF(H1785="Home",1,0)</f>
        <v>0</v>
      </c>
      <c r="X1785" s="13" t="n">
        <f aca="false">IF(H1785="Investment",1,0)</f>
        <v>1</v>
      </c>
      <c r="Y1785" s="13" t="n">
        <f aca="false">IF(K1785="Website",1,0)</f>
        <v>0</v>
      </c>
      <c r="Z1785" s="13" t="n">
        <f aca="false">IF(K1785="Agency",1,0)</f>
        <v>1</v>
      </c>
      <c r="AA1785" s="13" t="n">
        <f aca="false">IF(K1785="Client",1,0)</f>
        <v>0</v>
      </c>
      <c r="AB1785" s="13" t="n">
        <f aca="false">(D1785-AVERAGE(D$2:D$2001))/STDEV(D$2:D$2001)</f>
        <v>-0.353874489330784</v>
      </c>
      <c r="AC1785" s="13" t="n">
        <f aca="false">(I1785-AVERAGE(I$2:I$2001))/STDEV(I$2:I$2001)</f>
        <v>1.39434968409451</v>
      </c>
      <c r="AD1785" s="13" t="n">
        <f aca="false">(L1785-AVERAGE(L$2:L$2001))/STDEV(L$2:L$2001)</f>
        <v>-0.777063122173208</v>
      </c>
      <c r="AE1785" s="13" t="n">
        <f aca="false">(M1785-AVERAGE(M$2:M$2001))/STDEV(M$2:M$2001)</f>
        <v>-0.019060051600938</v>
      </c>
      <c r="AF1785" s="13" t="n">
        <f aca="false">(N1785-AVERAGE(N$2:N$2001))/STDEV(N$2:N$2001)</f>
        <v>1.01582707233074</v>
      </c>
      <c r="AG1785" s="13" t="n">
        <f aca="false">(O1785-AVERAGE(O$2:O$2001))/STDEV(O$2:O$2001)</f>
        <v>0.709311705975036</v>
      </c>
      <c r="AH1785" s="0" t="str">
        <f aca="false">IF(B1785="Company","C3 - Corporate Buyers",IF(AND(H1785="Investment",M1785&gt;'Segmentation Summary'!$C$1),"C1 - Global Investors",IF(AND(I1785&gt;=4,M1785&gt;'Segmentation Summary'!$C$1),"C4 - Luxury Investors",IF(AND(D1785&lt;'Segmentation Summary'!$C$2,J1785=1),"C2 - First-Time Buyers","C5 - Other Individual Buyers"))))</f>
        <v>C1 - Global Investors</v>
      </c>
    </row>
    <row r="1786" customFormat="false" ht="15" hidden="false" customHeight="true" outlineLevel="0" collapsed="false">
      <c r="A1786" s="13" t="s">
        <v>3557</v>
      </c>
      <c r="B1786" s="13" t="s">
        <v>34</v>
      </c>
      <c r="C1786" s="13" t="s">
        <v>3558</v>
      </c>
      <c r="D1786" s="13" t="n">
        <v>57</v>
      </c>
      <c r="E1786" s="13" t="s">
        <v>83</v>
      </c>
      <c r="F1786" s="13" t="s">
        <v>33</v>
      </c>
      <c r="G1786" s="13" t="s">
        <v>95</v>
      </c>
      <c r="H1786" s="13" t="s">
        <v>41</v>
      </c>
      <c r="I1786" s="13" t="n">
        <v>5</v>
      </c>
      <c r="J1786" s="13" t="n">
        <v>0</v>
      </c>
      <c r="K1786" s="13" t="s">
        <v>85</v>
      </c>
      <c r="L1786" s="13" t="n">
        <v>3</v>
      </c>
      <c r="M1786" s="13" t="n">
        <v>1064050.72</v>
      </c>
      <c r="N1786" s="13" t="n">
        <v>354683.573333333</v>
      </c>
      <c r="O1786" s="13" t="n">
        <v>1052.08666666667</v>
      </c>
      <c r="P1786" s="13" t="n">
        <v>1</v>
      </c>
      <c r="Q1786" s="13" t="n">
        <v>2</v>
      </c>
      <c r="R1786" s="13" t="s">
        <v>117</v>
      </c>
      <c r="S1786" s="13" t="s">
        <v>215</v>
      </c>
      <c r="T1786" s="13" t="n">
        <v>1</v>
      </c>
      <c r="U1786" s="13" t="n">
        <f aca="false">IF(B1786="Individual",1,0)</f>
        <v>1</v>
      </c>
      <c r="V1786" s="13" t="n">
        <f aca="false">IF(B1786="Company",1,0)</f>
        <v>0</v>
      </c>
      <c r="W1786" s="13" t="n">
        <f aca="false">IF(H1786="Home",1,0)</f>
        <v>1</v>
      </c>
      <c r="X1786" s="13" t="n">
        <f aca="false">IF(H1786="Investment",1,0)</f>
        <v>0</v>
      </c>
      <c r="Y1786" s="13" t="n">
        <f aca="false">IF(K1786="Website",1,0)</f>
        <v>1</v>
      </c>
      <c r="Z1786" s="13" t="n">
        <f aca="false">IF(K1786="Agency",1,0)</f>
        <v>0</v>
      </c>
      <c r="AA1786" s="13" t="n">
        <f aca="false">IF(K1786="Client",1,0)</f>
        <v>0</v>
      </c>
      <c r="AB1786" s="13" t="n">
        <f aca="false">(D1786-AVERAGE(D$2:D$2001))/STDEV(D$2:D$2001)</f>
        <v>0.165087610062577</v>
      </c>
      <c r="AC1786" s="13" t="n">
        <f aca="false">(I1786-AVERAGE(I$2:I$2001))/STDEV(I$2:I$2001)</f>
        <v>1.39434968409451</v>
      </c>
      <c r="AD1786" s="13" t="n">
        <f aca="false">(L1786-AVERAGE(L$2:L$2001))/STDEV(L$2:L$2001)</f>
        <v>-0.777063122173208</v>
      </c>
      <c r="AE1786" s="13" t="n">
        <f aca="false">(M1786-AVERAGE(M$2:M$2001))/STDEV(M$2:M$2001)</f>
        <v>-0.564426257579626</v>
      </c>
      <c r="AF1786" s="13" t="n">
        <f aca="false">(N1786-AVERAGE(N$2:N$2001))/STDEV(N$2:N$2001)</f>
        <v>0.108913067195263</v>
      </c>
      <c r="AG1786" s="13" t="n">
        <f aca="false">(O1786-AVERAGE(O$2:O$2001))/STDEV(O$2:O$2001)</f>
        <v>-0.433757180862031</v>
      </c>
      <c r="AH1786" s="0" t="str">
        <f aca="false">IF(B1786="Company","C3 - Corporate Buyers",IF(AND(H1786="Investment",M1786&gt;'Segmentation Summary'!$C$1),"C1 - Global Investors",IF(AND(I1786&gt;=4,M1786&gt;'Segmentation Summary'!$C$1),"C4 - Luxury Investors",IF(AND(D1786&lt;'Segmentation Summary'!$C$2,J1786=1),"C2 - First-Time Buyers","C5 - Other Individual Buyers"))))</f>
        <v>C5 - Other Individual Buyers</v>
      </c>
    </row>
    <row r="1787" customFormat="false" ht="15" hidden="false" customHeight="true" outlineLevel="0" collapsed="false">
      <c r="A1787" s="13" t="s">
        <v>3559</v>
      </c>
      <c r="B1787" s="13" t="s">
        <v>34</v>
      </c>
      <c r="C1787" s="13" t="s">
        <v>3558</v>
      </c>
      <c r="D1787" s="13" t="n">
        <v>36</v>
      </c>
      <c r="E1787" s="13" t="s">
        <v>83</v>
      </c>
      <c r="F1787" s="13" t="s">
        <v>47</v>
      </c>
      <c r="G1787" s="13" t="s">
        <v>356</v>
      </c>
      <c r="H1787" s="13" t="s">
        <v>41</v>
      </c>
      <c r="I1787" s="13" t="n">
        <v>1</v>
      </c>
      <c r="J1787" s="13" t="n">
        <v>1</v>
      </c>
      <c r="K1787" s="13" t="s">
        <v>85</v>
      </c>
      <c r="L1787" s="13" t="n">
        <v>4</v>
      </c>
      <c r="M1787" s="13" t="n">
        <v>1478482.61</v>
      </c>
      <c r="N1787" s="13" t="n">
        <v>369620.6525</v>
      </c>
      <c r="O1787" s="13" t="n">
        <v>1205.465</v>
      </c>
      <c r="P1787" s="13" t="n">
        <v>0</v>
      </c>
      <c r="Q1787" s="13" t="n">
        <v>4</v>
      </c>
      <c r="R1787" s="13" t="s">
        <v>86</v>
      </c>
      <c r="S1787" s="13" t="s">
        <v>135</v>
      </c>
      <c r="T1787" s="13" t="n">
        <v>1</v>
      </c>
      <c r="U1787" s="13" t="n">
        <f aca="false">IF(B1787="Individual",1,0)</f>
        <v>1</v>
      </c>
      <c r="V1787" s="13" t="n">
        <f aca="false">IF(B1787="Company",1,0)</f>
        <v>0</v>
      </c>
      <c r="W1787" s="13" t="n">
        <f aca="false">IF(H1787="Home",1,0)</f>
        <v>1</v>
      </c>
      <c r="X1787" s="13" t="n">
        <f aca="false">IF(H1787="Investment",1,0)</f>
        <v>0</v>
      </c>
      <c r="Y1787" s="13" t="n">
        <f aca="false">IF(K1787="Website",1,0)</f>
        <v>1</v>
      </c>
      <c r="Z1787" s="13" t="n">
        <f aca="false">IF(K1787="Agency",1,0)</f>
        <v>0</v>
      </c>
      <c r="AA1787" s="13" t="n">
        <f aca="false">IF(K1787="Client",1,0)</f>
        <v>0</v>
      </c>
      <c r="AB1787" s="13" t="n">
        <f aca="false">(D1787-AVERAGE(D$2:D$2001))/STDEV(D$2:D$2001)</f>
        <v>-1.0458239551886</v>
      </c>
      <c r="AC1787" s="13" t="n">
        <f aca="false">(I1787-AVERAGE(I$2:I$2001))/STDEV(I$2:I$2001)</f>
        <v>-1.43538077576244</v>
      </c>
      <c r="AD1787" s="13" t="n">
        <f aca="false">(L1787-AVERAGE(L$2:L$2001))/STDEV(L$2:L$2001)</f>
        <v>0.413838214490712</v>
      </c>
      <c r="AE1787" s="13" t="n">
        <f aca="false">(M1787-AVERAGE(M$2:M$2001))/STDEV(M$2:M$2001)</f>
        <v>0.627049744703179</v>
      </c>
      <c r="AF1787" s="13" t="n">
        <f aca="false">(N1787-AVERAGE(N$2:N$2001))/STDEV(N$2:N$2001)</f>
        <v>0.323151289577313</v>
      </c>
      <c r="AG1787" s="13" t="n">
        <f aca="false">(O1787-AVERAGE(O$2:O$2001))/STDEV(O$2:O$2001)</f>
        <v>0.26366246781302</v>
      </c>
      <c r="AH1787" s="0" t="str">
        <f aca="false">IF(B1787="Company","C3 - Corporate Buyers",IF(AND(H1787="Investment",M1787&gt;'Segmentation Summary'!$C$1),"C1 - Global Investors",IF(AND(I1787&gt;=4,M1787&gt;'Segmentation Summary'!$C$1),"C4 - Luxury Investors",IF(AND(D1787&lt;'Segmentation Summary'!$C$2,J1787=1),"C2 - First-Time Buyers","C5 - Other Individual Buyers"))))</f>
        <v>C2 - First-Time Buyers</v>
      </c>
    </row>
    <row r="1788" customFormat="false" ht="15" hidden="false" customHeight="true" outlineLevel="0" collapsed="false">
      <c r="A1788" s="13" t="s">
        <v>3560</v>
      </c>
      <c r="B1788" s="13" t="s">
        <v>34</v>
      </c>
      <c r="C1788" s="13" t="s">
        <v>3561</v>
      </c>
      <c r="D1788" s="13" t="n">
        <v>56</v>
      </c>
      <c r="E1788" s="13" t="s">
        <v>83</v>
      </c>
      <c r="F1788" s="13" t="s">
        <v>33</v>
      </c>
      <c r="G1788" s="13" t="s">
        <v>95</v>
      </c>
      <c r="H1788" s="13" t="s">
        <v>43</v>
      </c>
      <c r="I1788" s="13" t="n">
        <v>3</v>
      </c>
      <c r="J1788" s="13" t="n">
        <v>1</v>
      </c>
      <c r="K1788" s="13" t="s">
        <v>91</v>
      </c>
      <c r="L1788" s="13" t="n">
        <v>3</v>
      </c>
      <c r="M1788" s="13" t="n">
        <v>1041797.56</v>
      </c>
      <c r="N1788" s="13" t="n">
        <v>347265.853333333</v>
      </c>
      <c r="O1788" s="13" t="n">
        <v>1127.15</v>
      </c>
      <c r="P1788" s="13" t="n">
        <v>0</v>
      </c>
      <c r="Q1788" s="13" t="n">
        <v>3</v>
      </c>
      <c r="R1788" s="13" t="s">
        <v>98</v>
      </c>
      <c r="S1788" s="13" t="s">
        <v>215</v>
      </c>
      <c r="T1788" s="13" t="n">
        <v>1</v>
      </c>
      <c r="U1788" s="13" t="n">
        <f aca="false">IF(B1788="Individual",1,0)</f>
        <v>1</v>
      </c>
      <c r="V1788" s="13" t="n">
        <f aca="false">IF(B1788="Company",1,0)</f>
        <v>0</v>
      </c>
      <c r="W1788" s="13" t="n">
        <f aca="false">IF(H1788="Home",1,0)</f>
        <v>0</v>
      </c>
      <c r="X1788" s="13" t="n">
        <f aca="false">IF(H1788="Investment",1,0)</f>
        <v>1</v>
      </c>
      <c r="Y1788" s="13" t="n">
        <f aca="false">IF(K1788="Website",1,0)</f>
        <v>0</v>
      </c>
      <c r="Z1788" s="13" t="n">
        <f aca="false">IF(K1788="Agency",1,0)</f>
        <v>1</v>
      </c>
      <c r="AA1788" s="13" t="n">
        <f aca="false">IF(K1788="Client",1,0)</f>
        <v>0</v>
      </c>
      <c r="AB1788" s="13" t="n">
        <f aca="false">(D1788-AVERAGE(D$2:D$2001))/STDEV(D$2:D$2001)</f>
        <v>0.107425154574426</v>
      </c>
      <c r="AC1788" s="13" t="n">
        <f aca="false">(I1788-AVERAGE(I$2:I$2001))/STDEV(I$2:I$2001)</f>
        <v>-0.0205155458339628</v>
      </c>
      <c r="AD1788" s="13" t="n">
        <f aca="false">(L1788-AVERAGE(L$2:L$2001))/STDEV(L$2:L$2001)</f>
        <v>-0.777063122173208</v>
      </c>
      <c r="AE1788" s="13" t="n">
        <f aca="false">(M1788-AVERAGE(M$2:M$2001))/STDEV(M$2:M$2001)</f>
        <v>-0.628403250554176</v>
      </c>
      <c r="AF1788" s="13" t="n">
        <f aca="false">(N1788-AVERAGE(N$2:N$2001))/STDEV(N$2:N$2001)</f>
        <v>0.00252284664437487</v>
      </c>
      <c r="AG1788" s="13" t="n">
        <f aca="false">(O1788-AVERAGE(O$2:O$2001))/STDEV(O$2:O$2001)</f>
        <v>-0.0924401093827231</v>
      </c>
      <c r="AH1788" s="0" t="str">
        <f aca="false">IF(B1788="Company","C3 - Corporate Buyers",IF(AND(H1788="Investment",M1788&gt;'Segmentation Summary'!$C$1),"C1 - Global Investors",IF(AND(I1788&gt;=4,M1788&gt;'Segmentation Summary'!$C$1),"C4 - Luxury Investors",IF(AND(D1788&lt;'Segmentation Summary'!$C$2,J1788=1),"C2 - First-Time Buyers","C5 - Other Individual Buyers"))))</f>
        <v>C5 - Other Individual Buyers</v>
      </c>
    </row>
    <row r="1789" customFormat="false" ht="15" hidden="false" customHeight="true" outlineLevel="0" collapsed="false">
      <c r="A1789" s="13" t="s">
        <v>3562</v>
      </c>
      <c r="B1789" s="13" t="s">
        <v>34</v>
      </c>
      <c r="C1789" s="13" t="s">
        <v>3563</v>
      </c>
      <c r="D1789" s="13" t="n">
        <v>37</v>
      </c>
      <c r="E1789" s="13" t="s">
        <v>83</v>
      </c>
      <c r="F1789" s="13" t="s">
        <v>47</v>
      </c>
      <c r="G1789" s="13" t="s">
        <v>982</v>
      </c>
      <c r="H1789" s="13" t="s">
        <v>41</v>
      </c>
      <c r="I1789" s="13" t="n">
        <v>2</v>
      </c>
      <c r="J1789" s="13" t="n">
        <v>0</v>
      </c>
      <c r="K1789" s="13" t="s">
        <v>85</v>
      </c>
      <c r="L1789" s="13" t="n">
        <v>4</v>
      </c>
      <c r="M1789" s="13" t="n">
        <v>1303261.99</v>
      </c>
      <c r="N1789" s="13" t="n">
        <v>325815.4975</v>
      </c>
      <c r="O1789" s="13" t="n">
        <v>1153.0825</v>
      </c>
      <c r="P1789" s="13" t="n">
        <v>0</v>
      </c>
      <c r="Q1789" s="13" t="n">
        <v>4</v>
      </c>
      <c r="R1789" s="13" t="s">
        <v>92</v>
      </c>
      <c r="S1789" s="13" t="s">
        <v>133</v>
      </c>
      <c r="T1789" s="13" t="n">
        <v>1</v>
      </c>
      <c r="U1789" s="13" t="n">
        <f aca="false">IF(B1789="Individual",1,0)</f>
        <v>1</v>
      </c>
      <c r="V1789" s="13" t="n">
        <f aca="false">IF(B1789="Company",1,0)</f>
        <v>0</v>
      </c>
      <c r="W1789" s="13" t="n">
        <f aca="false">IF(H1789="Home",1,0)</f>
        <v>1</v>
      </c>
      <c r="X1789" s="13" t="n">
        <f aca="false">IF(H1789="Investment",1,0)</f>
        <v>0</v>
      </c>
      <c r="Y1789" s="13" t="n">
        <f aca="false">IF(K1789="Website",1,0)</f>
        <v>1</v>
      </c>
      <c r="Z1789" s="13" t="n">
        <f aca="false">IF(K1789="Agency",1,0)</f>
        <v>0</v>
      </c>
      <c r="AA1789" s="13" t="n">
        <f aca="false">IF(K1789="Client",1,0)</f>
        <v>0</v>
      </c>
      <c r="AB1789" s="13" t="n">
        <f aca="false">(D1789-AVERAGE(D$2:D$2001))/STDEV(D$2:D$2001)</f>
        <v>-0.988161499700447</v>
      </c>
      <c r="AC1789" s="13" t="n">
        <f aca="false">(I1789-AVERAGE(I$2:I$2001))/STDEV(I$2:I$2001)</f>
        <v>-0.727948160798201</v>
      </c>
      <c r="AD1789" s="13" t="n">
        <f aca="false">(L1789-AVERAGE(L$2:L$2001))/STDEV(L$2:L$2001)</f>
        <v>0.413838214490712</v>
      </c>
      <c r="AE1789" s="13" t="n">
        <f aca="false">(M1789-AVERAGE(M$2:M$2001))/STDEV(M$2:M$2001)</f>
        <v>0.123297092282743</v>
      </c>
      <c r="AF1789" s="13" t="n">
        <f aca="false">(N1789-AVERAGE(N$2:N$2001))/STDEV(N$2:N$2001)</f>
        <v>-0.305133426173058</v>
      </c>
      <c r="AG1789" s="13" t="n">
        <f aca="false">(O1789-AVERAGE(O$2:O$2001))/STDEV(O$2:O$2001)</f>
        <v>0.0254763827724015</v>
      </c>
      <c r="AH1789" s="0" t="str">
        <f aca="false">IF(B1789="Company","C3 - Corporate Buyers",IF(AND(H1789="Investment",M1789&gt;'Segmentation Summary'!$C$1),"C1 - Global Investors",IF(AND(I1789&gt;=4,M1789&gt;'Segmentation Summary'!$C$1),"C4 - Luxury Investors",IF(AND(D1789&lt;'Segmentation Summary'!$C$2,J1789=1),"C2 - First-Time Buyers","C5 - Other Individual Buyers"))))</f>
        <v>C5 - Other Individual Buyers</v>
      </c>
    </row>
    <row r="1790" customFormat="false" ht="15" hidden="false" customHeight="true" outlineLevel="0" collapsed="false">
      <c r="A1790" s="13" t="s">
        <v>3564</v>
      </c>
      <c r="B1790" s="13" t="s">
        <v>34</v>
      </c>
      <c r="C1790" s="13" t="s">
        <v>3565</v>
      </c>
      <c r="D1790" s="13" t="n">
        <v>33</v>
      </c>
      <c r="E1790" s="13" t="s">
        <v>83</v>
      </c>
      <c r="F1790" s="13" t="s">
        <v>33</v>
      </c>
      <c r="G1790" s="13" t="s">
        <v>95</v>
      </c>
      <c r="H1790" s="13" t="s">
        <v>41</v>
      </c>
      <c r="I1790" s="13" t="n">
        <v>1</v>
      </c>
      <c r="J1790" s="13" t="n">
        <v>0</v>
      </c>
      <c r="K1790" s="13" t="s">
        <v>85</v>
      </c>
      <c r="L1790" s="13" t="n">
        <v>3</v>
      </c>
      <c r="M1790" s="13" t="n">
        <v>1007630</v>
      </c>
      <c r="N1790" s="13" t="n">
        <v>335876.666666667</v>
      </c>
      <c r="O1790" s="13" t="n">
        <v>1170.35333333333</v>
      </c>
      <c r="P1790" s="13" t="n">
        <v>1</v>
      </c>
      <c r="Q1790" s="13" t="n">
        <v>2</v>
      </c>
      <c r="R1790" s="13" t="s">
        <v>101</v>
      </c>
      <c r="S1790" s="13" t="s">
        <v>154</v>
      </c>
      <c r="T1790" s="13" t="n">
        <v>1</v>
      </c>
      <c r="U1790" s="13" t="n">
        <f aca="false">IF(B1790="Individual",1,0)</f>
        <v>1</v>
      </c>
      <c r="V1790" s="13" t="n">
        <f aca="false">IF(B1790="Company",1,0)</f>
        <v>0</v>
      </c>
      <c r="W1790" s="13" t="n">
        <f aca="false">IF(H1790="Home",1,0)</f>
        <v>1</v>
      </c>
      <c r="X1790" s="13" t="n">
        <f aca="false">IF(H1790="Investment",1,0)</f>
        <v>0</v>
      </c>
      <c r="Y1790" s="13" t="n">
        <f aca="false">IF(K1790="Website",1,0)</f>
        <v>1</v>
      </c>
      <c r="Z1790" s="13" t="n">
        <f aca="false">IF(K1790="Agency",1,0)</f>
        <v>0</v>
      </c>
      <c r="AA1790" s="13" t="n">
        <f aca="false">IF(K1790="Client",1,0)</f>
        <v>0</v>
      </c>
      <c r="AB1790" s="13" t="n">
        <f aca="false">(D1790-AVERAGE(D$2:D$2001))/STDEV(D$2:D$2001)</f>
        <v>-1.21881132165305</v>
      </c>
      <c r="AC1790" s="13" t="n">
        <f aca="false">(I1790-AVERAGE(I$2:I$2001))/STDEV(I$2:I$2001)</f>
        <v>-1.43538077576244</v>
      </c>
      <c r="AD1790" s="13" t="n">
        <f aca="false">(L1790-AVERAGE(L$2:L$2001))/STDEV(L$2:L$2001)</f>
        <v>-0.777063122173208</v>
      </c>
      <c r="AE1790" s="13" t="n">
        <f aca="false">(M1790-AVERAGE(M$2:M$2001))/STDEV(M$2:M$2001)</f>
        <v>-0.726633692706101</v>
      </c>
      <c r="AF1790" s="13" t="n">
        <f aca="false">(N1790-AVERAGE(N$2:N$2001))/STDEV(N$2:N$2001)</f>
        <v>-0.160828975932081</v>
      </c>
      <c r="AG1790" s="13" t="n">
        <f aca="false">(O1790-AVERAGE(O$2:O$2001))/STDEV(O$2:O$2001)</f>
        <v>0.10400780408782</v>
      </c>
      <c r="AH1790" s="0" t="str">
        <f aca="false">IF(B1790="Company","C3 - Corporate Buyers",IF(AND(H1790="Investment",M1790&gt;'Segmentation Summary'!$C$1),"C1 - Global Investors",IF(AND(I1790&gt;=4,M1790&gt;'Segmentation Summary'!$C$1),"C4 - Luxury Investors",IF(AND(D1790&lt;'Segmentation Summary'!$C$2,J1790=1),"C2 - First-Time Buyers","C5 - Other Individual Buyers"))))</f>
        <v>C5 - Other Individual Buyers</v>
      </c>
    </row>
    <row r="1791" customFormat="false" ht="15" hidden="false" customHeight="true" outlineLevel="0" collapsed="false">
      <c r="A1791" s="13" t="s">
        <v>3566</v>
      </c>
      <c r="B1791" s="13" t="s">
        <v>34</v>
      </c>
      <c r="C1791" s="13" t="s">
        <v>3567</v>
      </c>
      <c r="D1791" s="13" t="n">
        <v>83</v>
      </c>
      <c r="E1791" s="13" t="s">
        <v>83</v>
      </c>
      <c r="F1791" s="13" t="s">
        <v>42</v>
      </c>
      <c r="G1791" s="13" t="s">
        <v>288</v>
      </c>
      <c r="H1791" s="13" t="s">
        <v>41</v>
      </c>
      <c r="I1791" s="13" t="n">
        <v>3</v>
      </c>
      <c r="J1791" s="13" t="n">
        <v>0</v>
      </c>
      <c r="K1791" s="13" t="s">
        <v>91</v>
      </c>
      <c r="L1791" s="13" t="n">
        <v>3</v>
      </c>
      <c r="M1791" s="13" t="n">
        <v>971136.69</v>
      </c>
      <c r="N1791" s="13" t="n">
        <v>323712.23</v>
      </c>
      <c r="O1791" s="13" t="n">
        <v>1155.46333333333</v>
      </c>
      <c r="P1791" s="13" t="n">
        <v>0</v>
      </c>
      <c r="Q1791" s="13" t="n">
        <v>3</v>
      </c>
      <c r="R1791" s="13" t="s">
        <v>121</v>
      </c>
      <c r="S1791" s="13" t="s">
        <v>87</v>
      </c>
      <c r="T1791" s="13" t="n">
        <v>1</v>
      </c>
      <c r="U1791" s="13" t="n">
        <f aca="false">IF(B1791="Individual",1,0)</f>
        <v>1</v>
      </c>
      <c r="V1791" s="13" t="n">
        <f aca="false">IF(B1791="Company",1,0)</f>
        <v>0</v>
      </c>
      <c r="W1791" s="13" t="n">
        <f aca="false">IF(H1791="Home",1,0)</f>
        <v>1</v>
      </c>
      <c r="X1791" s="13" t="n">
        <f aca="false">IF(H1791="Investment",1,0)</f>
        <v>0</v>
      </c>
      <c r="Y1791" s="13" t="n">
        <f aca="false">IF(K1791="Website",1,0)</f>
        <v>0</v>
      </c>
      <c r="Z1791" s="13" t="n">
        <f aca="false">IF(K1791="Agency",1,0)</f>
        <v>1</v>
      </c>
      <c r="AA1791" s="13" t="n">
        <f aca="false">IF(K1791="Client",1,0)</f>
        <v>0</v>
      </c>
      <c r="AB1791" s="13" t="n">
        <f aca="false">(D1791-AVERAGE(D$2:D$2001))/STDEV(D$2:D$2001)</f>
        <v>1.66431145275451</v>
      </c>
      <c r="AC1791" s="13" t="n">
        <f aca="false">(I1791-AVERAGE(I$2:I$2001))/STDEV(I$2:I$2001)</f>
        <v>-0.0205155458339628</v>
      </c>
      <c r="AD1791" s="13" t="n">
        <f aca="false">(L1791-AVERAGE(L$2:L$2001))/STDEV(L$2:L$2001)</f>
        <v>-0.777063122173208</v>
      </c>
      <c r="AE1791" s="13" t="n">
        <f aca="false">(M1791-AVERAGE(M$2:M$2001))/STDEV(M$2:M$2001)</f>
        <v>-0.831550578105212</v>
      </c>
      <c r="AF1791" s="13" t="n">
        <f aca="false">(N1791-AVERAGE(N$2:N$2001))/STDEV(N$2:N$2001)</f>
        <v>-0.335299985870986</v>
      </c>
      <c r="AG1791" s="13" t="n">
        <f aca="false">(O1791-AVERAGE(O$2:O$2001))/STDEV(O$2:O$2001)</f>
        <v>0.0363021618169311</v>
      </c>
      <c r="AH1791" s="0" t="str">
        <f aca="false">IF(B1791="Company","C3 - Corporate Buyers",IF(AND(H1791="Investment",M1791&gt;'Segmentation Summary'!$C$1),"C1 - Global Investors",IF(AND(I1791&gt;=4,M1791&gt;'Segmentation Summary'!$C$1),"C4 - Luxury Investors",IF(AND(D1791&lt;'Segmentation Summary'!$C$2,J1791=1),"C2 - First-Time Buyers","C5 - Other Individual Buyers"))))</f>
        <v>C5 - Other Individual Buyers</v>
      </c>
    </row>
    <row r="1792" customFormat="false" ht="15" hidden="false" customHeight="true" outlineLevel="0" collapsed="false">
      <c r="A1792" s="13" t="s">
        <v>3568</v>
      </c>
      <c r="B1792" s="13" t="s">
        <v>34</v>
      </c>
      <c r="C1792" s="13" t="s">
        <v>3569</v>
      </c>
      <c r="D1792" s="13" t="n">
        <v>57</v>
      </c>
      <c r="E1792" s="13" t="s">
        <v>83</v>
      </c>
      <c r="F1792" s="13" t="s">
        <v>44</v>
      </c>
      <c r="G1792" s="13" t="s">
        <v>209</v>
      </c>
      <c r="H1792" s="13" t="s">
        <v>43</v>
      </c>
      <c r="I1792" s="13" t="n">
        <v>3</v>
      </c>
      <c r="J1792" s="13" t="n">
        <v>0</v>
      </c>
      <c r="K1792" s="13" t="s">
        <v>85</v>
      </c>
      <c r="L1792" s="13" t="n">
        <v>4</v>
      </c>
      <c r="M1792" s="13" t="n">
        <v>1112541.88</v>
      </c>
      <c r="N1792" s="13" t="n">
        <v>278135.47</v>
      </c>
      <c r="O1792" s="13" t="n">
        <v>939.4875</v>
      </c>
      <c r="P1792" s="13" t="n">
        <v>0</v>
      </c>
      <c r="Q1792" s="13" t="n">
        <v>4</v>
      </c>
      <c r="R1792" s="13" t="s">
        <v>117</v>
      </c>
      <c r="S1792" s="13" t="s">
        <v>125</v>
      </c>
      <c r="T1792" s="13" t="n">
        <v>1</v>
      </c>
      <c r="U1792" s="13" t="n">
        <f aca="false">IF(B1792="Individual",1,0)</f>
        <v>1</v>
      </c>
      <c r="V1792" s="13" t="n">
        <f aca="false">IF(B1792="Company",1,0)</f>
        <v>0</v>
      </c>
      <c r="W1792" s="13" t="n">
        <f aca="false">IF(H1792="Home",1,0)</f>
        <v>0</v>
      </c>
      <c r="X1792" s="13" t="n">
        <f aca="false">IF(H1792="Investment",1,0)</f>
        <v>1</v>
      </c>
      <c r="Y1792" s="13" t="n">
        <f aca="false">IF(K1792="Website",1,0)</f>
        <v>1</v>
      </c>
      <c r="Z1792" s="13" t="n">
        <f aca="false">IF(K1792="Agency",1,0)</f>
        <v>0</v>
      </c>
      <c r="AA1792" s="13" t="n">
        <f aca="false">IF(K1792="Client",1,0)</f>
        <v>0</v>
      </c>
      <c r="AB1792" s="13" t="n">
        <f aca="false">(D1792-AVERAGE(D$2:D$2001))/STDEV(D$2:D$2001)</f>
        <v>0.165087610062577</v>
      </c>
      <c r="AC1792" s="13" t="n">
        <f aca="false">(I1792-AVERAGE(I$2:I$2001))/STDEV(I$2:I$2001)</f>
        <v>-0.0205155458339628</v>
      </c>
      <c r="AD1792" s="13" t="n">
        <f aca="false">(L1792-AVERAGE(L$2:L$2001))/STDEV(L$2:L$2001)</f>
        <v>0.413838214490712</v>
      </c>
      <c r="AE1792" s="13" t="n">
        <f aca="false">(M1792-AVERAGE(M$2:M$2001))/STDEV(M$2:M$2001)</f>
        <v>-0.42501600741076</v>
      </c>
      <c r="AF1792" s="13" t="n">
        <f aca="false">(N1792-AVERAGE(N$2:N$2001))/STDEV(N$2:N$2001)</f>
        <v>-0.988994321650025</v>
      </c>
      <c r="AG1792" s="13" t="n">
        <f aca="false">(O1792-AVERAGE(O$2:O$2001))/STDEV(O$2:O$2001)</f>
        <v>-0.945751734141662</v>
      </c>
      <c r="AH1792" s="0" t="str">
        <f aca="false">IF(B1792="Company","C3 - Corporate Buyers",IF(AND(H1792="Investment",M1792&gt;'Segmentation Summary'!$C$1),"C1 - Global Investors",IF(AND(I1792&gt;=4,M1792&gt;'Segmentation Summary'!$C$1),"C4 - Luxury Investors",IF(AND(D1792&lt;'Segmentation Summary'!$C$2,J1792=1),"C2 - First-Time Buyers","C5 - Other Individual Buyers"))))</f>
        <v>C5 - Other Individual Buyers</v>
      </c>
    </row>
    <row r="1793" customFormat="false" ht="15" hidden="false" customHeight="true" outlineLevel="0" collapsed="false">
      <c r="A1793" s="13" t="s">
        <v>3570</v>
      </c>
      <c r="B1793" s="13" t="s">
        <v>34</v>
      </c>
      <c r="C1793" s="13" t="s">
        <v>3571</v>
      </c>
      <c r="D1793" s="13" t="n">
        <v>77</v>
      </c>
      <c r="E1793" s="13" t="s">
        <v>83</v>
      </c>
      <c r="F1793" s="13" t="s">
        <v>33</v>
      </c>
      <c r="G1793" s="13" t="s">
        <v>95</v>
      </c>
      <c r="H1793" s="13" t="s">
        <v>41</v>
      </c>
      <c r="I1793" s="13" t="n">
        <v>2</v>
      </c>
      <c r="J1793" s="13" t="n">
        <v>1</v>
      </c>
      <c r="K1793" s="13" t="s">
        <v>85</v>
      </c>
      <c r="L1793" s="13" t="n">
        <v>7</v>
      </c>
      <c r="M1793" s="13" t="n">
        <v>2102233.85</v>
      </c>
      <c r="N1793" s="13" t="n">
        <v>300319.121428572</v>
      </c>
      <c r="O1793" s="13" t="n">
        <v>1029.27142857143</v>
      </c>
      <c r="P1793" s="13" t="n">
        <v>2</v>
      </c>
      <c r="Q1793" s="13" t="n">
        <v>5</v>
      </c>
      <c r="R1793" s="13" t="s">
        <v>92</v>
      </c>
      <c r="S1793" s="13" t="s">
        <v>87</v>
      </c>
      <c r="T1793" s="13" t="n">
        <v>1</v>
      </c>
      <c r="U1793" s="13" t="n">
        <f aca="false">IF(B1793="Individual",1,0)</f>
        <v>1</v>
      </c>
      <c r="V1793" s="13" t="n">
        <f aca="false">IF(B1793="Company",1,0)</f>
        <v>0</v>
      </c>
      <c r="W1793" s="13" t="n">
        <f aca="false">IF(H1793="Home",1,0)</f>
        <v>1</v>
      </c>
      <c r="X1793" s="13" t="n">
        <f aca="false">IF(H1793="Investment",1,0)</f>
        <v>0</v>
      </c>
      <c r="Y1793" s="13" t="n">
        <f aca="false">IF(K1793="Website",1,0)</f>
        <v>1</v>
      </c>
      <c r="Z1793" s="13" t="n">
        <f aca="false">IF(K1793="Agency",1,0)</f>
        <v>0</v>
      </c>
      <c r="AA1793" s="13" t="n">
        <f aca="false">IF(K1793="Client",1,0)</f>
        <v>0</v>
      </c>
      <c r="AB1793" s="13" t="n">
        <f aca="false">(D1793-AVERAGE(D$2:D$2001))/STDEV(D$2:D$2001)</f>
        <v>1.3183367198256</v>
      </c>
      <c r="AC1793" s="13" t="n">
        <f aca="false">(I1793-AVERAGE(I$2:I$2001))/STDEV(I$2:I$2001)</f>
        <v>-0.727948160798201</v>
      </c>
      <c r="AD1793" s="13" t="n">
        <f aca="false">(L1793-AVERAGE(L$2:L$2001))/STDEV(L$2:L$2001)</f>
        <v>3.98654222448247</v>
      </c>
      <c r="AE1793" s="13" t="n">
        <f aca="false">(M1793-AVERAGE(M$2:M$2001))/STDEV(M$2:M$2001)</f>
        <v>2.42031095791277</v>
      </c>
      <c r="AF1793" s="13" t="n">
        <f aca="false">(N1793-AVERAGE(N$2:N$2001))/STDEV(N$2:N$2001)</f>
        <v>-0.670820601408522</v>
      </c>
      <c r="AG1793" s="13" t="n">
        <f aca="false">(O1793-AVERAGE(O$2:O$2001))/STDEV(O$2:O$2001)</f>
        <v>-0.537499313085098</v>
      </c>
      <c r="AH1793" s="0" t="str">
        <f aca="false">IF(B1793="Company","C3 - Corporate Buyers",IF(AND(H1793="Investment",M1793&gt;'Segmentation Summary'!$C$1),"C1 - Global Investors",IF(AND(I1793&gt;=4,M1793&gt;'Segmentation Summary'!$C$1),"C4 - Luxury Investors",IF(AND(D1793&lt;'Segmentation Summary'!$C$2,J1793=1),"C2 - First-Time Buyers","C5 - Other Individual Buyers"))))</f>
        <v>C5 - Other Individual Buyers</v>
      </c>
    </row>
    <row r="1794" customFormat="false" ht="15" hidden="false" customHeight="true" outlineLevel="0" collapsed="false">
      <c r="A1794" s="13" t="s">
        <v>3572</v>
      </c>
      <c r="B1794" s="13" t="s">
        <v>34</v>
      </c>
      <c r="C1794" s="13" t="s">
        <v>3573</v>
      </c>
      <c r="D1794" s="13" t="n">
        <v>50</v>
      </c>
      <c r="E1794" s="13" t="s">
        <v>83</v>
      </c>
      <c r="F1794" s="13" t="s">
        <v>33</v>
      </c>
      <c r="G1794" s="13" t="s">
        <v>84</v>
      </c>
      <c r="H1794" s="13" t="s">
        <v>43</v>
      </c>
      <c r="I1794" s="13" t="n">
        <v>4</v>
      </c>
      <c r="J1794" s="13" t="n">
        <v>0</v>
      </c>
      <c r="K1794" s="13" t="s">
        <v>91</v>
      </c>
      <c r="L1794" s="13" t="n">
        <v>3</v>
      </c>
      <c r="M1794" s="13" t="n">
        <v>1354584.5</v>
      </c>
      <c r="N1794" s="13" t="n">
        <v>451528.166666667</v>
      </c>
      <c r="O1794" s="13" t="n">
        <v>1439.25666666667</v>
      </c>
      <c r="P1794" s="13" t="n">
        <v>0</v>
      </c>
      <c r="Q1794" s="13" t="n">
        <v>3</v>
      </c>
      <c r="R1794" s="13" t="s">
        <v>98</v>
      </c>
      <c r="S1794" s="13" t="s">
        <v>87</v>
      </c>
      <c r="T1794" s="13" t="n">
        <v>1</v>
      </c>
      <c r="U1794" s="13" t="n">
        <f aca="false">IF(B1794="Individual",1,0)</f>
        <v>1</v>
      </c>
      <c r="V1794" s="13" t="n">
        <f aca="false">IF(B1794="Company",1,0)</f>
        <v>0</v>
      </c>
      <c r="W1794" s="13" t="n">
        <f aca="false">IF(H1794="Home",1,0)</f>
        <v>0</v>
      </c>
      <c r="X1794" s="13" t="n">
        <f aca="false">IF(H1794="Investment",1,0)</f>
        <v>1</v>
      </c>
      <c r="Y1794" s="13" t="n">
        <f aca="false">IF(K1794="Website",1,0)</f>
        <v>0</v>
      </c>
      <c r="Z1794" s="13" t="n">
        <f aca="false">IF(K1794="Agency",1,0)</f>
        <v>1</v>
      </c>
      <c r="AA1794" s="13" t="n">
        <f aca="false">IF(K1794="Client",1,0)</f>
        <v>0</v>
      </c>
      <c r="AB1794" s="13" t="n">
        <f aca="false">(D1794-AVERAGE(D$2:D$2001))/STDEV(D$2:D$2001)</f>
        <v>-0.238549578354482</v>
      </c>
      <c r="AC1794" s="13" t="n">
        <f aca="false">(I1794-AVERAGE(I$2:I$2001))/STDEV(I$2:I$2001)</f>
        <v>0.686917069130275</v>
      </c>
      <c r="AD1794" s="13" t="n">
        <f aca="false">(L1794-AVERAGE(L$2:L$2001))/STDEV(L$2:L$2001)</f>
        <v>-0.777063122173208</v>
      </c>
      <c r="AE1794" s="13" t="n">
        <f aca="false">(M1794-AVERAGE(M$2:M$2001))/STDEV(M$2:M$2001)</f>
        <v>0.270847366567666</v>
      </c>
      <c r="AF1794" s="13" t="n">
        <f aca="false">(N1794-AVERAGE(N$2:N$2001))/STDEV(N$2:N$2001)</f>
        <v>1.49792716369587</v>
      </c>
      <c r="AG1794" s="13" t="n">
        <f aca="false">(O1794-AVERAGE(O$2:O$2001))/STDEV(O$2:O$2001)</f>
        <v>1.32672592981761</v>
      </c>
      <c r="AH1794" s="0" t="str">
        <f aca="false">IF(B1794="Company","C3 - Corporate Buyers",IF(AND(H1794="Investment",M1794&gt;'Segmentation Summary'!$C$1),"C1 - Global Investors",IF(AND(I1794&gt;=4,M1794&gt;'Segmentation Summary'!$C$1),"C4 - Luxury Investors",IF(AND(D1794&lt;'Segmentation Summary'!$C$2,J1794=1),"C2 - First-Time Buyers","C5 - Other Individual Buyers"))))</f>
        <v>C1 - Global Investors</v>
      </c>
    </row>
    <row r="1795" customFormat="false" ht="15" hidden="false" customHeight="true" outlineLevel="0" collapsed="false">
      <c r="A1795" s="13" t="s">
        <v>3574</v>
      </c>
      <c r="B1795" s="13" t="s">
        <v>34</v>
      </c>
      <c r="C1795" s="13" t="s">
        <v>3575</v>
      </c>
      <c r="D1795" s="13" t="n">
        <v>42</v>
      </c>
      <c r="E1795" s="13" t="s">
        <v>83</v>
      </c>
      <c r="F1795" s="13" t="s">
        <v>33</v>
      </c>
      <c r="G1795" s="13" t="s">
        <v>95</v>
      </c>
      <c r="H1795" s="13" t="s">
        <v>41</v>
      </c>
      <c r="I1795" s="13" t="n">
        <v>1</v>
      </c>
      <c r="J1795" s="13" t="n">
        <v>0</v>
      </c>
      <c r="K1795" s="13" t="s">
        <v>91</v>
      </c>
      <c r="L1795" s="13" t="n">
        <v>3</v>
      </c>
      <c r="M1795" s="13" t="n">
        <v>773499.85</v>
      </c>
      <c r="N1795" s="13" t="n">
        <v>257833.283333333</v>
      </c>
      <c r="O1795" s="13" t="n">
        <v>842.68</v>
      </c>
      <c r="P1795" s="13" t="n">
        <v>0</v>
      </c>
      <c r="Q1795" s="13" t="n">
        <v>3</v>
      </c>
      <c r="R1795" s="13" t="s">
        <v>121</v>
      </c>
      <c r="S1795" s="13" t="s">
        <v>133</v>
      </c>
      <c r="T1795" s="13" t="n">
        <v>1</v>
      </c>
      <c r="U1795" s="13" t="n">
        <f aca="false">IF(B1795="Individual",1,0)</f>
        <v>1</v>
      </c>
      <c r="V1795" s="13" t="n">
        <f aca="false">IF(B1795="Company",1,0)</f>
        <v>0</v>
      </c>
      <c r="W1795" s="13" t="n">
        <f aca="false">IF(H1795="Home",1,0)</f>
        <v>1</v>
      </c>
      <c r="X1795" s="13" t="n">
        <f aca="false">IF(H1795="Investment",1,0)</f>
        <v>0</v>
      </c>
      <c r="Y1795" s="13" t="n">
        <f aca="false">IF(K1795="Website",1,0)</f>
        <v>0</v>
      </c>
      <c r="Z1795" s="13" t="n">
        <f aca="false">IF(K1795="Agency",1,0)</f>
        <v>1</v>
      </c>
      <c r="AA1795" s="13" t="n">
        <f aca="false">IF(K1795="Client",1,0)</f>
        <v>0</v>
      </c>
      <c r="AB1795" s="13" t="n">
        <f aca="false">(D1795-AVERAGE(D$2:D$2001))/STDEV(D$2:D$2001)</f>
        <v>-0.699849222259691</v>
      </c>
      <c r="AC1795" s="13" t="n">
        <f aca="false">(I1795-AVERAGE(I$2:I$2001))/STDEV(I$2:I$2001)</f>
        <v>-1.43538077576244</v>
      </c>
      <c r="AD1795" s="13" t="n">
        <f aca="false">(L1795-AVERAGE(L$2:L$2001))/STDEV(L$2:L$2001)</f>
        <v>-0.777063122173208</v>
      </c>
      <c r="AE1795" s="13" t="n">
        <f aca="false">(M1795-AVERAGE(M$2:M$2001))/STDEV(M$2:M$2001)</f>
        <v>-1.39974901483026</v>
      </c>
      <c r="AF1795" s="13" t="n">
        <f aca="false">(N1795-AVERAGE(N$2:N$2001))/STDEV(N$2:N$2001)</f>
        <v>-1.28018273495384</v>
      </c>
      <c r="AG1795" s="13" t="n">
        <f aca="false">(O1795-AVERAGE(O$2:O$2001))/STDEV(O$2:O$2001)</f>
        <v>-1.38594071762984</v>
      </c>
      <c r="AH1795" s="0" t="str">
        <f aca="false">IF(B1795="Company","C3 - Corporate Buyers",IF(AND(H1795="Investment",M1795&gt;'Segmentation Summary'!$C$1),"C1 - Global Investors",IF(AND(I1795&gt;=4,M1795&gt;'Segmentation Summary'!$C$1),"C4 - Luxury Investors",IF(AND(D1795&lt;'Segmentation Summary'!$C$2,J1795=1),"C2 - First-Time Buyers","C5 - Other Individual Buyers"))))</f>
        <v>C5 - Other Individual Buyers</v>
      </c>
    </row>
    <row r="1796" customFormat="false" ht="15" hidden="false" customHeight="true" outlineLevel="0" collapsed="false">
      <c r="A1796" s="13" t="s">
        <v>3576</v>
      </c>
      <c r="B1796" s="13" t="s">
        <v>34</v>
      </c>
      <c r="C1796" s="13" t="s">
        <v>3577</v>
      </c>
      <c r="D1796" s="13" t="n">
        <v>62</v>
      </c>
      <c r="E1796" s="13" t="s">
        <v>83</v>
      </c>
      <c r="F1796" s="13" t="s">
        <v>37</v>
      </c>
      <c r="G1796" s="13" t="s">
        <v>259</v>
      </c>
      <c r="H1796" s="13" t="s">
        <v>41</v>
      </c>
      <c r="I1796" s="13" t="n">
        <v>2</v>
      </c>
      <c r="J1796" s="13" t="n">
        <v>0</v>
      </c>
      <c r="K1796" s="13" t="s">
        <v>85</v>
      </c>
      <c r="L1796" s="13" t="n">
        <v>4</v>
      </c>
      <c r="M1796" s="13" t="n">
        <v>1078876.87</v>
      </c>
      <c r="N1796" s="13" t="n">
        <v>269719.2175</v>
      </c>
      <c r="O1796" s="13" t="n">
        <v>909.9825</v>
      </c>
      <c r="P1796" s="13" t="n">
        <v>0</v>
      </c>
      <c r="Q1796" s="13" t="n">
        <v>4</v>
      </c>
      <c r="R1796" s="13" t="s">
        <v>98</v>
      </c>
      <c r="S1796" s="13" t="s">
        <v>154</v>
      </c>
      <c r="T1796" s="13" t="n">
        <v>1</v>
      </c>
      <c r="U1796" s="13" t="n">
        <f aca="false">IF(B1796="Individual",1,0)</f>
        <v>1</v>
      </c>
      <c r="V1796" s="13" t="n">
        <f aca="false">IF(B1796="Company",1,0)</f>
        <v>0</v>
      </c>
      <c r="W1796" s="13" t="n">
        <f aca="false">IF(H1796="Home",1,0)</f>
        <v>1</v>
      </c>
      <c r="X1796" s="13" t="n">
        <f aca="false">IF(H1796="Investment",1,0)</f>
        <v>0</v>
      </c>
      <c r="Y1796" s="13" t="n">
        <f aca="false">IF(K1796="Website",1,0)</f>
        <v>1</v>
      </c>
      <c r="Z1796" s="13" t="n">
        <f aca="false">IF(K1796="Agency",1,0)</f>
        <v>0</v>
      </c>
      <c r="AA1796" s="13" t="n">
        <f aca="false">IF(K1796="Client",1,0)</f>
        <v>0</v>
      </c>
      <c r="AB1796" s="13" t="n">
        <f aca="false">(D1796-AVERAGE(D$2:D$2001))/STDEV(D$2:D$2001)</f>
        <v>0.453399887503333</v>
      </c>
      <c r="AC1796" s="13" t="n">
        <f aca="false">(I1796-AVERAGE(I$2:I$2001))/STDEV(I$2:I$2001)</f>
        <v>-0.727948160798201</v>
      </c>
      <c r="AD1796" s="13" t="n">
        <f aca="false">(L1796-AVERAGE(L$2:L$2001))/STDEV(L$2:L$2001)</f>
        <v>0.413838214490712</v>
      </c>
      <c r="AE1796" s="13" t="n">
        <f aca="false">(M1796-AVERAGE(M$2:M$2001))/STDEV(M$2:M$2001)</f>
        <v>-0.521801637328406</v>
      </c>
      <c r="AF1796" s="13" t="n">
        <f aca="false">(N1796-AVERAGE(N$2:N$2001))/STDEV(N$2:N$2001)</f>
        <v>-1.1097062061222</v>
      </c>
      <c r="AG1796" s="13" t="n">
        <f aca="false">(O1796-AVERAGE(O$2:O$2001))/STDEV(O$2:O$2001)</f>
        <v>-1.07991257868179</v>
      </c>
      <c r="AH1796" s="0" t="str">
        <f aca="false">IF(B1796="Company","C3 - Corporate Buyers",IF(AND(H1796="Investment",M1796&gt;'Segmentation Summary'!$C$1),"C1 - Global Investors",IF(AND(I1796&gt;=4,M1796&gt;'Segmentation Summary'!$C$1),"C4 - Luxury Investors",IF(AND(D1796&lt;'Segmentation Summary'!$C$2,J1796=1),"C2 - First-Time Buyers","C5 - Other Individual Buyers"))))</f>
        <v>C5 - Other Individual Buyers</v>
      </c>
    </row>
    <row r="1797" customFormat="false" ht="15" hidden="false" customHeight="true" outlineLevel="0" collapsed="false">
      <c r="A1797" s="13" t="s">
        <v>3578</v>
      </c>
      <c r="B1797" s="13" t="s">
        <v>34</v>
      </c>
      <c r="C1797" s="13" t="s">
        <v>3579</v>
      </c>
      <c r="D1797" s="13" t="n">
        <v>83</v>
      </c>
      <c r="E1797" s="13" t="s">
        <v>83</v>
      </c>
      <c r="F1797" s="13" t="s">
        <v>33</v>
      </c>
      <c r="G1797" s="13" t="s">
        <v>95</v>
      </c>
      <c r="H1797" s="13" t="s">
        <v>41</v>
      </c>
      <c r="I1797" s="13" t="n">
        <v>1</v>
      </c>
      <c r="J1797" s="13" t="n">
        <v>0</v>
      </c>
      <c r="K1797" s="13" t="s">
        <v>91</v>
      </c>
      <c r="L1797" s="13" t="n">
        <v>4</v>
      </c>
      <c r="M1797" s="13" t="n">
        <v>1877399.32</v>
      </c>
      <c r="N1797" s="13" t="n">
        <v>469349.83</v>
      </c>
      <c r="O1797" s="13" t="n">
        <v>1489.11</v>
      </c>
      <c r="P1797" s="13" t="n">
        <v>0</v>
      </c>
      <c r="Q1797" s="13" t="n">
        <v>4</v>
      </c>
      <c r="R1797" s="13" t="s">
        <v>101</v>
      </c>
      <c r="S1797" s="13" t="s">
        <v>128</v>
      </c>
      <c r="T1797" s="13" t="n">
        <v>1</v>
      </c>
      <c r="U1797" s="13" t="n">
        <f aca="false">IF(B1797="Individual",1,0)</f>
        <v>1</v>
      </c>
      <c r="V1797" s="13" t="n">
        <f aca="false">IF(B1797="Company",1,0)</f>
        <v>0</v>
      </c>
      <c r="W1797" s="13" t="n">
        <f aca="false">IF(H1797="Home",1,0)</f>
        <v>1</v>
      </c>
      <c r="X1797" s="13" t="n">
        <f aca="false">IF(H1797="Investment",1,0)</f>
        <v>0</v>
      </c>
      <c r="Y1797" s="13" t="n">
        <f aca="false">IF(K1797="Website",1,0)</f>
        <v>0</v>
      </c>
      <c r="Z1797" s="13" t="n">
        <f aca="false">IF(K1797="Agency",1,0)</f>
        <v>1</v>
      </c>
      <c r="AA1797" s="13" t="n">
        <f aca="false">IF(K1797="Client",1,0)</f>
        <v>0</v>
      </c>
      <c r="AB1797" s="13" t="n">
        <f aca="false">(D1797-AVERAGE(D$2:D$2001))/STDEV(D$2:D$2001)</f>
        <v>1.66431145275451</v>
      </c>
      <c r="AC1797" s="13" t="n">
        <f aca="false">(I1797-AVERAGE(I$2:I$2001))/STDEV(I$2:I$2001)</f>
        <v>-1.43538077576244</v>
      </c>
      <c r="AD1797" s="13" t="n">
        <f aca="false">(L1797-AVERAGE(L$2:L$2001))/STDEV(L$2:L$2001)</f>
        <v>0.413838214490712</v>
      </c>
      <c r="AE1797" s="13" t="n">
        <f aca="false">(M1797-AVERAGE(M$2:M$2001))/STDEV(M$2:M$2001)</f>
        <v>1.7739201915566</v>
      </c>
      <c r="AF1797" s="13" t="n">
        <f aca="false">(N1797-AVERAGE(N$2:N$2001))/STDEV(N$2:N$2001)</f>
        <v>1.75353814559017</v>
      </c>
      <c r="AG1797" s="13" t="n">
        <f aca="false">(O1797-AVERAGE(O$2:O$2001))/STDEV(O$2:O$2001)</f>
        <v>1.5534117560552</v>
      </c>
      <c r="AH1797" s="0" t="str">
        <f aca="false">IF(B1797="Company","C3 - Corporate Buyers",IF(AND(H1797="Investment",M1797&gt;'Segmentation Summary'!$C$1),"C1 - Global Investors",IF(AND(I1797&gt;=4,M1797&gt;'Segmentation Summary'!$C$1),"C4 - Luxury Investors",IF(AND(D1797&lt;'Segmentation Summary'!$C$2,J1797=1),"C2 - First-Time Buyers","C5 - Other Individual Buyers"))))</f>
        <v>C5 - Other Individual Buyers</v>
      </c>
    </row>
    <row r="1798" customFormat="false" ht="15" hidden="false" customHeight="true" outlineLevel="0" collapsed="false">
      <c r="A1798" s="13" t="s">
        <v>3580</v>
      </c>
      <c r="B1798" s="13" t="s">
        <v>34</v>
      </c>
      <c r="C1798" s="13" t="s">
        <v>3581</v>
      </c>
      <c r="D1798" s="13" t="n">
        <v>50</v>
      </c>
      <c r="E1798" s="13" t="s">
        <v>83</v>
      </c>
      <c r="F1798" s="13" t="s">
        <v>33</v>
      </c>
      <c r="G1798" s="13" t="s">
        <v>120</v>
      </c>
      <c r="H1798" s="13" t="s">
        <v>43</v>
      </c>
      <c r="I1798" s="13" t="n">
        <v>4</v>
      </c>
      <c r="J1798" s="13" t="n">
        <v>0</v>
      </c>
      <c r="K1798" s="13" t="s">
        <v>85</v>
      </c>
      <c r="L1798" s="13" t="n">
        <v>3</v>
      </c>
      <c r="M1798" s="13" t="n">
        <v>1092253.24</v>
      </c>
      <c r="N1798" s="13" t="n">
        <v>364084.413333333</v>
      </c>
      <c r="O1798" s="13" t="n">
        <v>1196.17333333333</v>
      </c>
      <c r="P1798" s="13" t="n">
        <v>1</v>
      </c>
      <c r="Q1798" s="13" t="n">
        <v>2</v>
      </c>
      <c r="R1798" s="13" t="s">
        <v>121</v>
      </c>
      <c r="S1798" s="13" t="s">
        <v>87</v>
      </c>
      <c r="T1798" s="13" t="n">
        <v>1</v>
      </c>
      <c r="U1798" s="13" t="n">
        <f aca="false">IF(B1798="Individual",1,0)</f>
        <v>1</v>
      </c>
      <c r="V1798" s="13" t="n">
        <f aca="false">IF(B1798="Company",1,0)</f>
        <v>0</v>
      </c>
      <c r="W1798" s="13" t="n">
        <f aca="false">IF(H1798="Home",1,0)</f>
        <v>0</v>
      </c>
      <c r="X1798" s="13" t="n">
        <f aca="false">IF(H1798="Investment",1,0)</f>
        <v>1</v>
      </c>
      <c r="Y1798" s="13" t="n">
        <f aca="false">IF(K1798="Website",1,0)</f>
        <v>1</v>
      </c>
      <c r="Z1798" s="13" t="n">
        <f aca="false">IF(K1798="Agency",1,0)</f>
        <v>0</v>
      </c>
      <c r="AA1798" s="13" t="n">
        <f aca="false">IF(K1798="Client",1,0)</f>
        <v>0</v>
      </c>
      <c r="AB1798" s="13" t="n">
        <f aca="false">(D1798-AVERAGE(D$2:D$2001))/STDEV(D$2:D$2001)</f>
        <v>-0.238549578354482</v>
      </c>
      <c r="AC1798" s="13" t="n">
        <f aca="false">(I1798-AVERAGE(I$2:I$2001))/STDEV(I$2:I$2001)</f>
        <v>0.686917069130275</v>
      </c>
      <c r="AD1798" s="13" t="n">
        <f aca="false">(L1798-AVERAGE(L$2:L$2001))/STDEV(L$2:L$2001)</f>
        <v>-0.777063122173208</v>
      </c>
      <c r="AE1798" s="13" t="n">
        <f aca="false">(M1798-AVERAGE(M$2:M$2001))/STDEV(M$2:M$2001)</f>
        <v>-0.483345079719735</v>
      </c>
      <c r="AF1798" s="13" t="n">
        <f aca="false">(N1798-AVERAGE(N$2:N$2001))/STDEV(N$2:N$2001)</f>
        <v>0.243746606471969</v>
      </c>
      <c r="AG1798" s="13" t="n">
        <f aca="false">(O1798-AVERAGE(O$2:O$2001))/STDEV(O$2:O$2001)</f>
        <v>0.221412752605908</v>
      </c>
      <c r="AH1798" s="0" t="str">
        <f aca="false">IF(B1798="Company","C3 - Corporate Buyers",IF(AND(H1798="Investment",M1798&gt;'Segmentation Summary'!$C$1),"C1 - Global Investors",IF(AND(I1798&gt;=4,M1798&gt;'Segmentation Summary'!$C$1),"C4 - Luxury Investors",IF(AND(D1798&lt;'Segmentation Summary'!$C$2,J1798=1),"C2 - First-Time Buyers","C5 - Other Individual Buyers"))))</f>
        <v>C5 - Other Individual Buyers</v>
      </c>
    </row>
    <row r="1799" customFormat="false" ht="15" hidden="false" customHeight="true" outlineLevel="0" collapsed="false">
      <c r="A1799" s="13" t="s">
        <v>3582</v>
      </c>
      <c r="B1799" s="13" t="s">
        <v>34</v>
      </c>
      <c r="C1799" s="13" t="s">
        <v>3583</v>
      </c>
      <c r="D1799" s="13" t="n">
        <v>48</v>
      </c>
      <c r="E1799" s="13" t="s">
        <v>83</v>
      </c>
      <c r="F1799" s="13" t="s">
        <v>33</v>
      </c>
      <c r="G1799" s="13" t="s">
        <v>120</v>
      </c>
      <c r="H1799" s="13" t="s">
        <v>41</v>
      </c>
      <c r="I1799" s="13" t="n">
        <v>3</v>
      </c>
      <c r="J1799" s="13" t="n">
        <v>0</v>
      </c>
      <c r="K1799" s="13" t="s">
        <v>91</v>
      </c>
      <c r="L1799" s="13" t="n">
        <v>4</v>
      </c>
      <c r="M1799" s="13" t="n">
        <v>1365460.24</v>
      </c>
      <c r="N1799" s="13" t="n">
        <v>341365.06</v>
      </c>
      <c r="O1799" s="13" t="n">
        <v>1040.89</v>
      </c>
      <c r="P1799" s="13" t="n">
        <v>1</v>
      </c>
      <c r="Q1799" s="13" t="n">
        <v>3</v>
      </c>
      <c r="R1799" s="13" t="s">
        <v>117</v>
      </c>
      <c r="S1799" s="13" t="s">
        <v>154</v>
      </c>
      <c r="T1799" s="13" t="n">
        <v>1</v>
      </c>
      <c r="U1799" s="13" t="n">
        <f aca="false">IF(B1799="Individual",1,0)</f>
        <v>1</v>
      </c>
      <c r="V1799" s="13" t="n">
        <f aca="false">IF(B1799="Company",1,0)</f>
        <v>0</v>
      </c>
      <c r="W1799" s="13" t="n">
        <f aca="false">IF(H1799="Home",1,0)</f>
        <v>1</v>
      </c>
      <c r="X1799" s="13" t="n">
        <f aca="false">IF(H1799="Investment",1,0)</f>
        <v>0</v>
      </c>
      <c r="Y1799" s="13" t="n">
        <f aca="false">IF(K1799="Website",1,0)</f>
        <v>0</v>
      </c>
      <c r="Z1799" s="13" t="n">
        <f aca="false">IF(K1799="Agency",1,0)</f>
        <v>1</v>
      </c>
      <c r="AA1799" s="13" t="n">
        <f aca="false">IF(K1799="Client",1,0)</f>
        <v>0</v>
      </c>
      <c r="AB1799" s="13" t="n">
        <f aca="false">(D1799-AVERAGE(D$2:D$2001))/STDEV(D$2:D$2001)</f>
        <v>-0.353874489330784</v>
      </c>
      <c r="AC1799" s="13" t="n">
        <f aca="false">(I1799-AVERAGE(I$2:I$2001))/STDEV(I$2:I$2001)</f>
        <v>-0.0205155458339628</v>
      </c>
      <c r="AD1799" s="13" t="n">
        <f aca="false">(L1799-AVERAGE(L$2:L$2001))/STDEV(L$2:L$2001)</f>
        <v>0.413838214490712</v>
      </c>
      <c r="AE1799" s="13" t="n">
        <f aca="false">(M1799-AVERAGE(M$2:M$2001))/STDEV(M$2:M$2001)</f>
        <v>0.302114707546342</v>
      </c>
      <c r="AF1799" s="13" t="n">
        <f aca="false">(N1799-AVERAGE(N$2:N$2001))/STDEV(N$2:N$2001)</f>
        <v>-0.0821105318275149</v>
      </c>
      <c r="AG1799" s="13" t="n">
        <f aca="false">(O1799-AVERAGE(O$2:O$2001))/STDEV(O$2:O$2001)</f>
        <v>-0.484669034989629</v>
      </c>
      <c r="AH1799" s="0" t="str">
        <f aca="false">IF(B1799="Company","C3 - Corporate Buyers",IF(AND(H1799="Investment",M1799&gt;'Segmentation Summary'!$C$1),"C1 - Global Investors",IF(AND(I1799&gt;=4,M1799&gt;'Segmentation Summary'!$C$1),"C4 - Luxury Investors",IF(AND(D1799&lt;'Segmentation Summary'!$C$2,J1799=1),"C2 - First-Time Buyers","C5 - Other Individual Buyers"))))</f>
        <v>C5 - Other Individual Buyers</v>
      </c>
    </row>
    <row r="1800" customFormat="false" ht="15" hidden="false" customHeight="true" outlineLevel="0" collapsed="false">
      <c r="A1800" s="13" t="s">
        <v>3584</v>
      </c>
      <c r="B1800" s="13" t="s">
        <v>34</v>
      </c>
      <c r="C1800" s="13" t="s">
        <v>3585</v>
      </c>
      <c r="D1800" s="13" t="n">
        <v>27</v>
      </c>
      <c r="E1800" s="13" t="s">
        <v>83</v>
      </c>
      <c r="F1800" s="13" t="s">
        <v>33</v>
      </c>
      <c r="G1800" s="13" t="s">
        <v>95</v>
      </c>
      <c r="H1800" s="13" t="s">
        <v>41</v>
      </c>
      <c r="I1800" s="13" t="n">
        <v>4</v>
      </c>
      <c r="J1800" s="13" t="n">
        <v>0</v>
      </c>
      <c r="K1800" s="13" t="s">
        <v>91</v>
      </c>
      <c r="L1800" s="13" t="n">
        <v>3</v>
      </c>
      <c r="M1800" s="13" t="n">
        <v>1489053.39</v>
      </c>
      <c r="N1800" s="13" t="n">
        <v>496351.13</v>
      </c>
      <c r="O1800" s="13" t="n">
        <v>1579.31333333333</v>
      </c>
      <c r="P1800" s="13" t="n">
        <v>1</v>
      </c>
      <c r="Q1800" s="13" t="n">
        <v>2</v>
      </c>
      <c r="R1800" s="13" t="s">
        <v>117</v>
      </c>
      <c r="S1800" s="13" t="s">
        <v>128</v>
      </c>
      <c r="T1800" s="13" t="n">
        <v>1</v>
      </c>
      <c r="U1800" s="13" t="n">
        <f aca="false">IF(B1800="Individual",1,0)</f>
        <v>1</v>
      </c>
      <c r="V1800" s="13" t="n">
        <f aca="false">IF(B1800="Company",1,0)</f>
        <v>0</v>
      </c>
      <c r="W1800" s="13" t="n">
        <f aca="false">IF(H1800="Home",1,0)</f>
        <v>1</v>
      </c>
      <c r="X1800" s="13" t="n">
        <f aca="false">IF(H1800="Investment",1,0)</f>
        <v>0</v>
      </c>
      <c r="Y1800" s="13" t="n">
        <f aca="false">IF(K1800="Website",1,0)</f>
        <v>0</v>
      </c>
      <c r="Z1800" s="13" t="n">
        <f aca="false">IF(K1800="Agency",1,0)</f>
        <v>1</v>
      </c>
      <c r="AA1800" s="13" t="n">
        <f aca="false">IF(K1800="Client",1,0)</f>
        <v>0</v>
      </c>
      <c r="AB1800" s="13" t="n">
        <f aca="false">(D1800-AVERAGE(D$2:D$2001))/STDEV(D$2:D$2001)</f>
        <v>-1.56478605458196</v>
      </c>
      <c r="AC1800" s="13" t="n">
        <f aca="false">(I1800-AVERAGE(I$2:I$2001))/STDEV(I$2:I$2001)</f>
        <v>0.686917069130275</v>
      </c>
      <c r="AD1800" s="13" t="n">
        <f aca="false">(L1800-AVERAGE(L$2:L$2001))/STDEV(L$2:L$2001)</f>
        <v>-0.777063122173208</v>
      </c>
      <c r="AE1800" s="13" t="n">
        <f aca="false">(M1800-AVERAGE(M$2:M$2001))/STDEV(M$2:M$2001)</f>
        <v>0.657440337221073</v>
      </c>
      <c r="AF1800" s="13" t="n">
        <f aca="false">(N1800-AVERAGE(N$2:N$2001))/STDEV(N$2:N$2001)</f>
        <v>2.14081001109071</v>
      </c>
      <c r="AG1800" s="13" t="n">
        <f aca="false">(O1800-AVERAGE(O$2:O$2001))/STDEV(O$2:O$2001)</f>
        <v>1.96357123344326</v>
      </c>
      <c r="AH1800" s="0" t="str">
        <f aca="false">IF(B1800="Company","C3 - Corporate Buyers",IF(AND(H1800="Investment",M1800&gt;'Segmentation Summary'!$C$1),"C1 - Global Investors",IF(AND(I1800&gt;=4,M1800&gt;'Segmentation Summary'!$C$1),"C4 - Luxury Investors",IF(AND(D1800&lt;'Segmentation Summary'!$C$2,J1800=1),"C2 - First-Time Buyers","C5 - Other Individual Buyers"))))</f>
        <v>C4 - Luxury Investors</v>
      </c>
    </row>
    <row r="1801" customFormat="false" ht="15" hidden="false" customHeight="true" outlineLevel="0" collapsed="false">
      <c r="A1801" s="13" t="s">
        <v>3586</v>
      </c>
      <c r="B1801" s="13" t="s">
        <v>34</v>
      </c>
      <c r="C1801" s="13" t="s">
        <v>3587</v>
      </c>
      <c r="D1801" s="13" t="n">
        <v>31</v>
      </c>
      <c r="E1801" s="13" t="s">
        <v>90</v>
      </c>
      <c r="F1801" s="13" t="s">
        <v>33</v>
      </c>
      <c r="G1801" s="13" t="s">
        <v>95</v>
      </c>
      <c r="H1801" s="13" t="s">
        <v>41</v>
      </c>
      <c r="I1801" s="13" t="n">
        <v>4</v>
      </c>
      <c r="J1801" s="13" t="n">
        <v>0</v>
      </c>
      <c r="K1801" s="13" t="s">
        <v>85</v>
      </c>
      <c r="L1801" s="13" t="n">
        <v>4</v>
      </c>
      <c r="M1801" s="13" t="n">
        <v>1371247.08</v>
      </c>
      <c r="N1801" s="13" t="n">
        <v>342811.77</v>
      </c>
      <c r="O1801" s="13" t="n">
        <v>1071.3925</v>
      </c>
      <c r="P1801" s="13" t="n">
        <v>0</v>
      </c>
      <c r="Q1801" s="13" t="n">
        <v>4</v>
      </c>
      <c r="R1801" s="13" t="s">
        <v>92</v>
      </c>
      <c r="S1801" s="13" t="s">
        <v>141</v>
      </c>
      <c r="T1801" s="13" t="n">
        <v>1</v>
      </c>
      <c r="U1801" s="13" t="n">
        <f aca="false">IF(B1801="Individual",1,0)</f>
        <v>1</v>
      </c>
      <c r="V1801" s="13" t="n">
        <f aca="false">IF(B1801="Company",1,0)</f>
        <v>0</v>
      </c>
      <c r="W1801" s="13" t="n">
        <f aca="false">IF(H1801="Home",1,0)</f>
        <v>1</v>
      </c>
      <c r="X1801" s="13" t="n">
        <f aca="false">IF(H1801="Investment",1,0)</f>
        <v>0</v>
      </c>
      <c r="Y1801" s="13" t="n">
        <f aca="false">IF(K1801="Website",1,0)</f>
        <v>1</v>
      </c>
      <c r="Z1801" s="13" t="n">
        <f aca="false">IF(K1801="Agency",1,0)</f>
        <v>0</v>
      </c>
      <c r="AA1801" s="13" t="n">
        <f aca="false">IF(K1801="Client",1,0)</f>
        <v>0</v>
      </c>
      <c r="AB1801" s="13" t="n">
        <f aca="false">(D1801-AVERAGE(D$2:D$2001))/STDEV(D$2:D$2001)</f>
        <v>-1.33413623262935</v>
      </c>
      <c r="AC1801" s="13" t="n">
        <f aca="false">(I1801-AVERAGE(I$2:I$2001))/STDEV(I$2:I$2001)</f>
        <v>0.686917069130275</v>
      </c>
      <c r="AD1801" s="13" t="n">
        <f aca="false">(L1801-AVERAGE(L$2:L$2001))/STDEV(L$2:L$2001)</f>
        <v>0.413838214490712</v>
      </c>
      <c r="AE1801" s="13" t="n">
        <f aca="false">(M1801-AVERAGE(M$2:M$2001))/STDEV(M$2:M$2001)</f>
        <v>0.318751653581191</v>
      </c>
      <c r="AF1801" s="13" t="n">
        <f aca="false">(N1801-AVERAGE(N$2:N$2001))/STDEV(N$2:N$2001)</f>
        <v>-0.0613607871656542</v>
      </c>
      <c r="AG1801" s="13" t="n">
        <f aca="false">(O1801-AVERAGE(O$2:O$2001))/STDEV(O$2:O$2001)</f>
        <v>-0.34597250353444</v>
      </c>
      <c r="AH1801" s="0" t="str">
        <f aca="false">IF(B1801="Company","C3 - Corporate Buyers",IF(AND(H1801="Investment",M1801&gt;'Segmentation Summary'!$C$1),"C1 - Global Investors",IF(AND(I1801&gt;=4,M1801&gt;'Segmentation Summary'!$C$1),"C4 - Luxury Investors",IF(AND(D1801&lt;'Segmentation Summary'!$C$2,J1801=1),"C2 - First-Time Buyers","C5 - Other Individual Buyers"))))</f>
        <v>C4 - Luxury Investors</v>
      </c>
    </row>
    <row r="1802" customFormat="false" ht="15" hidden="false" customHeight="true" outlineLevel="0" collapsed="false">
      <c r="A1802" s="13" t="s">
        <v>3588</v>
      </c>
      <c r="B1802" s="13" t="s">
        <v>34</v>
      </c>
      <c r="C1802" s="13" t="s">
        <v>3589</v>
      </c>
      <c r="D1802" s="13" t="n">
        <v>56</v>
      </c>
      <c r="E1802" s="13" t="s">
        <v>90</v>
      </c>
      <c r="F1802" s="13" t="s">
        <v>33</v>
      </c>
      <c r="G1802" s="13" t="s">
        <v>95</v>
      </c>
      <c r="H1802" s="13" t="s">
        <v>43</v>
      </c>
      <c r="I1802" s="13" t="n">
        <v>4</v>
      </c>
      <c r="J1802" s="13" t="n">
        <v>1</v>
      </c>
      <c r="K1802" s="13" t="s">
        <v>85</v>
      </c>
      <c r="L1802" s="13" t="n">
        <v>7</v>
      </c>
      <c r="M1802" s="13" t="n">
        <v>1933778.24</v>
      </c>
      <c r="N1802" s="13" t="n">
        <v>276254.034285714</v>
      </c>
      <c r="O1802" s="13" t="n">
        <v>962.721428571429</v>
      </c>
      <c r="P1802" s="13" t="n">
        <v>3</v>
      </c>
      <c r="Q1802" s="13" t="n">
        <v>4</v>
      </c>
      <c r="R1802" s="13" t="s">
        <v>117</v>
      </c>
      <c r="S1802" s="13" t="s">
        <v>114</v>
      </c>
      <c r="T1802" s="13" t="n">
        <v>1</v>
      </c>
      <c r="U1802" s="13" t="n">
        <f aca="false">IF(B1802="Individual",1,0)</f>
        <v>1</v>
      </c>
      <c r="V1802" s="13" t="n">
        <f aca="false">IF(B1802="Company",1,0)</f>
        <v>0</v>
      </c>
      <c r="W1802" s="13" t="n">
        <f aca="false">IF(H1802="Home",1,0)</f>
        <v>0</v>
      </c>
      <c r="X1802" s="13" t="n">
        <f aca="false">IF(H1802="Investment",1,0)</f>
        <v>1</v>
      </c>
      <c r="Y1802" s="13" t="n">
        <f aca="false">IF(K1802="Website",1,0)</f>
        <v>1</v>
      </c>
      <c r="Z1802" s="13" t="n">
        <f aca="false">IF(K1802="Agency",1,0)</f>
        <v>0</v>
      </c>
      <c r="AA1802" s="13" t="n">
        <f aca="false">IF(K1802="Client",1,0)</f>
        <v>0</v>
      </c>
      <c r="AB1802" s="13" t="n">
        <f aca="false">(D1802-AVERAGE(D$2:D$2001))/STDEV(D$2:D$2001)</f>
        <v>0.107425154574426</v>
      </c>
      <c r="AC1802" s="13" t="n">
        <f aca="false">(I1802-AVERAGE(I$2:I$2001))/STDEV(I$2:I$2001)</f>
        <v>0.686917069130275</v>
      </c>
      <c r="AD1802" s="13" t="n">
        <f aca="false">(L1802-AVERAGE(L$2:L$2001))/STDEV(L$2:L$2001)</f>
        <v>3.98654222448247</v>
      </c>
      <c r="AE1802" s="13" t="n">
        <f aca="false">(M1802-AVERAGE(M$2:M$2001))/STDEV(M$2:M$2001)</f>
        <v>1.93600745326472</v>
      </c>
      <c r="AF1802" s="13" t="n">
        <f aca="false">(N1802-AVERAGE(N$2:N$2001))/STDEV(N$2:N$2001)</f>
        <v>-1.01597921196608</v>
      </c>
      <c r="AG1802" s="13" t="n">
        <f aca="false">(O1802-AVERAGE(O$2:O$2001))/STDEV(O$2:O$2001)</f>
        <v>-0.840105793483196</v>
      </c>
      <c r="AH1802" s="0" t="str">
        <f aca="false">IF(B1802="Company","C3 - Corporate Buyers",IF(AND(H1802="Investment",M1802&gt;'Segmentation Summary'!$C$1),"C1 - Global Investors",IF(AND(I1802&gt;=4,M1802&gt;'Segmentation Summary'!$C$1),"C4 - Luxury Investors",IF(AND(D1802&lt;'Segmentation Summary'!$C$2,J1802=1),"C2 - First-Time Buyers","C5 - Other Individual Buyers"))))</f>
        <v>C1 - Global Investors</v>
      </c>
    </row>
    <row r="1803" customFormat="false" ht="15" hidden="false" customHeight="true" outlineLevel="0" collapsed="false">
      <c r="A1803" s="13" t="s">
        <v>3590</v>
      </c>
      <c r="B1803" s="13" t="s">
        <v>34</v>
      </c>
      <c r="C1803" s="13" t="s">
        <v>3591</v>
      </c>
      <c r="D1803" s="13" t="n">
        <v>47</v>
      </c>
      <c r="E1803" s="13" t="s">
        <v>90</v>
      </c>
      <c r="F1803" s="13" t="s">
        <v>33</v>
      </c>
      <c r="G1803" s="13" t="s">
        <v>95</v>
      </c>
      <c r="H1803" s="13" t="s">
        <v>41</v>
      </c>
      <c r="I1803" s="13" t="n">
        <v>5</v>
      </c>
      <c r="J1803" s="13" t="n">
        <v>0</v>
      </c>
      <c r="K1803" s="13" t="s">
        <v>85</v>
      </c>
      <c r="L1803" s="13" t="n">
        <v>3</v>
      </c>
      <c r="M1803" s="13" t="n">
        <v>861195.69</v>
      </c>
      <c r="N1803" s="13" t="n">
        <v>287065.23</v>
      </c>
      <c r="O1803" s="13" t="n">
        <v>1016.76333333333</v>
      </c>
      <c r="P1803" s="13" t="n">
        <v>0</v>
      </c>
      <c r="Q1803" s="13" t="n">
        <v>3</v>
      </c>
      <c r="R1803" s="13" t="s">
        <v>150</v>
      </c>
      <c r="S1803" s="13" t="s">
        <v>125</v>
      </c>
      <c r="T1803" s="13" t="n">
        <v>1</v>
      </c>
      <c r="U1803" s="13" t="n">
        <f aca="false">IF(B1803="Individual",1,0)</f>
        <v>1</v>
      </c>
      <c r="V1803" s="13" t="n">
        <f aca="false">IF(B1803="Company",1,0)</f>
        <v>0</v>
      </c>
      <c r="W1803" s="13" t="n">
        <f aca="false">IF(H1803="Home",1,0)</f>
        <v>1</v>
      </c>
      <c r="X1803" s="13" t="n">
        <f aca="false">IF(H1803="Investment",1,0)</f>
        <v>0</v>
      </c>
      <c r="Y1803" s="13" t="n">
        <f aca="false">IF(K1803="Website",1,0)</f>
        <v>1</v>
      </c>
      <c r="Z1803" s="13" t="n">
        <f aca="false">IF(K1803="Agency",1,0)</f>
        <v>0</v>
      </c>
      <c r="AA1803" s="13" t="n">
        <f aca="false">IF(K1803="Client",1,0)</f>
        <v>0</v>
      </c>
      <c r="AB1803" s="13" t="n">
        <f aca="false">(D1803-AVERAGE(D$2:D$2001))/STDEV(D$2:D$2001)</f>
        <v>-0.411536944818935</v>
      </c>
      <c r="AC1803" s="13" t="n">
        <f aca="false">(I1803-AVERAGE(I$2:I$2001))/STDEV(I$2:I$2001)</f>
        <v>1.39434968409451</v>
      </c>
      <c r="AD1803" s="13" t="n">
        <f aca="false">(L1803-AVERAGE(L$2:L$2001))/STDEV(L$2:L$2001)</f>
        <v>-0.777063122173208</v>
      </c>
      <c r="AE1803" s="13" t="n">
        <f aca="false">(M1803-AVERAGE(M$2:M$2001))/STDEV(M$2:M$2001)</f>
        <v>-1.14762679310636</v>
      </c>
      <c r="AF1803" s="13" t="n">
        <f aca="false">(N1803-AVERAGE(N$2:N$2001))/STDEV(N$2:N$2001)</f>
        <v>-0.860917347072055</v>
      </c>
      <c r="AG1803" s="13" t="n">
        <f aca="false">(O1803-AVERAGE(O$2:O$2001))/STDEV(O$2:O$2001)</f>
        <v>-0.594374304467301</v>
      </c>
      <c r="AH1803" s="0" t="str">
        <f aca="false">IF(B1803="Company","C3 - Corporate Buyers",IF(AND(H1803="Investment",M1803&gt;'Segmentation Summary'!$C$1),"C1 - Global Investors",IF(AND(I1803&gt;=4,M1803&gt;'Segmentation Summary'!$C$1),"C4 - Luxury Investors",IF(AND(D1803&lt;'Segmentation Summary'!$C$2,J1803=1),"C2 - First-Time Buyers","C5 - Other Individual Buyers"))))</f>
        <v>C5 - Other Individual Buyers</v>
      </c>
    </row>
    <row r="1804" customFormat="false" ht="15" hidden="false" customHeight="true" outlineLevel="0" collapsed="false">
      <c r="A1804" s="13" t="s">
        <v>3592</v>
      </c>
      <c r="B1804" s="13" t="s">
        <v>34</v>
      </c>
      <c r="C1804" s="13" t="s">
        <v>3593</v>
      </c>
      <c r="D1804" s="13" t="n">
        <v>68</v>
      </c>
      <c r="E1804" s="13" t="s">
        <v>90</v>
      </c>
      <c r="F1804" s="13" t="s">
        <v>33</v>
      </c>
      <c r="G1804" s="13" t="s">
        <v>95</v>
      </c>
      <c r="H1804" s="13" t="s">
        <v>41</v>
      </c>
      <c r="I1804" s="13" t="n">
        <v>1</v>
      </c>
      <c r="J1804" s="13" t="n">
        <v>0</v>
      </c>
      <c r="K1804" s="13" t="s">
        <v>91</v>
      </c>
      <c r="L1804" s="13" t="n">
        <v>4</v>
      </c>
      <c r="M1804" s="13" t="n">
        <v>1429717.09</v>
      </c>
      <c r="N1804" s="13" t="n">
        <v>357429.2725</v>
      </c>
      <c r="O1804" s="13" t="n">
        <v>1123.3175</v>
      </c>
      <c r="P1804" s="13" t="n">
        <v>2</v>
      </c>
      <c r="Q1804" s="13" t="n">
        <v>2</v>
      </c>
      <c r="R1804" s="13" t="s">
        <v>128</v>
      </c>
      <c r="S1804" s="13" t="s">
        <v>154</v>
      </c>
      <c r="T1804" s="13" t="n">
        <v>1</v>
      </c>
      <c r="U1804" s="13" t="n">
        <f aca="false">IF(B1804="Individual",1,0)</f>
        <v>1</v>
      </c>
      <c r="V1804" s="13" t="n">
        <f aca="false">IF(B1804="Company",1,0)</f>
        <v>0</v>
      </c>
      <c r="W1804" s="13" t="n">
        <f aca="false">IF(H1804="Home",1,0)</f>
        <v>1</v>
      </c>
      <c r="X1804" s="13" t="n">
        <f aca="false">IF(H1804="Investment",1,0)</f>
        <v>0</v>
      </c>
      <c r="Y1804" s="13" t="n">
        <f aca="false">IF(K1804="Website",1,0)</f>
        <v>0</v>
      </c>
      <c r="Z1804" s="13" t="n">
        <f aca="false">IF(K1804="Agency",1,0)</f>
        <v>1</v>
      </c>
      <c r="AA1804" s="13" t="n">
        <f aca="false">IF(K1804="Client",1,0)</f>
        <v>0</v>
      </c>
      <c r="AB1804" s="13" t="n">
        <f aca="false">(D1804-AVERAGE(D$2:D$2001))/STDEV(D$2:D$2001)</f>
        <v>0.79937462043224</v>
      </c>
      <c r="AC1804" s="13" t="n">
        <f aca="false">(I1804-AVERAGE(I$2:I$2001))/STDEV(I$2:I$2001)</f>
        <v>-1.43538077576244</v>
      </c>
      <c r="AD1804" s="13" t="n">
        <f aca="false">(L1804-AVERAGE(L$2:L$2001))/STDEV(L$2:L$2001)</f>
        <v>0.413838214490712</v>
      </c>
      <c r="AE1804" s="13" t="n">
        <f aca="false">(M1804-AVERAGE(M$2:M$2001))/STDEV(M$2:M$2001)</f>
        <v>0.486850719915675</v>
      </c>
      <c r="AF1804" s="13" t="n">
        <f aca="false">(N1804-AVERAGE(N$2:N$2001))/STDEV(N$2:N$2001)</f>
        <v>0.14829383917211</v>
      </c>
      <c r="AG1804" s="13" t="n">
        <f aca="false">(O1804-AVERAGE(O$2:O$2001))/STDEV(O$2:O$2001)</f>
        <v>-0.109866695951103</v>
      </c>
      <c r="AH1804" s="0" t="str">
        <f aca="false">IF(B1804="Company","C3 - Corporate Buyers",IF(AND(H1804="Investment",M1804&gt;'Segmentation Summary'!$C$1),"C1 - Global Investors",IF(AND(I1804&gt;=4,M1804&gt;'Segmentation Summary'!$C$1),"C4 - Luxury Investors",IF(AND(D1804&lt;'Segmentation Summary'!$C$2,J1804=1),"C2 - First-Time Buyers","C5 - Other Individual Buyers"))))</f>
        <v>C5 - Other Individual Buyers</v>
      </c>
    </row>
    <row r="1805" customFormat="false" ht="15" hidden="false" customHeight="true" outlineLevel="0" collapsed="false">
      <c r="A1805" s="13" t="s">
        <v>3594</v>
      </c>
      <c r="B1805" s="13" t="s">
        <v>34</v>
      </c>
      <c r="C1805" s="13" t="s">
        <v>3593</v>
      </c>
      <c r="D1805" s="13" t="n">
        <v>37</v>
      </c>
      <c r="E1805" s="13" t="s">
        <v>90</v>
      </c>
      <c r="F1805" s="13" t="s">
        <v>33</v>
      </c>
      <c r="G1805" s="13" t="s">
        <v>106</v>
      </c>
      <c r="H1805" s="13" t="s">
        <v>41</v>
      </c>
      <c r="I1805" s="13" t="n">
        <v>5</v>
      </c>
      <c r="J1805" s="13" t="n">
        <v>0</v>
      </c>
      <c r="K1805" s="13" t="s">
        <v>91</v>
      </c>
      <c r="L1805" s="13" t="n">
        <v>3</v>
      </c>
      <c r="M1805" s="13" t="n">
        <v>1129835.06</v>
      </c>
      <c r="N1805" s="13" t="n">
        <v>376611.686666667</v>
      </c>
      <c r="O1805" s="13" t="n">
        <v>1228.50333333333</v>
      </c>
      <c r="P1805" s="13" t="n">
        <v>1</v>
      </c>
      <c r="Q1805" s="13" t="n">
        <v>2</v>
      </c>
      <c r="R1805" s="13" t="s">
        <v>103</v>
      </c>
      <c r="S1805" s="13" t="s">
        <v>114</v>
      </c>
      <c r="T1805" s="13" t="n">
        <v>1</v>
      </c>
      <c r="U1805" s="13" t="n">
        <f aca="false">IF(B1805="Individual",1,0)</f>
        <v>1</v>
      </c>
      <c r="V1805" s="13" t="n">
        <f aca="false">IF(B1805="Company",1,0)</f>
        <v>0</v>
      </c>
      <c r="W1805" s="13" t="n">
        <f aca="false">IF(H1805="Home",1,0)</f>
        <v>1</v>
      </c>
      <c r="X1805" s="13" t="n">
        <f aca="false">IF(H1805="Investment",1,0)</f>
        <v>0</v>
      </c>
      <c r="Y1805" s="13" t="n">
        <f aca="false">IF(K1805="Website",1,0)</f>
        <v>0</v>
      </c>
      <c r="Z1805" s="13" t="n">
        <f aca="false">IF(K1805="Agency",1,0)</f>
        <v>1</v>
      </c>
      <c r="AA1805" s="13" t="n">
        <f aca="false">IF(K1805="Client",1,0)</f>
        <v>0</v>
      </c>
      <c r="AB1805" s="13" t="n">
        <f aca="false">(D1805-AVERAGE(D$2:D$2001))/STDEV(D$2:D$2001)</f>
        <v>-0.988161499700447</v>
      </c>
      <c r="AC1805" s="13" t="n">
        <f aca="false">(I1805-AVERAGE(I$2:I$2001))/STDEV(I$2:I$2001)</f>
        <v>1.39434968409451</v>
      </c>
      <c r="AD1805" s="13" t="n">
        <f aca="false">(L1805-AVERAGE(L$2:L$2001))/STDEV(L$2:L$2001)</f>
        <v>-0.777063122173208</v>
      </c>
      <c r="AE1805" s="13" t="n">
        <f aca="false">(M1805-AVERAGE(M$2:M$2001))/STDEV(M$2:M$2001)</f>
        <v>-0.375298769258172</v>
      </c>
      <c r="AF1805" s="13" t="n">
        <f aca="false">(N1805-AVERAGE(N$2:N$2001))/STDEV(N$2:N$2001)</f>
        <v>0.423421678169831</v>
      </c>
      <c r="AG1805" s="13" t="n">
        <f aca="false">(O1805-AVERAGE(O$2:O$2001))/STDEV(O$2:O$2001)</f>
        <v>0.368419026253847</v>
      </c>
      <c r="AH1805" s="0" t="str">
        <f aca="false">IF(B1805="Company","C3 - Corporate Buyers",IF(AND(H1805="Investment",M1805&gt;'Segmentation Summary'!$C$1),"C1 - Global Investors",IF(AND(I1805&gt;=4,M1805&gt;'Segmentation Summary'!$C$1),"C4 - Luxury Investors",IF(AND(D1805&lt;'Segmentation Summary'!$C$2,J1805=1),"C2 - First-Time Buyers","C5 - Other Individual Buyers"))))</f>
        <v>C5 - Other Individual Buyers</v>
      </c>
    </row>
    <row r="1806" customFormat="false" ht="15" hidden="false" customHeight="true" outlineLevel="0" collapsed="false">
      <c r="A1806" s="13" t="s">
        <v>3595</v>
      </c>
      <c r="B1806" s="13" t="s">
        <v>34</v>
      </c>
      <c r="C1806" s="13" t="s">
        <v>3596</v>
      </c>
      <c r="D1806" s="13" t="n">
        <v>37</v>
      </c>
      <c r="E1806" s="13" t="s">
        <v>90</v>
      </c>
      <c r="F1806" s="13" t="s">
        <v>38</v>
      </c>
      <c r="G1806" s="13" t="s">
        <v>183</v>
      </c>
      <c r="H1806" s="13" t="s">
        <v>41</v>
      </c>
      <c r="I1806" s="13" t="n">
        <v>4</v>
      </c>
      <c r="J1806" s="13" t="n">
        <v>1</v>
      </c>
      <c r="K1806" s="13" t="s">
        <v>85</v>
      </c>
      <c r="L1806" s="13" t="n">
        <v>4</v>
      </c>
      <c r="M1806" s="13" t="n">
        <v>1104713.19</v>
      </c>
      <c r="N1806" s="13" t="n">
        <v>276178.2975</v>
      </c>
      <c r="O1806" s="13" t="n">
        <v>933.355</v>
      </c>
      <c r="P1806" s="13" t="n">
        <v>2</v>
      </c>
      <c r="Q1806" s="13" t="n">
        <v>2</v>
      </c>
      <c r="R1806" s="13" t="s">
        <v>121</v>
      </c>
      <c r="S1806" s="13" t="s">
        <v>125</v>
      </c>
      <c r="T1806" s="13" t="n">
        <v>1</v>
      </c>
      <c r="U1806" s="13" t="n">
        <f aca="false">IF(B1806="Individual",1,0)</f>
        <v>1</v>
      </c>
      <c r="V1806" s="13" t="n">
        <f aca="false">IF(B1806="Company",1,0)</f>
        <v>0</v>
      </c>
      <c r="W1806" s="13" t="n">
        <f aca="false">IF(H1806="Home",1,0)</f>
        <v>1</v>
      </c>
      <c r="X1806" s="13" t="n">
        <f aca="false">IF(H1806="Investment",1,0)</f>
        <v>0</v>
      </c>
      <c r="Y1806" s="13" t="n">
        <f aca="false">IF(K1806="Website",1,0)</f>
        <v>1</v>
      </c>
      <c r="Z1806" s="13" t="n">
        <f aca="false">IF(K1806="Agency",1,0)</f>
        <v>0</v>
      </c>
      <c r="AA1806" s="13" t="n">
        <f aca="false">IF(K1806="Client",1,0)</f>
        <v>0</v>
      </c>
      <c r="AB1806" s="13" t="n">
        <f aca="false">(D1806-AVERAGE(D$2:D$2001))/STDEV(D$2:D$2001)</f>
        <v>-0.988161499700447</v>
      </c>
      <c r="AC1806" s="13" t="n">
        <f aca="false">(I1806-AVERAGE(I$2:I$2001))/STDEV(I$2:I$2001)</f>
        <v>0.686917069130275</v>
      </c>
      <c r="AD1806" s="13" t="n">
        <f aca="false">(L1806-AVERAGE(L$2:L$2001))/STDEV(L$2:L$2001)</f>
        <v>0.413838214490712</v>
      </c>
      <c r="AE1806" s="13" t="n">
        <f aca="false">(M1806-AVERAGE(M$2:M$2001))/STDEV(M$2:M$2001)</f>
        <v>-0.447523194935136</v>
      </c>
      <c r="AF1806" s="13" t="n">
        <f aca="false">(N1806-AVERAGE(N$2:N$2001))/STDEV(N$2:N$2001)</f>
        <v>-1.01706548286009</v>
      </c>
      <c r="AG1806" s="13" t="n">
        <f aca="false">(O1806-AVERAGE(O$2:O$2001))/STDEV(O$2:O$2001)</f>
        <v>-0.973636546178345</v>
      </c>
      <c r="AH1806" s="0" t="str">
        <f aca="false">IF(B1806="Company","C3 - Corporate Buyers",IF(AND(H1806="Investment",M1806&gt;'Segmentation Summary'!$C$1),"C1 - Global Investors",IF(AND(I1806&gt;=4,M1806&gt;'Segmentation Summary'!$C$1),"C4 - Luxury Investors",IF(AND(D1806&lt;'Segmentation Summary'!$C$2,J1806=1),"C2 - First-Time Buyers","C5 - Other Individual Buyers"))))</f>
        <v>C2 - First-Time Buyers</v>
      </c>
    </row>
    <row r="1807" customFormat="false" ht="15" hidden="false" customHeight="true" outlineLevel="0" collapsed="false">
      <c r="A1807" s="13" t="s">
        <v>3597</v>
      </c>
      <c r="B1807" s="13" t="s">
        <v>34</v>
      </c>
      <c r="C1807" s="13" t="s">
        <v>3598</v>
      </c>
      <c r="D1807" s="13" t="n">
        <v>48</v>
      </c>
      <c r="E1807" s="13" t="s">
        <v>90</v>
      </c>
      <c r="F1807" s="13" t="s">
        <v>33</v>
      </c>
      <c r="G1807" s="13" t="s">
        <v>157</v>
      </c>
      <c r="H1807" s="13" t="s">
        <v>43</v>
      </c>
      <c r="I1807" s="13" t="n">
        <v>5</v>
      </c>
      <c r="J1807" s="13" t="n">
        <v>1</v>
      </c>
      <c r="K1807" s="13" t="s">
        <v>85</v>
      </c>
      <c r="L1807" s="13" t="n">
        <v>4</v>
      </c>
      <c r="M1807" s="13" t="n">
        <v>1272190.01</v>
      </c>
      <c r="N1807" s="13" t="n">
        <v>318047.5025</v>
      </c>
      <c r="O1807" s="13" t="n">
        <v>1040.89</v>
      </c>
      <c r="P1807" s="13" t="n">
        <v>0</v>
      </c>
      <c r="Q1807" s="13" t="n">
        <v>4</v>
      </c>
      <c r="R1807" s="13" t="s">
        <v>86</v>
      </c>
      <c r="S1807" s="13" t="s">
        <v>112</v>
      </c>
      <c r="T1807" s="13" t="n">
        <v>1</v>
      </c>
      <c r="U1807" s="13" t="n">
        <f aca="false">IF(B1807="Individual",1,0)</f>
        <v>1</v>
      </c>
      <c r="V1807" s="13" t="n">
        <f aca="false">IF(B1807="Company",1,0)</f>
        <v>0</v>
      </c>
      <c r="W1807" s="13" t="n">
        <f aca="false">IF(H1807="Home",1,0)</f>
        <v>0</v>
      </c>
      <c r="X1807" s="13" t="n">
        <f aca="false">IF(H1807="Investment",1,0)</f>
        <v>1</v>
      </c>
      <c r="Y1807" s="13" t="n">
        <f aca="false">IF(K1807="Website",1,0)</f>
        <v>1</v>
      </c>
      <c r="Z1807" s="13" t="n">
        <f aca="false">IF(K1807="Agency",1,0)</f>
        <v>0</v>
      </c>
      <c r="AA1807" s="13" t="n">
        <f aca="false">IF(K1807="Client",1,0)</f>
        <v>0</v>
      </c>
      <c r="AB1807" s="13" t="n">
        <f aca="false">(D1807-AVERAGE(D$2:D$2001))/STDEV(D$2:D$2001)</f>
        <v>-0.353874489330784</v>
      </c>
      <c r="AC1807" s="13" t="n">
        <f aca="false">(I1807-AVERAGE(I$2:I$2001))/STDEV(I$2:I$2001)</f>
        <v>1.39434968409451</v>
      </c>
      <c r="AD1807" s="13" t="n">
        <f aca="false">(L1807-AVERAGE(L$2:L$2001))/STDEV(L$2:L$2001)</f>
        <v>0.413838214490712</v>
      </c>
      <c r="AE1807" s="13" t="n">
        <f aca="false">(M1807-AVERAGE(M$2:M$2001))/STDEV(M$2:M$2001)</f>
        <v>0.0339663254988176</v>
      </c>
      <c r="AF1807" s="13" t="n">
        <f aca="false">(N1807-AVERAGE(N$2:N$2001))/STDEV(N$2:N$2001)</f>
        <v>-0.416547540117531</v>
      </c>
      <c r="AG1807" s="13" t="n">
        <f aca="false">(O1807-AVERAGE(O$2:O$2001))/STDEV(O$2:O$2001)</f>
        <v>-0.484669034989629</v>
      </c>
      <c r="AH1807" s="0" t="str">
        <f aca="false">IF(B1807="Company","C3 - Corporate Buyers",IF(AND(H1807="Investment",M1807&gt;'Segmentation Summary'!$C$1),"C1 - Global Investors",IF(AND(I1807&gt;=4,M1807&gt;'Segmentation Summary'!$C$1),"C4 - Luxury Investors",IF(AND(D1807&lt;'Segmentation Summary'!$C$2,J1807=1),"C2 - First-Time Buyers","C5 - Other Individual Buyers"))))</f>
        <v>C1 - Global Investors</v>
      </c>
    </row>
    <row r="1808" customFormat="false" ht="15" hidden="false" customHeight="true" outlineLevel="0" collapsed="false">
      <c r="A1808" s="13" t="s">
        <v>3599</v>
      </c>
      <c r="B1808" s="13" t="s">
        <v>34</v>
      </c>
      <c r="C1808" s="13" t="s">
        <v>3600</v>
      </c>
      <c r="D1808" s="13" t="n">
        <v>65</v>
      </c>
      <c r="E1808" s="13" t="s">
        <v>90</v>
      </c>
      <c r="F1808" s="13" t="s">
        <v>33</v>
      </c>
      <c r="G1808" s="13" t="s">
        <v>84</v>
      </c>
      <c r="H1808" s="13" t="s">
        <v>41</v>
      </c>
      <c r="I1808" s="13" t="n">
        <v>3</v>
      </c>
      <c r="J1808" s="13" t="n">
        <v>1</v>
      </c>
      <c r="K1808" s="13" t="s">
        <v>85</v>
      </c>
      <c r="L1808" s="13" t="n">
        <v>4</v>
      </c>
      <c r="M1808" s="13" t="n">
        <v>1352500.23</v>
      </c>
      <c r="N1808" s="13" t="n">
        <v>338125.0575</v>
      </c>
      <c r="O1808" s="13" t="n">
        <v>1167.3975</v>
      </c>
      <c r="P1808" s="13" t="n">
        <v>0</v>
      </c>
      <c r="Q1808" s="13" t="n">
        <v>4</v>
      </c>
      <c r="R1808" s="13" t="s">
        <v>111</v>
      </c>
      <c r="S1808" s="13" t="s">
        <v>125</v>
      </c>
      <c r="T1808" s="13" t="n">
        <v>1</v>
      </c>
      <c r="U1808" s="13" t="n">
        <f aca="false">IF(B1808="Individual",1,0)</f>
        <v>1</v>
      </c>
      <c r="V1808" s="13" t="n">
        <f aca="false">IF(B1808="Company",1,0)</f>
        <v>0</v>
      </c>
      <c r="W1808" s="13" t="n">
        <f aca="false">IF(H1808="Home",1,0)</f>
        <v>1</v>
      </c>
      <c r="X1808" s="13" t="n">
        <f aca="false">IF(H1808="Investment",1,0)</f>
        <v>0</v>
      </c>
      <c r="Y1808" s="13" t="n">
        <f aca="false">IF(K1808="Website",1,0)</f>
        <v>1</v>
      </c>
      <c r="Z1808" s="13" t="n">
        <f aca="false">IF(K1808="Agency",1,0)</f>
        <v>0</v>
      </c>
      <c r="AA1808" s="13" t="n">
        <f aca="false">IF(K1808="Client",1,0)</f>
        <v>0</v>
      </c>
      <c r="AB1808" s="13" t="n">
        <f aca="false">(D1808-AVERAGE(D$2:D$2001))/STDEV(D$2:D$2001)</f>
        <v>0.626387253967787</v>
      </c>
      <c r="AC1808" s="13" t="n">
        <f aca="false">(I1808-AVERAGE(I$2:I$2001))/STDEV(I$2:I$2001)</f>
        <v>-0.0205155458339628</v>
      </c>
      <c r="AD1808" s="13" t="n">
        <f aca="false">(L1808-AVERAGE(L$2:L$2001))/STDEV(L$2:L$2001)</f>
        <v>0.413838214490712</v>
      </c>
      <c r="AE1808" s="13" t="n">
        <f aca="false">(M1808-AVERAGE(M$2:M$2001))/STDEV(M$2:M$2001)</f>
        <v>0.264855169183247</v>
      </c>
      <c r="AF1808" s="13" t="n">
        <f aca="false">(N1808-AVERAGE(N$2:N$2001))/STDEV(N$2:N$2001)</f>
        <v>-0.128580954081311</v>
      </c>
      <c r="AG1808" s="13" t="n">
        <f aca="false">(O1808-AVERAGE(O$2:O$2001))/STDEV(O$2:O$2001)</f>
        <v>0.0905674686762141</v>
      </c>
      <c r="AH1808" s="0" t="str">
        <f aca="false">IF(B1808="Company","C3 - Corporate Buyers",IF(AND(H1808="Investment",M1808&gt;'Segmentation Summary'!$C$1),"C1 - Global Investors",IF(AND(I1808&gt;=4,M1808&gt;'Segmentation Summary'!$C$1),"C4 - Luxury Investors",IF(AND(D1808&lt;'Segmentation Summary'!$C$2,J1808=1),"C2 - First-Time Buyers","C5 - Other Individual Buyers"))))</f>
        <v>C5 - Other Individual Buyers</v>
      </c>
    </row>
    <row r="1809" customFormat="false" ht="15" hidden="false" customHeight="true" outlineLevel="0" collapsed="false">
      <c r="A1809" s="13" t="s">
        <v>3601</v>
      </c>
      <c r="B1809" s="13" t="s">
        <v>34</v>
      </c>
      <c r="C1809" s="13" t="s">
        <v>3602</v>
      </c>
      <c r="D1809" s="13" t="n">
        <v>43</v>
      </c>
      <c r="E1809" s="13" t="s">
        <v>90</v>
      </c>
      <c r="F1809" s="13" t="s">
        <v>33</v>
      </c>
      <c r="G1809" s="13" t="s">
        <v>95</v>
      </c>
      <c r="H1809" s="13" t="s">
        <v>41</v>
      </c>
      <c r="I1809" s="13" t="n">
        <v>3</v>
      </c>
      <c r="J1809" s="13" t="n">
        <v>0</v>
      </c>
      <c r="K1809" s="13" t="s">
        <v>91</v>
      </c>
      <c r="L1809" s="13" t="n">
        <v>4</v>
      </c>
      <c r="M1809" s="13" t="n">
        <v>1304527.66</v>
      </c>
      <c r="N1809" s="13" t="n">
        <v>326131.915</v>
      </c>
      <c r="O1809" s="13" t="n">
        <v>1042.725</v>
      </c>
      <c r="P1809" s="13" t="n">
        <v>0</v>
      </c>
      <c r="Q1809" s="13" t="n">
        <v>4</v>
      </c>
      <c r="R1809" s="13" t="s">
        <v>93</v>
      </c>
      <c r="S1809" s="13" t="s">
        <v>114</v>
      </c>
      <c r="T1809" s="13" t="n">
        <v>1</v>
      </c>
      <c r="U1809" s="13" t="n">
        <f aca="false">IF(B1809="Individual",1,0)</f>
        <v>1</v>
      </c>
      <c r="V1809" s="13" t="n">
        <f aca="false">IF(B1809="Company",1,0)</f>
        <v>0</v>
      </c>
      <c r="W1809" s="13" t="n">
        <f aca="false">IF(H1809="Home",1,0)</f>
        <v>1</v>
      </c>
      <c r="X1809" s="13" t="n">
        <f aca="false">IF(H1809="Investment",1,0)</f>
        <v>0</v>
      </c>
      <c r="Y1809" s="13" t="n">
        <f aca="false">IF(K1809="Website",1,0)</f>
        <v>0</v>
      </c>
      <c r="Z1809" s="13" t="n">
        <f aca="false">IF(K1809="Agency",1,0)</f>
        <v>1</v>
      </c>
      <c r="AA1809" s="13" t="n">
        <f aca="false">IF(K1809="Client",1,0)</f>
        <v>0</v>
      </c>
      <c r="AB1809" s="13" t="n">
        <f aca="false">(D1809-AVERAGE(D$2:D$2001))/STDEV(D$2:D$2001)</f>
        <v>-0.64218676677154</v>
      </c>
      <c r="AC1809" s="13" t="n">
        <f aca="false">(I1809-AVERAGE(I$2:I$2001))/STDEV(I$2:I$2001)</f>
        <v>-0.0205155458339628</v>
      </c>
      <c r="AD1809" s="13" t="n">
        <f aca="false">(L1809-AVERAGE(L$2:L$2001))/STDEV(L$2:L$2001)</f>
        <v>0.413838214490712</v>
      </c>
      <c r="AE1809" s="13" t="n">
        <f aca="false">(M1809-AVERAGE(M$2:M$2001))/STDEV(M$2:M$2001)</f>
        <v>0.12693584564173</v>
      </c>
      <c r="AF1809" s="13" t="n">
        <f aca="false">(N1809-AVERAGE(N$2:N$2001))/STDEV(N$2:N$2001)</f>
        <v>-0.300595141145966</v>
      </c>
      <c r="AG1809" s="13" t="n">
        <f aca="false">(O1809-AVERAGE(O$2:O$2001))/STDEV(O$2:O$2001)</f>
        <v>-0.476325189887744</v>
      </c>
      <c r="AH1809" s="0" t="str">
        <f aca="false">IF(B1809="Company","C3 - Corporate Buyers",IF(AND(H1809="Investment",M1809&gt;'Segmentation Summary'!$C$1),"C1 - Global Investors",IF(AND(I1809&gt;=4,M1809&gt;'Segmentation Summary'!$C$1),"C4 - Luxury Investors",IF(AND(D1809&lt;'Segmentation Summary'!$C$2,J1809=1),"C2 - First-Time Buyers","C5 - Other Individual Buyers"))))</f>
        <v>C5 - Other Individual Buyers</v>
      </c>
    </row>
    <row r="1810" customFormat="false" ht="15" hidden="false" customHeight="true" outlineLevel="0" collapsed="false">
      <c r="A1810" s="13" t="s">
        <v>3603</v>
      </c>
      <c r="B1810" s="13" t="s">
        <v>34</v>
      </c>
      <c r="C1810" s="13" t="s">
        <v>3604</v>
      </c>
      <c r="D1810" s="13" t="n">
        <v>72</v>
      </c>
      <c r="E1810" s="13" t="s">
        <v>90</v>
      </c>
      <c r="F1810" s="13" t="s">
        <v>33</v>
      </c>
      <c r="G1810" s="13" t="s">
        <v>106</v>
      </c>
      <c r="H1810" s="13" t="s">
        <v>41</v>
      </c>
      <c r="I1810" s="13" t="n">
        <v>4</v>
      </c>
      <c r="J1810" s="13" t="n">
        <v>0</v>
      </c>
      <c r="K1810" s="13" t="s">
        <v>85</v>
      </c>
      <c r="L1810" s="13" t="n">
        <v>3</v>
      </c>
      <c r="M1810" s="13" t="n">
        <v>1072582.78</v>
      </c>
      <c r="N1810" s="13" t="n">
        <v>357527.593333333</v>
      </c>
      <c r="O1810" s="13" t="n">
        <v>1369.73</v>
      </c>
      <c r="P1810" s="13" t="n">
        <v>0</v>
      </c>
      <c r="Q1810" s="13" t="n">
        <v>3</v>
      </c>
      <c r="R1810" s="13" t="s">
        <v>150</v>
      </c>
      <c r="S1810" s="13" t="s">
        <v>135</v>
      </c>
      <c r="T1810" s="13" t="n">
        <v>1</v>
      </c>
      <c r="U1810" s="13" t="n">
        <f aca="false">IF(B1810="Individual",1,0)</f>
        <v>1</v>
      </c>
      <c r="V1810" s="13" t="n">
        <f aca="false">IF(B1810="Company",1,0)</f>
        <v>0</v>
      </c>
      <c r="W1810" s="13" t="n">
        <f aca="false">IF(H1810="Home",1,0)</f>
        <v>1</v>
      </c>
      <c r="X1810" s="13" t="n">
        <f aca="false">IF(H1810="Investment",1,0)</f>
        <v>0</v>
      </c>
      <c r="Y1810" s="13" t="n">
        <f aca="false">IF(K1810="Website",1,0)</f>
        <v>1</v>
      </c>
      <c r="Z1810" s="13" t="n">
        <f aca="false">IF(K1810="Agency",1,0)</f>
        <v>0</v>
      </c>
      <c r="AA1810" s="13" t="n">
        <f aca="false">IF(K1810="Client",1,0)</f>
        <v>0</v>
      </c>
      <c r="AB1810" s="13" t="n">
        <f aca="false">(D1810-AVERAGE(D$2:D$2001))/STDEV(D$2:D$2001)</f>
        <v>1.03002444238485</v>
      </c>
      <c r="AC1810" s="13" t="n">
        <f aca="false">(I1810-AVERAGE(I$2:I$2001))/STDEV(I$2:I$2001)</f>
        <v>0.686917069130275</v>
      </c>
      <c r="AD1810" s="13" t="n">
        <f aca="false">(L1810-AVERAGE(L$2:L$2001))/STDEV(L$2:L$2001)</f>
        <v>-0.777063122173208</v>
      </c>
      <c r="AE1810" s="13" t="n">
        <f aca="false">(M1810-AVERAGE(M$2:M$2001))/STDEV(M$2:M$2001)</f>
        <v>-0.539896907919692</v>
      </c>
      <c r="AF1810" s="13" t="n">
        <f aca="false">(N1810-AVERAGE(N$2:N$2001))/STDEV(N$2:N$2001)</f>
        <v>0.149704026553548</v>
      </c>
      <c r="AG1810" s="13" t="n">
        <f aca="false">(O1810-AVERAGE(O$2:O$2001))/STDEV(O$2:O$2001)</f>
        <v>1.01058438370472</v>
      </c>
      <c r="AH1810" s="0" t="str">
        <f aca="false">IF(B1810="Company","C3 - Corporate Buyers",IF(AND(H1810="Investment",M1810&gt;'Segmentation Summary'!$C$1),"C1 - Global Investors",IF(AND(I1810&gt;=4,M1810&gt;'Segmentation Summary'!$C$1),"C4 - Luxury Investors",IF(AND(D1810&lt;'Segmentation Summary'!$C$2,J1810=1),"C2 - First-Time Buyers","C5 - Other Individual Buyers"))))</f>
        <v>C5 - Other Individual Buyers</v>
      </c>
    </row>
    <row r="1811" customFormat="false" ht="15" hidden="false" customHeight="true" outlineLevel="0" collapsed="false">
      <c r="A1811" s="13" t="s">
        <v>3605</v>
      </c>
      <c r="B1811" s="13" t="s">
        <v>34</v>
      </c>
      <c r="C1811" s="13" t="s">
        <v>3606</v>
      </c>
      <c r="D1811" s="13" t="n">
        <v>45</v>
      </c>
      <c r="E1811" s="13" t="s">
        <v>90</v>
      </c>
      <c r="F1811" s="13" t="s">
        <v>33</v>
      </c>
      <c r="G1811" s="13" t="s">
        <v>95</v>
      </c>
      <c r="H1811" s="13" t="s">
        <v>41</v>
      </c>
      <c r="I1811" s="13" t="n">
        <v>5</v>
      </c>
      <c r="J1811" s="13" t="n">
        <v>0</v>
      </c>
      <c r="K1811" s="13" t="s">
        <v>116</v>
      </c>
      <c r="L1811" s="13" t="n">
        <v>4</v>
      </c>
      <c r="M1811" s="13" t="n">
        <v>1563236.55</v>
      </c>
      <c r="N1811" s="13" t="n">
        <v>390809.1375</v>
      </c>
      <c r="O1811" s="13" t="n">
        <v>1287.1</v>
      </c>
      <c r="P1811" s="13" t="n">
        <v>0</v>
      </c>
      <c r="Q1811" s="13" t="n">
        <v>4</v>
      </c>
      <c r="R1811" s="13" t="s">
        <v>92</v>
      </c>
      <c r="S1811" s="13" t="s">
        <v>152</v>
      </c>
      <c r="T1811" s="13" t="n">
        <v>1</v>
      </c>
      <c r="U1811" s="13" t="n">
        <f aca="false">IF(B1811="Individual",1,0)</f>
        <v>1</v>
      </c>
      <c r="V1811" s="13" t="n">
        <f aca="false">IF(B1811="Company",1,0)</f>
        <v>0</v>
      </c>
      <c r="W1811" s="13" t="n">
        <f aca="false">IF(H1811="Home",1,0)</f>
        <v>1</v>
      </c>
      <c r="X1811" s="13" t="n">
        <f aca="false">IF(H1811="Investment",1,0)</f>
        <v>0</v>
      </c>
      <c r="Y1811" s="13" t="n">
        <f aca="false">IF(K1811="Website",1,0)</f>
        <v>0</v>
      </c>
      <c r="Z1811" s="13" t="n">
        <f aca="false">IF(K1811="Agency",1,0)</f>
        <v>0</v>
      </c>
      <c r="AA1811" s="13" t="n">
        <f aca="false">IF(K1811="Client",1,0)</f>
        <v>1</v>
      </c>
      <c r="AB1811" s="13" t="n">
        <f aca="false">(D1811-AVERAGE(D$2:D$2001))/STDEV(D$2:D$2001)</f>
        <v>-0.526861855795238</v>
      </c>
      <c r="AC1811" s="13" t="n">
        <f aca="false">(I1811-AVERAGE(I$2:I$2001))/STDEV(I$2:I$2001)</f>
        <v>1.39434968409451</v>
      </c>
      <c r="AD1811" s="13" t="n">
        <f aca="false">(L1811-AVERAGE(L$2:L$2001))/STDEV(L$2:L$2001)</f>
        <v>0.413838214490712</v>
      </c>
      <c r="AE1811" s="13" t="n">
        <f aca="false">(M1811-AVERAGE(M$2:M$2001))/STDEV(M$2:M$2001)</f>
        <v>0.870714115244057</v>
      </c>
      <c r="AF1811" s="13" t="n">
        <f aca="false">(N1811-AVERAGE(N$2:N$2001))/STDEV(N$2:N$2001)</f>
        <v>0.627051624490087</v>
      </c>
      <c r="AG1811" s="13" t="n">
        <f aca="false">(O1811-AVERAGE(O$2:O$2001))/STDEV(O$2:O$2001)</f>
        <v>0.634861266119532</v>
      </c>
      <c r="AH1811" s="0" t="str">
        <f aca="false">IF(B1811="Company","C3 - Corporate Buyers",IF(AND(H1811="Investment",M1811&gt;'Segmentation Summary'!$C$1),"C1 - Global Investors",IF(AND(I1811&gt;=4,M1811&gt;'Segmentation Summary'!$C$1),"C4 - Luxury Investors",IF(AND(D1811&lt;'Segmentation Summary'!$C$2,J1811=1),"C2 - First-Time Buyers","C5 - Other Individual Buyers"))))</f>
        <v>C4 - Luxury Investors</v>
      </c>
    </row>
    <row r="1812" customFormat="false" ht="15" hidden="false" customHeight="true" outlineLevel="0" collapsed="false">
      <c r="A1812" s="13" t="s">
        <v>3607</v>
      </c>
      <c r="B1812" s="13" t="s">
        <v>34</v>
      </c>
      <c r="C1812" s="13" t="s">
        <v>3608</v>
      </c>
      <c r="D1812" s="13" t="n">
        <v>74</v>
      </c>
      <c r="E1812" s="13" t="s">
        <v>90</v>
      </c>
      <c r="F1812" s="13" t="s">
        <v>33</v>
      </c>
      <c r="G1812" s="13" t="s">
        <v>95</v>
      </c>
      <c r="H1812" s="13" t="s">
        <v>41</v>
      </c>
      <c r="I1812" s="13" t="n">
        <v>4</v>
      </c>
      <c r="J1812" s="13" t="n">
        <v>0</v>
      </c>
      <c r="K1812" s="13" t="s">
        <v>91</v>
      </c>
      <c r="L1812" s="13" t="n">
        <v>4</v>
      </c>
      <c r="M1812" s="13" t="n">
        <v>1193678.04</v>
      </c>
      <c r="N1812" s="13" t="n">
        <v>298419.51</v>
      </c>
      <c r="O1812" s="13" t="n">
        <v>1024.3375</v>
      </c>
      <c r="P1812" s="13" t="n">
        <v>0</v>
      </c>
      <c r="Q1812" s="13" t="n">
        <v>4</v>
      </c>
      <c r="R1812" s="13" t="s">
        <v>117</v>
      </c>
      <c r="S1812" s="13" t="s">
        <v>135</v>
      </c>
      <c r="T1812" s="13" t="n">
        <v>1</v>
      </c>
      <c r="U1812" s="13" t="n">
        <f aca="false">IF(B1812="Individual",1,0)</f>
        <v>1</v>
      </c>
      <c r="V1812" s="13" t="n">
        <f aca="false">IF(B1812="Company",1,0)</f>
        <v>0</v>
      </c>
      <c r="W1812" s="13" t="n">
        <f aca="false">IF(H1812="Home",1,0)</f>
        <v>1</v>
      </c>
      <c r="X1812" s="13" t="n">
        <f aca="false">IF(H1812="Investment",1,0)</f>
        <v>0</v>
      </c>
      <c r="Y1812" s="13" t="n">
        <f aca="false">IF(K1812="Website",1,0)</f>
        <v>0</v>
      </c>
      <c r="Z1812" s="13" t="n">
        <f aca="false">IF(K1812="Agency",1,0)</f>
        <v>1</v>
      </c>
      <c r="AA1812" s="13" t="n">
        <f aca="false">IF(K1812="Client",1,0)</f>
        <v>0</v>
      </c>
      <c r="AB1812" s="13" t="n">
        <f aca="false">(D1812-AVERAGE(D$2:D$2001))/STDEV(D$2:D$2001)</f>
        <v>1.14534935336115</v>
      </c>
      <c r="AC1812" s="13" t="n">
        <f aca="false">(I1812-AVERAGE(I$2:I$2001))/STDEV(I$2:I$2001)</f>
        <v>0.686917069130275</v>
      </c>
      <c r="AD1812" s="13" t="n">
        <f aca="false">(L1812-AVERAGE(L$2:L$2001))/STDEV(L$2:L$2001)</f>
        <v>0.413838214490712</v>
      </c>
      <c r="AE1812" s="13" t="n">
        <f aca="false">(M1812-AVERAGE(M$2:M$2001))/STDEV(M$2:M$2001)</f>
        <v>-0.191752617478634</v>
      </c>
      <c r="AF1812" s="13" t="n">
        <f aca="false">(N1812-AVERAGE(N$2:N$2001))/STDEV(N$2:N$2001)</f>
        <v>-0.698066180757266</v>
      </c>
      <c r="AG1812" s="13" t="n">
        <f aca="false">(O1812-AVERAGE(O$2:O$2001))/STDEV(O$2:O$2001)</f>
        <v>-0.55993415545228</v>
      </c>
      <c r="AH1812" s="0" t="str">
        <f aca="false">IF(B1812="Company","C3 - Corporate Buyers",IF(AND(H1812="Investment",M1812&gt;'Segmentation Summary'!$C$1),"C1 - Global Investors",IF(AND(I1812&gt;=4,M1812&gt;'Segmentation Summary'!$C$1),"C4 - Luxury Investors",IF(AND(D1812&lt;'Segmentation Summary'!$C$2,J1812=1),"C2 - First-Time Buyers","C5 - Other Individual Buyers"))))</f>
        <v>C5 - Other Individual Buyers</v>
      </c>
    </row>
    <row r="1813" customFormat="false" ht="15" hidden="false" customHeight="true" outlineLevel="0" collapsed="false">
      <c r="A1813" s="13" t="s">
        <v>3609</v>
      </c>
      <c r="B1813" s="13" t="s">
        <v>34</v>
      </c>
      <c r="C1813" s="13" t="s">
        <v>3610</v>
      </c>
      <c r="D1813" s="13" t="n">
        <v>54</v>
      </c>
      <c r="E1813" s="13" t="s">
        <v>90</v>
      </c>
      <c r="F1813" s="13" t="s">
        <v>33</v>
      </c>
      <c r="G1813" s="13" t="s">
        <v>95</v>
      </c>
      <c r="H1813" s="13" t="s">
        <v>41</v>
      </c>
      <c r="I1813" s="13" t="n">
        <v>2</v>
      </c>
      <c r="J1813" s="13" t="n">
        <v>0</v>
      </c>
      <c r="K1813" s="13" t="s">
        <v>85</v>
      </c>
      <c r="L1813" s="13" t="n">
        <v>3</v>
      </c>
      <c r="M1813" s="13" t="n">
        <v>836639.27</v>
      </c>
      <c r="N1813" s="13" t="n">
        <v>278879.756666667</v>
      </c>
      <c r="O1813" s="13" t="n">
        <v>913.67</v>
      </c>
      <c r="P1813" s="13" t="n">
        <v>1</v>
      </c>
      <c r="Q1813" s="13" t="n">
        <v>2</v>
      </c>
      <c r="R1813" s="13" t="s">
        <v>86</v>
      </c>
      <c r="S1813" s="13" t="s">
        <v>114</v>
      </c>
      <c r="T1813" s="13" t="n">
        <v>1</v>
      </c>
      <c r="U1813" s="13" t="n">
        <f aca="false">IF(B1813="Individual",1,0)</f>
        <v>1</v>
      </c>
      <c r="V1813" s="13" t="n">
        <f aca="false">IF(B1813="Company",1,0)</f>
        <v>0</v>
      </c>
      <c r="W1813" s="13" t="n">
        <f aca="false">IF(H1813="Home",1,0)</f>
        <v>1</v>
      </c>
      <c r="X1813" s="13" t="n">
        <f aca="false">IF(H1813="Investment",1,0)</f>
        <v>0</v>
      </c>
      <c r="Y1813" s="13" t="n">
        <f aca="false">IF(K1813="Website",1,0)</f>
        <v>1</v>
      </c>
      <c r="Z1813" s="13" t="n">
        <f aca="false">IF(K1813="Agency",1,0)</f>
        <v>0</v>
      </c>
      <c r="AA1813" s="13" t="n">
        <f aca="false">IF(K1813="Client",1,0)</f>
        <v>0</v>
      </c>
      <c r="AB1813" s="13" t="n">
        <f aca="false">(D1813-AVERAGE(D$2:D$2001))/STDEV(D$2:D$2001)</f>
        <v>-0.00789975640187674</v>
      </c>
      <c r="AC1813" s="13" t="n">
        <f aca="false">(I1813-AVERAGE(I$2:I$2001))/STDEV(I$2:I$2001)</f>
        <v>-0.727948160798201</v>
      </c>
      <c r="AD1813" s="13" t="n">
        <f aca="false">(L1813-AVERAGE(L$2:L$2001))/STDEV(L$2:L$2001)</f>
        <v>-0.777063122173208</v>
      </c>
      <c r="AE1813" s="13" t="n">
        <f aca="false">(M1813-AVERAGE(M$2:M$2001))/STDEV(M$2:M$2001)</f>
        <v>-1.21822557142909</v>
      </c>
      <c r="AF1813" s="13" t="n">
        <f aca="false">(N1813-AVERAGE(N$2:N$2001))/STDEV(N$2:N$2001)</f>
        <v>-0.97831923245553</v>
      </c>
      <c r="AG1813" s="13" t="n">
        <f aca="false">(O1813-AVERAGE(O$2:O$2001))/STDEV(O$2:O$2001)</f>
        <v>-1.06314531502337</v>
      </c>
      <c r="AH1813" s="0" t="str">
        <f aca="false">IF(B1813="Company","C3 - Corporate Buyers",IF(AND(H1813="Investment",M1813&gt;'Segmentation Summary'!$C$1),"C1 - Global Investors",IF(AND(I1813&gt;=4,M1813&gt;'Segmentation Summary'!$C$1),"C4 - Luxury Investors",IF(AND(D1813&lt;'Segmentation Summary'!$C$2,J1813=1),"C2 - First-Time Buyers","C5 - Other Individual Buyers"))))</f>
        <v>C5 - Other Individual Buyers</v>
      </c>
    </row>
    <row r="1814" customFormat="false" ht="15" hidden="false" customHeight="true" outlineLevel="0" collapsed="false">
      <c r="A1814" s="13" t="s">
        <v>3611</v>
      </c>
      <c r="B1814" s="13" t="s">
        <v>34</v>
      </c>
      <c r="C1814" s="13" t="s">
        <v>3612</v>
      </c>
      <c r="D1814" s="13" t="n">
        <v>29</v>
      </c>
      <c r="E1814" s="13" t="s">
        <v>90</v>
      </c>
      <c r="F1814" s="13" t="s">
        <v>45</v>
      </c>
      <c r="G1814" s="13" t="s">
        <v>405</v>
      </c>
      <c r="H1814" s="13" t="s">
        <v>43</v>
      </c>
      <c r="I1814" s="13" t="n">
        <v>1</v>
      </c>
      <c r="J1814" s="13" t="n">
        <v>0</v>
      </c>
      <c r="K1814" s="13" t="s">
        <v>85</v>
      </c>
      <c r="L1814" s="13" t="n">
        <v>4</v>
      </c>
      <c r="M1814" s="13" t="n">
        <v>1503973.21</v>
      </c>
      <c r="N1814" s="13" t="n">
        <v>375993.3025</v>
      </c>
      <c r="O1814" s="13" t="n">
        <v>1238.115</v>
      </c>
      <c r="P1814" s="13" t="n">
        <v>1</v>
      </c>
      <c r="Q1814" s="13" t="n">
        <v>3</v>
      </c>
      <c r="R1814" s="13" t="s">
        <v>98</v>
      </c>
      <c r="S1814" s="13" t="s">
        <v>133</v>
      </c>
      <c r="T1814" s="13" t="n">
        <v>1</v>
      </c>
      <c r="U1814" s="13" t="n">
        <f aca="false">IF(B1814="Individual",1,0)</f>
        <v>1</v>
      </c>
      <c r="V1814" s="13" t="n">
        <f aca="false">IF(B1814="Company",1,0)</f>
        <v>0</v>
      </c>
      <c r="W1814" s="13" t="n">
        <f aca="false">IF(H1814="Home",1,0)</f>
        <v>0</v>
      </c>
      <c r="X1814" s="13" t="n">
        <f aca="false">IF(H1814="Investment",1,0)</f>
        <v>1</v>
      </c>
      <c r="Y1814" s="13" t="n">
        <f aca="false">IF(K1814="Website",1,0)</f>
        <v>1</v>
      </c>
      <c r="Z1814" s="13" t="n">
        <f aca="false">IF(K1814="Agency",1,0)</f>
        <v>0</v>
      </c>
      <c r="AA1814" s="13" t="n">
        <f aca="false">IF(K1814="Client",1,0)</f>
        <v>0</v>
      </c>
      <c r="AB1814" s="13" t="n">
        <f aca="false">(D1814-AVERAGE(D$2:D$2001))/STDEV(D$2:D$2001)</f>
        <v>-1.44946114360566</v>
      </c>
      <c r="AC1814" s="13" t="n">
        <f aca="false">(I1814-AVERAGE(I$2:I$2001))/STDEV(I$2:I$2001)</f>
        <v>-1.43538077576244</v>
      </c>
      <c r="AD1814" s="13" t="n">
        <f aca="false">(L1814-AVERAGE(L$2:L$2001))/STDEV(L$2:L$2001)</f>
        <v>0.413838214490712</v>
      </c>
      <c r="AE1814" s="13" t="n">
        <f aca="false">(M1814-AVERAGE(M$2:M$2001))/STDEV(M$2:M$2001)</f>
        <v>0.700334255177964</v>
      </c>
      <c r="AF1814" s="13" t="n">
        <f aca="false">(N1814-AVERAGE(N$2:N$2001))/STDEV(N$2:N$2001)</f>
        <v>0.414552372254148</v>
      </c>
      <c r="AG1814" s="13" t="n">
        <f aca="false">(O1814-AVERAGE(O$2:O$2001))/STDEV(O$2:O$2001)</f>
        <v>0.412123798917419</v>
      </c>
      <c r="AH1814" s="0" t="str">
        <f aca="false">IF(B1814="Company","C3 - Corporate Buyers",IF(AND(H1814="Investment",M1814&gt;'Segmentation Summary'!$C$1),"C1 - Global Investors",IF(AND(I1814&gt;=4,M1814&gt;'Segmentation Summary'!$C$1),"C4 - Luxury Investors",IF(AND(D1814&lt;'Segmentation Summary'!$C$2,J1814=1),"C2 - First-Time Buyers","C5 - Other Individual Buyers"))))</f>
        <v>C1 - Global Investors</v>
      </c>
    </row>
    <row r="1815" customFormat="false" ht="15" hidden="false" customHeight="true" outlineLevel="0" collapsed="false">
      <c r="A1815" s="13" t="s">
        <v>3613</v>
      </c>
      <c r="B1815" s="13" t="s">
        <v>34</v>
      </c>
      <c r="C1815" s="13" t="s">
        <v>3614</v>
      </c>
      <c r="D1815" s="13" t="n">
        <v>70</v>
      </c>
      <c r="E1815" s="13" t="s">
        <v>90</v>
      </c>
      <c r="F1815" s="13" t="s">
        <v>33</v>
      </c>
      <c r="G1815" s="13" t="s">
        <v>162</v>
      </c>
      <c r="H1815" s="13" t="s">
        <v>41</v>
      </c>
      <c r="I1815" s="13" t="n">
        <v>3</v>
      </c>
      <c r="J1815" s="13" t="n">
        <v>1</v>
      </c>
      <c r="K1815" s="13" t="s">
        <v>85</v>
      </c>
      <c r="L1815" s="13" t="n">
        <v>4</v>
      </c>
      <c r="M1815" s="13" t="n">
        <v>1258840</v>
      </c>
      <c r="N1815" s="13" t="n">
        <v>314710</v>
      </c>
      <c r="O1815" s="13" t="n">
        <v>1041.8025</v>
      </c>
      <c r="P1815" s="13" t="n">
        <v>1</v>
      </c>
      <c r="Q1815" s="13" t="n">
        <v>3</v>
      </c>
      <c r="R1815" s="13" t="s">
        <v>117</v>
      </c>
      <c r="S1815" s="13" t="s">
        <v>133</v>
      </c>
      <c r="T1815" s="13" t="n">
        <v>1</v>
      </c>
      <c r="U1815" s="13" t="n">
        <f aca="false">IF(B1815="Individual",1,0)</f>
        <v>1</v>
      </c>
      <c r="V1815" s="13" t="n">
        <f aca="false">IF(B1815="Company",1,0)</f>
        <v>0</v>
      </c>
      <c r="W1815" s="13" t="n">
        <f aca="false">IF(H1815="Home",1,0)</f>
        <v>1</v>
      </c>
      <c r="X1815" s="13" t="n">
        <f aca="false">IF(H1815="Investment",1,0)</f>
        <v>0</v>
      </c>
      <c r="Y1815" s="13" t="n">
        <f aca="false">IF(K1815="Website",1,0)</f>
        <v>1</v>
      </c>
      <c r="Z1815" s="13" t="n">
        <f aca="false">IF(K1815="Agency",1,0)</f>
        <v>0</v>
      </c>
      <c r="AA1815" s="13" t="n">
        <f aca="false">IF(K1815="Client",1,0)</f>
        <v>0</v>
      </c>
      <c r="AB1815" s="13" t="n">
        <f aca="false">(D1815-AVERAGE(D$2:D$2001))/STDEV(D$2:D$2001)</f>
        <v>0.914699531408543</v>
      </c>
      <c r="AC1815" s="13" t="n">
        <f aca="false">(I1815-AVERAGE(I$2:I$2001))/STDEV(I$2:I$2001)</f>
        <v>-0.0205155458339628</v>
      </c>
      <c r="AD1815" s="13" t="n">
        <f aca="false">(L1815-AVERAGE(L$2:L$2001))/STDEV(L$2:L$2001)</f>
        <v>0.413838214490712</v>
      </c>
      <c r="AE1815" s="13" t="n">
        <f aca="false">(M1815-AVERAGE(M$2:M$2001))/STDEV(M$2:M$2001)</f>
        <v>-0.00441444810727597</v>
      </c>
      <c r="AF1815" s="13" t="n">
        <f aca="false">(N1815-AVERAGE(N$2:N$2001))/STDEV(N$2:N$2001)</f>
        <v>-0.464416376776792</v>
      </c>
      <c r="AG1815" s="13" t="n">
        <f aca="false">(O1815-AVERAGE(O$2:O$2001))/STDEV(O$2:O$2001)</f>
        <v>-0.480519847711444</v>
      </c>
      <c r="AH1815" s="0" t="str">
        <f aca="false">IF(B1815="Company","C3 - Corporate Buyers",IF(AND(H1815="Investment",M1815&gt;'Segmentation Summary'!$C$1),"C1 - Global Investors",IF(AND(I1815&gt;=4,M1815&gt;'Segmentation Summary'!$C$1),"C4 - Luxury Investors",IF(AND(D1815&lt;'Segmentation Summary'!$C$2,J1815=1),"C2 - First-Time Buyers","C5 - Other Individual Buyers"))))</f>
        <v>C5 - Other Individual Buyers</v>
      </c>
    </row>
    <row r="1816" customFormat="false" ht="15" hidden="false" customHeight="true" outlineLevel="0" collapsed="false">
      <c r="A1816" s="13" t="s">
        <v>3615</v>
      </c>
      <c r="B1816" s="13" t="s">
        <v>34</v>
      </c>
      <c r="C1816" s="13" t="s">
        <v>3616</v>
      </c>
      <c r="D1816" s="13" t="n">
        <v>73</v>
      </c>
      <c r="E1816" s="13" t="s">
        <v>90</v>
      </c>
      <c r="F1816" s="13" t="s">
        <v>46</v>
      </c>
      <c r="G1816" s="13" t="s">
        <v>359</v>
      </c>
      <c r="H1816" s="13" t="s">
        <v>41</v>
      </c>
      <c r="I1816" s="13" t="n">
        <v>4</v>
      </c>
      <c r="J1816" s="13" t="n">
        <v>0</v>
      </c>
      <c r="K1816" s="13" t="s">
        <v>85</v>
      </c>
      <c r="L1816" s="13" t="n">
        <v>3</v>
      </c>
      <c r="M1816" s="13" t="n">
        <v>984598.73</v>
      </c>
      <c r="N1816" s="13" t="n">
        <v>328199.576666667</v>
      </c>
      <c r="O1816" s="13" t="n">
        <v>1104.51</v>
      </c>
      <c r="P1816" s="13" t="n">
        <v>0</v>
      </c>
      <c r="Q1816" s="13" t="n">
        <v>3</v>
      </c>
      <c r="R1816" s="13" t="s">
        <v>150</v>
      </c>
      <c r="S1816" s="13" t="s">
        <v>112</v>
      </c>
      <c r="T1816" s="13" t="n">
        <v>1</v>
      </c>
      <c r="U1816" s="13" t="n">
        <f aca="false">IF(B1816="Individual",1,0)</f>
        <v>1</v>
      </c>
      <c r="V1816" s="13" t="n">
        <f aca="false">IF(B1816="Company",1,0)</f>
        <v>0</v>
      </c>
      <c r="W1816" s="13" t="n">
        <f aca="false">IF(H1816="Home",1,0)</f>
        <v>1</v>
      </c>
      <c r="X1816" s="13" t="n">
        <f aca="false">IF(H1816="Investment",1,0)</f>
        <v>0</v>
      </c>
      <c r="Y1816" s="13" t="n">
        <f aca="false">IF(K1816="Website",1,0)</f>
        <v>1</v>
      </c>
      <c r="Z1816" s="13" t="n">
        <f aca="false">IF(K1816="Agency",1,0)</f>
        <v>0</v>
      </c>
      <c r="AA1816" s="13" t="n">
        <f aca="false">IF(K1816="Client",1,0)</f>
        <v>0</v>
      </c>
      <c r="AB1816" s="13" t="n">
        <f aca="false">(D1816-AVERAGE(D$2:D$2001))/STDEV(D$2:D$2001)</f>
        <v>1.087686897873</v>
      </c>
      <c r="AC1816" s="13" t="n">
        <f aca="false">(I1816-AVERAGE(I$2:I$2001))/STDEV(I$2:I$2001)</f>
        <v>0.686917069130275</v>
      </c>
      <c r="AD1816" s="13" t="n">
        <f aca="false">(L1816-AVERAGE(L$2:L$2001))/STDEV(L$2:L$2001)</f>
        <v>-0.777063122173208</v>
      </c>
      <c r="AE1816" s="13" t="n">
        <f aca="false">(M1816-AVERAGE(M$2:M$2001))/STDEV(M$2:M$2001)</f>
        <v>-0.792847722488162</v>
      </c>
      <c r="AF1816" s="13" t="n">
        <f aca="false">(N1816-AVERAGE(N$2:N$2001))/STDEV(N$2:N$2001)</f>
        <v>-0.270939265655745</v>
      </c>
      <c r="AG1816" s="13" t="n">
        <f aca="false">(O1816-AVERAGE(O$2:O$2001))/STDEV(O$2:O$2001)</f>
        <v>-0.195385424427244</v>
      </c>
      <c r="AH1816" s="0" t="str">
        <f aca="false">IF(B1816="Company","C3 - Corporate Buyers",IF(AND(H1816="Investment",M1816&gt;'Segmentation Summary'!$C$1),"C1 - Global Investors",IF(AND(I1816&gt;=4,M1816&gt;'Segmentation Summary'!$C$1),"C4 - Luxury Investors",IF(AND(D1816&lt;'Segmentation Summary'!$C$2,J1816=1),"C2 - First-Time Buyers","C5 - Other Individual Buyers"))))</f>
        <v>C5 - Other Individual Buyers</v>
      </c>
    </row>
    <row r="1817" customFormat="false" ht="15" hidden="false" customHeight="true" outlineLevel="0" collapsed="false">
      <c r="A1817" s="13" t="s">
        <v>3617</v>
      </c>
      <c r="B1817" s="13" t="s">
        <v>34</v>
      </c>
      <c r="C1817" s="13" t="s">
        <v>3618</v>
      </c>
      <c r="D1817" s="13" t="n">
        <v>58</v>
      </c>
      <c r="E1817" s="13" t="s">
        <v>90</v>
      </c>
      <c r="F1817" s="13" t="s">
        <v>33</v>
      </c>
      <c r="G1817" s="13" t="s">
        <v>95</v>
      </c>
      <c r="H1817" s="13" t="s">
        <v>43</v>
      </c>
      <c r="I1817" s="13" t="n">
        <v>2</v>
      </c>
      <c r="J1817" s="13" t="n">
        <v>1</v>
      </c>
      <c r="K1817" s="13" t="s">
        <v>116</v>
      </c>
      <c r="L1817" s="13" t="n">
        <v>3</v>
      </c>
      <c r="M1817" s="13" t="n">
        <v>1245446.78</v>
      </c>
      <c r="N1817" s="13" t="n">
        <v>415148.926666667</v>
      </c>
      <c r="O1817" s="13" t="n">
        <v>1523.69333333333</v>
      </c>
      <c r="P1817" s="13" t="n">
        <v>1</v>
      </c>
      <c r="Q1817" s="13" t="n">
        <v>2</v>
      </c>
      <c r="R1817" s="13" t="s">
        <v>135</v>
      </c>
      <c r="S1817" s="13" t="s">
        <v>125</v>
      </c>
      <c r="T1817" s="13" t="n">
        <v>1</v>
      </c>
      <c r="U1817" s="13" t="n">
        <f aca="false">IF(B1817="Individual",1,0)</f>
        <v>1</v>
      </c>
      <c r="V1817" s="13" t="n">
        <f aca="false">IF(B1817="Company",1,0)</f>
        <v>0</v>
      </c>
      <c r="W1817" s="13" t="n">
        <f aca="false">IF(H1817="Home",1,0)</f>
        <v>0</v>
      </c>
      <c r="X1817" s="13" t="n">
        <f aca="false">IF(H1817="Investment",1,0)</f>
        <v>1</v>
      </c>
      <c r="Y1817" s="13" t="n">
        <f aca="false">IF(K1817="Website",1,0)</f>
        <v>0</v>
      </c>
      <c r="Z1817" s="13" t="n">
        <f aca="false">IF(K1817="Agency",1,0)</f>
        <v>0</v>
      </c>
      <c r="AA1817" s="13" t="n">
        <f aca="false">IF(K1817="Client",1,0)</f>
        <v>1</v>
      </c>
      <c r="AB1817" s="13" t="n">
        <f aca="false">(D1817-AVERAGE(D$2:D$2001))/STDEV(D$2:D$2001)</f>
        <v>0.222750065550728</v>
      </c>
      <c r="AC1817" s="13" t="n">
        <f aca="false">(I1817-AVERAGE(I$2:I$2001))/STDEV(I$2:I$2001)</f>
        <v>-0.727948160798201</v>
      </c>
      <c r="AD1817" s="13" t="n">
        <f aca="false">(L1817-AVERAGE(L$2:L$2001))/STDEV(L$2:L$2001)</f>
        <v>-0.777063122173208</v>
      </c>
      <c r="AE1817" s="13" t="n">
        <f aca="false">(M1817-AVERAGE(M$2:M$2001))/STDEV(M$2:M$2001)</f>
        <v>-0.0429194488283693</v>
      </c>
      <c r="AF1817" s="13" t="n">
        <f aca="false">(N1817-AVERAGE(N$2:N$2001))/STDEV(N$2:N$2001)</f>
        <v>0.976150207020004</v>
      </c>
      <c r="AG1817" s="13" t="n">
        <f aca="false">(O1817-AVERAGE(O$2:O$2001))/STDEV(O$2:O$2001)</f>
        <v>1.71066405929237</v>
      </c>
      <c r="AH1817" s="0" t="str">
        <f aca="false">IF(B1817="Company","C3 - Corporate Buyers",IF(AND(H1817="Investment",M1817&gt;'Segmentation Summary'!$C$1),"C1 - Global Investors",IF(AND(I1817&gt;=4,M1817&gt;'Segmentation Summary'!$C$1),"C4 - Luxury Investors",IF(AND(D1817&lt;'Segmentation Summary'!$C$2,J1817=1),"C2 - First-Time Buyers","C5 - Other Individual Buyers"))))</f>
        <v>C1 - Global Investors</v>
      </c>
    </row>
    <row r="1818" customFormat="false" ht="15" hidden="false" customHeight="true" outlineLevel="0" collapsed="false">
      <c r="A1818" s="13" t="s">
        <v>3619</v>
      </c>
      <c r="B1818" s="13" t="s">
        <v>34</v>
      </c>
      <c r="C1818" s="13" t="s">
        <v>3620</v>
      </c>
      <c r="D1818" s="13" t="n">
        <v>71</v>
      </c>
      <c r="E1818" s="13" t="s">
        <v>90</v>
      </c>
      <c r="F1818" s="13" t="s">
        <v>33</v>
      </c>
      <c r="G1818" s="13" t="s">
        <v>95</v>
      </c>
      <c r="H1818" s="13" t="s">
        <v>41</v>
      </c>
      <c r="I1818" s="13" t="n">
        <v>3</v>
      </c>
      <c r="J1818" s="13" t="n">
        <v>0</v>
      </c>
      <c r="K1818" s="13" t="s">
        <v>85</v>
      </c>
      <c r="L1818" s="13" t="n">
        <v>3</v>
      </c>
      <c r="M1818" s="13" t="n">
        <v>1182808.29</v>
      </c>
      <c r="N1818" s="13" t="n">
        <v>394269.43</v>
      </c>
      <c r="O1818" s="13" t="n">
        <v>1361.74333333333</v>
      </c>
      <c r="P1818" s="13" t="n">
        <v>1</v>
      </c>
      <c r="Q1818" s="13" t="n">
        <v>2</v>
      </c>
      <c r="R1818" s="13" t="s">
        <v>98</v>
      </c>
      <c r="S1818" s="13" t="s">
        <v>121</v>
      </c>
      <c r="T1818" s="13" t="n">
        <v>1</v>
      </c>
      <c r="U1818" s="13" t="n">
        <f aca="false">IF(B1818="Individual",1,0)</f>
        <v>1</v>
      </c>
      <c r="V1818" s="13" t="n">
        <f aca="false">IF(B1818="Company",1,0)</f>
        <v>0</v>
      </c>
      <c r="W1818" s="13" t="n">
        <f aca="false">IF(H1818="Home",1,0)</f>
        <v>1</v>
      </c>
      <c r="X1818" s="13" t="n">
        <f aca="false">IF(H1818="Investment",1,0)</f>
        <v>0</v>
      </c>
      <c r="Y1818" s="13" t="n">
        <f aca="false">IF(K1818="Website",1,0)</f>
        <v>1</v>
      </c>
      <c r="Z1818" s="13" t="n">
        <f aca="false">IF(K1818="Agency",1,0)</f>
        <v>0</v>
      </c>
      <c r="AA1818" s="13" t="n">
        <f aca="false">IF(K1818="Client",1,0)</f>
        <v>0</v>
      </c>
      <c r="AB1818" s="13" t="n">
        <f aca="false">(D1818-AVERAGE(D$2:D$2001))/STDEV(D$2:D$2001)</f>
        <v>0.972361986896694</v>
      </c>
      <c r="AC1818" s="13" t="n">
        <f aca="false">(I1818-AVERAGE(I$2:I$2001))/STDEV(I$2:I$2001)</f>
        <v>-0.0205155458339628</v>
      </c>
      <c r="AD1818" s="13" t="n">
        <f aca="false">(L1818-AVERAGE(L$2:L$2001))/STDEV(L$2:L$2001)</f>
        <v>-0.777063122173208</v>
      </c>
      <c r="AE1818" s="13" t="n">
        <f aca="false">(M1818-AVERAGE(M$2:M$2001))/STDEV(M$2:M$2001)</f>
        <v>-0.223002737433962</v>
      </c>
      <c r="AF1818" s="13" t="n">
        <f aca="false">(N1818-AVERAGE(N$2:N$2001))/STDEV(N$2:N$2001)</f>
        <v>0.676681602737525</v>
      </c>
      <c r="AG1818" s="13" t="n">
        <f aca="false">(O1818-AVERAGE(O$2:O$2001))/STDEV(O$2:O$2001)</f>
        <v>0.974268574687236</v>
      </c>
      <c r="AH1818" s="0" t="str">
        <f aca="false">IF(B1818="Company","C3 - Corporate Buyers",IF(AND(H1818="Investment",M1818&gt;'Segmentation Summary'!$C$1),"C1 - Global Investors",IF(AND(I1818&gt;=4,M1818&gt;'Segmentation Summary'!$C$1),"C4 - Luxury Investors",IF(AND(D1818&lt;'Segmentation Summary'!$C$2,J1818=1),"C2 - First-Time Buyers","C5 - Other Individual Buyers"))))</f>
        <v>C5 - Other Individual Buyers</v>
      </c>
    </row>
    <row r="1819" customFormat="false" ht="15" hidden="false" customHeight="true" outlineLevel="0" collapsed="false">
      <c r="A1819" s="13" t="s">
        <v>3621</v>
      </c>
      <c r="B1819" s="13" t="s">
        <v>34</v>
      </c>
      <c r="C1819" s="13" t="s">
        <v>3622</v>
      </c>
      <c r="D1819" s="13" t="n">
        <v>29</v>
      </c>
      <c r="E1819" s="13" t="s">
        <v>90</v>
      </c>
      <c r="F1819" s="13" t="s">
        <v>45</v>
      </c>
      <c r="G1819" s="13" t="s">
        <v>196</v>
      </c>
      <c r="H1819" s="13" t="s">
        <v>41</v>
      </c>
      <c r="I1819" s="13" t="n">
        <v>2</v>
      </c>
      <c r="J1819" s="13" t="n">
        <v>0</v>
      </c>
      <c r="K1819" s="13" t="s">
        <v>91</v>
      </c>
      <c r="L1819" s="13" t="n">
        <v>4</v>
      </c>
      <c r="M1819" s="13" t="n">
        <v>1020299.92</v>
      </c>
      <c r="N1819" s="13" t="n">
        <v>255074.98</v>
      </c>
      <c r="O1819" s="13" t="n">
        <v>841.385</v>
      </c>
      <c r="P1819" s="13" t="n">
        <v>0</v>
      </c>
      <c r="Q1819" s="13" t="n">
        <v>4</v>
      </c>
      <c r="R1819" s="13" t="s">
        <v>101</v>
      </c>
      <c r="S1819" s="13" t="s">
        <v>93</v>
      </c>
      <c r="T1819" s="13" t="n">
        <v>1</v>
      </c>
      <c r="U1819" s="13" t="n">
        <f aca="false">IF(B1819="Individual",1,0)</f>
        <v>1</v>
      </c>
      <c r="V1819" s="13" t="n">
        <f aca="false">IF(B1819="Company",1,0)</f>
        <v>0</v>
      </c>
      <c r="W1819" s="13" t="n">
        <f aca="false">IF(H1819="Home",1,0)</f>
        <v>1</v>
      </c>
      <c r="X1819" s="13" t="n">
        <f aca="false">IF(H1819="Investment",1,0)</f>
        <v>0</v>
      </c>
      <c r="Y1819" s="13" t="n">
        <f aca="false">IF(K1819="Website",1,0)</f>
        <v>0</v>
      </c>
      <c r="Z1819" s="13" t="n">
        <f aca="false">IF(K1819="Agency",1,0)</f>
        <v>1</v>
      </c>
      <c r="AA1819" s="13" t="n">
        <f aca="false">IF(K1819="Client",1,0)</f>
        <v>0</v>
      </c>
      <c r="AB1819" s="13" t="n">
        <f aca="false">(D1819-AVERAGE(D$2:D$2001))/STDEV(D$2:D$2001)</f>
        <v>-1.44946114360566</v>
      </c>
      <c r="AC1819" s="13" t="n">
        <f aca="false">(I1819-AVERAGE(I$2:I$2001))/STDEV(I$2:I$2001)</f>
        <v>-0.727948160798201</v>
      </c>
      <c r="AD1819" s="13" t="n">
        <f aca="false">(L1819-AVERAGE(L$2:L$2001))/STDEV(L$2:L$2001)</f>
        <v>0.413838214490712</v>
      </c>
      <c r="AE1819" s="13" t="n">
        <f aca="false">(M1819-AVERAGE(M$2:M$2001))/STDEV(M$2:M$2001)</f>
        <v>-0.690208152116444</v>
      </c>
      <c r="AF1819" s="13" t="n">
        <f aca="false">(N1819-AVERAGE(N$2:N$2001))/STDEV(N$2:N$2001)</f>
        <v>-1.3197442848613</v>
      </c>
      <c r="AG1819" s="13" t="n">
        <f aca="false">(O1819-AVERAGE(O$2:O$2001))/STDEV(O$2:O$2001)</f>
        <v>-1.39182915327395</v>
      </c>
      <c r="AH1819" s="0" t="str">
        <f aca="false">IF(B1819="Company","C3 - Corporate Buyers",IF(AND(H1819="Investment",M1819&gt;'Segmentation Summary'!$C$1),"C1 - Global Investors",IF(AND(I1819&gt;=4,M1819&gt;'Segmentation Summary'!$C$1),"C4 - Luxury Investors",IF(AND(D1819&lt;'Segmentation Summary'!$C$2,J1819=1),"C2 - First-Time Buyers","C5 - Other Individual Buyers"))))</f>
        <v>C5 - Other Individual Buyers</v>
      </c>
    </row>
    <row r="1820" customFormat="false" ht="15" hidden="false" customHeight="true" outlineLevel="0" collapsed="false">
      <c r="A1820" s="13" t="s">
        <v>3623</v>
      </c>
      <c r="B1820" s="13" t="s">
        <v>34</v>
      </c>
      <c r="C1820" s="13" t="s">
        <v>3624</v>
      </c>
      <c r="D1820" s="13" t="n">
        <v>59</v>
      </c>
      <c r="E1820" s="13" t="s">
        <v>90</v>
      </c>
      <c r="F1820" s="13" t="s">
        <v>33</v>
      </c>
      <c r="G1820" s="13" t="s">
        <v>95</v>
      </c>
      <c r="H1820" s="13" t="s">
        <v>41</v>
      </c>
      <c r="I1820" s="13" t="n">
        <v>3</v>
      </c>
      <c r="J1820" s="13" t="n">
        <v>1</v>
      </c>
      <c r="K1820" s="13" t="s">
        <v>91</v>
      </c>
      <c r="L1820" s="13" t="n">
        <v>3</v>
      </c>
      <c r="M1820" s="13" t="n">
        <v>1016844.64</v>
      </c>
      <c r="N1820" s="13" t="n">
        <v>338948.213333333</v>
      </c>
      <c r="O1820" s="13" t="n">
        <v>1023.88</v>
      </c>
      <c r="P1820" s="13" t="n">
        <v>1</v>
      </c>
      <c r="Q1820" s="13" t="n">
        <v>2</v>
      </c>
      <c r="R1820" s="13" t="s">
        <v>98</v>
      </c>
      <c r="S1820" s="13" t="s">
        <v>114</v>
      </c>
      <c r="T1820" s="13" t="n">
        <v>1</v>
      </c>
      <c r="U1820" s="13" t="n">
        <f aca="false">IF(B1820="Individual",1,0)</f>
        <v>1</v>
      </c>
      <c r="V1820" s="13" t="n">
        <f aca="false">IF(B1820="Company",1,0)</f>
        <v>0</v>
      </c>
      <c r="W1820" s="13" t="n">
        <f aca="false">IF(H1820="Home",1,0)</f>
        <v>1</v>
      </c>
      <c r="X1820" s="13" t="n">
        <f aca="false">IF(H1820="Investment",1,0)</f>
        <v>0</v>
      </c>
      <c r="Y1820" s="13" t="n">
        <f aca="false">IF(K1820="Website",1,0)</f>
        <v>0</v>
      </c>
      <c r="Z1820" s="13" t="n">
        <f aca="false">IF(K1820="Agency",1,0)</f>
        <v>1</v>
      </c>
      <c r="AA1820" s="13" t="n">
        <f aca="false">IF(K1820="Client",1,0)</f>
        <v>0</v>
      </c>
      <c r="AB1820" s="13" t="n">
        <f aca="false">(D1820-AVERAGE(D$2:D$2001))/STDEV(D$2:D$2001)</f>
        <v>0.280412521038879</v>
      </c>
      <c r="AC1820" s="13" t="n">
        <f aca="false">(I1820-AVERAGE(I$2:I$2001))/STDEV(I$2:I$2001)</f>
        <v>-0.0205155458339628</v>
      </c>
      <c r="AD1820" s="13" t="n">
        <f aca="false">(L1820-AVERAGE(L$2:L$2001))/STDEV(L$2:L$2001)</f>
        <v>-0.777063122173208</v>
      </c>
      <c r="AE1820" s="13" t="n">
        <f aca="false">(M1820-AVERAGE(M$2:M$2001))/STDEV(M$2:M$2001)</f>
        <v>-0.700141951373948</v>
      </c>
      <c r="AF1820" s="13" t="n">
        <f aca="false">(N1820-AVERAGE(N$2:N$2001))/STDEV(N$2:N$2001)</f>
        <v>-0.116774667155402</v>
      </c>
      <c r="AG1820" s="13" t="n">
        <f aca="false">(O1820-AVERAGE(O$2:O$2001))/STDEV(O$2:O$2001)</f>
        <v>-0.562014432909563</v>
      </c>
      <c r="AH1820" s="0" t="str">
        <f aca="false">IF(B1820="Company","C3 - Corporate Buyers",IF(AND(H1820="Investment",M1820&gt;'Segmentation Summary'!$C$1),"C1 - Global Investors",IF(AND(I1820&gt;=4,M1820&gt;'Segmentation Summary'!$C$1),"C4 - Luxury Investors",IF(AND(D1820&lt;'Segmentation Summary'!$C$2,J1820=1),"C2 - First-Time Buyers","C5 - Other Individual Buyers"))))</f>
        <v>C5 - Other Individual Buyers</v>
      </c>
    </row>
    <row r="1821" customFormat="false" ht="15" hidden="false" customHeight="true" outlineLevel="0" collapsed="false">
      <c r="A1821" s="13" t="s">
        <v>3625</v>
      </c>
      <c r="B1821" s="13" t="s">
        <v>34</v>
      </c>
      <c r="C1821" s="13" t="s">
        <v>3626</v>
      </c>
      <c r="D1821" s="13" t="n">
        <v>43</v>
      </c>
      <c r="E1821" s="13" t="s">
        <v>90</v>
      </c>
      <c r="F1821" s="13" t="s">
        <v>33</v>
      </c>
      <c r="G1821" s="13" t="s">
        <v>95</v>
      </c>
      <c r="H1821" s="13" t="s">
        <v>43</v>
      </c>
      <c r="I1821" s="13" t="n">
        <v>1</v>
      </c>
      <c r="J1821" s="13" t="n">
        <v>1</v>
      </c>
      <c r="K1821" s="13" t="s">
        <v>91</v>
      </c>
      <c r="L1821" s="13" t="n">
        <v>4</v>
      </c>
      <c r="M1821" s="13" t="n">
        <v>844316.69</v>
      </c>
      <c r="N1821" s="13" t="n">
        <v>211079.1725</v>
      </c>
      <c r="O1821" s="13" t="n">
        <v>678.3725</v>
      </c>
      <c r="P1821" s="13" t="n">
        <v>2</v>
      </c>
      <c r="Q1821" s="13" t="n">
        <v>2</v>
      </c>
      <c r="R1821" s="13" t="s">
        <v>215</v>
      </c>
      <c r="S1821" s="13" t="s">
        <v>87</v>
      </c>
      <c r="T1821" s="13" t="n">
        <v>1</v>
      </c>
      <c r="U1821" s="13" t="n">
        <f aca="false">IF(B1821="Individual",1,0)</f>
        <v>1</v>
      </c>
      <c r="V1821" s="13" t="n">
        <f aca="false">IF(B1821="Company",1,0)</f>
        <v>0</v>
      </c>
      <c r="W1821" s="13" t="n">
        <f aca="false">IF(H1821="Home",1,0)</f>
        <v>0</v>
      </c>
      <c r="X1821" s="13" t="n">
        <f aca="false">IF(H1821="Investment",1,0)</f>
        <v>1</v>
      </c>
      <c r="Y1821" s="13" t="n">
        <f aca="false">IF(K1821="Website",1,0)</f>
        <v>0</v>
      </c>
      <c r="Z1821" s="13" t="n">
        <f aca="false">IF(K1821="Agency",1,0)</f>
        <v>1</v>
      </c>
      <c r="AA1821" s="13" t="n">
        <f aca="false">IF(K1821="Client",1,0)</f>
        <v>0</v>
      </c>
      <c r="AB1821" s="13" t="n">
        <f aca="false">(D1821-AVERAGE(D$2:D$2001))/STDEV(D$2:D$2001)</f>
        <v>-0.64218676677154</v>
      </c>
      <c r="AC1821" s="13" t="n">
        <f aca="false">(I1821-AVERAGE(I$2:I$2001))/STDEV(I$2:I$2001)</f>
        <v>-1.43538077576244</v>
      </c>
      <c r="AD1821" s="13" t="n">
        <f aca="false">(L1821-AVERAGE(L$2:L$2001))/STDEV(L$2:L$2001)</f>
        <v>0.413838214490712</v>
      </c>
      <c r="AE1821" s="13" t="n">
        <f aca="false">(M1821-AVERAGE(M$2:M$2001))/STDEV(M$2:M$2001)</f>
        <v>-1.19615327943089</v>
      </c>
      <c r="AF1821" s="13" t="n">
        <f aca="false">(N1821-AVERAGE(N$2:N$2001))/STDEV(N$2:N$2001)</f>
        <v>-1.95076347448283</v>
      </c>
      <c r="AG1821" s="13" t="n">
        <f aca="false">(O1821-AVERAGE(O$2:O$2001))/STDEV(O$2:O$2001)</f>
        <v>-2.13305588333998</v>
      </c>
      <c r="AH1821" s="0" t="str">
        <f aca="false">IF(B1821="Company","C3 - Corporate Buyers",IF(AND(H1821="Investment",M1821&gt;'Segmentation Summary'!$C$1),"C1 - Global Investors",IF(AND(I1821&gt;=4,M1821&gt;'Segmentation Summary'!$C$1),"C4 - Luxury Investors",IF(AND(D1821&lt;'Segmentation Summary'!$C$2,J1821=1),"C2 - First-Time Buyers","C5 - Other Individual Buyers"))))</f>
        <v>C2 - First-Time Buyers</v>
      </c>
    </row>
    <row r="1822" customFormat="false" ht="15" hidden="false" customHeight="true" outlineLevel="0" collapsed="false">
      <c r="A1822" s="13" t="s">
        <v>3627</v>
      </c>
      <c r="B1822" s="13" t="s">
        <v>34</v>
      </c>
      <c r="C1822" s="13" t="s">
        <v>3628</v>
      </c>
      <c r="D1822" s="13" t="n">
        <v>81</v>
      </c>
      <c r="E1822" s="13" t="s">
        <v>90</v>
      </c>
      <c r="F1822" s="13" t="s">
        <v>33</v>
      </c>
      <c r="G1822" s="13" t="s">
        <v>95</v>
      </c>
      <c r="H1822" s="13" t="s">
        <v>41</v>
      </c>
      <c r="I1822" s="13" t="n">
        <v>4</v>
      </c>
      <c r="J1822" s="13" t="n">
        <v>1</v>
      </c>
      <c r="K1822" s="13" t="s">
        <v>85</v>
      </c>
      <c r="L1822" s="13" t="n">
        <v>4</v>
      </c>
      <c r="M1822" s="13" t="n">
        <v>1522144.26</v>
      </c>
      <c r="N1822" s="13" t="n">
        <v>380536.065</v>
      </c>
      <c r="O1822" s="13" t="n">
        <v>1252.745</v>
      </c>
      <c r="P1822" s="13" t="n">
        <v>1</v>
      </c>
      <c r="Q1822" s="13" t="n">
        <v>3</v>
      </c>
      <c r="R1822" s="13" t="s">
        <v>98</v>
      </c>
      <c r="S1822" s="13" t="s">
        <v>154</v>
      </c>
      <c r="T1822" s="13" t="n">
        <v>1</v>
      </c>
      <c r="U1822" s="13" t="n">
        <f aca="false">IF(B1822="Individual",1,0)</f>
        <v>1</v>
      </c>
      <c r="V1822" s="13" t="n">
        <f aca="false">IF(B1822="Company",1,0)</f>
        <v>0</v>
      </c>
      <c r="W1822" s="13" t="n">
        <f aca="false">IF(H1822="Home",1,0)</f>
        <v>1</v>
      </c>
      <c r="X1822" s="13" t="n">
        <f aca="false">IF(H1822="Investment",1,0)</f>
        <v>0</v>
      </c>
      <c r="Y1822" s="13" t="n">
        <f aca="false">IF(K1822="Website",1,0)</f>
        <v>1</v>
      </c>
      <c r="Z1822" s="13" t="n">
        <f aca="false">IF(K1822="Agency",1,0)</f>
        <v>0</v>
      </c>
      <c r="AA1822" s="13" t="n">
        <f aca="false">IF(K1822="Client",1,0)</f>
        <v>0</v>
      </c>
      <c r="AB1822" s="13" t="n">
        <f aca="false">(D1822-AVERAGE(D$2:D$2001))/STDEV(D$2:D$2001)</f>
        <v>1.54898654177821</v>
      </c>
      <c r="AC1822" s="13" t="n">
        <f aca="false">(I1822-AVERAGE(I$2:I$2001))/STDEV(I$2:I$2001)</f>
        <v>0.686917069130275</v>
      </c>
      <c r="AD1822" s="13" t="n">
        <f aca="false">(L1822-AVERAGE(L$2:L$2001))/STDEV(L$2:L$2001)</f>
        <v>0.413838214490712</v>
      </c>
      <c r="AE1822" s="13" t="n">
        <f aca="false">(M1822-AVERAGE(M$2:M$2001))/STDEV(M$2:M$2001)</f>
        <v>0.752575336363297</v>
      </c>
      <c r="AF1822" s="13" t="n">
        <f aca="false">(N1822-AVERAGE(N$2:N$2001))/STDEV(N$2:N$2001)</f>
        <v>0.479707905798864</v>
      </c>
      <c r="AG1822" s="13" t="n">
        <f aca="false">(O1822-AVERAGE(O$2:O$2001))/STDEV(O$2:O$2001)</f>
        <v>0.478647207004934</v>
      </c>
      <c r="AH1822" s="0" t="str">
        <f aca="false">IF(B1822="Company","C3 - Corporate Buyers",IF(AND(H1822="Investment",M1822&gt;'Segmentation Summary'!$C$1),"C1 - Global Investors",IF(AND(I1822&gt;=4,M1822&gt;'Segmentation Summary'!$C$1),"C4 - Luxury Investors",IF(AND(D1822&lt;'Segmentation Summary'!$C$2,J1822=1),"C2 - First-Time Buyers","C5 - Other Individual Buyers"))))</f>
        <v>C4 - Luxury Investors</v>
      </c>
    </row>
    <row r="1823" customFormat="false" ht="15" hidden="false" customHeight="true" outlineLevel="0" collapsed="false">
      <c r="A1823" s="13" t="s">
        <v>3629</v>
      </c>
      <c r="B1823" s="13" t="s">
        <v>34</v>
      </c>
      <c r="C1823" s="13" t="s">
        <v>3630</v>
      </c>
      <c r="D1823" s="13" t="n">
        <v>71</v>
      </c>
      <c r="E1823" s="13" t="s">
        <v>83</v>
      </c>
      <c r="F1823" s="13" t="s">
        <v>33</v>
      </c>
      <c r="G1823" s="13" t="s">
        <v>162</v>
      </c>
      <c r="H1823" s="13" t="s">
        <v>41</v>
      </c>
      <c r="I1823" s="13" t="n">
        <v>4</v>
      </c>
      <c r="J1823" s="13" t="n">
        <v>0</v>
      </c>
      <c r="K1823" s="13" t="s">
        <v>85</v>
      </c>
      <c r="L1823" s="13" t="n">
        <v>4</v>
      </c>
      <c r="M1823" s="13" t="n">
        <v>957679.27</v>
      </c>
      <c r="N1823" s="13" t="n">
        <v>239419.8175</v>
      </c>
      <c r="O1823" s="13" t="n">
        <v>820.9825</v>
      </c>
      <c r="P1823" s="13" t="n">
        <v>0</v>
      </c>
      <c r="Q1823" s="13" t="n">
        <v>4</v>
      </c>
      <c r="R1823" s="13" t="s">
        <v>111</v>
      </c>
      <c r="S1823" s="13" t="s">
        <v>114</v>
      </c>
      <c r="T1823" s="13" t="n">
        <v>1</v>
      </c>
      <c r="U1823" s="13" t="n">
        <f aca="false">IF(B1823="Individual",1,0)</f>
        <v>1</v>
      </c>
      <c r="V1823" s="13" t="n">
        <f aca="false">IF(B1823="Company",1,0)</f>
        <v>0</v>
      </c>
      <c r="W1823" s="13" t="n">
        <f aca="false">IF(H1823="Home",1,0)</f>
        <v>1</v>
      </c>
      <c r="X1823" s="13" t="n">
        <f aca="false">IF(H1823="Investment",1,0)</f>
        <v>0</v>
      </c>
      <c r="Y1823" s="13" t="n">
        <f aca="false">IF(K1823="Website",1,0)</f>
        <v>1</v>
      </c>
      <c r="Z1823" s="13" t="n">
        <f aca="false">IF(K1823="Agency",1,0)</f>
        <v>0</v>
      </c>
      <c r="AA1823" s="13" t="n">
        <f aca="false">IF(K1823="Client",1,0)</f>
        <v>0</v>
      </c>
      <c r="AB1823" s="13" t="n">
        <f aca="false">(D1823-AVERAGE(D$2:D$2001))/STDEV(D$2:D$2001)</f>
        <v>0.972361986896694</v>
      </c>
      <c r="AC1823" s="13" t="n">
        <f aca="false">(I1823-AVERAGE(I$2:I$2001))/STDEV(I$2:I$2001)</f>
        <v>0.686917069130275</v>
      </c>
      <c r="AD1823" s="13" t="n">
        <f aca="false">(L1823-AVERAGE(L$2:L$2001))/STDEV(L$2:L$2001)</f>
        <v>0.413838214490712</v>
      </c>
      <c r="AE1823" s="13" t="n">
        <f aca="false">(M1823-AVERAGE(M$2:M$2001))/STDEV(M$2:M$2001)</f>
        <v>-0.870240151397076</v>
      </c>
      <c r="AF1823" s="13" t="n">
        <f aca="false">(N1823-AVERAGE(N$2:N$2001))/STDEV(N$2:N$2001)</f>
        <v>-1.5442817695783</v>
      </c>
      <c r="AG1823" s="13" t="n">
        <f aca="false">(O1823-AVERAGE(O$2:O$2001))/STDEV(O$2:O$2001)</f>
        <v>-1.48460043375963</v>
      </c>
      <c r="AH1823" s="0" t="str">
        <f aca="false">IF(B1823="Company","C3 - Corporate Buyers",IF(AND(H1823="Investment",M1823&gt;'Segmentation Summary'!$C$1),"C1 - Global Investors",IF(AND(I1823&gt;=4,M1823&gt;'Segmentation Summary'!$C$1),"C4 - Luxury Investors",IF(AND(D1823&lt;'Segmentation Summary'!$C$2,J1823=1),"C2 - First-Time Buyers","C5 - Other Individual Buyers"))))</f>
        <v>C5 - Other Individual Buyers</v>
      </c>
    </row>
    <row r="1824" customFormat="false" ht="15" hidden="false" customHeight="true" outlineLevel="0" collapsed="false">
      <c r="A1824" s="13" t="s">
        <v>3631</v>
      </c>
      <c r="B1824" s="13" t="s">
        <v>34</v>
      </c>
      <c r="C1824" s="13" t="s">
        <v>3632</v>
      </c>
      <c r="D1824" s="13" t="n">
        <v>57</v>
      </c>
      <c r="E1824" s="13" t="s">
        <v>90</v>
      </c>
      <c r="F1824" s="13" t="s">
        <v>33</v>
      </c>
      <c r="G1824" s="13" t="s">
        <v>95</v>
      </c>
      <c r="H1824" s="13" t="s">
        <v>43</v>
      </c>
      <c r="I1824" s="13" t="n">
        <v>2</v>
      </c>
      <c r="J1824" s="13" t="n">
        <v>1</v>
      </c>
      <c r="K1824" s="13" t="s">
        <v>91</v>
      </c>
      <c r="L1824" s="13" t="n">
        <v>7</v>
      </c>
      <c r="M1824" s="13" t="n">
        <v>2539205.93</v>
      </c>
      <c r="N1824" s="13" t="n">
        <v>362743.704285714</v>
      </c>
      <c r="O1824" s="13" t="n">
        <v>1212.75857142857</v>
      </c>
      <c r="P1824" s="13" t="n">
        <v>0</v>
      </c>
      <c r="Q1824" s="13" t="n">
        <v>7</v>
      </c>
      <c r="R1824" s="13" t="s">
        <v>101</v>
      </c>
      <c r="S1824" s="13" t="s">
        <v>164</v>
      </c>
      <c r="T1824" s="13" t="n">
        <v>1</v>
      </c>
      <c r="U1824" s="13" t="n">
        <f aca="false">IF(B1824="Individual",1,0)</f>
        <v>1</v>
      </c>
      <c r="V1824" s="13" t="n">
        <f aca="false">IF(B1824="Company",1,0)</f>
        <v>0</v>
      </c>
      <c r="W1824" s="13" t="n">
        <f aca="false">IF(H1824="Home",1,0)</f>
        <v>0</v>
      </c>
      <c r="X1824" s="13" t="n">
        <f aca="false">IF(H1824="Investment",1,0)</f>
        <v>1</v>
      </c>
      <c r="Y1824" s="13" t="n">
        <f aca="false">IF(K1824="Website",1,0)</f>
        <v>0</v>
      </c>
      <c r="Z1824" s="13" t="n">
        <f aca="false">IF(K1824="Agency",1,0)</f>
        <v>1</v>
      </c>
      <c r="AA1824" s="13" t="n">
        <f aca="false">IF(K1824="Client",1,0)</f>
        <v>0</v>
      </c>
      <c r="AB1824" s="13" t="n">
        <f aca="false">(D1824-AVERAGE(D$2:D$2001))/STDEV(D$2:D$2001)</f>
        <v>0.165087610062577</v>
      </c>
      <c r="AC1824" s="13" t="n">
        <f aca="false">(I1824-AVERAGE(I$2:I$2001))/STDEV(I$2:I$2001)</f>
        <v>-0.727948160798201</v>
      </c>
      <c r="AD1824" s="13" t="n">
        <f aca="false">(L1824-AVERAGE(L$2:L$2001))/STDEV(L$2:L$2001)</f>
        <v>3.98654222448247</v>
      </c>
      <c r="AE1824" s="13" t="n">
        <f aca="false">(M1824-AVERAGE(M$2:M$2001))/STDEV(M$2:M$2001)</f>
        <v>3.67658915355934</v>
      </c>
      <c r="AF1824" s="13" t="n">
        <f aca="false">(N1824-AVERAGE(N$2:N$2001))/STDEV(N$2:N$2001)</f>
        <v>0.224517202926034</v>
      </c>
      <c r="AG1824" s="13" t="n">
        <f aca="false">(O1824-AVERAGE(O$2:O$2001))/STDEV(O$2:O$2001)</f>
        <v>0.296826734973525</v>
      </c>
      <c r="AH1824" s="0" t="str">
        <f aca="false">IF(B1824="Company","C3 - Corporate Buyers",IF(AND(H1824="Investment",M1824&gt;'Segmentation Summary'!$C$1),"C1 - Global Investors",IF(AND(I1824&gt;=4,M1824&gt;'Segmentation Summary'!$C$1),"C4 - Luxury Investors",IF(AND(D1824&lt;'Segmentation Summary'!$C$2,J1824=1),"C2 - First-Time Buyers","C5 - Other Individual Buyers"))))</f>
        <v>C1 - Global Investors</v>
      </c>
    </row>
    <row r="1825" customFormat="false" ht="15" hidden="false" customHeight="true" outlineLevel="0" collapsed="false">
      <c r="A1825" s="13" t="s">
        <v>3633</v>
      </c>
      <c r="B1825" s="13" t="s">
        <v>34</v>
      </c>
      <c r="C1825" s="13" t="s">
        <v>3634</v>
      </c>
      <c r="D1825" s="13" t="n">
        <v>47</v>
      </c>
      <c r="E1825" s="13" t="s">
        <v>83</v>
      </c>
      <c r="F1825" s="13" t="s">
        <v>33</v>
      </c>
      <c r="G1825" s="13" t="s">
        <v>84</v>
      </c>
      <c r="H1825" s="13" t="s">
        <v>41</v>
      </c>
      <c r="I1825" s="13" t="n">
        <v>4</v>
      </c>
      <c r="J1825" s="13" t="n">
        <v>1</v>
      </c>
      <c r="K1825" s="13" t="s">
        <v>85</v>
      </c>
      <c r="L1825" s="13" t="n">
        <v>5</v>
      </c>
      <c r="M1825" s="13" t="n">
        <v>1077148.21</v>
      </c>
      <c r="N1825" s="13" t="n">
        <v>215429.642</v>
      </c>
      <c r="O1825" s="13" t="n">
        <v>677.34</v>
      </c>
      <c r="P1825" s="13" t="n">
        <v>1</v>
      </c>
      <c r="Q1825" s="13" t="n">
        <v>4</v>
      </c>
      <c r="R1825" s="13" t="s">
        <v>101</v>
      </c>
      <c r="S1825" s="13" t="s">
        <v>87</v>
      </c>
      <c r="T1825" s="13" t="n">
        <v>1</v>
      </c>
      <c r="U1825" s="13" t="n">
        <f aca="false">IF(B1825="Individual",1,0)</f>
        <v>1</v>
      </c>
      <c r="V1825" s="13" t="n">
        <f aca="false">IF(B1825="Company",1,0)</f>
        <v>0</v>
      </c>
      <c r="W1825" s="13" t="n">
        <f aca="false">IF(H1825="Home",1,0)</f>
        <v>1</v>
      </c>
      <c r="X1825" s="13" t="n">
        <f aca="false">IF(H1825="Investment",1,0)</f>
        <v>0</v>
      </c>
      <c r="Y1825" s="13" t="n">
        <f aca="false">IF(K1825="Website",1,0)</f>
        <v>1</v>
      </c>
      <c r="Z1825" s="13" t="n">
        <f aca="false">IF(K1825="Agency",1,0)</f>
        <v>0</v>
      </c>
      <c r="AA1825" s="13" t="n">
        <f aca="false">IF(K1825="Client",1,0)</f>
        <v>0</v>
      </c>
      <c r="AB1825" s="13" t="n">
        <f aca="false">(D1825-AVERAGE(D$2:D$2001))/STDEV(D$2:D$2001)</f>
        <v>-0.411536944818935</v>
      </c>
      <c r="AC1825" s="13" t="n">
        <f aca="false">(I1825-AVERAGE(I$2:I$2001))/STDEV(I$2:I$2001)</f>
        <v>0.686917069130275</v>
      </c>
      <c r="AD1825" s="13" t="n">
        <f aca="false">(L1825-AVERAGE(L$2:L$2001))/STDEV(L$2:L$2001)</f>
        <v>1.60473955115463</v>
      </c>
      <c r="AE1825" s="13" t="n">
        <f aca="false">(M1825-AVERAGE(M$2:M$2001))/STDEV(M$2:M$2001)</f>
        <v>-0.526771469418563</v>
      </c>
      <c r="AF1825" s="13" t="n">
        <f aca="false">(N1825-AVERAGE(N$2:N$2001))/STDEV(N$2:N$2001)</f>
        <v>-1.88836594402807</v>
      </c>
      <c r="AG1825" s="13" t="n">
        <f aca="false">(O1825-AVERAGE(O$2:O$2001))/STDEV(O$2:O$2001)</f>
        <v>-2.13775071716434</v>
      </c>
      <c r="AH1825" s="0" t="str">
        <f aca="false">IF(B1825="Company","C3 - Corporate Buyers",IF(AND(H1825="Investment",M1825&gt;'Segmentation Summary'!$C$1),"C1 - Global Investors",IF(AND(I1825&gt;=4,M1825&gt;'Segmentation Summary'!$C$1),"C4 - Luxury Investors",IF(AND(D1825&lt;'Segmentation Summary'!$C$2,J1825=1),"C2 - First-Time Buyers","C5 - Other Individual Buyers"))))</f>
        <v>C2 - First-Time Buyers</v>
      </c>
    </row>
    <row r="1826" customFormat="false" ht="15" hidden="false" customHeight="true" outlineLevel="0" collapsed="false">
      <c r="A1826" s="13" t="s">
        <v>3635</v>
      </c>
      <c r="B1826" s="13" t="s">
        <v>34</v>
      </c>
      <c r="C1826" s="13" t="s">
        <v>3636</v>
      </c>
      <c r="D1826" s="13" t="n">
        <v>76</v>
      </c>
      <c r="E1826" s="13" t="s">
        <v>90</v>
      </c>
      <c r="F1826" s="13" t="s">
        <v>33</v>
      </c>
      <c r="G1826" s="13" t="s">
        <v>157</v>
      </c>
      <c r="H1826" s="13" t="s">
        <v>43</v>
      </c>
      <c r="I1826" s="13" t="n">
        <v>5</v>
      </c>
      <c r="J1826" s="13" t="n">
        <v>0</v>
      </c>
      <c r="K1826" s="13" t="s">
        <v>91</v>
      </c>
      <c r="L1826" s="13" t="n">
        <v>4</v>
      </c>
      <c r="M1826" s="13" t="n">
        <v>1218377.19</v>
      </c>
      <c r="N1826" s="13" t="n">
        <v>304594.2975</v>
      </c>
      <c r="O1826" s="13" t="n">
        <v>1009.1225</v>
      </c>
      <c r="P1826" s="13" t="n">
        <v>1</v>
      </c>
      <c r="Q1826" s="13" t="n">
        <v>3</v>
      </c>
      <c r="R1826" s="13" t="s">
        <v>124</v>
      </c>
      <c r="S1826" s="13" t="s">
        <v>107</v>
      </c>
      <c r="T1826" s="13" t="n">
        <v>1</v>
      </c>
      <c r="U1826" s="13" t="n">
        <f aca="false">IF(B1826="Individual",1,0)</f>
        <v>1</v>
      </c>
      <c r="V1826" s="13" t="n">
        <f aca="false">IF(B1826="Company",1,0)</f>
        <v>0</v>
      </c>
      <c r="W1826" s="13" t="n">
        <f aca="false">IF(H1826="Home",1,0)</f>
        <v>0</v>
      </c>
      <c r="X1826" s="13" t="n">
        <f aca="false">IF(H1826="Investment",1,0)</f>
        <v>1</v>
      </c>
      <c r="Y1826" s="13" t="n">
        <f aca="false">IF(K1826="Website",1,0)</f>
        <v>0</v>
      </c>
      <c r="Z1826" s="13" t="n">
        <f aca="false">IF(K1826="Agency",1,0)</f>
        <v>1</v>
      </c>
      <c r="AA1826" s="13" t="n">
        <f aca="false">IF(K1826="Client",1,0)</f>
        <v>0</v>
      </c>
      <c r="AB1826" s="13" t="n">
        <f aca="false">(D1826-AVERAGE(D$2:D$2001))/STDEV(D$2:D$2001)</f>
        <v>1.26067426433745</v>
      </c>
      <c r="AC1826" s="13" t="n">
        <f aca="false">(I1826-AVERAGE(I$2:I$2001))/STDEV(I$2:I$2001)</f>
        <v>1.39434968409451</v>
      </c>
      <c r="AD1826" s="13" t="n">
        <f aca="false">(L1826-AVERAGE(L$2:L$2001))/STDEV(L$2:L$2001)</f>
        <v>0.413838214490712</v>
      </c>
      <c r="AE1826" s="13" t="n">
        <f aca="false">(M1826-AVERAGE(M$2:M$2001))/STDEV(M$2:M$2001)</f>
        <v>-0.120743495806595</v>
      </c>
      <c r="AF1826" s="13" t="n">
        <f aca="false">(N1826-AVERAGE(N$2:N$2001))/STDEV(N$2:N$2001)</f>
        <v>-0.609502982904035</v>
      </c>
      <c r="AG1826" s="13" t="n">
        <f aca="false">(O1826-AVERAGE(O$2:O$2001))/STDEV(O$2:O$2001)</f>
        <v>-0.629117590452386</v>
      </c>
      <c r="AH1826" s="0" t="str">
        <f aca="false">IF(B1826="Company","C3 - Corporate Buyers",IF(AND(H1826="Investment",M1826&gt;'Segmentation Summary'!$C$1),"C1 - Global Investors",IF(AND(I1826&gt;=4,M1826&gt;'Segmentation Summary'!$C$1),"C4 - Luxury Investors",IF(AND(D1826&lt;'Segmentation Summary'!$C$2,J1826=1),"C2 - First-Time Buyers","C5 - Other Individual Buyers"))))</f>
        <v>C5 - Other Individual Buyers</v>
      </c>
    </row>
    <row r="1827" customFormat="false" ht="15" hidden="false" customHeight="true" outlineLevel="0" collapsed="false">
      <c r="A1827" s="13" t="s">
        <v>3637</v>
      </c>
      <c r="B1827" s="13" t="s">
        <v>34</v>
      </c>
      <c r="C1827" s="13" t="s">
        <v>3638</v>
      </c>
      <c r="D1827" s="13" t="n">
        <v>57</v>
      </c>
      <c r="E1827" s="13" t="s">
        <v>90</v>
      </c>
      <c r="F1827" s="13" t="s">
        <v>37</v>
      </c>
      <c r="G1827" s="13" t="s">
        <v>572</v>
      </c>
      <c r="H1827" s="13" t="s">
        <v>41</v>
      </c>
      <c r="I1827" s="13" t="n">
        <v>3</v>
      </c>
      <c r="J1827" s="13" t="n">
        <v>0</v>
      </c>
      <c r="K1827" s="13" t="s">
        <v>85</v>
      </c>
      <c r="L1827" s="13" t="n">
        <v>4</v>
      </c>
      <c r="M1827" s="13" t="n">
        <v>1074306.5</v>
      </c>
      <c r="N1827" s="13" t="n">
        <v>268576.625</v>
      </c>
      <c r="O1827" s="13" t="n">
        <v>872.68</v>
      </c>
      <c r="P1827" s="13" t="n">
        <v>0</v>
      </c>
      <c r="Q1827" s="13" t="n">
        <v>4</v>
      </c>
      <c r="R1827" s="13" t="s">
        <v>124</v>
      </c>
      <c r="S1827" s="13" t="s">
        <v>133</v>
      </c>
      <c r="T1827" s="13" t="n">
        <v>1</v>
      </c>
      <c r="U1827" s="13" t="n">
        <f aca="false">IF(B1827="Individual",1,0)</f>
        <v>1</v>
      </c>
      <c r="V1827" s="13" t="n">
        <f aca="false">IF(B1827="Company",1,0)</f>
        <v>0</v>
      </c>
      <c r="W1827" s="13" t="n">
        <f aca="false">IF(H1827="Home",1,0)</f>
        <v>1</v>
      </c>
      <c r="X1827" s="13" t="n">
        <f aca="false">IF(H1827="Investment",1,0)</f>
        <v>0</v>
      </c>
      <c r="Y1827" s="13" t="n">
        <f aca="false">IF(K1827="Website",1,0)</f>
        <v>1</v>
      </c>
      <c r="Z1827" s="13" t="n">
        <f aca="false">IF(K1827="Agency",1,0)</f>
        <v>0</v>
      </c>
      <c r="AA1827" s="13" t="n">
        <f aca="false">IF(K1827="Client",1,0)</f>
        <v>0</v>
      </c>
      <c r="AB1827" s="13" t="n">
        <f aca="false">(D1827-AVERAGE(D$2:D$2001))/STDEV(D$2:D$2001)</f>
        <v>0.165087610062577</v>
      </c>
      <c r="AC1827" s="13" t="n">
        <f aca="false">(I1827-AVERAGE(I$2:I$2001))/STDEV(I$2:I$2001)</f>
        <v>-0.0205155458339628</v>
      </c>
      <c r="AD1827" s="13" t="n">
        <f aca="false">(L1827-AVERAGE(L$2:L$2001))/STDEV(L$2:L$2001)</f>
        <v>0.413838214490712</v>
      </c>
      <c r="AE1827" s="13" t="n">
        <f aca="false">(M1827-AVERAGE(M$2:M$2001))/STDEV(M$2:M$2001)</f>
        <v>-0.534941278142614</v>
      </c>
      <c r="AF1827" s="13" t="n">
        <f aca="false">(N1827-AVERAGE(N$2:N$2001))/STDEV(N$2:N$2001)</f>
        <v>-1.12609408111274</v>
      </c>
      <c r="AG1827" s="13" t="n">
        <f aca="false">(O1827-AVERAGE(O$2:O$2001))/STDEV(O$2:O$2001)</f>
        <v>-1.24952908108675</v>
      </c>
      <c r="AH1827" s="0" t="str">
        <f aca="false">IF(B1827="Company","C3 - Corporate Buyers",IF(AND(H1827="Investment",M1827&gt;'Segmentation Summary'!$C$1),"C1 - Global Investors",IF(AND(I1827&gt;=4,M1827&gt;'Segmentation Summary'!$C$1),"C4 - Luxury Investors",IF(AND(D1827&lt;'Segmentation Summary'!$C$2,J1827=1),"C2 - First-Time Buyers","C5 - Other Individual Buyers"))))</f>
        <v>C5 - Other Individual Buyers</v>
      </c>
    </row>
    <row r="1828" customFormat="false" ht="15" hidden="false" customHeight="true" outlineLevel="0" collapsed="false">
      <c r="A1828" s="13" t="s">
        <v>3639</v>
      </c>
      <c r="B1828" s="13" t="s">
        <v>34</v>
      </c>
      <c r="C1828" s="13" t="s">
        <v>3640</v>
      </c>
      <c r="D1828" s="13" t="n">
        <v>57</v>
      </c>
      <c r="E1828" s="13" t="s">
        <v>90</v>
      </c>
      <c r="F1828" s="13" t="s">
        <v>33</v>
      </c>
      <c r="G1828" s="13" t="s">
        <v>95</v>
      </c>
      <c r="H1828" s="13" t="s">
        <v>43</v>
      </c>
      <c r="I1828" s="13" t="n">
        <v>4</v>
      </c>
      <c r="J1828" s="13" t="n">
        <v>0</v>
      </c>
      <c r="K1828" s="13" t="s">
        <v>91</v>
      </c>
      <c r="L1828" s="13" t="n">
        <v>3</v>
      </c>
      <c r="M1828" s="13" t="n">
        <v>831811.52</v>
      </c>
      <c r="N1828" s="13" t="n">
        <v>277270.506666667</v>
      </c>
      <c r="O1828" s="13" t="n">
        <v>862.11</v>
      </c>
      <c r="P1828" s="13" t="n">
        <v>0</v>
      </c>
      <c r="Q1828" s="13" t="n">
        <v>3</v>
      </c>
      <c r="R1828" s="13" t="s">
        <v>121</v>
      </c>
      <c r="S1828" s="13" t="s">
        <v>152</v>
      </c>
      <c r="T1828" s="13" t="n">
        <v>1</v>
      </c>
      <c r="U1828" s="13" t="n">
        <f aca="false">IF(B1828="Individual",1,0)</f>
        <v>1</v>
      </c>
      <c r="V1828" s="13" t="n">
        <f aca="false">IF(B1828="Company",1,0)</f>
        <v>0</v>
      </c>
      <c r="W1828" s="13" t="n">
        <f aca="false">IF(H1828="Home",1,0)</f>
        <v>0</v>
      </c>
      <c r="X1828" s="13" t="n">
        <f aca="false">IF(H1828="Investment",1,0)</f>
        <v>1</v>
      </c>
      <c r="Y1828" s="13" t="n">
        <f aca="false">IF(K1828="Website",1,0)</f>
        <v>0</v>
      </c>
      <c r="Z1828" s="13" t="n">
        <f aca="false">IF(K1828="Agency",1,0)</f>
        <v>1</v>
      </c>
      <c r="AA1828" s="13" t="n">
        <f aca="false">IF(K1828="Client",1,0)</f>
        <v>0</v>
      </c>
      <c r="AB1828" s="13" t="n">
        <f aca="false">(D1828-AVERAGE(D$2:D$2001))/STDEV(D$2:D$2001)</f>
        <v>0.165087610062577</v>
      </c>
      <c r="AC1828" s="13" t="n">
        <f aca="false">(I1828-AVERAGE(I$2:I$2001))/STDEV(I$2:I$2001)</f>
        <v>0.686917069130275</v>
      </c>
      <c r="AD1828" s="13" t="n">
        <f aca="false">(L1828-AVERAGE(L$2:L$2001))/STDEV(L$2:L$2001)</f>
        <v>-0.777063122173208</v>
      </c>
      <c r="AE1828" s="13" t="n">
        <f aca="false">(M1828-AVERAGE(M$2:M$2001))/STDEV(M$2:M$2001)</f>
        <v>-1.23210517000443</v>
      </c>
      <c r="AF1828" s="13" t="n">
        <f aca="false">(N1828-AVERAGE(N$2:N$2001))/STDEV(N$2:N$2001)</f>
        <v>-1.00140024150164</v>
      </c>
      <c r="AG1828" s="13" t="n">
        <f aca="false">(O1828-AVERAGE(O$2:O$2001))/STDEV(O$2:O$2001)</f>
        <v>-1.29759144769543</v>
      </c>
      <c r="AH1828" s="0" t="str">
        <f aca="false">IF(B1828="Company","C3 - Corporate Buyers",IF(AND(H1828="Investment",M1828&gt;'Segmentation Summary'!$C$1),"C1 - Global Investors",IF(AND(I1828&gt;=4,M1828&gt;'Segmentation Summary'!$C$1),"C4 - Luxury Investors",IF(AND(D1828&lt;'Segmentation Summary'!$C$2,J1828=1),"C2 - First-Time Buyers","C5 - Other Individual Buyers"))))</f>
        <v>C5 - Other Individual Buyers</v>
      </c>
    </row>
    <row r="1829" customFormat="false" ht="15" hidden="false" customHeight="true" outlineLevel="0" collapsed="false">
      <c r="A1829" s="13" t="s">
        <v>3641</v>
      </c>
      <c r="B1829" s="13" t="s">
        <v>34</v>
      </c>
      <c r="C1829" s="13" t="s">
        <v>3642</v>
      </c>
      <c r="D1829" s="13" t="n">
        <v>67</v>
      </c>
      <c r="E1829" s="13" t="s">
        <v>90</v>
      </c>
      <c r="F1829" s="13" t="s">
        <v>33</v>
      </c>
      <c r="G1829" s="13" t="s">
        <v>106</v>
      </c>
      <c r="H1829" s="13" t="s">
        <v>41</v>
      </c>
      <c r="I1829" s="13" t="n">
        <v>4</v>
      </c>
      <c r="J1829" s="13" t="n">
        <v>0</v>
      </c>
      <c r="K1829" s="13" t="s">
        <v>91</v>
      </c>
      <c r="L1829" s="13" t="n">
        <v>3</v>
      </c>
      <c r="M1829" s="13" t="n">
        <v>1382649.58</v>
      </c>
      <c r="N1829" s="13" t="n">
        <v>460883.193333333</v>
      </c>
      <c r="O1829" s="13" t="n">
        <v>1412.21666666667</v>
      </c>
      <c r="P1829" s="13" t="n">
        <v>1</v>
      </c>
      <c r="Q1829" s="13" t="n">
        <v>2</v>
      </c>
      <c r="R1829" s="13" t="s">
        <v>101</v>
      </c>
      <c r="S1829" s="13" t="s">
        <v>154</v>
      </c>
      <c r="T1829" s="13" t="n">
        <v>1</v>
      </c>
      <c r="U1829" s="13" t="n">
        <f aca="false">IF(B1829="Individual",1,0)</f>
        <v>1</v>
      </c>
      <c r="V1829" s="13" t="n">
        <f aca="false">IF(B1829="Company",1,0)</f>
        <v>0</v>
      </c>
      <c r="W1829" s="13" t="n">
        <f aca="false">IF(H1829="Home",1,0)</f>
        <v>1</v>
      </c>
      <c r="X1829" s="13" t="n">
        <f aca="false">IF(H1829="Investment",1,0)</f>
        <v>0</v>
      </c>
      <c r="Y1829" s="13" t="n">
        <f aca="false">IF(K1829="Website",1,0)</f>
        <v>0</v>
      </c>
      <c r="Z1829" s="13" t="n">
        <f aca="false">IF(K1829="Agency",1,0)</f>
        <v>1</v>
      </c>
      <c r="AA1829" s="13" t="n">
        <f aca="false">IF(K1829="Client",1,0)</f>
        <v>0</v>
      </c>
      <c r="AB1829" s="13" t="n">
        <f aca="false">(D1829-AVERAGE(D$2:D$2001))/STDEV(D$2:D$2001)</f>
        <v>0.741712164944089</v>
      </c>
      <c r="AC1829" s="13" t="n">
        <f aca="false">(I1829-AVERAGE(I$2:I$2001))/STDEV(I$2:I$2001)</f>
        <v>0.686917069130275</v>
      </c>
      <c r="AD1829" s="13" t="n">
        <f aca="false">(L1829-AVERAGE(L$2:L$2001))/STDEV(L$2:L$2001)</f>
        <v>-0.777063122173208</v>
      </c>
      <c r="AE1829" s="13" t="n">
        <f aca="false">(M1829-AVERAGE(M$2:M$2001))/STDEV(M$2:M$2001)</f>
        <v>0.351533409628076</v>
      </c>
      <c r="AF1829" s="13" t="n">
        <f aca="false">(N1829-AVERAGE(N$2:N$2001))/STDEV(N$2:N$2001)</f>
        <v>1.63210361553363</v>
      </c>
      <c r="AG1829" s="13" t="n">
        <f aca="false">(O1829-AVERAGE(O$2:O$2001))/STDEV(O$2:O$2001)</f>
        <v>1.20377357474677</v>
      </c>
      <c r="AH1829" s="0" t="str">
        <f aca="false">IF(B1829="Company","C3 - Corporate Buyers",IF(AND(H1829="Investment",M1829&gt;'Segmentation Summary'!$C$1),"C1 - Global Investors",IF(AND(I1829&gt;=4,M1829&gt;'Segmentation Summary'!$C$1),"C4 - Luxury Investors",IF(AND(D1829&lt;'Segmentation Summary'!$C$2,J1829=1),"C2 - First-Time Buyers","C5 - Other Individual Buyers"))))</f>
        <v>C4 - Luxury Investors</v>
      </c>
    </row>
    <row r="1830" customFormat="false" ht="15" hidden="false" customHeight="true" outlineLevel="0" collapsed="false">
      <c r="A1830" s="13" t="s">
        <v>3643</v>
      </c>
      <c r="B1830" s="13" t="s">
        <v>34</v>
      </c>
      <c r="C1830" s="13" t="s">
        <v>3644</v>
      </c>
      <c r="D1830" s="13" t="n">
        <v>55</v>
      </c>
      <c r="E1830" s="13" t="s">
        <v>90</v>
      </c>
      <c r="F1830" s="13" t="s">
        <v>33</v>
      </c>
      <c r="G1830" s="13" t="s">
        <v>207</v>
      </c>
      <c r="H1830" s="13" t="s">
        <v>41</v>
      </c>
      <c r="I1830" s="13" t="n">
        <v>4</v>
      </c>
      <c r="J1830" s="13" t="n">
        <v>1</v>
      </c>
      <c r="K1830" s="13" t="s">
        <v>85</v>
      </c>
      <c r="L1830" s="13" t="n">
        <v>3</v>
      </c>
      <c r="M1830" s="13" t="n">
        <v>1339687.25</v>
      </c>
      <c r="N1830" s="13" t="n">
        <v>446562.416666667</v>
      </c>
      <c r="O1830" s="13" t="n">
        <v>1510.37666666667</v>
      </c>
      <c r="P1830" s="13" t="n">
        <v>1</v>
      </c>
      <c r="Q1830" s="13" t="n">
        <v>2</v>
      </c>
      <c r="R1830" s="13" t="s">
        <v>98</v>
      </c>
      <c r="S1830" s="13" t="s">
        <v>133</v>
      </c>
      <c r="T1830" s="13" t="n">
        <v>1</v>
      </c>
      <c r="U1830" s="13" t="n">
        <f aca="false">IF(B1830="Individual",1,0)</f>
        <v>1</v>
      </c>
      <c r="V1830" s="13" t="n">
        <f aca="false">IF(B1830="Company",1,0)</f>
        <v>0</v>
      </c>
      <c r="W1830" s="13" t="n">
        <f aca="false">IF(H1830="Home",1,0)</f>
        <v>1</v>
      </c>
      <c r="X1830" s="13" t="n">
        <f aca="false">IF(H1830="Investment",1,0)</f>
        <v>0</v>
      </c>
      <c r="Y1830" s="13" t="n">
        <f aca="false">IF(K1830="Website",1,0)</f>
        <v>1</v>
      </c>
      <c r="Z1830" s="13" t="n">
        <f aca="false">IF(K1830="Agency",1,0)</f>
        <v>0</v>
      </c>
      <c r="AA1830" s="13" t="n">
        <f aca="false">IF(K1830="Client",1,0)</f>
        <v>0</v>
      </c>
      <c r="AB1830" s="13" t="n">
        <f aca="false">(D1830-AVERAGE(D$2:D$2001))/STDEV(D$2:D$2001)</f>
        <v>0.0497626990862745</v>
      </c>
      <c r="AC1830" s="13" t="n">
        <f aca="false">(I1830-AVERAGE(I$2:I$2001))/STDEV(I$2:I$2001)</f>
        <v>0.686917069130275</v>
      </c>
      <c r="AD1830" s="13" t="n">
        <f aca="false">(L1830-AVERAGE(L$2:L$2001))/STDEV(L$2:L$2001)</f>
        <v>-0.777063122173208</v>
      </c>
      <c r="AE1830" s="13" t="n">
        <f aca="false">(M1830-AVERAGE(M$2:M$2001))/STDEV(M$2:M$2001)</f>
        <v>0.228018336506761</v>
      </c>
      <c r="AF1830" s="13" t="n">
        <f aca="false">(N1830-AVERAGE(N$2:N$2001))/STDEV(N$2:N$2001)</f>
        <v>1.42670484232211</v>
      </c>
      <c r="AG1830" s="13" t="n">
        <f aca="false">(O1830-AVERAGE(O$2:O$2001))/STDEV(O$2:O$2001)</f>
        <v>1.65011244951577</v>
      </c>
      <c r="AH1830" s="0" t="str">
        <f aca="false">IF(B1830="Company","C3 - Corporate Buyers",IF(AND(H1830="Investment",M1830&gt;'Segmentation Summary'!$C$1),"C1 - Global Investors",IF(AND(I1830&gt;=4,M1830&gt;'Segmentation Summary'!$C$1),"C4 - Luxury Investors",IF(AND(D1830&lt;'Segmentation Summary'!$C$2,J1830=1),"C2 - First-Time Buyers","C5 - Other Individual Buyers"))))</f>
        <v>C4 - Luxury Investors</v>
      </c>
    </row>
    <row r="1831" customFormat="false" ht="15" hidden="false" customHeight="true" outlineLevel="0" collapsed="false">
      <c r="A1831" s="13" t="s">
        <v>3645</v>
      </c>
      <c r="B1831" s="13" t="s">
        <v>34</v>
      </c>
      <c r="C1831" s="13" t="s">
        <v>3646</v>
      </c>
      <c r="D1831" s="13" t="n">
        <v>71</v>
      </c>
      <c r="E1831" s="13" t="s">
        <v>90</v>
      </c>
      <c r="F1831" s="13" t="s">
        <v>38</v>
      </c>
      <c r="G1831" s="13" t="s">
        <v>183</v>
      </c>
      <c r="H1831" s="13" t="s">
        <v>41</v>
      </c>
      <c r="I1831" s="13" t="n">
        <v>2</v>
      </c>
      <c r="J1831" s="13" t="n">
        <v>0</v>
      </c>
      <c r="K1831" s="13" t="s">
        <v>116</v>
      </c>
      <c r="L1831" s="13" t="n">
        <v>3</v>
      </c>
      <c r="M1831" s="13" t="n">
        <v>1035889.5</v>
      </c>
      <c r="N1831" s="13" t="n">
        <v>345296.5</v>
      </c>
      <c r="O1831" s="13" t="n">
        <v>1124.5</v>
      </c>
      <c r="P1831" s="13" t="n">
        <v>1</v>
      </c>
      <c r="Q1831" s="13" t="n">
        <v>2</v>
      </c>
      <c r="R1831" s="13" t="s">
        <v>101</v>
      </c>
      <c r="S1831" s="13" t="s">
        <v>141</v>
      </c>
      <c r="T1831" s="13" t="n">
        <v>1</v>
      </c>
      <c r="U1831" s="13" t="n">
        <f aca="false">IF(B1831="Individual",1,0)</f>
        <v>1</v>
      </c>
      <c r="V1831" s="13" t="n">
        <f aca="false">IF(B1831="Company",1,0)</f>
        <v>0</v>
      </c>
      <c r="W1831" s="13" t="n">
        <f aca="false">IF(H1831="Home",1,0)</f>
        <v>1</v>
      </c>
      <c r="X1831" s="13" t="n">
        <f aca="false">IF(H1831="Investment",1,0)</f>
        <v>0</v>
      </c>
      <c r="Y1831" s="13" t="n">
        <f aca="false">IF(K1831="Website",1,0)</f>
        <v>0</v>
      </c>
      <c r="Z1831" s="13" t="n">
        <f aca="false">IF(K1831="Agency",1,0)</f>
        <v>0</v>
      </c>
      <c r="AA1831" s="13" t="n">
        <f aca="false">IF(K1831="Client",1,0)</f>
        <v>1</v>
      </c>
      <c r="AB1831" s="13" t="n">
        <f aca="false">(D1831-AVERAGE(D$2:D$2001))/STDEV(D$2:D$2001)</f>
        <v>0.972361986896694</v>
      </c>
      <c r="AC1831" s="13" t="n">
        <f aca="false">(I1831-AVERAGE(I$2:I$2001))/STDEV(I$2:I$2001)</f>
        <v>-0.727948160798201</v>
      </c>
      <c r="AD1831" s="13" t="n">
        <f aca="false">(L1831-AVERAGE(L$2:L$2001))/STDEV(L$2:L$2001)</f>
        <v>-0.777063122173208</v>
      </c>
      <c r="AE1831" s="13" t="n">
        <f aca="false">(M1831-AVERAGE(M$2:M$2001))/STDEV(M$2:M$2001)</f>
        <v>-0.645388699502245</v>
      </c>
      <c r="AF1831" s="13" t="n">
        <f aca="false">(N1831-AVERAGE(N$2:N$2001))/STDEV(N$2:N$2001)</f>
        <v>-0.0257230207482906</v>
      </c>
      <c r="AG1831" s="13" t="n">
        <f aca="false">(O1831-AVERAGE(O$2:O$2001))/STDEV(O$2:O$2001)</f>
        <v>-0.10448980394403</v>
      </c>
      <c r="AH1831" s="0" t="str">
        <f aca="false">IF(B1831="Company","C3 - Corporate Buyers",IF(AND(H1831="Investment",M1831&gt;'Segmentation Summary'!$C$1),"C1 - Global Investors",IF(AND(I1831&gt;=4,M1831&gt;'Segmentation Summary'!$C$1),"C4 - Luxury Investors",IF(AND(D1831&lt;'Segmentation Summary'!$C$2,J1831=1),"C2 - First-Time Buyers","C5 - Other Individual Buyers"))))</f>
        <v>C5 - Other Individual Buyers</v>
      </c>
    </row>
    <row r="1832" customFormat="false" ht="15" hidden="false" customHeight="true" outlineLevel="0" collapsed="false">
      <c r="A1832" s="13" t="s">
        <v>3647</v>
      </c>
      <c r="B1832" s="13" t="s">
        <v>34</v>
      </c>
      <c r="C1832" s="13" t="s">
        <v>3648</v>
      </c>
      <c r="D1832" s="13" t="n">
        <v>67</v>
      </c>
      <c r="E1832" s="13" t="s">
        <v>90</v>
      </c>
      <c r="F1832" s="13" t="s">
        <v>33</v>
      </c>
      <c r="G1832" s="13" t="s">
        <v>95</v>
      </c>
      <c r="H1832" s="13" t="s">
        <v>43</v>
      </c>
      <c r="I1832" s="13" t="n">
        <v>3</v>
      </c>
      <c r="J1832" s="13" t="n">
        <v>0</v>
      </c>
      <c r="K1832" s="13" t="s">
        <v>85</v>
      </c>
      <c r="L1832" s="13" t="n">
        <v>4</v>
      </c>
      <c r="M1832" s="13" t="n">
        <v>1520239.97</v>
      </c>
      <c r="N1832" s="13" t="n">
        <v>380059.9925</v>
      </c>
      <c r="O1832" s="13" t="n">
        <v>1175.235</v>
      </c>
      <c r="P1832" s="13" t="n">
        <v>0</v>
      </c>
      <c r="Q1832" s="13" t="n">
        <v>4</v>
      </c>
      <c r="R1832" s="13" t="s">
        <v>98</v>
      </c>
      <c r="S1832" s="13" t="s">
        <v>112</v>
      </c>
      <c r="T1832" s="13" t="n">
        <v>1</v>
      </c>
      <c r="U1832" s="13" t="n">
        <f aca="false">IF(B1832="Individual",1,0)</f>
        <v>1</v>
      </c>
      <c r="V1832" s="13" t="n">
        <f aca="false">IF(B1832="Company",1,0)</f>
        <v>0</v>
      </c>
      <c r="W1832" s="13" t="n">
        <f aca="false">IF(H1832="Home",1,0)</f>
        <v>0</v>
      </c>
      <c r="X1832" s="13" t="n">
        <f aca="false">IF(H1832="Investment",1,0)</f>
        <v>1</v>
      </c>
      <c r="Y1832" s="13" t="n">
        <f aca="false">IF(K1832="Website",1,0)</f>
        <v>1</v>
      </c>
      <c r="Z1832" s="13" t="n">
        <f aca="false">IF(K1832="Agency",1,0)</f>
        <v>0</v>
      </c>
      <c r="AA1832" s="13" t="n">
        <f aca="false">IF(K1832="Client",1,0)</f>
        <v>0</v>
      </c>
      <c r="AB1832" s="13" t="n">
        <f aca="false">(D1832-AVERAGE(D$2:D$2001))/STDEV(D$2:D$2001)</f>
        <v>0.741712164944089</v>
      </c>
      <c r="AC1832" s="13" t="n">
        <f aca="false">(I1832-AVERAGE(I$2:I$2001))/STDEV(I$2:I$2001)</f>
        <v>-0.0205155458339628</v>
      </c>
      <c r="AD1832" s="13" t="n">
        <f aca="false">(L1832-AVERAGE(L$2:L$2001))/STDEV(L$2:L$2001)</f>
        <v>0.413838214490712</v>
      </c>
      <c r="AE1832" s="13" t="n">
        <f aca="false">(M1832-AVERAGE(M$2:M$2001))/STDEV(M$2:M$2001)</f>
        <v>0.74710057466871</v>
      </c>
      <c r="AF1832" s="13" t="n">
        <f aca="false">(N1832-AVERAGE(N$2:N$2001))/STDEV(N$2:N$2001)</f>
        <v>0.472879735111211</v>
      </c>
      <c r="AG1832" s="13" t="n">
        <f aca="false">(O1832-AVERAGE(O$2:O$2001))/STDEV(O$2:O$2001)</f>
        <v>0.126205008723096</v>
      </c>
      <c r="AH1832" s="0" t="str">
        <f aca="false">IF(B1832="Company","C3 - Corporate Buyers",IF(AND(H1832="Investment",M1832&gt;'Segmentation Summary'!$C$1),"C1 - Global Investors",IF(AND(I1832&gt;=4,M1832&gt;'Segmentation Summary'!$C$1),"C4 - Luxury Investors",IF(AND(D1832&lt;'Segmentation Summary'!$C$2,J1832=1),"C2 - First-Time Buyers","C5 - Other Individual Buyers"))))</f>
        <v>C1 - Global Investors</v>
      </c>
    </row>
    <row r="1833" customFormat="false" ht="15" hidden="false" customHeight="true" outlineLevel="0" collapsed="false">
      <c r="A1833" s="13" t="s">
        <v>3649</v>
      </c>
      <c r="B1833" s="13" t="s">
        <v>34</v>
      </c>
      <c r="C1833" s="13" t="s">
        <v>3650</v>
      </c>
      <c r="D1833" s="13" t="n">
        <v>56</v>
      </c>
      <c r="E1833" s="13" t="s">
        <v>90</v>
      </c>
      <c r="F1833" s="13" t="s">
        <v>33</v>
      </c>
      <c r="G1833" s="13" t="s">
        <v>95</v>
      </c>
      <c r="H1833" s="13" t="s">
        <v>43</v>
      </c>
      <c r="I1833" s="13" t="n">
        <v>4</v>
      </c>
      <c r="J1833" s="13" t="n">
        <v>0</v>
      </c>
      <c r="K1833" s="13" t="s">
        <v>91</v>
      </c>
      <c r="L1833" s="13" t="n">
        <v>4</v>
      </c>
      <c r="M1833" s="13" t="n">
        <v>1142995.52</v>
      </c>
      <c r="N1833" s="13" t="n">
        <v>285748.88</v>
      </c>
      <c r="O1833" s="13" t="n">
        <v>1027.325</v>
      </c>
      <c r="P1833" s="13" t="n">
        <v>0</v>
      </c>
      <c r="Q1833" s="13" t="n">
        <v>4</v>
      </c>
      <c r="R1833" s="13" t="s">
        <v>121</v>
      </c>
      <c r="S1833" s="13" t="s">
        <v>107</v>
      </c>
      <c r="T1833" s="13" t="n">
        <v>1</v>
      </c>
      <c r="U1833" s="13" t="n">
        <f aca="false">IF(B1833="Individual",1,0)</f>
        <v>1</v>
      </c>
      <c r="V1833" s="13" t="n">
        <f aca="false">IF(B1833="Company",1,0)</f>
        <v>0</v>
      </c>
      <c r="W1833" s="13" t="n">
        <f aca="false">IF(H1833="Home",1,0)</f>
        <v>0</v>
      </c>
      <c r="X1833" s="13" t="n">
        <f aca="false">IF(H1833="Investment",1,0)</f>
        <v>1</v>
      </c>
      <c r="Y1833" s="13" t="n">
        <f aca="false">IF(K1833="Website",1,0)</f>
        <v>0</v>
      </c>
      <c r="Z1833" s="13" t="n">
        <f aca="false">IF(K1833="Agency",1,0)</f>
        <v>1</v>
      </c>
      <c r="AA1833" s="13" t="n">
        <f aca="false">IF(K1833="Client",1,0)</f>
        <v>0</v>
      </c>
      <c r="AB1833" s="13" t="n">
        <f aca="false">(D1833-AVERAGE(D$2:D$2001))/STDEV(D$2:D$2001)</f>
        <v>0.107425154574426</v>
      </c>
      <c r="AC1833" s="13" t="n">
        <f aca="false">(I1833-AVERAGE(I$2:I$2001))/STDEV(I$2:I$2001)</f>
        <v>0.686917069130275</v>
      </c>
      <c r="AD1833" s="13" t="n">
        <f aca="false">(L1833-AVERAGE(L$2:L$2001))/STDEV(L$2:L$2001)</f>
        <v>0.413838214490712</v>
      </c>
      <c r="AE1833" s="13" t="n">
        <f aca="false">(M1833-AVERAGE(M$2:M$2001))/STDEV(M$2:M$2001)</f>
        <v>-0.337462944729798</v>
      </c>
      <c r="AF1833" s="13" t="n">
        <f aca="false">(N1833-AVERAGE(N$2:N$2001))/STDEV(N$2:N$2001)</f>
        <v>-0.879797375817028</v>
      </c>
      <c r="AG1833" s="13" t="n">
        <f aca="false">(O1833-AVERAGE(O$2:O$2001))/STDEV(O$2:O$2001)</f>
        <v>-0.546349829979864</v>
      </c>
      <c r="AH1833" s="0" t="str">
        <f aca="false">IF(B1833="Company","C3 - Corporate Buyers",IF(AND(H1833="Investment",M1833&gt;'Segmentation Summary'!$C$1),"C1 - Global Investors",IF(AND(I1833&gt;=4,M1833&gt;'Segmentation Summary'!$C$1),"C4 - Luxury Investors",IF(AND(D1833&lt;'Segmentation Summary'!$C$2,J1833=1),"C2 - First-Time Buyers","C5 - Other Individual Buyers"))))</f>
        <v>C5 - Other Individual Buyers</v>
      </c>
    </row>
    <row r="1834" customFormat="false" ht="15" hidden="false" customHeight="true" outlineLevel="0" collapsed="false">
      <c r="A1834" s="13" t="s">
        <v>3651</v>
      </c>
      <c r="B1834" s="13" t="s">
        <v>34</v>
      </c>
      <c r="C1834" s="13" t="s">
        <v>3652</v>
      </c>
      <c r="D1834" s="13" t="n">
        <v>30</v>
      </c>
      <c r="E1834" s="13" t="s">
        <v>90</v>
      </c>
      <c r="F1834" s="13" t="s">
        <v>33</v>
      </c>
      <c r="G1834" s="13" t="s">
        <v>157</v>
      </c>
      <c r="H1834" s="13" t="s">
        <v>41</v>
      </c>
      <c r="I1834" s="13" t="n">
        <v>1</v>
      </c>
      <c r="J1834" s="13" t="n">
        <v>1</v>
      </c>
      <c r="K1834" s="13" t="s">
        <v>85</v>
      </c>
      <c r="L1834" s="13" t="n">
        <v>4</v>
      </c>
      <c r="M1834" s="13" t="n">
        <v>1627907.97</v>
      </c>
      <c r="N1834" s="13" t="n">
        <v>406976.9925</v>
      </c>
      <c r="O1834" s="13" t="n">
        <v>1298.145</v>
      </c>
      <c r="P1834" s="13" t="n">
        <v>1</v>
      </c>
      <c r="Q1834" s="13" t="n">
        <v>3</v>
      </c>
      <c r="R1834" s="13" t="s">
        <v>98</v>
      </c>
      <c r="S1834" s="13" t="s">
        <v>87</v>
      </c>
      <c r="T1834" s="13" t="n">
        <v>1</v>
      </c>
      <c r="U1834" s="13" t="n">
        <f aca="false">IF(B1834="Individual",1,0)</f>
        <v>1</v>
      </c>
      <c r="V1834" s="13" t="n">
        <f aca="false">IF(B1834="Company",1,0)</f>
        <v>0</v>
      </c>
      <c r="W1834" s="13" t="n">
        <f aca="false">IF(H1834="Home",1,0)</f>
        <v>1</v>
      </c>
      <c r="X1834" s="13" t="n">
        <f aca="false">IF(H1834="Investment",1,0)</f>
        <v>0</v>
      </c>
      <c r="Y1834" s="13" t="n">
        <f aca="false">IF(K1834="Website",1,0)</f>
        <v>1</v>
      </c>
      <c r="Z1834" s="13" t="n">
        <f aca="false">IF(K1834="Agency",1,0)</f>
        <v>0</v>
      </c>
      <c r="AA1834" s="13" t="n">
        <f aca="false">IF(K1834="Client",1,0)</f>
        <v>0</v>
      </c>
      <c r="AB1834" s="13" t="n">
        <f aca="false">(D1834-AVERAGE(D$2:D$2001))/STDEV(D$2:D$2001)</f>
        <v>-1.39179868811751</v>
      </c>
      <c r="AC1834" s="13" t="n">
        <f aca="false">(I1834-AVERAGE(I$2:I$2001))/STDEV(I$2:I$2001)</f>
        <v>-1.43538077576244</v>
      </c>
      <c r="AD1834" s="13" t="n">
        <f aca="false">(L1834-AVERAGE(L$2:L$2001))/STDEV(L$2:L$2001)</f>
        <v>0.413838214490712</v>
      </c>
      <c r="AE1834" s="13" t="n">
        <f aca="false">(M1834-AVERAGE(M$2:M$2001))/STDEV(M$2:M$2001)</f>
        <v>1.0566420006767</v>
      </c>
      <c r="AF1834" s="13" t="n">
        <f aca="false">(N1834-AVERAGE(N$2:N$2001))/STDEV(N$2:N$2001)</f>
        <v>0.858942510002722</v>
      </c>
      <c r="AG1834" s="13" t="n">
        <f aca="false">(O1834-AVERAGE(O$2:O$2001))/STDEV(O$2:O$2001)</f>
        <v>0.685083483640148</v>
      </c>
      <c r="AH1834" s="0" t="str">
        <f aca="false">IF(B1834="Company","C3 - Corporate Buyers",IF(AND(H1834="Investment",M1834&gt;'Segmentation Summary'!$C$1),"C1 - Global Investors",IF(AND(I1834&gt;=4,M1834&gt;'Segmentation Summary'!$C$1),"C4 - Luxury Investors",IF(AND(D1834&lt;'Segmentation Summary'!$C$2,J1834=1),"C2 - First-Time Buyers","C5 - Other Individual Buyers"))))</f>
        <v>C2 - First-Time Buyers</v>
      </c>
    </row>
    <row r="1835" customFormat="false" ht="15" hidden="false" customHeight="true" outlineLevel="0" collapsed="false">
      <c r="A1835" s="13" t="s">
        <v>3653</v>
      </c>
      <c r="B1835" s="13" t="s">
        <v>34</v>
      </c>
      <c r="C1835" s="13" t="s">
        <v>3654</v>
      </c>
      <c r="D1835" s="13" t="n">
        <v>25</v>
      </c>
      <c r="E1835" s="13" t="s">
        <v>90</v>
      </c>
      <c r="F1835" s="13" t="s">
        <v>33</v>
      </c>
      <c r="G1835" s="13" t="s">
        <v>95</v>
      </c>
      <c r="H1835" s="13" t="s">
        <v>41</v>
      </c>
      <c r="I1835" s="13" t="n">
        <v>1</v>
      </c>
      <c r="J1835" s="13" t="n">
        <v>1</v>
      </c>
      <c r="K1835" s="13" t="s">
        <v>85</v>
      </c>
      <c r="L1835" s="13" t="n">
        <v>4</v>
      </c>
      <c r="M1835" s="13" t="n">
        <v>1142985.38</v>
      </c>
      <c r="N1835" s="13" t="n">
        <v>285746.345</v>
      </c>
      <c r="O1835" s="13" t="n">
        <v>984.6475</v>
      </c>
      <c r="P1835" s="13" t="n">
        <v>0</v>
      </c>
      <c r="Q1835" s="13" t="n">
        <v>4</v>
      </c>
      <c r="R1835" s="13" t="s">
        <v>117</v>
      </c>
      <c r="S1835" s="13" t="s">
        <v>141</v>
      </c>
      <c r="T1835" s="13" t="n">
        <v>1</v>
      </c>
      <c r="U1835" s="13" t="n">
        <f aca="false">IF(B1835="Individual",1,0)</f>
        <v>1</v>
      </c>
      <c r="V1835" s="13" t="n">
        <f aca="false">IF(B1835="Company",1,0)</f>
        <v>0</v>
      </c>
      <c r="W1835" s="13" t="n">
        <f aca="false">IF(H1835="Home",1,0)</f>
        <v>1</v>
      </c>
      <c r="X1835" s="13" t="n">
        <f aca="false">IF(H1835="Investment",1,0)</f>
        <v>0</v>
      </c>
      <c r="Y1835" s="13" t="n">
        <f aca="false">IF(K1835="Website",1,0)</f>
        <v>1</v>
      </c>
      <c r="Z1835" s="13" t="n">
        <f aca="false">IF(K1835="Agency",1,0)</f>
        <v>0</v>
      </c>
      <c r="AA1835" s="13" t="n">
        <f aca="false">IF(K1835="Client",1,0)</f>
        <v>0</v>
      </c>
      <c r="AB1835" s="13" t="n">
        <f aca="false">(D1835-AVERAGE(D$2:D$2001))/STDEV(D$2:D$2001)</f>
        <v>-1.68011096555826</v>
      </c>
      <c r="AC1835" s="13" t="n">
        <f aca="false">(I1835-AVERAGE(I$2:I$2001))/STDEV(I$2:I$2001)</f>
        <v>-1.43538077576244</v>
      </c>
      <c r="AD1835" s="13" t="n">
        <f aca="false">(L1835-AVERAGE(L$2:L$2001))/STDEV(L$2:L$2001)</f>
        <v>0.413838214490712</v>
      </c>
      <c r="AE1835" s="13" t="n">
        <f aca="false">(M1835-AVERAGE(M$2:M$2001))/STDEV(M$2:M$2001)</f>
        <v>-0.337492096846116</v>
      </c>
      <c r="AF1835" s="13" t="n">
        <f aca="false">(N1835-AVERAGE(N$2:N$2001))/STDEV(N$2:N$2001)</f>
        <v>-0.879833734591571</v>
      </c>
      <c r="AG1835" s="13" t="n">
        <f aca="false">(O1835-AVERAGE(O$2:O$2001))/STDEV(O$2:O$2001)</f>
        <v>-0.740406750598792</v>
      </c>
      <c r="AH1835" s="0" t="str">
        <f aca="false">IF(B1835="Company","C3 - Corporate Buyers",IF(AND(H1835="Investment",M1835&gt;'Segmentation Summary'!$C$1),"C1 - Global Investors",IF(AND(I1835&gt;=4,M1835&gt;'Segmentation Summary'!$C$1),"C4 - Luxury Investors",IF(AND(D1835&lt;'Segmentation Summary'!$C$2,J1835=1),"C2 - First-Time Buyers","C5 - Other Individual Buyers"))))</f>
        <v>C2 - First-Time Buyers</v>
      </c>
    </row>
    <row r="1836" customFormat="false" ht="15" hidden="false" customHeight="true" outlineLevel="0" collapsed="false">
      <c r="A1836" s="13" t="s">
        <v>3655</v>
      </c>
      <c r="B1836" s="13" t="s">
        <v>34</v>
      </c>
      <c r="C1836" s="13" t="s">
        <v>3656</v>
      </c>
      <c r="D1836" s="13" t="n">
        <v>68</v>
      </c>
      <c r="E1836" s="13" t="s">
        <v>90</v>
      </c>
      <c r="F1836" s="13" t="s">
        <v>33</v>
      </c>
      <c r="G1836" s="13" t="s">
        <v>110</v>
      </c>
      <c r="H1836" s="13" t="s">
        <v>41</v>
      </c>
      <c r="I1836" s="13" t="n">
        <v>5</v>
      </c>
      <c r="J1836" s="13" t="n">
        <v>0</v>
      </c>
      <c r="K1836" s="13" t="s">
        <v>91</v>
      </c>
      <c r="L1836" s="13" t="n">
        <v>3</v>
      </c>
      <c r="M1836" s="13" t="n">
        <v>789150.05</v>
      </c>
      <c r="N1836" s="13" t="n">
        <v>263050.016666667</v>
      </c>
      <c r="O1836" s="13" t="n">
        <v>1008.13</v>
      </c>
      <c r="P1836" s="13" t="n">
        <v>1</v>
      </c>
      <c r="Q1836" s="13" t="n">
        <v>2</v>
      </c>
      <c r="R1836" s="13" t="s">
        <v>128</v>
      </c>
      <c r="S1836" s="13" t="s">
        <v>125</v>
      </c>
      <c r="T1836" s="13" t="n">
        <v>1</v>
      </c>
      <c r="U1836" s="13" t="n">
        <f aca="false">IF(B1836="Individual",1,0)</f>
        <v>1</v>
      </c>
      <c r="V1836" s="13" t="n">
        <f aca="false">IF(B1836="Company",1,0)</f>
        <v>0</v>
      </c>
      <c r="W1836" s="13" t="n">
        <f aca="false">IF(H1836="Home",1,0)</f>
        <v>1</v>
      </c>
      <c r="X1836" s="13" t="n">
        <f aca="false">IF(H1836="Investment",1,0)</f>
        <v>0</v>
      </c>
      <c r="Y1836" s="13" t="n">
        <f aca="false">IF(K1836="Website",1,0)</f>
        <v>0</v>
      </c>
      <c r="Z1836" s="13" t="n">
        <f aca="false">IF(K1836="Agency",1,0)</f>
        <v>1</v>
      </c>
      <c r="AA1836" s="13" t="n">
        <f aca="false">IF(K1836="Client",1,0)</f>
        <v>0</v>
      </c>
      <c r="AB1836" s="13" t="n">
        <f aca="false">(D1836-AVERAGE(D$2:D$2001))/STDEV(D$2:D$2001)</f>
        <v>0.79937462043224</v>
      </c>
      <c r="AC1836" s="13" t="n">
        <f aca="false">(I1836-AVERAGE(I$2:I$2001))/STDEV(I$2:I$2001)</f>
        <v>1.39434968409451</v>
      </c>
      <c r="AD1836" s="13" t="n">
        <f aca="false">(L1836-AVERAGE(L$2:L$2001))/STDEV(L$2:L$2001)</f>
        <v>-0.777063122173208</v>
      </c>
      <c r="AE1836" s="13" t="n">
        <f aca="false">(M1836-AVERAGE(M$2:M$2001))/STDEV(M$2:M$2001)</f>
        <v>-1.35475528200983</v>
      </c>
      <c r="AF1836" s="13" t="n">
        <f aca="false">(N1836-AVERAGE(N$2:N$2001))/STDEV(N$2:N$2001)</f>
        <v>-1.20536063195069</v>
      </c>
      <c r="AG1836" s="13" t="n">
        <f aca="false">(O1836-AVERAGE(O$2:O$2001))/STDEV(O$2:O$2001)</f>
        <v>-0.633630542094687</v>
      </c>
      <c r="AH1836" s="0" t="str">
        <f aca="false">IF(B1836="Company","C3 - Corporate Buyers",IF(AND(H1836="Investment",M1836&gt;'Segmentation Summary'!$C$1),"C1 - Global Investors",IF(AND(I1836&gt;=4,M1836&gt;'Segmentation Summary'!$C$1),"C4 - Luxury Investors",IF(AND(D1836&lt;'Segmentation Summary'!$C$2,J1836=1),"C2 - First-Time Buyers","C5 - Other Individual Buyers"))))</f>
        <v>C5 - Other Individual Buyers</v>
      </c>
    </row>
    <row r="1837" customFormat="false" ht="15" hidden="false" customHeight="true" outlineLevel="0" collapsed="false">
      <c r="A1837" s="13" t="s">
        <v>3657</v>
      </c>
      <c r="B1837" s="13" t="s">
        <v>34</v>
      </c>
      <c r="C1837" s="13" t="s">
        <v>3658</v>
      </c>
      <c r="D1837" s="13" t="n">
        <v>65</v>
      </c>
      <c r="E1837" s="13" t="s">
        <v>90</v>
      </c>
      <c r="F1837" s="13" t="s">
        <v>35</v>
      </c>
      <c r="G1837" s="13" t="s">
        <v>137</v>
      </c>
      <c r="H1837" s="13" t="s">
        <v>41</v>
      </c>
      <c r="I1837" s="13" t="n">
        <v>1</v>
      </c>
      <c r="J1837" s="13" t="n">
        <v>0</v>
      </c>
      <c r="K1837" s="13" t="s">
        <v>85</v>
      </c>
      <c r="L1837" s="13" t="n">
        <v>4</v>
      </c>
      <c r="M1837" s="13" t="n">
        <v>1689767.29</v>
      </c>
      <c r="N1837" s="13" t="n">
        <v>422441.8225</v>
      </c>
      <c r="O1837" s="13" t="n">
        <v>1422.9925</v>
      </c>
      <c r="P1837" s="13" t="n">
        <v>0</v>
      </c>
      <c r="Q1837" s="13" t="n">
        <v>4</v>
      </c>
      <c r="R1837" s="13" t="s">
        <v>98</v>
      </c>
      <c r="S1837" s="13" t="s">
        <v>164</v>
      </c>
      <c r="T1837" s="13" t="n">
        <v>1</v>
      </c>
      <c r="U1837" s="13" t="n">
        <f aca="false">IF(B1837="Individual",1,0)</f>
        <v>1</v>
      </c>
      <c r="V1837" s="13" t="n">
        <f aca="false">IF(B1837="Company",1,0)</f>
        <v>0</v>
      </c>
      <c r="W1837" s="13" t="n">
        <f aca="false">IF(H1837="Home",1,0)</f>
        <v>1</v>
      </c>
      <c r="X1837" s="13" t="n">
        <f aca="false">IF(H1837="Investment",1,0)</f>
        <v>0</v>
      </c>
      <c r="Y1837" s="13" t="n">
        <f aca="false">IF(K1837="Website",1,0)</f>
        <v>1</v>
      </c>
      <c r="Z1837" s="13" t="n">
        <f aca="false">IF(K1837="Agency",1,0)</f>
        <v>0</v>
      </c>
      <c r="AA1837" s="13" t="n">
        <f aca="false">IF(K1837="Client",1,0)</f>
        <v>0</v>
      </c>
      <c r="AB1837" s="13" t="n">
        <f aca="false">(D1837-AVERAGE(D$2:D$2001))/STDEV(D$2:D$2001)</f>
        <v>0.626387253967787</v>
      </c>
      <c r="AC1837" s="13" t="n">
        <f aca="false">(I1837-AVERAGE(I$2:I$2001))/STDEV(I$2:I$2001)</f>
        <v>-1.43538077576244</v>
      </c>
      <c r="AD1837" s="13" t="n">
        <f aca="false">(L1837-AVERAGE(L$2:L$2001))/STDEV(L$2:L$2001)</f>
        <v>0.413838214490712</v>
      </c>
      <c r="AE1837" s="13" t="n">
        <f aca="false">(M1837-AVERAGE(M$2:M$2001))/STDEV(M$2:M$2001)</f>
        <v>1.23448520501489</v>
      </c>
      <c r="AF1837" s="13" t="n">
        <f aca="false">(N1837-AVERAGE(N$2:N$2001))/STDEV(N$2:N$2001)</f>
        <v>1.08075011051636</v>
      </c>
      <c r="AG1837" s="13" t="n">
        <f aca="false">(O1837-AVERAGE(O$2:O$2001))/STDEV(O$2:O$2001)</f>
        <v>1.25277187675061</v>
      </c>
      <c r="AH1837" s="0" t="str">
        <f aca="false">IF(B1837="Company","C3 - Corporate Buyers",IF(AND(H1837="Investment",M1837&gt;'Segmentation Summary'!$C$1),"C1 - Global Investors",IF(AND(I1837&gt;=4,M1837&gt;'Segmentation Summary'!$C$1),"C4 - Luxury Investors",IF(AND(D1837&lt;'Segmentation Summary'!$C$2,J1837=1),"C2 - First-Time Buyers","C5 - Other Individual Buyers"))))</f>
        <v>C5 - Other Individual Buyers</v>
      </c>
    </row>
    <row r="1838" customFormat="false" ht="15" hidden="false" customHeight="true" outlineLevel="0" collapsed="false">
      <c r="A1838" s="13" t="s">
        <v>3659</v>
      </c>
      <c r="B1838" s="13" t="s">
        <v>34</v>
      </c>
      <c r="C1838" s="13" t="s">
        <v>3660</v>
      </c>
      <c r="D1838" s="13" t="n">
        <v>44</v>
      </c>
      <c r="E1838" s="13" t="s">
        <v>90</v>
      </c>
      <c r="F1838" s="13" t="s">
        <v>33</v>
      </c>
      <c r="G1838" s="13" t="s">
        <v>100</v>
      </c>
      <c r="H1838" s="13" t="s">
        <v>43</v>
      </c>
      <c r="I1838" s="13" t="n">
        <v>5</v>
      </c>
      <c r="J1838" s="13" t="n">
        <v>1</v>
      </c>
      <c r="K1838" s="13" t="s">
        <v>85</v>
      </c>
      <c r="L1838" s="13" t="n">
        <v>3</v>
      </c>
      <c r="M1838" s="13" t="n">
        <v>1321031.17</v>
      </c>
      <c r="N1838" s="13" t="n">
        <v>440343.723333333</v>
      </c>
      <c r="O1838" s="13" t="n">
        <v>1337.17333333333</v>
      </c>
      <c r="P1838" s="13" t="n">
        <v>0</v>
      </c>
      <c r="Q1838" s="13" t="n">
        <v>3</v>
      </c>
      <c r="R1838" s="13" t="s">
        <v>150</v>
      </c>
      <c r="S1838" s="13" t="s">
        <v>125</v>
      </c>
      <c r="T1838" s="13" t="n">
        <v>1</v>
      </c>
      <c r="U1838" s="13" t="n">
        <f aca="false">IF(B1838="Individual",1,0)</f>
        <v>1</v>
      </c>
      <c r="V1838" s="13" t="n">
        <f aca="false">IF(B1838="Company",1,0)</f>
        <v>0</v>
      </c>
      <c r="W1838" s="13" t="n">
        <f aca="false">IF(H1838="Home",1,0)</f>
        <v>0</v>
      </c>
      <c r="X1838" s="13" t="n">
        <f aca="false">IF(H1838="Investment",1,0)</f>
        <v>1</v>
      </c>
      <c r="Y1838" s="13" t="n">
        <f aca="false">IF(K1838="Website",1,0)</f>
        <v>1</v>
      </c>
      <c r="Z1838" s="13" t="n">
        <f aca="false">IF(K1838="Agency",1,0)</f>
        <v>0</v>
      </c>
      <c r="AA1838" s="13" t="n">
        <f aca="false">IF(K1838="Client",1,0)</f>
        <v>0</v>
      </c>
      <c r="AB1838" s="13" t="n">
        <f aca="false">(D1838-AVERAGE(D$2:D$2001))/STDEV(D$2:D$2001)</f>
        <v>-0.584524311283389</v>
      </c>
      <c r="AC1838" s="13" t="n">
        <f aca="false">(I1838-AVERAGE(I$2:I$2001))/STDEV(I$2:I$2001)</f>
        <v>1.39434968409451</v>
      </c>
      <c r="AD1838" s="13" t="n">
        <f aca="false">(L1838-AVERAGE(L$2:L$2001))/STDEV(L$2:L$2001)</f>
        <v>-0.777063122173208</v>
      </c>
      <c r="AE1838" s="13" t="n">
        <f aca="false">(M1838-AVERAGE(M$2:M$2001))/STDEV(M$2:M$2001)</f>
        <v>0.17438281242422</v>
      </c>
      <c r="AF1838" s="13" t="n">
        <f aca="false">(N1838-AVERAGE(N$2:N$2001))/STDEV(N$2:N$2001)</f>
        <v>1.33751191575279</v>
      </c>
      <c r="AG1838" s="13" t="n">
        <f aca="false">(O1838-AVERAGE(O$2:O$2001))/STDEV(O$2:O$2001)</f>
        <v>0.862547444358444</v>
      </c>
      <c r="AH1838" s="0" t="str">
        <f aca="false">IF(B1838="Company","C3 - Corporate Buyers",IF(AND(H1838="Investment",M1838&gt;'Segmentation Summary'!$C$1),"C1 - Global Investors",IF(AND(I1838&gt;=4,M1838&gt;'Segmentation Summary'!$C$1),"C4 - Luxury Investors",IF(AND(D1838&lt;'Segmentation Summary'!$C$2,J1838=1),"C2 - First-Time Buyers","C5 - Other Individual Buyers"))))</f>
        <v>C1 - Global Investors</v>
      </c>
    </row>
    <row r="1839" customFormat="false" ht="15" hidden="false" customHeight="true" outlineLevel="0" collapsed="false">
      <c r="A1839" s="13" t="s">
        <v>3661</v>
      </c>
      <c r="B1839" s="13" t="s">
        <v>34</v>
      </c>
      <c r="C1839" s="13" t="s">
        <v>3662</v>
      </c>
      <c r="D1839" s="13" t="n">
        <v>41</v>
      </c>
      <c r="E1839" s="13" t="s">
        <v>90</v>
      </c>
      <c r="F1839" s="13" t="s">
        <v>33</v>
      </c>
      <c r="G1839" s="13" t="s">
        <v>95</v>
      </c>
      <c r="H1839" s="13" t="s">
        <v>43</v>
      </c>
      <c r="I1839" s="13" t="n">
        <v>5</v>
      </c>
      <c r="J1839" s="13" t="n">
        <v>1</v>
      </c>
      <c r="K1839" s="13" t="s">
        <v>85</v>
      </c>
      <c r="L1839" s="13" t="n">
        <v>3</v>
      </c>
      <c r="M1839" s="13" t="n">
        <v>559596.54</v>
      </c>
      <c r="N1839" s="13" t="n">
        <v>186532.18</v>
      </c>
      <c r="O1839" s="13" t="n">
        <v>607.446666666667</v>
      </c>
      <c r="P1839" s="13" t="n">
        <v>0</v>
      </c>
      <c r="Q1839" s="13" t="n">
        <v>3</v>
      </c>
      <c r="R1839" s="13" t="s">
        <v>152</v>
      </c>
      <c r="S1839" s="13" t="s">
        <v>125</v>
      </c>
      <c r="T1839" s="13" t="n">
        <v>1</v>
      </c>
      <c r="U1839" s="13" t="n">
        <f aca="false">IF(B1839="Individual",1,0)</f>
        <v>1</v>
      </c>
      <c r="V1839" s="13" t="n">
        <f aca="false">IF(B1839="Company",1,0)</f>
        <v>0</v>
      </c>
      <c r="W1839" s="13" t="n">
        <f aca="false">IF(H1839="Home",1,0)</f>
        <v>0</v>
      </c>
      <c r="X1839" s="13" t="n">
        <f aca="false">IF(H1839="Investment",1,0)</f>
        <v>1</v>
      </c>
      <c r="Y1839" s="13" t="n">
        <f aca="false">IF(K1839="Website",1,0)</f>
        <v>1</v>
      </c>
      <c r="Z1839" s="13" t="n">
        <f aca="false">IF(K1839="Agency",1,0)</f>
        <v>0</v>
      </c>
      <c r="AA1839" s="13" t="n">
        <f aca="false">IF(K1839="Client",1,0)</f>
        <v>0</v>
      </c>
      <c r="AB1839" s="13" t="n">
        <f aca="false">(D1839-AVERAGE(D$2:D$2001))/STDEV(D$2:D$2001)</f>
        <v>-0.757511677747842</v>
      </c>
      <c r="AC1839" s="13" t="n">
        <f aca="false">(I1839-AVERAGE(I$2:I$2001))/STDEV(I$2:I$2001)</f>
        <v>1.39434968409451</v>
      </c>
      <c r="AD1839" s="13" t="n">
        <f aca="false">(L1839-AVERAGE(L$2:L$2001))/STDEV(L$2:L$2001)</f>
        <v>-0.777063122173208</v>
      </c>
      <c r="AE1839" s="13" t="n">
        <f aca="false">(M1839-AVERAGE(M$2:M$2001))/STDEV(M$2:M$2001)</f>
        <v>-2.01471293730702</v>
      </c>
      <c r="AF1839" s="13" t="n">
        <f aca="false">(N1839-AVERAGE(N$2:N$2001))/STDEV(N$2:N$2001)</f>
        <v>-2.3028339147173</v>
      </c>
      <c r="AG1839" s="13" t="n">
        <f aca="false">(O1839-AVERAGE(O$2:O$2001))/STDEV(O$2:O$2001)</f>
        <v>-2.45555951661274</v>
      </c>
      <c r="AH1839" s="0" t="str">
        <f aca="false">IF(B1839="Company","C3 - Corporate Buyers",IF(AND(H1839="Investment",M1839&gt;'Segmentation Summary'!$C$1),"C1 - Global Investors",IF(AND(I1839&gt;=4,M1839&gt;'Segmentation Summary'!$C$1),"C4 - Luxury Investors",IF(AND(D1839&lt;'Segmentation Summary'!$C$2,J1839=1),"C2 - First-Time Buyers","C5 - Other Individual Buyers"))))</f>
        <v>C2 - First-Time Buyers</v>
      </c>
    </row>
    <row r="1840" customFormat="false" ht="15" hidden="false" customHeight="true" outlineLevel="0" collapsed="false">
      <c r="A1840" s="13" t="s">
        <v>3663</v>
      </c>
      <c r="B1840" s="13" t="s">
        <v>34</v>
      </c>
      <c r="C1840" s="13" t="s">
        <v>3664</v>
      </c>
      <c r="D1840" s="13" t="n">
        <v>32</v>
      </c>
      <c r="E1840" s="13" t="s">
        <v>90</v>
      </c>
      <c r="F1840" s="13" t="s">
        <v>33</v>
      </c>
      <c r="G1840" s="13" t="s">
        <v>97</v>
      </c>
      <c r="H1840" s="13" t="s">
        <v>41</v>
      </c>
      <c r="I1840" s="13" t="n">
        <v>1</v>
      </c>
      <c r="J1840" s="13" t="n">
        <v>0</v>
      </c>
      <c r="K1840" s="13" t="s">
        <v>85</v>
      </c>
      <c r="L1840" s="13" t="n">
        <v>3</v>
      </c>
      <c r="M1840" s="13" t="n">
        <v>738938.8</v>
      </c>
      <c r="N1840" s="13" t="n">
        <v>246312.933333333</v>
      </c>
      <c r="O1840" s="13" t="n">
        <v>828.39</v>
      </c>
      <c r="P1840" s="13" t="n">
        <v>0</v>
      </c>
      <c r="Q1840" s="13" t="n">
        <v>3</v>
      </c>
      <c r="R1840" s="13" t="s">
        <v>128</v>
      </c>
      <c r="S1840" s="13" t="s">
        <v>152</v>
      </c>
      <c r="T1840" s="13" t="n">
        <v>1</v>
      </c>
      <c r="U1840" s="13" t="n">
        <f aca="false">IF(B1840="Individual",1,0)</f>
        <v>1</v>
      </c>
      <c r="V1840" s="13" t="n">
        <f aca="false">IF(B1840="Company",1,0)</f>
        <v>0</v>
      </c>
      <c r="W1840" s="13" t="n">
        <f aca="false">IF(H1840="Home",1,0)</f>
        <v>1</v>
      </c>
      <c r="X1840" s="13" t="n">
        <f aca="false">IF(H1840="Investment",1,0)</f>
        <v>0</v>
      </c>
      <c r="Y1840" s="13" t="n">
        <f aca="false">IF(K1840="Website",1,0)</f>
        <v>1</v>
      </c>
      <c r="Z1840" s="13" t="n">
        <f aca="false">IF(K1840="Agency",1,0)</f>
        <v>0</v>
      </c>
      <c r="AA1840" s="13" t="n">
        <f aca="false">IF(K1840="Client",1,0)</f>
        <v>0</v>
      </c>
      <c r="AB1840" s="13" t="n">
        <f aca="false">(D1840-AVERAGE(D$2:D$2001))/STDEV(D$2:D$2001)</f>
        <v>-1.2764737771412</v>
      </c>
      <c r="AC1840" s="13" t="n">
        <f aca="false">(I1840-AVERAGE(I$2:I$2001))/STDEV(I$2:I$2001)</f>
        <v>-1.43538077576244</v>
      </c>
      <c r="AD1840" s="13" t="n">
        <f aca="false">(L1840-AVERAGE(L$2:L$2001))/STDEV(L$2:L$2001)</f>
        <v>-0.777063122173208</v>
      </c>
      <c r="AE1840" s="13" t="n">
        <f aca="false">(M1840-AVERAGE(M$2:M$2001))/STDEV(M$2:M$2001)</f>
        <v>-1.49911072584312</v>
      </c>
      <c r="AF1840" s="13" t="n">
        <f aca="false">(N1840-AVERAGE(N$2:N$2001))/STDEV(N$2:N$2001)</f>
        <v>-1.44541579542572</v>
      </c>
      <c r="AG1840" s="13" t="n">
        <f aca="false">(O1840-AVERAGE(O$2:O$2001))/STDEV(O$2:O$2001)</f>
        <v>-1.45091812716987</v>
      </c>
      <c r="AH1840" s="0" t="str">
        <f aca="false">IF(B1840="Company","C3 - Corporate Buyers",IF(AND(H1840="Investment",M1840&gt;'Segmentation Summary'!$C$1),"C1 - Global Investors",IF(AND(I1840&gt;=4,M1840&gt;'Segmentation Summary'!$C$1),"C4 - Luxury Investors",IF(AND(D1840&lt;'Segmentation Summary'!$C$2,J1840=1),"C2 - First-Time Buyers","C5 - Other Individual Buyers"))))</f>
        <v>C5 - Other Individual Buyers</v>
      </c>
    </row>
    <row r="1841" customFormat="false" ht="15" hidden="false" customHeight="true" outlineLevel="0" collapsed="false">
      <c r="A1841" s="13" t="s">
        <v>3665</v>
      </c>
      <c r="B1841" s="13" t="s">
        <v>34</v>
      </c>
      <c r="C1841" s="13" t="s">
        <v>3666</v>
      </c>
      <c r="D1841" s="13" t="n">
        <v>66</v>
      </c>
      <c r="E1841" s="13" t="s">
        <v>90</v>
      </c>
      <c r="F1841" s="13" t="s">
        <v>33</v>
      </c>
      <c r="G1841" s="13" t="s">
        <v>95</v>
      </c>
      <c r="H1841" s="13" t="s">
        <v>41</v>
      </c>
      <c r="I1841" s="13" t="n">
        <v>3</v>
      </c>
      <c r="J1841" s="13" t="n">
        <v>1</v>
      </c>
      <c r="K1841" s="13" t="s">
        <v>91</v>
      </c>
      <c r="L1841" s="13" t="n">
        <v>4</v>
      </c>
      <c r="M1841" s="13" t="n">
        <v>1189519.9</v>
      </c>
      <c r="N1841" s="13" t="n">
        <v>297379.975</v>
      </c>
      <c r="O1841" s="13" t="n">
        <v>1029.73</v>
      </c>
      <c r="P1841" s="13" t="n">
        <v>0</v>
      </c>
      <c r="Q1841" s="13" t="n">
        <v>4</v>
      </c>
      <c r="R1841" s="13" t="s">
        <v>101</v>
      </c>
      <c r="S1841" s="13" t="s">
        <v>114</v>
      </c>
      <c r="T1841" s="13" t="n">
        <v>1</v>
      </c>
      <c r="U1841" s="13" t="n">
        <f aca="false">IF(B1841="Individual",1,0)</f>
        <v>1</v>
      </c>
      <c r="V1841" s="13" t="n">
        <f aca="false">IF(B1841="Company",1,0)</f>
        <v>0</v>
      </c>
      <c r="W1841" s="13" t="n">
        <f aca="false">IF(H1841="Home",1,0)</f>
        <v>1</v>
      </c>
      <c r="X1841" s="13" t="n">
        <f aca="false">IF(H1841="Investment",1,0)</f>
        <v>0</v>
      </c>
      <c r="Y1841" s="13" t="n">
        <f aca="false">IF(K1841="Website",1,0)</f>
        <v>0</v>
      </c>
      <c r="Z1841" s="13" t="n">
        <f aca="false">IF(K1841="Agency",1,0)</f>
        <v>1</v>
      </c>
      <c r="AA1841" s="13" t="n">
        <f aca="false">IF(K1841="Client",1,0)</f>
        <v>0</v>
      </c>
      <c r="AB1841" s="13" t="n">
        <f aca="false">(D1841-AVERAGE(D$2:D$2001))/STDEV(D$2:D$2001)</f>
        <v>0.684049709455938</v>
      </c>
      <c r="AC1841" s="13" t="n">
        <f aca="false">(I1841-AVERAGE(I$2:I$2001))/STDEV(I$2:I$2001)</f>
        <v>-0.0205155458339628</v>
      </c>
      <c r="AD1841" s="13" t="n">
        <f aca="false">(L1841-AVERAGE(L$2:L$2001))/STDEV(L$2:L$2001)</f>
        <v>0.413838214490712</v>
      </c>
      <c r="AE1841" s="13" t="n">
        <f aca="false">(M1841-AVERAGE(M$2:M$2001))/STDEV(M$2:M$2001)</f>
        <v>-0.203707112640993</v>
      </c>
      <c r="AF1841" s="13" t="n">
        <f aca="false">(N1841-AVERAGE(N$2:N$2001))/STDEV(N$2:N$2001)</f>
        <v>-0.712975931721224</v>
      </c>
      <c r="AG1841" s="13" t="n">
        <f aca="false">(O1841-AVERAGE(O$2:O$2001))/STDEV(O$2:O$2001)</f>
        <v>-0.53541416378366</v>
      </c>
      <c r="AH1841" s="0" t="str">
        <f aca="false">IF(B1841="Company","C3 - Corporate Buyers",IF(AND(H1841="Investment",M1841&gt;'Segmentation Summary'!$C$1),"C1 - Global Investors",IF(AND(I1841&gt;=4,M1841&gt;'Segmentation Summary'!$C$1),"C4 - Luxury Investors",IF(AND(D1841&lt;'Segmentation Summary'!$C$2,J1841=1),"C2 - First-Time Buyers","C5 - Other Individual Buyers"))))</f>
        <v>C5 - Other Individual Buyers</v>
      </c>
    </row>
    <row r="1842" customFormat="false" ht="15" hidden="false" customHeight="true" outlineLevel="0" collapsed="false">
      <c r="A1842" s="13" t="s">
        <v>3667</v>
      </c>
      <c r="B1842" s="13" t="s">
        <v>34</v>
      </c>
      <c r="C1842" s="13" t="s">
        <v>3668</v>
      </c>
      <c r="D1842" s="13" t="n">
        <v>38</v>
      </c>
      <c r="E1842" s="13" t="s">
        <v>83</v>
      </c>
      <c r="F1842" s="13" t="s">
        <v>33</v>
      </c>
      <c r="G1842" s="13" t="s">
        <v>106</v>
      </c>
      <c r="H1842" s="13" t="s">
        <v>41</v>
      </c>
      <c r="I1842" s="13" t="n">
        <v>1</v>
      </c>
      <c r="J1842" s="13" t="n">
        <v>1</v>
      </c>
      <c r="K1842" s="13" t="s">
        <v>91</v>
      </c>
      <c r="L1842" s="13" t="n">
        <v>3</v>
      </c>
      <c r="M1842" s="13" t="n">
        <v>1292445.15</v>
      </c>
      <c r="N1842" s="13" t="n">
        <v>430815.05</v>
      </c>
      <c r="O1842" s="13" t="n">
        <v>1357.19333333333</v>
      </c>
      <c r="P1842" s="13" t="n">
        <v>0</v>
      </c>
      <c r="Q1842" s="13" t="n">
        <v>3</v>
      </c>
      <c r="R1842" s="13" t="s">
        <v>92</v>
      </c>
      <c r="S1842" s="13" t="s">
        <v>125</v>
      </c>
      <c r="T1842" s="13" t="n">
        <v>1</v>
      </c>
      <c r="U1842" s="13" t="n">
        <f aca="false">IF(B1842="Individual",1,0)</f>
        <v>1</v>
      </c>
      <c r="V1842" s="13" t="n">
        <f aca="false">IF(B1842="Company",1,0)</f>
        <v>0</v>
      </c>
      <c r="W1842" s="13" t="n">
        <f aca="false">IF(H1842="Home",1,0)</f>
        <v>1</v>
      </c>
      <c r="X1842" s="13" t="n">
        <f aca="false">IF(H1842="Investment",1,0)</f>
        <v>0</v>
      </c>
      <c r="Y1842" s="13" t="n">
        <f aca="false">IF(K1842="Website",1,0)</f>
        <v>0</v>
      </c>
      <c r="Z1842" s="13" t="n">
        <f aca="false">IF(K1842="Agency",1,0)</f>
        <v>1</v>
      </c>
      <c r="AA1842" s="13" t="n">
        <f aca="false">IF(K1842="Client",1,0)</f>
        <v>0</v>
      </c>
      <c r="AB1842" s="13" t="n">
        <f aca="false">(D1842-AVERAGE(D$2:D$2001))/STDEV(D$2:D$2001)</f>
        <v>-0.930499044212296</v>
      </c>
      <c r="AC1842" s="13" t="n">
        <f aca="false">(I1842-AVERAGE(I$2:I$2001))/STDEV(I$2:I$2001)</f>
        <v>-1.43538077576244</v>
      </c>
      <c r="AD1842" s="13" t="n">
        <f aca="false">(L1842-AVERAGE(L$2:L$2001))/STDEV(L$2:L$2001)</f>
        <v>-0.777063122173208</v>
      </c>
      <c r="AE1842" s="13" t="n">
        <f aca="false">(M1842-AVERAGE(M$2:M$2001))/STDEV(M$2:M$2001)</f>
        <v>0.0921990865753805</v>
      </c>
      <c r="AF1842" s="13" t="n">
        <f aca="false">(N1842-AVERAGE(N$2:N$2001))/STDEV(N$2:N$2001)</f>
        <v>1.20084489981115</v>
      </c>
      <c r="AG1842" s="13" t="n">
        <f aca="false">(O1842-AVERAGE(O$2:O$2001))/STDEV(O$2:O$2001)</f>
        <v>0.953579476478201</v>
      </c>
      <c r="AH1842" s="0" t="str">
        <f aca="false">IF(B1842="Company","C3 - Corporate Buyers",IF(AND(H1842="Investment",M1842&gt;'Segmentation Summary'!$C$1),"C1 - Global Investors",IF(AND(I1842&gt;=4,M1842&gt;'Segmentation Summary'!$C$1),"C4 - Luxury Investors",IF(AND(D1842&lt;'Segmentation Summary'!$C$2,J1842=1),"C2 - First-Time Buyers","C5 - Other Individual Buyers"))))</f>
        <v>C2 - First-Time Buyers</v>
      </c>
    </row>
    <row r="1843" customFormat="false" ht="15" hidden="false" customHeight="true" outlineLevel="0" collapsed="false">
      <c r="A1843" s="13" t="s">
        <v>3669</v>
      </c>
      <c r="B1843" s="13" t="s">
        <v>34</v>
      </c>
      <c r="C1843" s="13" t="s">
        <v>3670</v>
      </c>
      <c r="D1843" s="13" t="n">
        <v>61</v>
      </c>
      <c r="E1843" s="13" t="s">
        <v>83</v>
      </c>
      <c r="F1843" s="13" t="s">
        <v>33</v>
      </c>
      <c r="G1843" s="13" t="s">
        <v>95</v>
      </c>
      <c r="H1843" s="13" t="s">
        <v>41</v>
      </c>
      <c r="I1843" s="13" t="n">
        <v>5</v>
      </c>
      <c r="J1843" s="13" t="n">
        <v>0</v>
      </c>
      <c r="K1843" s="13" t="s">
        <v>91</v>
      </c>
      <c r="L1843" s="13" t="n">
        <v>3</v>
      </c>
      <c r="M1843" s="13" t="n">
        <v>1203306.91</v>
      </c>
      <c r="N1843" s="13" t="n">
        <v>401102.303333333</v>
      </c>
      <c r="O1843" s="13" t="n">
        <v>1192.59333333333</v>
      </c>
      <c r="P1843" s="13" t="n">
        <v>0</v>
      </c>
      <c r="Q1843" s="13" t="n">
        <v>3</v>
      </c>
      <c r="R1843" s="13" t="s">
        <v>86</v>
      </c>
      <c r="S1843" s="13" t="s">
        <v>112</v>
      </c>
      <c r="T1843" s="13" t="n">
        <v>1</v>
      </c>
      <c r="U1843" s="13" t="n">
        <f aca="false">IF(B1843="Individual",1,0)</f>
        <v>1</v>
      </c>
      <c r="V1843" s="13" t="n">
        <f aca="false">IF(B1843="Company",1,0)</f>
        <v>0</v>
      </c>
      <c r="W1843" s="13" t="n">
        <f aca="false">IF(H1843="Home",1,0)</f>
        <v>1</v>
      </c>
      <c r="X1843" s="13" t="n">
        <f aca="false">IF(H1843="Investment",1,0)</f>
        <v>0</v>
      </c>
      <c r="Y1843" s="13" t="n">
        <f aca="false">IF(K1843="Website",1,0)</f>
        <v>0</v>
      </c>
      <c r="Z1843" s="13" t="n">
        <f aca="false">IF(K1843="Agency",1,0)</f>
        <v>1</v>
      </c>
      <c r="AA1843" s="13" t="n">
        <f aca="false">IF(K1843="Client",1,0)</f>
        <v>0</v>
      </c>
      <c r="AB1843" s="13" t="n">
        <f aca="false">(D1843-AVERAGE(D$2:D$2001))/STDEV(D$2:D$2001)</f>
        <v>0.395737432015182</v>
      </c>
      <c r="AC1843" s="13" t="n">
        <f aca="false">(I1843-AVERAGE(I$2:I$2001))/STDEV(I$2:I$2001)</f>
        <v>1.39434968409451</v>
      </c>
      <c r="AD1843" s="13" t="n">
        <f aca="false">(L1843-AVERAGE(L$2:L$2001))/STDEV(L$2:L$2001)</f>
        <v>-0.777063122173208</v>
      </c>
      <c r="AE1843" s="13" t="n">
        <f aca="false">(M1843-AVERAGE(M$2:M$2001))/STDEV(M$2:M$2001)</f>
        <v>-0.164069980570309</v>
      </c>
      <c r="AF1843" s="13" t="n">
        <f aca="false">(N1843-AVERAGE(N$2:N$2001))/STDEV(N$2:N$2001)</f>
        <v>0.774683536071431</v>
      </c>
      <c r="AG1843" s="13" t="n">
        <f aca="false">(O1843-AVERAGE(O$2:O$2001))/STDEV(O$2:O$2001)</f>
        <v>0.205134297311766</v>
      </c>
      <c r="AH1843" s="0" t="str">
        <f aca="false">IF(B1843="Company","C3 - Corporate Buyers",IF(AND(H1843="Investment",M1843&gt;'Segmentation Summary'!$C$1),"C1 - Global Investors",IF(AND(I1843&gt;=4,M1843&gt;'Segmentation Summary'!$C$1),"C4 - Luxury Investors",IF(AND(D1843&lt;'Segmentation Summary'!$C$2,J1843=1),"C2 - First-Time Buyers","C5 - Other Individual Buyers"))))</f>
        <v>C5 - Other Individual Buyers</v>
      </c>
    </row>
    <row r="1844" customFormat="false" ht="15" hidden="false" customHeight="true" outlineLevel="0" collapsed="false">
      <c r="A1844" s="13" t="s">
        <v>3671</v>
      </c>
      <c r="B1844" s="13" t="s">
        <v>34</v>
      </c>
      <c r="C1844" s="13" t="s">
        <v>3672</v>
      </c>
      <c r="D1844" s="13" t="n">
        <v>69</v>
      </c>
      <c r="E1844" s="13" t="s">
        <v>83</v>
      </c>
      <c r="F1844" s="13" t="s">
        <v>33</v>
      </c>
      <c r="G1844" s="13" t="s">
        <v>97</v>
      </c>
      <c r="H1844" s="13" t="s">
        <v>43</v>
      </c>
      <c r="I1844" s="13" t="n">
        <v>5</v>
      </c>
      <c r="J1844" s="13" t="n">
        <v>0</v>
      </c>
      <c r="K1844" s="13" t="s">
        <v>91</v>
      </c>
      <c r="L1844" s="13" t="n">
        <v>4</v>
      </c>
      <c r="M1844" s="13" t="n">
        <v>1289585.42</v>
      </c>
      <c r="N1844" s="13" t="n">
        <v>322396.355</v>
      </c>
      <c r="O1844" s="13" t="n">
        <v>1029.38</v>
      </c>
      <c r="P1844" s="13" t="n">
        <v>3</v>
      </c>
      <c r="Q1844" s="13" t="n">
        <v>1</v>
      </c>
      <c r="R1844" s="13" t="s">
        <v>98</v>
      </c>
      <c r="S1844" s="13" t="s">
        <v>150</v>
      </c>
      <c r="T1844" s="13" t="n">
        <v>1</v>
      </c>
      <c r="U1844" s="13" t="n">
        <f aca="false">IF(B1844="Individual",1,0)</f>
        <v>1</v>
      </c>
      <c r="V1844" s="13" t="n">
        <f aca="false">IF(B1844="Company",1,0)</f>
        <v>0</v>
      </c>
      <c r="W1844" s="13" t="n">
        <f aca="false">IF(H1844="Home",1,0)</f>
        <v>0</v>
      </c>
      <c r="X1844" s="13" t="n">
        <f aca="false">IF(H1844="Investment",1,0)</f>
        <v>1</v>
      </c>
      <c r="Y1844" s="13" t="n">
        <f aca="false">IF(K1844="Website",1,0)</f>
        <v>0</v>
      </c>
      <c r="Z1844" s="13" t="n">
        <f aca="false">IF(K1844="Agency",1,0)</f>
        <v>1</v>
      </c>
      <c r="AA1844" s="13" t="n">
        <f aca="false">IF(K1844="Client",1,0)</f>
        <v>0</v>
      </c>
      <c r="AB1844" s="13" t="n">
        <f aca="false">(D1844-AVERAGE(D$2:D$2001))/STDEV(D$2:D$2001)</f>
        <v>0.857037075920391</v>
      </c>
      <c r="AC1844" s="13" t="n">
        <f aca="false">(I1844-AVERAGE(I$2:I$2001))/STDEV(I$2:I$2001)</f>
        <v>1.39434968409451</v>
      </c>
      <c r="AD1844" s="13" t="n">
        <f aca="false">(L1844-AVERAGE(L$2:L$2001))/STDEV(L$2:L$2001)</f>
        <v>0.413838214490712</v>
      </c>
      <c r="AE1844" s="13" t="n">
        <f aca="false">(M1844-AVERAGE(M$2:M$2001))/STDEV(M$2:M$2001)</f>
        <v>0.0839774710331784</v>
      </c>
      <c r="AF1844" s="13" t="n">
        <f aca="false">(N1844-AVERAGE(N$2:N$2001))/STDEV(N$2:N$2001)</f>
        <v>-0.35417320182783</v>
      </c>
      <c r="AG1844" s="13" t="n">
        <f aca="false">(O1844-AVERAGE(O$2:O$2001))/STDEV(O$2:O$2001)</f>
        <v>-0.537005632876662</v>
      </c>
      <c r="AH1844" s="0" t="str">
        <f aca="false">IF(B1844="Company","C3 - Corporate Buyers",IF(AND(H1844="Investment",M1844&gt;'Segmentation Summary'!$C$1),"C1 - Global Investors",IF(AND(I1844&gt;=4,M1844&gt;'Segmentation Summary'!$C$1),"C4 - Luxury Investors",IF(AND(D1844&lt;'Segmentation Summary'!$C$2,J1844=1),"C2 - First-Time Buyers","C5 - Other Individual Buyers"))))</f>
        <v>C1 - Global Investors</v>
      </c>
    </row>
    <row r="1845" customFormat="false" ht="15" hidden="false" customHeight="true" outlineLevel="0" collapsed="false">
      <c r="A1845" s="13" t="s">
        <v>3673</v>
      </c>
      <c r="B1845" s="13" t="s">
        <v>34</v>
      </c>
      <c r="C1845" s="13" t="s">
        <v>3674</v>
      </c>
      <c r="D1845" s="13" t="n">
        <v>26</v>
      </c>
      <c r="E1845" s="13" t="s">
        <v>83</v>
      </c>
      <c r="F1845" s="13" t="s">
        <v>33</v>
      </c>
      <c r="G1845" s="13" t="s">
        <v>110</v>
      </c>
      <c r="H1845" s="13" t="s">
        <v>41</v>
      </c>
      <c r="I1845" s="13" t="n">
        <v>3</v>
      </c>
      <c r="J1845" s="13" t="n">
        <v>1</v>
      </c>
      <c r="K1845" s="13" t="s">
        <v>91</v>
      </c>
      <c r="L1845" s="13" t="n">
        <v>4</v>
      </c>
      <c r="M1845" s="13" t="n">
        <v>1358315.73</v>
      </c>
      <c r="N1845" s="13" t="n">
        <v>339578.9325</v>
      </c>
      <c r="O1845" s="13" t="n">
        <v>1191.1025</v>
      </c>
      <c r="P1845" s="13" t="n">
        <v>1</v>
      </c>
      <c r="Q1845" s="13" t="n">
        <v>3</v>
      </c>
      <c r="R1845" s="13" t="s">
        <v>101</v>
      </c>
      <c r="S1845" s="13" t="s">
        <v>164</v>
      </c>
      <c r="T1845" s="13" t="n">
        <v>1</v>
      </c>
      <c r="U1845" s="13" t="n">
        <f aca="false">IF(B1845="Individual",1,0)</f>
        <v>1</v>
      </c>
      <c r="V1845" s="13" t="n">
        <f aca="false">IF(B1845="Company",1,0)</f>
        <v>0</v>
      </c>
      <c r="W1845" s="13" t="n">
        <f aca="false">IF(H1845="Home",1,0)</f>
        <v>1</v>
      </c>
      <c r="X1845" s="13" t="n">
        <f aca="false">IF(H1845="Investment",1,0)</f>
        <v>0</v>
      </c>
      <c r="Y1845" s="13" t="n">
        <f aca="false">IF(K1845="Website",1,0)</f>
        <v>0</v>
      </c>
      <c r="Z1845" s="13" t="n">
        <f aca="false">IF(K1845="Agency",1,0)</f>
        <v>1</v>
      </c>
      <c r="AA1845" s="13" t="n">
        <f aca="false">IF(K1845="Client",1,0)</f>
        <v>0</v>
      </c>
      <c r="AB1845" s="13" t="n">
        <f aca="false">(D1845-AVERAGE(D$2:D$2001))/STDEV(D$2:D$2001)</f>
        <v>-1.62244851007011</v>
      </c>
      <c r="AC1845" s="13" t="n">
        <f aca="false">(I1845-AVERAGE(I$2:I$2001))/STDEV(I$2:I$2001)</f>
        <v>-0.0205155458339628</v>
      </c>
      <c r="AD1845" s="13" t="n">
        <f aca="false">(L1845-AVERAGE(L$2:L$2001))/STDEV(L$2:L$2001)</f>
        <v>0.413838214490712</v>
      </c>
      <c r="AE1845" s="13" t="n">
        <f aca="false">(M1845-AVERAGE(M$2:M$2001))/STDEV(M$2:M$2001)</f>
        <v>0.281574511633645</v>
      </c>
      <c r="AF1845" s="13" t="n">
        <f aca="false">(N1845-AVERAGE(N$2:N$2001))/STDEV(N$2:N$2001)</f>
        <v>-0.107728443889039</v>
      </c>
      <c r="AG1845" s="13" t="n">
        <f aca="false">(O1845-AVERAGE(O$2:O$2001))/STDEV(O$2:O$2001)</f>
        <v>0.198355396818014</v>
      </c>
      <c r="AH1845" s="0" t="str">
        <f aca="false">IF(B1845="Company","C3 - Corporate Buyers",IF(AND(H1845="Investment",M1845&gt;'Segmentation Summary'!$C$1),"C1 - Global Investors",IF(AND(I1845&gt;=4,M1845&gt;'Segmentation Summary'!$C$1),"C4 - Luxury Investors",IF(AND(D1845&lt;'Segmentation Summary'!$C$2,J1845=1),"C2 - First-Time Buyers","C5 - Other Individual Buyers"))))</f>
        <v>C2 - First-Time Buyers</v>
      </c>
    </row>
    <row r="1846" customFormat="false" ht="15" hidden="false" customHeight="true" outlineLevel="0" collapsed="false">
      <c r="A1846" s="13" t="s">
        <v>3675</v>
      </c>
      <c r="B1846" s="13" t="s">
        <v>34</v>
      </c>
      <c r="C1846" s="13" t="s">
        <v>3676</v>
      </c>
      <c r="D1846" s="13" t="n">
        <v>32</v>
      </c>
      <c r="E1846" s="13" t="s">
        <v>83</v>
      </c>
      <c r="F1846" s="13" t="s">
        <v>40</v>
      </c>
      <c r="G1846" s="13" t="s">
        <v>205</v>
      </c>
      <c r="H1846" s="13" t="s">
        <v>41</v>
      </c>
      <c r="I1846" s="13" t="n">
        <v>1</v>
      </c>
      <c r="J1846" s="13" t="n">
        <v>1</v>
      </c>
      <c r="K1846" s="13" t="s">
        <v>91</v>
      </c>
      <c r="L1846" s="13" t="n">
        <v>3</v>
      </c>
      <c r="M1846" s="13" t="n">
        <v>1024485.26</v>
      </c>
      <c r="N1846" s="13" t="n">
        <v>341495.086666667</v>
      </c>
      <c r="O1846" s="13" t="n">
        <v>1117.94</v>
      </c>
      <c r="P1846" s="13" t="n">
        <v>1</v>
      </c>
      <c r="Q1846" s="13" t="n">
        <v>2</v>
      </c>
      <c r="R1846" s="13" t="s">
        <v>112</v>
      </c>
      <c r="S1846" s="13" t="s">
        <v>164</v>
      </c>
      <c r="T1846" s="13" t="n">
        <v>1</v>
      </c>
      <c r="U1846" s="13" t="n">
        <f aca="false">IF(B1846="Individual",1,0)</f>
        <v>1</v>
      </c>
      <c r="V1846" s="13" t="n">
        <f aca="false">IF(B1846="Company",1,0)</f>
        <v>0</v>
      </c>
      <c r="W1846" s="13" t="n">
        <f aca="false">IF(H1846="Home",1,0)</f>
        <v>1</v>
      </c>
      <c r="X1846" s="13" t="n">
        <f aca="false">IF(H1846="Investment",1,0)</f>
        <v>0</v>
      </c>
      <c r="Y1846" s="13" t="n">
        <f aca="false">IF(K1846="Website",1,0)</f>
        <v>0</v>
      </c>
      <c r="Z1846" s="13" t="n">
        <f aca="false">IF(K1846="Agency",1,0)</f>
        <v>1</v>
      </c>
      <c r="AA1846" s="13" t="n">
        <f aca="false">IF(K1846="Client",1,0)</f>
        <v>0</v>
      </c>
      <c r="AB1846" s="13" t="n">
        <f aca="false">(D1846-AVERAGE(D$2:D$2001))/STDEV(D$2:D$2001)</f>
        <v>-1.2764737771412</v>
      </c>
      <c r="AC1846" s="13" t="n">
        <f aca="false">(I1846-AVERAGE(I$2:I$2001))/STDEV(I$2:I$2001)</f>
        <v>-1.43538077576244</v>
      </c>
      <c r="AD1846" s="13" t="n">
        <f aca="false">(L1846-AVERAGE(L$2:L$2001))/STDEV(L$2:L$2001)</f>
        <v>-0.777063122173208</v>
      </c>
      <c r="AE1846" s="13" t="n">
        <f aca="false">(M1846-AVERAGE(M$2:M$2001))/STDEV(M$2:M$2001)</f>
        <v>-0.678175457983292</v>
      </c>
      <c r="AF1846" s="13" t="n">
        <f aca="false">(N1846-AVERAGE(N$2:N$2001))/STDEV(N$2:N$2001)</f>
        <v>-0.0802455968145728</v>
      </c>
      <c r="AG1846" s="13" t="n">
        <f aca="false">(O1846-AVERAGE(O$2:O$2001))/STDEV(O$2:O$2001)</f>
        <v>-0.134318481801453</v>
      </c>
      <c r="AH1846" s="0" t="str">
        <f aca="false">IF(B1846="Company","C3 - Corporate Buyers",IF(AND(H1846="Investment",M1846&gt;'Segmentation Summary'!$C$1),"C1 - Global Investors",IF(AND(I1846&gt;=4,M1846&gt;'Segmentation Summary'!$C$1),"C4 - Luxury Investors",IF(AND(D1846&lt;'Segmentation Summary'!$C$2,J1846=1),"C2 - First-Time Buyers","C5 - Other Individual Buyers"))))</f>
        <v>C2 - First-Time Buyers</v>
      </c>
    </row>
    <row r="1847" customFormat="false" ht="15" hidden="false" customHeight="true" outlineLevel="0" collapsed="false">
      <c r="A1847" s="13" t="s">
        <v>3677</v>
      </c>
      <c r="B1847" s="13" t="s">
        <v>34</v>
      </c>
      <c r="C1847" s="13" t="s">
        <v>3678</v>
      </c>
      <c r="D1847" s="13" t="n">
        <v>59</v>
      </c>
      <c r="E1847" s="13" t="s">
        <v>83</v>
      </c>
      <c r="F1847" s="13" t="s">
        <v>33</v>
      </c>
      <c r="G1847" s="13" t="s">
        <v>95</v>
      </c>
      <c r="H1847" s="13" t="s">
        <v>41</v>
      </c>
      <c r="I1847" s="13" t="n">
        <v>2</v>
      </c>
      <c r="J1847" s="13" t="n">
        <v>0</v>
      </c>
      <c r="K1847" s="13" t="s">
        <v>85</v>
      </c>
      <c r="L1847" s="13" t="n">
        <v>4</v>
      </c>
      <c r="M1847" s="13" t="n">
        <v>1308077.61</v>
      </c>
      <c r="N1847" s="13" t="n">
        <v>327019.4025</v>
      </c>
      <c r="O1847" s="13" t="n">
        <v>1075.505</v>
      </c>
      <c r="P1847" s="13" t="n">
        <v>1</v>
      </c>
      <c r="Q1847" s="13" t="n">
        <v>3</v>
      </c>
      <c r="R1847" s="13" t="s">
        <v>124</v>
      </c>
      <c r="S1847" s="13" t="s">
        <v>87</v>
      </c>
      <c r="T1847" s="13" t="n">
        <v>1</v>
      </c>
      <c r="U1847" s="13" t="n">
        <f aca="false">IF(B1847="Individual",1,0)</f>
        <v>1</v>
      </c>
      <c r="V1847" s="13" t="n">
        <f aca="false">IF(B1847="Company",1,0)</f>
        <v>0</v>
      </c>
      <c r="W1847" s="13" t="n">
        <f aca="false">IF(H1847="Home",1,0)</f>
        <v>1</v>
      </c>
      <c r="X1847" s="13" t="n">
        <f aca="false">IF(H1847="Investment",1,0)</f>
        <v>0</v>
      </c>
      <c r="Y1847" s="13" t="n">
        <f aca="false">IF(K1847="Website",1,0)</f>
        <v>1</v>
      </c>
      <c r="Z1847" s="13" t="n">
        <f aca="false">IF(K1847="Agency",1,0)</f>
        <v>0</v>
      </c>
      <c r="AA1847" s="13" t="n">
        <f aca="false">IF(K1847="Client",1,0)</f>
        <v>0</v>
      </c>
      <c r="AB1847" s="13" t="n">
        <f aca="false">(D1847-AVERAGE(D$2:D$2001))/STDEV(D$2:D$2001)</f>
        <v>0.280412521038879</v>
      </c>
      <c r="AC1847" s="13" t="n">
        <f aca="false">(I1847-AVERAGE(I$2:I$2001))/STDEV(I$2:I$2001)</f>
        <v>-0.727948160798201</v>
      </c>
      <c r="AD1847" s="13" t="n">
        <f aca="false">(L1847-AVERAGE(L$2:L$2001))/STDEV(L$2:L$2001)</f>
        <v>0.413838214490712</v>
      </c>
      <c r="AE1847" s="13" t="n">
        <f aca="false">(M1847-AVERAGE(M$2:M$2001))/STDEV(M$2:M$2001)</f>
        <v>0.137141817567067</v>
      </c>
      <c r="AF1847" s="13" t="n">
        <f aca="false">(N1847-AVERAGE(N$2:N$2001))/STDEV(N$2:N$2001)</f>
        <v>-0.287866163662162</v>
      </c>
      <c r="AG1847" s="13" t="n">
        <f aca="false">(O1847-AVERAGE(O$2:O$2001))/STDEV(O$2:O$2001)</f>
        <v>-0.327272741691657</v>
      </c>
      <c r="AH1847" s="0" t="str">
        <f aca="false">IF(B1847="Company","C3 - Corporate Buyers",IF(AND(H1847="Investment",M1847&gt;'Segmentation Summary'!$C$1),"C1 - Global Investors",IF(AND(I1847&gt;=4,M1847&gt;'Segmentation Summary'!$C$1),"C4 - Luxury Investors",IF(AND(D1847&lt;'Segmentation Summary'!$C$2,J1847=1),"C2 - First-Time Buyers","C5 - Other Individual Buyers"))))</f>
        <v>C5 - Other Individual Buyers</v>
      </c>
    </row>
    <row r="1848" customFormat="false" ht="15" hidden="false" customHeight="true" outlineLevel="0" collapsed="false">
      <c r="A1848" s="13" t="s">
        <v>3679</v>
      </c>
      <c r="B1848" s="13" t="s">
        <v>34</v>
      </c>
      <c r="C1848" s="13" t="s">
        <v>3680</v>
      </c>
      <c r="D1848" s="13" t="n">
        <v>30</v>
      </c>
      <c r="E1848" s="13" t="s">
        <v>83</v>
      </c>
      <c r="F1848" s="13" t="s">
        <v>37</v>
      </c>
      <c r="G1848" s="13" t="s">
        <v>169</v>
      </c>
      <c r="H1848" s="13" t="s">
        <v>43</v>
      </c>
      <c r="I1848" s="13" t="n">
        <v>3</v>
      </c>
      <c r="J1848" s="13" t="n">
        <v>1</v>
      </c>
      <c r="K1848" s="13" t="s">
        <v>85</v>
      </c>
      <c r="L1848" s="13" t="n">
        <v>4</v>
      </c>
      <c r="M1848" s="13" t="n">
        <v>2022416.31</v>
      </c>
      <c r="N1848" s="13" t="n">
        <v>505604.0775</v>
      </c>
      <c r="O1848" s="13" t="n">
        <v>1486.3275</v>
      </c>
      <c r="P1848" s="13" t="n">
        <v>1</v>
      </c>
      <c r="Q1848" s="13" t="n">
        <v>3</v>
      </c>
      <c r="R1848" s="13" t="s">
        <v>92</v>
      </c>
      <c r="S1848" s="13" t="s">
        <v>93</v>
      </c>
      <c r="T1848" s="13" t="n">
        <v>1</v>
      </c>
      <c r="U1848" s="13" t="n">
        <f aca="false">IF(B1848="Individual",1,0)</f>
        <v>1</v>
      </c>
      <c r="V1848" s="13" t="n">
        <f aca="false">IF(B1848="Company",1,0)</f>
        <v>0</v>
      </c>
      <c r="W1848" s="13" t="n">
        <f aca="false">IF(H1848="Home",1,0)</f>
        <v>0</v>
      </c>
      <c r="X1848" s="13" t="n">
        <f aca="false">IF(H1848="Investment",1,0)</f>
        <v>1</v>
      </c>
      <c r="Y1848" s="13" t="n">
        <f aca="false">IF(K1848="Website",1,0)</f>
        <v>1</v>
      </c>
      <c r="Z1848" s="13" t="n">
        <f aca="false">IF(K1848="Agency",1,0)</f>
        <v>0</v>
      </c>
      <c r="AA1848" s="13" t="n">
        <f aca="false">IF(K1848="Client",1,0)</f>
        <v>0</v>
      </c>
      <c r="AB1848" s="13" t="n">
        <f aca="false">(D1848-AVERAGE(D$2:D$2001))/STDEV(D$2:D$2001)</f>
        <v>-1.39179868811751</v>
      </c>
      <c r="AC1848" s="13" t="n">
        <f aca="false">(I1848-AVERAGE(I$2:I$2001))/STDEV(I$2:I$2001)</f>
        <v>-0.0205155458339628</v>
      </c>
      <c r="AD1848" s="13" t="n">
        <f aca="false">(L1848-AVERAGE(L$2:L$2001))/STDEV(L$2:L$2001)</f>
        <v>0.413838214490712</v>
      </c>
      <c r="AE1848" s="13" t="n">
        <f aca="false">(M1848-AVERAGE(M$2:M$2001))/STDEV(M$2:M$2001)</f>
        <v>2.19083855058608</v>
      </c>
      <c r="AF1848" s="13" t="n">
        <f aca="false">(N1848-AVERAGE(N$2:N$2001))/STDEV(N$2:N$2001)</f>
        <v>2.273522370855</v>
      </c>
      <c r="AG1848" s="13" t="n">
        <f aca="false">(O1848-AVERAGE(O$2:O$2001))/STDEV(O$2:O$2001)</f>
        <v>1.54075957676583</v>
      </c>
      <c r="AH1848" s="0" t="str">
        <f aca="false">IF(B1848="Company","C3 - Corporate Buyers",IF(AND(H1848="Investment",M1848&gt;'Segmentation Summary'!$C$1),"C1 - Global Investors",IF(AND(I1848&gt;=4,M1848&gt;'Segmentation Summary'!$C$1),"C4 - Luxury Investors",IF(AND(D1848&lt;'Segmentation Summary'!$C$2,J1848=1),"C2 - First-Time Buyers","C5 - Other Individual Buyers"))))</f>
        <v>C1 - Global Investors</v>
      </c>
    </row>
    <row r="1849" customFormat="false" ht="15" hidden="false" customHeight="true" outlineLevel="0" collapsed="false">
      <c r="A1849" s="13" t="s">
        <v>3681</v>
      </c>
      <c r="B1849" s="13" t="s">
        <v>34</v>
      </c>
      <c r="C1849" s="13" t="s">
        <v>3682</v>
      </c>
      <c r="D1849" s="13" t="n">
        <v>64</v>
      </c>
      <c r="E1849" s="13" t="s">
        <v>83</v>
      </c>
      <c r="F1849" s="13" t="s">
        <v>37</v>
      </c>
      <c r="G1849" s="13" t="s">
        <v>169</v>
      </c>
      <c r="H1849" s="13" t="s">
        <v>43</v>
      </c>
      <c r="I1849" s="13" t="n">
        <v>3</v>
      </c>
      <c r="J1849" s="13" t="n">
        <v>1</v>
      </c>
      <c r="K1849" s="13" t="s">
        <v>91</v>
      </c>
      <c r="L1849" s="13" t="n">
        <v>4</v>
      </c>
      <c r="M1849" s="13" t="n">
        <v>948271.34</v>
      </c>
      <c r="N1849" s="13" t="n">
        <v>237067.835</v>
      </c>
      <c r="O1849" s="13" t="n">
        <v>837.5225</v>
      </c>
      <c r="P1849" s="13" t="n">
        <v>2</v>
      </c>
      <c r="Q1849" s="13" t="n">
        <v>2</v>
      </c>
      <c r="R1849" s="13" t="s">
        <v>101</v>
      </c>
      <c r="S1849" s="13" t="s">
        <v>107</v>
      </c>
      <c r="T1849" s="13" t="n">
        <v>1</v>
      </c>
      <c r="U1849" s="13" t="n">
        <f aca="false">IF(B1849="Individual",1,0)</f>
        <v>1</v>
      </c>
      <c r="V1849" s="13" t="n">
        <f aca="false">IF(B1849="Company",1,0)</f>
        <v>0</v>
      </c>
      <c r="W1849" s="13" t="n">
        <f aca="false">IF(H1849="Home",1,0)</f>
        <v>0</v>
      </c>
      <c r="X1849" s="13" t="n">
        <f aca="false">IF(H1849="Investment",1,0)</f>
        <v>1</v>
      </c>
      <c r="Y1849" s="13" t="n">
        <f aca="false">IF(K1849="Website",1,0)</f>
        <v>0</v>
      </c>
      <c r="Z1849" s="13" t="n">
        <f aca="false">IF(K1849="Agency",1,0)</f>
        <v>1</v>
      </c>
      <c r="AA1849" s="13" t="n">
        <f aca="false">IF(K1849="Client",1,0)</f>
        <v>0</v>
      </c>
      <c r="AB1849" s="13" t="n">
        <f aca="false">(D1849-AVERAGE(D$2:D$2001))/STDEV(D$2:D$2001)</f>
        <v>0.568724798479635</v>
      </c>
      <c r="AC1849" s="13" t="n">
        <f aca="false">(I1849-AVERAGE(I$2:I$2001))/STDEV(I$2:I$2001)</f>
        <v>-0.0205155458339628</v>
      </c>
      <c r="AD1849" s="13" t="n">
        <f aca="false">(L1849-AVERAGE(L$2:L$2001))/STDEV(L$2:L$2001)</f>
        <v>0.413838214490712</v>
      </c>
      <c r="AE1849" s="13" t="n">
        <f aca="false">(M1849-AVERAGE(M$2:M$2001))/STDEV(M$2:M$2001)</f>
        <v>-0.897287594165432</v>
      </c>
      <c r="AF1849" s="13" t="n">
        <f aca="false">(N1849-AVERAGE(N$2:N$2001))/STDEV(N$2:N$2001)</f>
        <v>-1.57801557685423</v>
      </c>
      <c r="AG1849" s="13" t="n">
        <f aca="false">(O1849-AVERAGE(O$2:O$2001))/STDEV(O$2:O$2001)</f>
        <v>-1.40939215147888</v>
      </c>
      <c r="AH1849" s="0" t="str">
        <f aca="false">IF(B1849="Company","C3 - Corporate Buyers",IF(AND(H1849="Investment",M1849&gt;'Segmentation Summary'!$C$1),"C1 - Global Investors",IF(AND(I1849&gt;=4,M1849&gt;'Segmentation Summary'!$C$1),"C4 - Luxury Investors",IF(AND(D1849&lt;'Segmentation Summary'!$C$2,J1849=1),"C2 - First-Time Buyers","C5 - Other Individual Buyers"))))</f>
        <v>C5 - Other Individual Buyers</v>
      </c>
    </row>
    <row r="1850" customFormat="false" ht="15" hidden="false" customHeight="true" outlineLevel="0" collapsed="false">
      <c r="A1850" s="13" t="s">
        <v>3683</v>
      </c>
      <c r="B1850" s="13" t="s">
        <v>34</v>
      </c>
      <c r="C1850" s="13" t="s">
        <v>3684</v>
      </c>
      <c r="D1850" s="13" t="n">
        <v>70</v>
      </c>
      <c r="E1850" s="13" t="s">
        <v>83</v>
      </c>
      <c r="F1850" s="13" t="s">
        <v>33</v>
      </c>
      <c r="G1850" s="13" t="s">
        <v>110</v>
      </c>
      <c r="H1850" s="13" t="s">
        <v>41</v>
      </c>
      <c r="I1850" s="13" t="n">
        <v>4</v>
      </c>
      <c r="J1850" s="13" t="n">
        <v>1</v>
      </c>
      <c r="K1850" s="13" t="s">
        <v>85</v>
      </c>
      <c r="L1850" s="13" t="n">
        <v>3</v>
      </c>
      <c r="M1850" s="13" t="n">
        <v>1609592.58</v>
      </c>
      <c r="N1850" s="13" t="n">
        <v>536530.86</v>
      </c>
      <c r="O1850" s="13" t="n">
        <v>1680.52666666667</v>
      </c>
      <c r="P1850" s="13" t="n">
        <v>1</v>
      </c>
      <c r="Q1850" s="13" t="n">
        <v>2</v>
      </c>
      <c r="R1850" s="13" t="s">
        <v>121</v>
      </c>
      <c r="S1850" s="13" t="s">
        <v>125</v>
      </c>
      <c r="T1850" s="13" t="n">
        <v>1</v>
      </c>
      <c r="U1850" s="13" t="n">
        <f aca="false">IF(B1850="Individual",1,0)</f>
        <v>1</v>
      </c>
      <c r="V1850" s="13" t="n">
        <f aca="false">IF(B1850="Company",1,0)</f>
        <v>0</v>
      </c>
      <c r="W1850" s="13" t="n">
        <f aca="false">IF(H1850="Home",1,0)</f>
        <v>1</v>
      </c>
      <c r="X1850" s="13" t="n">
        <f aca="false">IF(H1850="Investment",1,0)</f>
        <v>0</v>
      </c>
      <c r="Y1850" s="13" t="n">
        <f aca="false">IF(K1850="Website",1,0)</f>
        <v>1</v>
      </c>
      <c r="Z1850" s="13" t="n">
        <f aca="false">IF(K1850="Agency",1,0)</f>
        <v>0</v>
      </c>
      <c r="AA1850" s="13" t="n">
        <f aca="false">IF(K1850="Client",1,0)</f>
        <v>0</v>
      </c>
      <c r="AB1850" s="13" t="n">
        <f aca="false">(D1850-AVERAGE(D$2:D$2001))/STDEV(D$2:D$2001)</f>
        <v>0.914699531408543</v>
      </c>
      <c r="AC1850" s="13" t="n">
        <f aca="false">(I1850-AVERAGE(I$2:I$2001))/STDEV(I$2:I$2001)</f>
        <v>0.686917069130275</v>
      </c>
      <c r="AD1850" s="13" t="n">
        <f aca="false">(L1850-AVERAGE(L$2:L$2001))/STDEV(L$2:L$2001)</f>
        <v>-0.777063122173208</v>
      </c>
      <c r="AE1850" s="13" t="n">
        <f aca="false">(M1850-AVERAGE(M$2:M$2001))/STDEV(M$2:M$2001)</f>
        <v>1.00398594745297</v>
      </c>
      <c r="AF1850" s="13" t="n">
        <f aca="false">(N1850-AVERAGE(N$2:N$2001))/STDEV(N$2:N$2001)</f>
        <v>2.71709630072892</v>
      </c>
      <c r="AG1850" s="13" t="n">
        <f aca="false">(O1850-AVERAGE(O$2:O$2001))/STDEV(O$2:O$2001)</f>
        <v>2.42379378144268</v>
      </c>
      <c r="AH1850" s="0" t="str">
        <f aca="false">IF(B1850="Company","C3 - Corporate Buyers",IF(AND(H1850="Investment",M1850&gt;'Segmentation Summary'!$C$1),"C1 - Global Investors",IF(AND(I1850&gt;=4,M1850&gt;'Segmentation Summary'!$C$1),"C4 - Luxury Investors",IF(AND(D1850&lt;'Segmentation Summary'!$C$2,J1850=1),"C2 - First-Time Buyers","C5 - Other Individual Buyers"))))</f>
        <v>C4 - Luxury Investors</v>
      </c>
    </row>
    <row r="1851" customFormat="false" ht="15" hidden="false" customHeight="true" outlineLevel="0" collapsed="false">
      <c r="A1851" s="13" t="s">
        <v>3685</v>
      </c>
      <c r="B1851" s="13" t="s">
        <v>34</v>
      </c>
      <c r="C1851" s="13" t="s">
        <v>3686</v>
      </c>
      <c r="D1851" s="13" t="n">
        <v>53</v>
      </c>
      <c r="E1851" s="13" t="s">
        <v>83</v>
      </c>
      <c r="F1851" s="13" t="s">
        <v>37</v>
      </c>
      <c r="G1851" s="13" t="s">
        <v>676</v>
      </c>
      <c r="H1851" s="13" t="s">
        <v>43</v>
      </c>
      <c r="I1851" s="13" t="n">
        <v>3</v>
      </c>
      <c r="J1851" s="13" t="n">
        <v>1</v>
      </c>
      <c r="K1851" s="13" t="s">
        <v>85</v>
      </c>
      <c r="L1851" s="13" t="n">
        <v>3</v>
      </c>
      <c r="M1851" s="13" t="n">
        <v>977070.12</v>
      </c>
      <c r="N1851" s="13" t="n">
        <v>325690.04</v>
      </c>
      <c r="O1851" s="13" t="n">
        <v>1075.83333333333</v>
      </c>
      <c r="P1851" s="13" t="n">
        <v>0</v>
      </c>
      <c r="Q1851" s="13" t="n">
        <v>3</v>
      </c>
      <c r="R1851" s="13" t="s">
        <v>101</v>
      </c>
      <c r="S1851" s="13" t="s">
        <v>128</v>
      </c>
      <c r="T1851" s="13" t="n">
        <v>1</v>
      </c>
      <c r="U1851" s="13" t="n">
        <f aca="false">IF(B1851="Individual",1,0)</f>
        <v>1</v>
      </c>
      <c r="V1851" s="13" t="n">
        <f aca="false">IF(B1851="Company",1,0)</f>
        <v>0</v>
      </c>
      <c r="W1851" s="13" t="n">
        <f aca="false">IF(H1851="Home",1,0)</f>
        <v>0</v>
      </c>
      <c r="X1851" s="13" t="n">
        <f aca="false">IF(H1851="Investment",1,0)</f>
        <v>1</v>
      </c>
      <c r="Y1851" s="13" t="n">
        <f aca="false">IF(K1851="Website",1,0)</f>
        <v>1</v>
      </c>
      <c r="Z1851" s="13" t="n">
        <f aca="false">IF(K1851="Agency",1,0)</f>
        <v>0</v>
      </c>
      <c r="AA1851" s="13" t="n">
        <f aca="false">IF(K1851="Client",1,0)</f>
        <v>0</v>
      </c>
      <c r="AB1851" s="13" t="n">
        <f aca="false">(D1851-AVERAGE(D$2:D$2001))/STDEV(D$2:D$2001)</f>
        <v>-0.065562211890028</v>
      </c>
      <c r="AC1851" s="13" t="n">
        <f aca="false">(I1851-AVERAGE(I$2:I$2001))/STDEV(I$2:I$2001)</f>
        <v>-0.0205155458339628</v>
      </c>
      <c r="AD1851" s="13" t="n">
        <f aca="false">(L1851-AVERAGE(L$2:L$2001))/STDEV(L$2:L$2001)</f>
        <v>-0.777063122173208</v>
      </c>
      <c r="AE1851" s="13" t="n">
        <f aca="false">(M1851-AVERAGE(M$2:M$2001))/STDEV(M$2:M$2001)</f>
        <v>-0.814492191367104</v>
      </c>
      <c r="AF1851" s="13" t="n">
        <f aca="false">(N1851-AVERAGE(N$2:N$2001))/STDEV(N$2:N$2001)</f>
        <v>-0.306932826945096</v>
      </c>
      <c r="AG1851" s="13" t="n">
        <f aca="false">(O1851-AVERAGE(O$2:O$2001))/STDEV(O$2:O$2001)</f>
        <v>-0.325779792113951</v>
      </c>
      <c r="AH1851" s="0" t="str">
        <f aca="false">IF(B1851="Company","C3 - Corporate Buyers",IF(AND(H1851="Investment",M1851&gt;'Segmentation Summary'!$C$1),"C1 - Global Investors",IF(AND(I1851&gt;=4,M1851&gt;'Segmentation Summary'!$C$1),"C4 - Luxury Investors",IF(AND(D1851&lt;'Segmentation Summary'!$C$2,J1851=1),"C2 - First-Time Buyers","C5 - Other Individual Buyers"))))</f>
        <v>C2 - First-Time Buyers</v>
      </c>
    </row>
    <row r="1852" customFormat="false" ht="15" hidden="false" customHeight="true" outlineLevel="0" collapsed="false">
      <c r="A1852" s="13" t="s">
        <v>3687</v>
      </c>
      <c r="B1852" s="13" t="s">
        <v>34</v>
      </c>
      <c r="C1852" s="13" t="s">
        <v>3688</v>
      </c>
      <c r="D1852" s="13" t="n">
        <v>82</v>
      </c>
      <c r="E1852" s="13" t="s">
        <v>83</v>
      </c>
      <c r="F1852" s="13" t="s">
        <v>37</v>
      </c>
      <c r="G1852" s="13" t="s">
        <v>259</v>
      </c>
      <c r="H1852" s="13" t="s">
        <v>43</v>
      </c>
      <c r="I1852" s="13" t="n">
        <v>2</v>
      </c>
      <c r="J1852" s="13" t="n">
        <v>0</v>
      </c>
      <c r="K1852" s="13" t="s">
        <v>85</v>
      </c>
      <c r="L1852" s="13" t="n">
        <v>4</v>
      </c>
      <c r="M1852" s="13" t="n">
        <v>1678762.07</v>
      </c>
      <c r="N1852" s="13" t="n">
        <v>419690.5175</v>
      </c>
      <c r="O1852" s="13" t="n">
        <v>1295.265</v>
      </c>
      <c r="P1852" s="13" t="n">
        <v>1</v>
      </c>
      <c r="Q1852" s="13" t="n">
        <v>3</v>
      </c>
      <c r="R1852" s="13" t="s">
        <v>121</v>
      </c>
      <c r="S1852" s="13" t="s">
        <v>128</v>
      </c>
      <c r="T1852" s="13" t="n">
        <v>1</v>
      </c>
      <c r="U1852" s="13" t="n">
        <f aca="false">IF(B1852="Individual",1,0)</f>
        <v>1</v>
      </c>
      <c r="V1852" s="13" t="n">
        <f aca="false">IF(B1852="Company",1,0)</f>
        <v>0</v>
      </c>
      <c r="W1852" s="13" t="n">
        <f aca="false">IF(H1852="Home",1,0)</f>
        <v>0</v>
      </c>
      <c r="X1852" s="13" t="n">
        <f aca="false">IF(H1852="Investment",1,0)</f>
        <v>1</v>
      </c>
      <c r="Y1852" s="13" t="n">
        <f aca="false">IF(K1852="Website",1,0)</f>
        <v>1</v>
      </c>
      <c r="Z1852" s="13" t="n">
        <f aca="false">IF(K1852="Agency",1,0)</f>
        <v>0</v>
      </c>
      <c r="AA1852" s="13" t="n">
        <f aca="false">IF(K1852="Client",1,0)</f>
        <v>0</v>
      </c>
      <c r="AB1852" s="13" t="n">
        <f aca="false">(D1852-AVERAGE(D$2:D$2001))/STDEV(D$2:D$2001)</f>
        <v>1.60664899726636</v>
      </c>
      <c r="AC1852" s="13" t="n">
        <f aca="false">(I1852-AVERAGE(I$2:I$2001))/STDEV(I$2:I$2001)</f>
        <v>-0.727948160798201</v>
      </c>
      <c r="AD1852" s="13" t="n">
        <f aca="false">(L1852-AVERAGE(L$2:L$2001))/STDEV(L$2:L$2001)</f>
        <v>0.413838214490712</v>
      </c>
      <c r="AE1852" s="13" t="n">
        <f aca="false">(M1852-AVERAGE(M$2:M$2001))/STDEV(M$2:M$2001)</f>
        <v>1.20284561393554</v>
      </c>
      <c r="AF1852" s="13" t="n">
        <f aca="false">(N1852-AVERAGE(N$2:N$2001))/STDEV(N$2:N$2001)</f>
        <v>1.04128893568733</v>
      </c>
      <c r="AG1852" s="13" t="n">
        <f aca="false">(O1852-AVERAGE(O$2:O$2001))/STDEV(O$2:O$2001)</f>
        <v>0.671987966532011</v>
      </c>
      <c r="AH1852" s="0" t="str">
        <f aca="false">IF(B1852="Company","C3 - Corporate Buyers",IF(AND(H1852="Investment",M1852&gt;'Segmentation Summary'!$C$1),"C1 - Global Investors",IF(AND(I1852&gt;=4,M1852&gt;'Segmentation Summary'!$C$1),"C4 - Luxury Investors",IF(AND(D1852&lt;'Segmentation Summary'!$C$2,J1852=1),"C2 - First-Time Buyers","C5 - Other Individual Buyers"))))</f>
        <v>C1 - Global Investors</v>
      </c>
    </row>
    <row r="1853" customFormat="false" ht="15" hidden="false" customHeight="true" outlineLevel="0" collapsed="false">
      <c r="A1853" s="13" t="s">
        <v>3689</v>
      </c>
      <c r="B1853" s="13" t="s">
        <v>34</v>
      </c>
      <c r="C1853" s="13" t="s">
        <v>3690</v>
      </c>
      <c r="D1853" s="13" t="n">
        <v>65</v>
      </c>
      <c r="E1853" s="13" t="s">
        <v>83</v>
      </c>
      <c r="F1853" s="13" t="s">
        <v>33</v>
      </c>
      <c r="G1853" s="13" t="s">
        <v>95</v>
      </c>
      <c r="H1853" s="13" t="s">
        <v>43</v>
      </c>
      <c r="I1853" s="13" t="n">
        <v>4</v>
      </c>
      <c r="J1853" s="13" t="n">
        <v>1</v>
      </c>
      <c r="K1853" s="13" t="s">
        <v>85</v>
      </c>
      <c r="L1853" s="13" t="n">
        <v>3</v>
      </c>
      <c r="M1853" s="13" t="n">
        <v>1151228.31</v>
      </c>
      <c r="N1853" s="13" t="n">
        <v>383742.77</v>
      </c>
      <c r="O1853" s="13" t="n">
        <v>1336.61</v>
      </c>
      <c r="P1853" s="13" t="n">
        <v>0</v>
      </c>
      <c r="Q1853" s="13" t="n">
        <v>3</v>
      </c>
      <c r="R1853" s="13" t="s">
        <v>111</v>
      </c>
      <c r="S1853" s="13" t="s">
        <v>133</v>
      </c>
      <c r="T1853" s="13" t="n">
        <v>1</v>
      </c>
      <c r="U1853" s="13" t="n">
        <f aca="false">IF(B1853="Individual",1,0)</f>
        <v>1</v>
      </c>
      <c r="V1853" s="13" t="n">
        <f aca="false">IF(B1853="Company",1,0)</f>
        <v>0</v>
      </c>
      <c r="W1853" s="13" t="n">
        <f aca="false">IF(H1853="Home",1,0)</f>
        <v>0</v>
      </c>
      <c r="X1853" s="13" t="n">
        <f aca="false">IF(H1853="Investment",1,0)</f>
        <v>1</v>
      </c>
      <c r="Y1853" s="13" t="n">
        <f aca="false">IF(K1853="Website",1,0)</f>
        <v>1</v>
      </c>
      <c r="Z1853" s="13" t="n">
        <f aca="false">IF(K1853="Agency",1,0)</f>
        <v>0</v>
      </c>
      <c r="AA1853" s="13" t="n">
        <f aca="false">IF(K1853="Client",1,0)</f>
        <v>0</v>
      </c>
      <c r="AB1853" s="13" t="n">
        <f aca="false">(D1853-AVERAGE(D$2:D$2001))/STDEV(D$2:D$2001)</f>
        <v>0.626387253967787</v>
      </c>
      <c r="AC1853" s="13" t="n">
        <f aca="false">(I1853-AVERAGE(I$2:I$2001))/STDEV(I$2:I$2001)</f>
        <v>0.686917069130275</v>
      </c>
      <c r="AD1853" s="13" t="n">
        <f aca="false">(L1853-AVERAGE(L$2:L$2001))/STDEV(L$2:L$2001)</f>
        <v>-0.777063122173208</v>
      </c>
      <c r="AE1853" s="13" t="n">
        <f aca="false">(M1853-AVERAGE(M$2:M$2001))/STDEV(M$2:M$2001)</f>
        <v>-0.313793984995946</v>
      </c>
      <c r="AF1853" s="13" t="n">
        <f aca="false">(N1853-AVERAGE(N$2:N$2001))/STDEV(N$2:N$2001)</f>
        <v>0.525700751604804</v>
      </c>
      <c r="AG1853" s="13" t="n">
        <f aca="false">(O1853-AVERAGE(O$2:O$2001))/STDEV(O$2:O$2001)</f>
        <v>0.859985936961149</v>
      </c>
      <c r="AH1853" s="0" t="str">
        <f aca="false">IF(B1853="Company","C3 - Corporate Buyers",IF(AND(H1853="Investment",M1853&gt;'Segmentation Summary'!$C$1),"C1 - Global Investors",IF(AND(I1853&gt;=4,M1853&gt;'Segmentation Summary'!$C$1),"C4 - Luxury Investors",IF(AND(D1853&lt;'Segmentation Summary'!$C$2,J1853=1),"C2 - First-Time Buyers","C5 - Other Individual Buyers"))))</f>
        <v>C5 - Other Individual Buyers</v>
      </c>
    </row>
    <row r="1854" customFormat="false" ht="15" hidden="false" customHeight="true" outlineLevel="0" collapsed="false">
      <c r="A1854" s="13" t="s">
        <v>3691</v>
      </c>
      <c r="B1854" s="13" t="s">
        <v>34</v>
      </c>
      <c r="C1854" s="13" t="s">
        <v>3692</v>
      </c>
      <c r="D1854" s="13" t="n">
        <v>27</v>
      </c>
      <c r="E1854" s="13" t="s">
        <v>83</v>
      </c>
      <c r="F1854" s="13" t="s">
        <v>33</v>
      </c>
      <c r="G1854" s="13" t="s">
        <v>145</v>
      </c>
      <c r="H1854" s="13" t="s">
        <v>41</v>
      </c>
      <c r="I1854" s="13" t="n">
        <v>3</v>
      </c>
      <c r="J1854" s="13" t="n">
        <v>0</v>
      </c>
      <c r="K1854" s="13" t="s">
        <v>91</v>
      </c>
      <c r="L1854" s="13" t="n">
        <v>4</v>
      </c>
      <c r="M1854" s="13" t="n">
        <v>1485303.01</v>
      </c>
      <c r="N1854" s="13" t="n">
        <v>371325.7525</v>
      </c>
      <c r="O1854" s="13" t="n">
        <v>1299.3675</v>
      </c>
      <c r="P1854" s="13" t="n">
        <v>1</v>
      </c>
      <c r="Q1854" s="13" t="n">
        <v>3</v>
      </c>
      <c r="R1854" s="13" t="s">
        <v>98</v>
      </c>
      <c r="S1854" s="13" t="s">
        <v>135</v>
      </c>
      <c r="T1854" s="13" t="n">
        <v>1</v>
      </c>
      <c r="U1854" s="13" t="n">
        <f aca="false">IF(B1854="Individual",1,0)</f>
        <v>1</v>
      </c>
      <c r="V1854" s="13" t="n">
        <f aca="false">IF(B1854="Company",1,0)</f>
        <v>0</v>
      </c>
      <c r="W1854" s="13" t="n">
        <f aca="false">IF(H1854="Home",1,0)</f>
        <v>1</v>
      </c>
      <c r="X1854" s="13" t="n">
        <f aca="false">IF(H1854="Investment",1,0)</f>
        <v>0</v>
      </c>
      <c r="Y1854" s="13" t="n">
        <f aca="false">IF(K1854="Website",1,0)</f>
        <v>0</v>
      </c>
      <c r="Z1854" s="13" t="n">
        <f aca="false">IF(K1854="Agency",1,0)</f>
        <v>1</v>
      </c>
      <c r="AA1854" s="13" t="n">
        <f aca="false">IF(K1854="Client",1,0)</f>
        <v>0</v>
      </c>
      <c r="AB1854" s="13" t="n">
        <f aca="false">(D1854-AVERAGE(D$2:D$2001))/STDEV(D$2:D$2001)</f>
        <v>-1.56478605458196</v>
      </c>
      <c r="AC1854" s="13" t="n">
        <f aca="false">(I1854-AVERAGE(I$2:I$2001))/STDEV(I$2:I$2001)</f>
        <v>-0.0205155458339628</v>
      </c>
      <c r="AD1854" s="13" t="n">
        <f aca="false">(L1854-AVERAGE(L$2:L$2001))/STDEV(L$2:L$2001)</f>
        <v>0.413838214490712</v>
      </c>
      <c r="AE1854" s="13" t="n">
        <f aca="false">(M1854-AVERAGE(M$2:M$2001))/STDEV(M$2:M$2001)</f>
        <v>0.646658136629701</v>
      </c>
      <c r="AF1854" s="13" t="n">
        <f aca="false">(N1854-AVERAGE(N$2:N$2001))/STDEV(N$2:N$2001)</f>
        <v>0.347607047554335</v>
      </c>
      <c r="AG1854" s="13" t="n">
        <f aca="false">(O1854-AVERAGE(O$2:O$2001))/STDEV(O$2:O$2001)</f>
        <v>0.690642257829279</v>
      </c>
      <c r="AH1854" s="0" t="str">
        <f aca="false">IF(B1854="Company","C3 - Corporate Buyers",IF(AND(H1854="Investment",M1854&gt;'Segmentation Summary'!$C$1),"C1 - Global Investors",IF(AND(I1854&gt;=4,M1854&gt;'Segmentation Summary'!$C$1),"C4 - Luxury Investors",IF(AND(D1854&lt;'Segmentation Summary'!$C$2,J1854=1),"C2 - First-Time Buyers","C5 - Other Individual Buyers"))))</f>
        <v>C5 - Other Individual Buyers</v>
      </c>
    </row>
    <row r="1855" customFormat="false" ht="15" hidden="false" customHeight="true" outlineLevel="0" collapsed="false">
      <c r="A1855" s="13" t="s">
        <v>3693</v>
      </c>
      <c r="B1855" s="13" t="s">
        <v>34</v>
      </c>
      <c r="C1855" s="13" t="s">
        <v>3692</v>
      </c>
      <c r="D1855" s="13" t="n">
        <v>69</v>
      </c>
      <c r="E1855" s="13" t="s">
        <v>83</v>
      </c>
      <c r="F1855" s="13" t="s">
        <v>33</v>
      </c>
      <c r="G1855" s="13" t="s">
        <v>95</v>
      </c>
      <c r="H1855" s="13" t="s">
        <v>41</v>
      </c>
      <c r="I1855" s="13" t="n">
        <v>3</v>
      </c>
      <c r="J1855" s="13" t="n">
        <v>0</v>
      </c>
      <c r="K1855" s="13" t="s">
        <v>91</v>
      </c>
      <c r="L1855" s="13" t="n">
        <v>3</v>
      </c>
      <c r="M1855" s="13" t="n">
        <v>821716.14</v>
      </c>
      <c r="N1855" s="13" t="n">
        <v>273905.38</v>
      </c>
      <c r="O1855" s="13" t="n">
        <v>945.65</v>
      </c>
      <c r="P1855" s="13" t="n">
        <v>1</v>
      </c>
      <c r="Q1855" s="13" t="n">
        <v>2</v>
      </c>
      <c r="R1855" s="13" t="s">
        <v>98</v>
      </c>
      <c r="S1855" s="13" t="s">
        <v>215</v>
      </c>
      <c r="T1855" s="13" t="n">
        <v>1</v>
      </c>
      <c r="U1855" s="13" t="n">
        <f aca="false">IF(B1855="Individual",1,0)</f>
        <v>1</v>
      </c>
      <c r="V1855" s="13" t="n">
        <f aca="false">IF(B1855="Company",1,0)</f>
        <v>0</v>
      </c>
      <c r="W1855" s="13" t="n">
        <f aca="false">IF(H1855="Home",1,0)</f>
        <v>1</v>
      </c>
      <c r="X1855" s="13" t="n">
        <f aca="false">IF(H1855="Investment",1,0)</f>
        <v>0</v>
      </c>
      <c r="Y1855" s="13" t="n">
        <f aca="false">IF(K1855="Website",1,0)</f>
        <v>0</v>
      </c>
      <c r="Z1855" s="13" t="n">
        <f aca="false">IF(K1855="Agency",1,0)</f>
        <v>1</v>
      </c>
      <c r="AA1855" s="13" t="n">
        <f aca="false">IF(K1855="Client",1,0)</f>
        <v>0</v>
      </c>
      <c r="AB1855" s="13" t="n">
        <f aca="false">(D1855-AVERAGE(D$2:D$2001))/STDEV(D$2:D$2001)</f>
        <v>0.857037075920391</v>
      </c>
      <c r="AC1855" s="13" t="n">
        <f aca="false">(I1855-AVERAGE(I$2:I$2001))/STDEV(I$2:I$2001)</f>
        <v>-0.0205155458339628</v>
      </c>
      <c r="AD1855" s="13" t="n">
        <f aca="false">(L1855-AVERAGE(L$2:L$2001))/STDEV(L$2:L$2001)</f>
        <v>-0.777063122173208</v>
      </c>
      <c r="AE1855" s="13" t="n">
        <f aca="false">(M1855-AVERAGE(M$2:M$2001))/STDEV(M$2:M$2001)</f>
        <v>-1.26112900551073</v>
      </c>
      <c r="AF1855" s="13" t="n">
        <f aca="false">(N1855-AVERAGE(N$2:N$2001))/STDEV(N$2:N$2001)</f>
        <v>-1.04966528362353</v>
      </c>
      <c r="AG1855" s="13" t="n">
        <f aca="false">(O1855-AVERAGE(O$2:O$2001))/STDEV(O$2:O$2001)</f>
        <v>-0.917730510468435</v>
      </c>
      <c r="AH1855" s="0" t="str">
        <f aca="false">IF(B1855="Company","C3 - Corporate Buyers",IF(AND(H1855="Investment",M1855&gt;'Segmentation Summary'!$C$1),"C1 - Global Investors",IF(AND(I1855&gt;=4,M1855&gt;'Segmentation Summary'!$C$1),"C4 - Luxury Investors",IF(AND(D1855&lt;'Segmentation Summary'!$C$2,J1855=1),"C2 - First-Time Buyers","C5 - Other Individual Buyers"))))</f>
        <v>C5 - Other Individual Buyers</v>
      </c>
    </row>
    <row r="1856" customFormat="false" ht="15" hidden="false" customHeight="true" outlineLevel="0" collapsed="false">
      <c r="A1856" s="13" t="s">
        <v>3694</v>
      </c>
      <c r="B1856" s="13" t="s">
        <v>34</v>
      </c>
      <c r="C1856" s="13" t="s">
        <v>3695</v>
      </c>
      <c r="D1856" s="13" t="n">
        <v>39</v>
      </c>
      <c r="E1856" s="13" t="s">
        <v>83</v>
      </c>
      <c r="F1856" s="13" t="s">
        <v>46</v>
      </c>
      <c r="G1856" s="13" t="s">
        <v>214</v>
      </c>
      <c r="H1856" s="13" t="s">
        <v>43</v>
      </c>
      <c r="I1856" s="13" t="n">
        <v>3</v>
      </c>
      <c r="J1856" s="13" t="n">
        <v>1</v>
      </c>
      <c r="K1856" s="13" t="s">
        <v>85</v>
      </c>
      <c r="L1856" s="13" t="n">
        <v>4</v>
      </c>
      <c r="M1856" s="13" t="n">
        <v>998344.48</v>
      </c>
      <c r="N1856" s="13" t="n">
        <v>249586.12</v>
      </c>
      <c r="O1856" s="13" t="n">
        <v>872.2</v>
      </c>
      <c r="P1856" s="13" t="n">
        <v>0</v>
      </c>
      <c r="Q1856" s="13" t="n">
        <v>4</v>
      </c>
      <c r="R1856" s="13" t="s">
        <v>117</v>
      </c>
      <c r="S1856" s="13" t="s">
        <v>112</v>
      </c>
      <c r="T1856" s="13" t="n">
        <v>1</v>
      </c>
      <c r="U1856" s="13" t="n">
        <f aca="false">IF(B1856="Individual",1,0)</f>
        <v>1</v>
      </c>
      <c r="V1856" s="13" t="n">
        <f aca="false">IF(B1856="Company",1,0)</f>
        <v>0</v>
      </c>
      <c r="W1856" s="13" t="n">
        <f aca="false">IF(H1856="Home",1,0)</f>
        <v>0</v>
      </c>
      <c r="X1856" s="13" t="n">
        <f aca="false">IF(H1856="Investment",1,0)</f>
        <v>1</v>
      </c>
      <c r="Y1856" s="13" t="n">
        <f aca="false">IF(K1856="Website",1,0)</f>
        <v>1</v>
      </c>
      <c r="Z1856" s="13" t="n">
        <f aca="false">IF(K1856="Agency",1,0)</f>
        <v>0</v>
      </c>
      <c r="AA1856" s="13" t="n">
        <f aca="false">IF(K1856="Client",1,0)</f>
        <v>0</v>
      </c>
      <c r="AB1856" s="13" t="n">
        <f aca="false">(D1856-AVERAGE(D$2:D$2001))/STDEV(D$2:D$2001)</f>
        <v>-0.872836588724145</v>
      </c>
      <c r="AC1856" s="13" t="n">
        <f aca="false">(I1856-AVERAGE(I$2:I$2001))/STDEV(I$2:I$2001)</f>
        <v>-0.0205155458339628</v>
      </c>
      <c r="AD1856" s="13" t="n">
        <f aca="false">(L1856-AVERAGE(L$2:L$2001))/STDEV(L$2:L$2001)</f>
        <v>0.413838214490712</v>
      </c>
      <c r="AE1856" s="13" t="n">
        <f aca="false">(M1856-AVERAGE(M$2:M$2001))/STDEV(M$2:M$2001)</f>
        <v>-0.753329211356263</v>
      </c>
      <c r="AF1856" s="13" t="n">
        <f aca="false">(N1856-AVERAGE(N$2:N$2001))/STDEV(N$2:N$2001)</f>
        <v>-1.3984694222314</v>
      </c>
      <c r="AG1856" s="13" t="n">
        <f aca="false">(O1856-AVERAGE(O$2:O$2001))/STDEV(O$2:O$2001)</f>
        <v>-1.25171166727144</v>
      </c>
      <c r="AH1856" s="0" t="str">
        <f aca="false">IF(B1856="Company","C3 - Corporate Buyers",IF(AND(H1856="Investment",M1856&gt;'Segmentation Summary'!$C$1),"C1 - Global Investors",IF(AND(I1856&gt;=4,M1856&gt;'Segmentation Summary'!$C$1),"C4 - Luxury Investors",IF(AND(D1856&lt;'Segmentation Summary'!$C$2,J1856=1),"C2 - First-Time Buyers","C5 - Other Individual Buyers"))))</f>
        <v>C2 - First-Time Buyers</v>
      </c>
    </row>
    <row r="1857" customFormat="false" ht="15" hidden="false" customHeight="true" outlineLevel="0" collapsed="false">
      <c r="A1857" s="13" t="s">
        <v>3696</v>
      </c>
      <c r="B1857" s="13" t="s">
        <v>34</v>
      </c>
      <c r="C1857" s="13" t="s">
        <v>3697</v>
      </c>
      <c r="D1857" s="13" t="n">
        <v>37</v>
      </c>
      <c r="E1857" s="13" t="s">
        <v>90</v>
      </c>
      <c r="F1857" s="13" t="s">
        <v>33</v>
      </c>
      <c r="G1857" s="13" t="s">
        <v>110</v>
      </c>
      <c r="H1857" s="13" t="s">
        <v>41</v>
      </c>
      <c r="I1857" s="13" t="n">
        <v>5</v>
      </c>
      <c r="J1857" s="13" t="n">
        <v>0</v>
      </c>
      <c r="K1857" s="13" t="s">
        <v>85</v>
      </c>
      <c r="L1857" s="13" t="n">
        <v>3</v>
      </c>
      <c r="M1857" s="13" t="n">
        <v>979729.05</v>
      </c>
      <c r="N1857" s="13" t="n">
        <v>326576.35</v>
      </c>
      <c r="O1857" s="13" t="n">
        <v>1090.77333333333</v>
      </c>
      <c r="P1857" s="13" t="n">
        <v>1</v>
      </c>
      <c r="Q1857" s="13" t="n">
        <v>2</v>
      </c>
      <c r="R1857" s="13" t="s">
        <v>164</v>
      </c>
      <c r="S1857" s="13" t="s">
        <v>125</v>
      </c>
      <c r="T1857" s="13" t="n">
        <v>1</v>
      </c>
      <c r="U1857" s="13" t="n">
        <f aca="false">IF(B1857="Individual",1,0)</f>
        <v>1</v>
      </c>
      <c r="V1857" s="13" t="n">
        <f aca="false">IF(B1857="Company",1,0)</f>
        <v>0</v>
      </c>
      <c r="W1857" s="13" t="n">
        <f aca="false">IF(H1857="Home",1,0)</f>
        <v>1</v>
      </c>
      <c r="X1857" s="13" t="n">
        <f aca="false">IF(H1857="Investment",1,0)</f>
        <v>0</v>
      </c>
      <c r="Y1857" s="13" t="n">
        <f aca="false">IF(K1857="Website",1,0)</f>
        <v>1</v>
      </c>
      <c r="Z1857" s="13" t="n">
        <f aca="false">IF(K1857="Agency",1,0)</f>
        <v>0</v>
      </c>
      <c r="AA1857" s="13" t="n">
        <f aca="false">IF(K1857="Client",1,0)</f>
        <v>0</v>
      </c>
      <c r="AB1857" s="13" t="n">
        <f aca="false">(D1857-AVERAGE(D$2:D$2001))/STDEV(D$2:D$2001)</f>
        <v>-0.988161499700447</v>
      </c>
      <c r="AC1857" s="13" t="n">
        <f aca="false">(I1857-AVERAGE(I$2:I$2001))/STDEV(I$2:I$2001)</f>
        <v>1.39434968409451</v>
      </c>
      <c r="AD1857" s="13" t="n">
        <f aca="false">(L1857-AVERAGE(L$2:L$2001))/STDEV(L$2:L$2001)</f>
        <v>-0.777063122173208</v>
      </c>
      <c r="AE1857" s="13" t="n">
        <f aca="false">(M1857-AVERAGE(M$2:M$2001))/STDEV(M$2:M$2001)</f>
        <v>-0.806847868226938</v>
      </c>
      <c r="AF1857" s="13" t="n">
        <f aca="false">(N1857-AVERAGE(N$2:N$2001))/STDEV(N$2:N$2001)</f>
        <v>-0.294220738004497</v>
      </c>
      <c r="AG1857" s="13" t="n">
        <f aca="false">(O1857-AVERAGE(O$2:O$2001))/STDEV(O$2:O$2001)</f>
        <v>-0.257846797115491</v>
      </c>
      <c r="AH1857" s="0" t="str">
        <f aca="false">IF(B1857="Company","C3 - Corporate Buyers",IF(AND(H1857="Investment",M1857&gt;'Segmentation Summary'!$C$1),"C1 - Global Investors",IF(AND(I1857&gt;=4,M1857&gt;'Segmentation Summary'!$C$1),"C4 - Luxury Investors",IF(AND(D1857&lt;'Segmentation Summary'!$C$2,J1857=1),"C2 - First-Time Buyers","C5 - Other Individual Buyers"))))</f>
        <v>C5 - Other Individual Buyers</v>
      </c>
    </row>
    <row r="1858" customFormat="false" ht="15" hidden="false" customHeight="true" outlineLevel="0" collapsed="false">
      <c r="A1858" s="13" t="s">
        <v>3698</v>
      </c>
      <c r="B1858" s="13" t="s">
        <v>34</v>
      </c>
      <c r="C1858" s="13" t="s">
        <v>3699</v>
      </c>
      <c r="D1858" s="13" t="n">
        <v>37</v>
      </c>
      <c r="E1858" s="13" t="s">
        <v>90</v>
      </c>
      <c r="F1858" s="13" t="s">
        <v>37</v>
      </c>
      <c r="G1858" s="13" t="s">
        <v>259</v>
      </c>
      <c r="H1858" s="13" t="s">
        <v>43</v>
      </c>
      <c r="I1858" s="13" t="n">
        <v>5</v>
      </c>
      <c r="J1858" s="13" t="n">
        <v>0</v>
      </c>
      <c r="K1858" s="13" t="s">
        <v>91</v>
      </c>
      <c r="L1858" s="13" t="n">
        <v>3</v>
      </c>
      <c r="M1858" s="13" t="n">
        <v>1329728.19</v>
      </c>
      <c r="N1858" s="13" t="n">
        <v>443242.73</v>
      </c>
      <c r="O1858" s="13" t="n">
        <v>1443.98</v>
      </c>
      <c r="P1858" s="13" t="n">
        <v>1</v>
      </c>
      <c r="Q1858" s="13" t="n">
        <v>2</v>
      </c>
      <c r="R1858" s="13" t="s">
        <v>117</v>
      </c>
      <c r="S1858" s="13" t="s">
        <v>114</v>
      </c>
      <c r="T1858" s="13" t="n">
        <v>1</v>
      </c>
      <c r="U1858" s="13" t="n">
        <f aca="false">IF(B1858="Individual",1,0)</f>
        <v>1</v>
      </c>
      <c r="V1858" s="13" t="n">
        <f aca="false">IF(B1858="Company",1,0)</f>
        <v>0</v>
      </c>
      <c r="W1858" s="13" t="n">
        <f aca="false">IF(H1858="Home",1,0)</f>
        <v>0</v>
      </c>
      <c r="X1858" s="13" t="n">
        <f aca="false">IF(H1858="Investment",1,0)</f>
        <v>1</v>
      </c>
      <c r="Y1858" s="13" t="n">
        <f aca="false">IF(K1858="Website",1,0)</f>
        <v>0</v>
      </c>
      <c r="Z1858" s="13" t="n">
        <f aca="false">IF(K1858="Agency",1,0)</f>
        <v>1</v>
      </c>
      <c r="AA1858" s="13" t="n">
        <f aca="false">IF(K1858="Client",1,0)</f>
        <v>0</v>
      </c>
      <c r="AB1858" s="13" t="n">
        <f aca="false">(D1858-AVERAGE(D$2:D$2001))/STDEV(D$2:D$2001)</f>
        <v>-0.988161499700447</v>
      </c>
      <c r="AC1858" s="13" t="n">
        <f aca="false">(I1858-AVERAGE(I$2:I$2001))/STDEV(I$2:I$2001)</f>
        <v>1.39434968409451</v>
      </c>
      <c r="AD1858" s="13" t="n">
        <f aca="false">(L1858-AVERAGE(L$2:L$2001))/STDEV(L$2:L$2001)</f>
        <v>-0.777063122173208</v>
      </c>
      <c r="AE1858" s="13" t="n">
        <f aca="false">(M1858-AVERAGE(M$2:M$2001))/STDEV(M$2:M$2001)</f>
        <v>0.19938641584232</v>
      </c>
      <c r="AF1858" s="13" t="n">
        <f aca="false">(N1858-AVERAGE(N$2:N$2001))/STDEV(N$2:N$2001)</f>
        <v>1.37909153302673</v>
      </c>
      <c r="AG1858" s="13" t="n">
        <f aca="false">(O1858-AVERAGE(O$2:O$2001))/STDEV(O$2:O$2001)</f>
        <v>1.34820318414888</v>
      </c>
      <c r="AH1858" s="0" t="str">
        <f aca="false">IF(B1858="Company","C3 - Corporate Buyers",IF(AND(H1858="Investment",M1858&gt;'Segmentation Summary'!$C$1),"C1 - Global Investors",IF(AND(I1858&gt;=4,M1858&gt;'Segmentation Summary'!$C$1),"C4 - Luxury Investors",IF(AND(D1858&lt;'Segmentation Summary'!$C$2,J1858=1),"C2 - First-Time Buyers","C5 - Other Individual Buyers"))))</f>
        <v>C1 - Global Investors</v>
      </c>
    </row>
    <row r="1859" customFormat="false" ht="15" hidden="false" customHeight="true" outlineLevel="0" collapsed="false">
      <c r="A1859" s="13" t="s">
        <v>3700</v>
      </c>
      <c r="B1859" s="13" t="s">
        <v>34</v>
      </c>
      <c r="C1859" s="13" t="s">
        <v>3701</v>
      </c>
      <c r="D1859" s="13" t="n">
        <v>24</v>
      </c>
      <c r="E1859" s="13" t="s">
        <v>90</v>
      </c>
      <c r="F1859" s="13" t="s">
        <v>45</v>
      </c>
      <c r="G1859" s="13" t="s">
        <v>347</v>
      </c>
      <c r="H1859" s="13" t="s">
        <v>41</v>
      </c>
      <c r="I1859" s="13" t="n">
        <v>4</v>
      </c>
      <c r="J1859" s="13" t="n">
        <v>0</v>
      </c>
      <c r="K1859" s="13" t="s">
        <v>116</v>
      </c>
      <c r="L1859" s="13" t="n">
        <v>3</v>
      </c>
      <c r="M1859" s="13" t="n">
        <v>1461361.87</v>
      </c>
      <c r="N1859" s="13" t="n">
        <v>487120.623333333</v>
      </c>
      <c r="O1859" s="13" t="n">
        <v>1583.21666666667</v>
      </c>
      <c r="P1859" s="13" t="n">
        <v>1</v>
      </c>
      <c r="Q1859" s="13" t="n">
        <v>2</v>
      </c>
      <c r="R1859" s="13" t="s">
        <v>101</v>
      </c>
      <c r="S1859" s="13" t="s">
        <v>215</v>
      </c>
      <c r="T1859" s="13" t="n">
        <v>1</v>
      </c>
      <c r="U1859" s="13" t="n">
        <f aca="false">IF(B1859="Individual",1,0)</f>
        <v>1</v>
      </c>
      <c r="V1859" s="13" t="n">
        <f aca="false">IF(B1859="Company",1,0)</f>
        <v>0</v>
      </c>
      <c r="W1859" s="13" t="n">
        <f aca="false">IF(H1859="Home",1,0)</f>
        <v>1</v>
      </c>
      <c r="X1859" s="13" t="n">
        <f aca="false">IF(H1859="Investment",1,0)</f>
        <v>0</v>
      </c>
      <c r="Y1859" s="13" t="n">
        <f aca="false">IF(K1859="Website",1,0)</f>
        <v>0</v>
      </c>
      <c r="Z1859" s="13" t="n">
        <f aca="false">IF(K1859="Agency",1,0)</f>
        <v>0</v>
      </c>
      <c r="AA1859" s="13" t="n">
        <f aca="false">IF(K1859="Client",1,0)</f>
        <v>1</v>
      </c>
      <c r="AB1859" s="13" t="n">
        <f aca="false">(D1859-AVERAGE(D$2:D$2001))/STDEV(D$2:D$2001)</f>
        <v>-1.73777342104641</v>
      </c>
      <c r="AC1859" s="13" t="n">
        <f aca="false">(I1859-AVERAGE(I$2:I$2001))/STDEV(I$2:I$2001)</f>
        <v>0.686917069130275</v>
      </c>
      <c r="AD1859" s="13" t="n">
        <f aca="false">(L1859-AVERAGE(L$2:L$2001))/STDEV(L$2:L$2001)</f>
        <v>-0.777063122173208</v>
      </c>
      <c r="AE1859" s="13" t="n">
        <f aca="false">(M1859-AVERAGE(M$2:M$2001))/STDEV(M$2:M$2001)</f>
        <v>0.577828265025726</v>
      </c>
      <c r="AF1859" s="13" t="n">
        <f aca="false">(N1859-AVERAGE(N$2:N$2001))/STDEV(N$2:N$2001)</f>
        <v>2.00841951373261</v>
      </c>
      <c r="AG1859" s="13" t="n">
        <f aca="false">(O1859-AVERAGE(O$2:O$2001))/STDEV(O$2:O$2001)</f>
        <v>1.9813199030424</v>
      </c>
      <c r="AH1859" s="0" t="str">
        <f aca="false">IF(B1859="Company","C3 - Corporate Buyers",IF(AND(H1859="Investment",M1859&gt;'Segmentation Summary'!$C$1),"C1 - Global Investors",IF(AND(I1859&gt;=4,M1859&gt;'Segmentation Summary'!$C$1),"C4 - Luxury Investors",IF(AND(D1859&lt;'Segmentation Summary'!$C$2,J1859=1),"C2 - First-Time Buyers","C5 - Other Individual Buyers"))))</f>
        <v>C4 - Luxury Investors</v>
      </c>
    </row>
    <row r="1860" customFormat="false" ht="15" hidden="false" customHeight="true" outlineLevel="0" collapsed="false">
      <c r="A1860" s="13" t="s">
        <v>3702</v>
      </c>
      <c r="B1860" s="13" t="s">
        <v>34</v>
      </c>
      <c r="C1860" s="13" t="s">
        <v>3703</v>
      </c>
      <c r="D1860" s="13" t="n">
        <v>62</v>
      </c>
      <c r="E1860" s="13" t="s">
        <v>90</v>
      </c>
      <c r="F1860" s="13" t="s">
        <v>33</v>
      </c>
      <c r="G1860" s="13" t="s">
        <v>120</v>
      </c>
      <c r="H1860" s="13" t="s">
        <v>41</v>
      </c>
      <c r="I1860" s="13" t="n">
        <v>2</v>
      </c>
      <c r="J1860" s="13" t="n">
        <v>1</v>
      </c>
      <c r="K1860" s="13" t="s">
        <v>91</v>
      </c>
      <c r="L1860" s="13" t="n">
        <v>4</v>
      </c>
      <c r="M1860" s="13" t="n">
        <v>1118599.47</v>
      </c>
      <c r="N1860" s="13" t="n">
        <v>279649.8675</v>
      </c>
      <c r="O1860" s="13" t="n">
        <v>922.54</v>
      </c>
      <c r="P1860" s="13" t="n">
        <v>1</v>
      </c>
      <c r="Q1860" s="13" t="n">
        <v>3</v>
      </c>
      <c r="R1860" s="13" t="s">
        <v>92</v>
      </c>
      <c r="S1860" s="13" t="s">
        <v>164</v>
      </c>
      <c r="T1860" s="13" t="n">
        <v>1</v>
      </c>
      <c r="U1860" s="13" t="n">
        <f aca="false">IF(B1860="Individual",1,0)</f>
        <v>1</v>
      </c>
      <c r="V1860" s="13" t="n">
        <f aca="false">IF(B1860="Company",1,0)</f>
        <v>0</v>
      </c>
      <c r="W1860" s="13" t="n">
        <f aca="false">IF(H1860="Home",1,0)</f>
        <v>1</v>
      </c>
      <c r="X1860" s="13" t="n">
        <f aca="false">IF(H1860="Investment",1,0)</f>
        <v>0</v>
      </c>
      <c r="Y1860" s="13" t="n">
        <f aca="false">IF(K1860="Website",1,0)</f>
        <v>0</v>
      </c>
      <c r="Z1860" s="13" t="n">
        <f aca="false">IF(K1860="Agency",1,0)</f>
        <v>1</v>
      </c>
      <c r="AA1860" s="13" t="n">
        <f aca="false">IF(K1860="Client",1,0)</f>
        <v>0</v>
      </c>
      <c r="AB1860" s="13" t="n">
        <f aca="false">(D1860-AVERAGE(D$2:D$2001))/STDEV(D$2:D$2001)</f>
        <v>0.453399887503333</v>
      </c>
      <c r="AC1860" s="13" t="n">
        <f aca="false">(I1860-AVERAGE(I$2:I$2001))/STDEV(I$2:I$2001)</f>
        <v>-0.727948160798201</v>
      </c>
      <c r="AD1860" s="13" t="n">
        <f aca="false">(L1860-AVERAGE(L$2:L$2001))/STDEV(L$2:L$2001)</f>
        <v>0.413838214490712</v>
      </c>
      <c r="AE1860" s="13" t="n">
        <f aca="false">(M1860-AVERAGE(M$2:M$2001))/STDEV(M$2:M$2001)</f>
        <v>-0.407600665370676</v>
      </c>
      <c r="AF1860" s="13" t="n">
        <f aca="false">(N1860-AVERAGE(N$2:N$2001))/STDEV(N$2:N$2001)</f>
        <v>-0.967273754679755</v>
      </c>
      <c r="AG1860" s="13" t="n">
        <f aca="false">(O1860-AVERAGE(O$2:O$2001))/STDEV(O$2:O$2001)</f>
        <v>-1.02281294115213</v>
      </c>
      <c r="AH1860" s="0" t="str">
        <f aca="false">IF(B1860="Company","C3 - Corporate Buyers",IF(AND(H1860="Investment",M1860&gt;'Segmentation Summary'!$C$1),"C1 - Global Investors",IF(AND(I1860&gt;=4,M1860&gt;'Segmentation Summary'!$C$1),"C4 - Luxury Investors",IF(AND(D1860&lt;'Segmentation Summary'!$C$2,J1860=1),"C2 - First-Time Buyers","C5 - Other Individual Buyers"))))</f>
        <v>C5 - Other Individual Buyers</v>
      </c>
    </row>
    <row r="1861" customFormat="false" ht="15" hidden="false" customHeight="true" outlineLevel="0" collapsed="false">
      <c r="A1861" s="13" t="s">
        <v>3704</v>
      </c>
      <c r="B1861" s="13" t="s">
        <v>34</v>
      </c>
      <c r="C1861" s="13" t="s">
        <v>3705</v>
      </c>
      <c r="D1861" s="13" t="n">
        <v>61</v>
      </c>
      <c r="E1861" s="13" t="s">
        <v>90</v>
      </c>
      <c r="F1861" s="13" t="s">
        <v>47</v>
      </c>
      <c r="G1861" s="13" t="s">
        <v>356</v>
      </c>
      <c r="H1861" s="13" t="s">
        <v>41</v>
      </c>
      <c r="I1861" s="13" t="n">
        <v>4</v>
      </c>
      <c r="J1861" s="13" t="n">
        <v>0</v>
      </c>
      <c r="K1861" s="13" t="s">
        <v>91</v>
      </c>
      <c r="L1861" s="13" t="n">
        <v>3</v>
      </c>
      <c r="M1861" s="13" t="n">
        <v>1131490.64</v>
      </c>
      <c r="N1861" s="13" t="n">
        <v>377163.546666667</v>
      </c>
      <c r="O1861" s="13" t="n">
        <v>1251.25</v>
      </c>
      <c r="P1861" s="13" t="n">
        <v>1</v>
      </c>
      <c r="Q1861" s="13" t="n">
        <v>2</v>
      </c>
      <c r="R1861" s="13" t="s">
        <v>101</v>
      </c>
      <c r="S1861" s="13" t="s">
        <v>107</v>
      </c>
      <c r="T1861" s="13" t="n">
        <v>1</v>
      </c>
      <c r="U1861" s="13" t="n">
        <f aca="false">IF(B1861="Individual",1,0)</f>
        <v>1</v>
      </c>
      <c r="V1861" s="13" t="n">
        <f aca="false">IF(B1861="Company",1,0)</f>
        <v>0</v>
      </c>
      <c r="W1861" s="13" t="n">
        <f aca="false">IF(H1861="Home",1,0)</f>
        <v>1</v>
      </c>
      <c r="X1861" s="13" t="n">
        <f aca="false">IF(H1861="Investment",1,0)</f>
        <v>0</v>
      </c>
      <c r="Y1861" s="13" t="n">
        <f aca="false">IF(K1861="Website",1,0)</f>
        <v>0</v>
      </c>
      <c r="Z1861" s="13" t="n">
        <f aca="false">IF(K1861="Agency",1,0)</f>
        <v>1</v>
      </c>
      <c r="AA1861" s="13" t="n">
        <f aca="false">IF(K1861="Client",1,0)</f>
        <v>0</v>
      </c>
      <c r="AB1861" s="13" t="n">
        <f aca="false">(D1861-AVERAGE(D$2:D$2001))/STDEV(D$2:D$2001)</f>
        <v>0.395737432015182</v>
      </c>
      <c r="AC1861" s="13" t="n">
        <f aca="false">(I1861-AVERAGE(I$2:I$2001))/STDEV(I$2:I$2001)</f>
        <v>0.686917069130275</v>
      </c>
      <c r="AD1861" s="13" t="n">
        <f aca="false">(L1861-AVERAGE(L$2:L$2001))/STDEV(L$2:L$2001)</f>
        <v>-0.777063122173208</v>
      </c>
      <c r="AE1861" s="13" t="n">
        <f aca="false">(M1861-AVERAGE(M$2:M$2001))/STDEV(M$2:M$2001)</f>
        <v>-0.370539039402781</v>
      </c>
      <c r="AF1861" s="13" t="n">
        <f aca="false">(N1861-AVERAGE(N$2:N$2001))/STDEV(N$2:N$2001)</f>
        <v>0.431336847131886</v>
      </c>
      <c r="AG1861" s="13" t="n">
        <f aca="false">(O1861-AVERAGE(O$2:O$2001))/STDEV(O$2:O$2001)</f>
        <v>0.471849360450537</v>
      </c>
      <c r="AH1861" s="0" t="str">
        <f aca="false">IF(B1861="Company","C3 - Corporate Buyers",IF(AND(H1861="Investment",M1861&gt;'Segmentation Summary'!$C$1),"C1 - Global Investors",IF(AND(I1861&gt;=4,M1861&gt;'Segmentation Summary'!$C$1),"C4 - Luxury Investors",IF(AND(D1861&lt;'Segmentation Summary'!$C$2,J1861=1),"C2 - First-Time Buyers","C5 - Other Individual Buyers"))))</f>
        <v>C5 - Other Individual Buyers</v>
      </c>
    </row>
    <row r="1862" customFormat="false" ht="15" hidden="false" customHeight="true" outlineLevel="0" collapsed="false">
      <c r="A1862" s="13" t="s">
        <v>3706</v>
      </c>
      <c r="B1862" s="13" t="s">
        <v>34</v>
      </c>
      <c r="C1862" s="13" t="s">
        <v>3707</v>
      </c>
      <c r="D1862" s="13" t="n">
        <v>54</v>
      </c>
      <c r="E1862" s="13" t="s">
        <v>90</v>
      </c>
      <c r="F1862" s="13" t="s">
        <v>33</v>
      </c>
      <c r="G1862" s="13" t="s">
        <v>95</v>
      </c>
      <c r="H1862" s="13" t="s">
        <v>41</v>
      </c>
      <c r="I1862" s="13" t="n">
        <v>3</v>
      </c>
      <c r="J1862" s="13" t="n">
        <v>0</v>
      </c>
      <c r="K1862" s="13" t="s">
        <v>85</v>
      </c>
      <c r="L1862" s="13" t="n">
        <v>4</v>
      </c>
      <c r="M1862" s="13" t="n">
        <v>1567012.19</v>
      </c>
      <c r="N1862" s="13" t="n">
        <v>391753.0475</v>
      </c>
      <c r="O1862" s="13" t="n">
        <v>1287.055</v>
      </c>
      <c r="P1862" s="13" t="n">
        <v>0</v>
      </c>
      <c r="Q1862" s="13" t="n">
        <v>4</v>
      </c>
      <c r="R1862" s="13" t="s">
        <v>98</v>
      </c>
      <c r="S1862" s="13" t="s">
        <v>103</v>
      </c>
      <c r="T1862" s="13" t="n">
        <v>1</v>
      </c>
      <c r="U1862" s="13" t="n">
        <f aca="false">IF(B1862="Individual",1,0)</f>
        <v>1</v>
      </c>
      <c r="V1862" s="13" t="n">
        <f aca="false">IF(B1862="Company",1,0)</f>
        <v>0</v>
      </c>
      <c r="W1862" s="13" t="n">
        <f aca="false">IF(H1862="Home",1,0)</f>
        <v>1</v>
      </c>
      <c r="X1862" s="13" t="n">
        <f aca="false">IF(H1862="Investment",1,0)</f>
        <v>0</v>
      </c>
      <c r="Y1862" s="13" t="n">
        <f aca="false">IF(K1862="Website",1,0)</f>
        <v>1</v>
      </c>
      <c r="Z1862" s="13" t="n">
        <f aca="false">IF(K1862="Agency",1,0)</f>
        <v>0</v>
      </c>
      <c r="AA1862" s="13" t="n">
        <f aca="false">IF(K1862="Client",1,0)</f>
        <v>0</v>
      </c>
      <c r="AB1862" s="13" t="n">
        <f aca="false">(D1862-AVERAGE(D$2:D$2001))/STDEV(D$2:D$2001)</f>
        <v>-0.00789975640187674</v>
      </c>
      <c r="AC1862" s="13" t="n">
        <f aca="false">(I1862-AVERAGE(I$2:I$2001))/STDEV(I$2:I$2001)</f>
        <v>-0.0205155458339628</v>
      </c>
      <c r="AD1862" s="13" t="n">
        <f aca="false">(L1862-AVERAGE(L$2:L$2001))/STDEV(L$2:L$2001)</f>
        <v>0.413838214490712</v>
      </c>
      <c r="AE1862" s="13" t="n">
        <f aca="false">(M1862-AVERAGE(M$2:M$2001))/STDEV(M$2:M$2001)</f>
        <v>0.881568937379629</v>
      </c>
      <c r="AF1862" s="13" t="n">
        <f aca="false">(N1862-AVERAGE(N$2:N$2001))/STDEV(N$2:N$2001)</f>
        <v>0.640589853633299</v>
      </c>
      <c r="AG1862" s="13" t="n">
        <f aca="false">(O1862-AVERAGE(O$2:O$2001))/STDEV(O$2:O$2001)</f>
        <v>0.634656648664718</v>
      </c>
      <c r="AH1862" s="0" t="str">
        <f aca="false">IF(B1862="Company","C3 - Corporate Buyers",IF(AND(H1862="Investment",M1862&gt;'Segmentation Summary'!$C$1),"C1 - Global Investors",IF(AND(I1862&gt;=4,M1862&gt;'Segmentation Summary'!$C$1),"C4 - Luxury Investors",IF(AND(D1862&lt;'Segmentation Summary'!$C$2,J1862=1),"C2 - First-Time Buyers","C5 - Other Individual Buyers"))))</f>
        <v>C5 - Other Individual Buyers</v>
      </c>
    </row>
    <row r="1863" customFormat="false" ht="15" hidden="false" customHeight="true" outlineLevel="0" collapsed="false">
      <c r="A1863" s="13" t="s">
        <v>3708</v>
      </c>
      <c r="B1863" s="13" t="s">
        <v>34</v>
      </c>
      <c r="C1863" s="13" t="s">
        <v>3709</v>
      </c>
      <c r="D1863" s="13" t="n">
        <v>65</v>
      </c>
      <c r="E1863" s="13" t="s">
        <v>90</v>
      </c>
      <c r="F1863" s="13" t="s">
        <v>33</v>
      </c>
      <c r="G1863" s="13" t="s">
        <v>110</v>
      </c>
      <c r="H1863" s="13" t="s">
        <v>41</v>
      </c>
      <c r="I1863" s="13" t="n">
        <v>3</v>
      </c>
      <c r="J1863" s="13" t="n">
        <v>1</v>
      </c>
      <c r="K1863" s="13" t="s">
        <v>85</v>
      </c>
      <c r="L1863" s="13" t="n">
        <v>4</v>
      </c>
      <c r="M1863" s="13" t="n">
        <v>1532604</v>
      </c>
      <c r="N1863" s="13" t="n">
        <v>383151</v>
      </c>
      <c r="O1863" s="13" t="n">
        <v>1210.7375</v>
      </c>
      <c r="P1863" s="13" t="n">
        <v>1</v>
      </c>
      <c r="Q1863" s="13" t="n">
        <v>3</v>
      </c>
      <c r="R1863" s="13" t="s">
        <v>121</v>
      </c>
      <c r="S1863" s="13" t="s">
        <v>164</v>
      </c>
      <c r="T1863" s="13" t="n">
        <v>1</v>
      </c>
      <c r="U1863" s="13" t="n">
        <f aca="false">IF(B1863="Individual",1,0)</f>
        <v>1</v>
      </c>
      <c r="V1863" s="13" t="n">
        <f aca="false">IF(B1863="Company",1,0)</f>
        <v>0</v>
      </c>
      <c r="W1863" s="13" t="n">
        <f aca="false">IF(H1863="Home",1,0)</f>
        <v>1</v>
      </c>
      <c r="X1863" s="13" t="n">
        <f aca="false">IF(H1863="Investment",1,0)</f>
        <v>0</v>
      </c>
      <c r="Y1863" s="13" t="n">
        <f aca="false">IF(K1863="Website",1,0)</f>
        <v>1</v>
      </c>
      <c r="Z1863" s="13" t="n">
        <f aca="false">IF(K1863="Agency",1,0)</f>
        <v>0</v>
      </c>
      <c r="AA1863" s="13" t="n">
        <f aca="false">IF(K1863="Client",1,0)</f>
        <v>0</v>
      </c>
      <c r="AB1863" s="13" t="n">
        <f aca="false">(D1863-AVERAGE(D$2:D$2001))/STDEV(D$2:D$2001)</f>
        <v>0.626387253967787</v>
      </c>
      <c r="AC1863" s="13" t="n">
        <f aca="false">(I1863-AVERAGE(I$2:I$2001))/STDEV(I$2:I$2001)</f>
        <v>-0.0205155458339628</v>
      </c>
      <c r="AD1863" s="13" t="n">
        <f aca="false">(L1863-AVERAGE(L$2:L$2001))/STDEV(L$2:L$2001)</f>
        <v>0.413838214490712</v>
      </c>
      <c r="AE1863" s="13" t="n">
        <f aca="false">(M1863-AVERAGE(M$2:M$2001))/STDEV(M$2:M$2001)</f>
        <v>0.782646693082775</v>
      </c>
      <c r="AF1863" s="13" t="n">
        <f aca="false">(N1863-AVERAGE(N$2:N$2001))/STDEV(N$2:N$2001)</f>
        <v>0.517213165012778</v>
      </c>
      <c r="AG1863" s="13" t="n">
        <f aca="false">(O1863-AVERAGE(O$2:O$2001))/STDEV(O$2:O$2001)</f>
        <v>0.287636812935468</v>
      </c>
      <c r="AH1863" s="0" t="str">
        <f aca="false">IF(B1863="Company","C3 - Corporate Buyers",IF(AND(H1863="Investment",M1863&gt;'Segmentation Summary'!$C$1),"C1 - Global Investors",IF(AND(I1863&gt;=4,M1863&gt;'Segmentation Summary'!$C$1),"C4 - Luxury Investors",IF(AND(D1863&lt;'Segmentation Summary'!$C$2,J1863=1),"C2 - First-Time Buyers","C5 - Other Individual Buyers"))))</f>
        <v>C5 - Other Individual Buyers</v>
      </c>
    </row>
    <row r="1864" customFormat="false" ht="15" hidden="false" customHeight="true" outlineLevel="0" collapsed="false">
      <c r="A1864" s="13" t="s">
        <v>3710</v>
      </c>
      <c r="B1864" s="13" t="s">
        <v>34</v>
      </c>
      <c r="C1864" s="13" t="s">
        <v>3711</v>
      </c>
      <c r="D1864" s="13" t="n">
        <v>74</v>
      </c>
      <c r="E1864" s="13" t="s">
        <v>90</v>
      </c>
      <c r="F1864" s="13" t="s">
        <v>33</v>
      </c>
      <c r="G1864" s="13" t="s">
        <v>95</v>
      </c>
      <c r="H1864" s="13" t="s">
        <v>41</v>
      </c>
      <c r="I1864" s="13" t="n">
        <v>3</v>
      </c>
      <c r="J1864" s="13" t="n">
        <v>0</v>
      </c>
      <c r="K1864" s="13" t="s">
        <v>85</v>
      </c>
      <c r="L1864" s="13" t="n">
        <v>4</v>
      </c>
      <c r="M1864" s="13" t="n">
        <v>1134341.88</v>
      </c>
      <c r="N1864" s="13" t="n">
        <v>283585.47</v>
      </c>
      <c r="O1864" s="13" t="n">
        <v>900.39</v>
      </c>
      <c r="P1864" s="13" t="n">
        <v>1</v>
      </c>
      <c r="Q1864" s="13" t="n">
        <v>3</v>
      </c>
      <c r="R1864" s="13" t="s">
        <v>101</v>
      </c>
      <c r="S1864" s="13" t="s">
        <v>215</v>
      </c>
      <c r="T1864" s="13" t="n">
        <v>1</v>
      </c>
      <c r="U1864" s="13" t="n">
        <f aca="false">IF(B1864="Individual",1,0)</f>
        <v>1</v>
      </c>
      <c r="V1864" s="13" t="n">
        <f aca="false">IF(B1864="Company",1,0)</f>
        <v>0</v>
      </c>
      <c r="W1864" s="13" t="n">
        <f aca="false">IF(H1864="Home",1,0)</f>
        <v>1</v>
      </c>
      <c r="X1864" s="13" t="n">
        <f aca="false">IF(H1864="Investment",1,0)</f>
        <v>0</v>
      </c>
      <c r="Y1864" s="13" t="n">
        <f aca="false">IF(K1864="Website",1,0)</f>
        <v>1</v>
      </c>
      <c r="Z1864" s="13" t="n">
        <f aca="false">IF(K1864="Agency",1,0)</f>
        <v>0</v>
      </c>
      <c r="AA1864" s="13" t="n">
        <f aca="false">IF(K1864="Client",1,0)</f>
        <v>0</v>
      </c>
      <c r="AB1864" s="13" t="n">
        <f aca="false">(D1864-AVERAGE(D$2:D$2001))/STDEV(D$2:D$2001)</f>
        <v>1.14534935336115</v>
      </c>
      <c r="AC1864" s="13" t="n">
        <f aca="false">(I1864-AVERAGE(I$2:I$2001))/STDEV(I$2:I$2001)</f>
        <v>-0.0205155458339628</v>
      </c>
      <c r="AD1864" s="13" t="n">
        <f aca="false">(L1864-AVERAGE(L$2:L$2001))/STDEV(L$2:L$2001)</f>
        <v>0.413838214490712</v>
      </c>
      <c r="AE1864" s="13" t="n">
        <f aca="false">(M1864-AVERAGE(M$2:M$2001))/STDEV(M$2:M$2001)</f>
        <v>-0.362341832289331</v>
      </c>
      <c r="AF1864" s="13" t="n">
        <f aca="false">(N1864-AVERAGE(N$2:N$2001))/STDEV(N$2:N$2001)</f>
        <v>-0.910826542062451</v>
      </c>
      <c r="AG1864" s="13" t="n">
        <f aca="false">(O1864-AVERAGE(O$2:O$2001))/STDEV(O$2:O$2001)</f>
        <v>-1.12353019946645</v>
      </c>
      <c r="AH1864" s="0" t="str">
        <f aca="false">IF(B1864="Company","C3 - Corporate Buyers",IF(AND(H1864="Investment",M1864&gt;'Segmentation Summary'!$C$1),"C1 - Global Investors",IF(AND(I1864&gt;=4,M1864&gt;'Segmentation Summary'!$C$1),"C4 - Luxury Investors",IF(AND(D1864&lt;'Segmentation Summary'!$C$2,J1864=1),"C2 - First-Time Buyers","C5 - Other Individual Buyers"))))</f>
        <v>C5 - Other Individual Buyers</v>
      </c>
    </row>
    <row r="1865" customFormat="false" ht="15" hidden="false" customHeight="true" outlineLevel="0" collapsed="false">
      <c r="A1865" s="13" t="s">
        <v>3712</v>
      </c>
      <c r="B1865" s="13" t="s">
        <v>34</v>
      </c>
      <c r="C1865" s="13" t="s">
        <v>3713</v>
      </c>
      <c r="D1865" s="13" t="n">
        <v>48</v>
      </c>
      <c r="E1865" s="13" t="s">
        <v>90</v>
      </c>
      <c r="F1865" s="13" t="s">
        <v>33</v>
      </c>
      <c r="G1865" s="13" t="s">
        <v>84</v>
      </c>
      <c r="H1865" s="13" t="s">
        <v>41</v>
      </c>
      <c r="I1865" s="13" t="n">
        <v>5</v>
      </c>
      <c r="J1865" s="13" t="n">
        <v>0</v>
      </c>
      <c r="K1865" s="13" t="s">
        <v>91</v>
      </c>
      <c r="L1865" s="13" t="n">
        <v>3</v>
      </c>
      <c r="M1865" s="13" t="n">
        <v>1610480.1</v>
      </c>
      <c r="N1865" s="13" t="n">
        <v>536826.7</v>
      </c>
      <c r="O1865" s="13" t="n">
        <v>1609.03333333333</v>
      </c>
      <c r="P1865" s="13" t="n">
        <v>1</v>
      </c>
      <c r="Q1865" s="13" t="n">
        <v>2</v>
      </c>
      <c r="R1865" s="13" t="s">
        <v>86</v>
      </c>
      <c r="S1865" s="13" t="s">
        <v>125</v>
      </c>
      <c r="T1865" s="13" t="n">
        <v>1</v>
      </c>
      <c r="U1865" s="13" t="n">
        <f aca="false">IF(B1865="Individual",1,0)</f>
        <v>1</v>
      </c>
      <c r="V1865" s="13" t="n">
        <f aca="false">IF(B1865="Company",1,0)</f>
        <v>0</v>
      </c>
      <c r="W1865" s="13" t="n">
        <f aca="false">IF(H1865="Home",1,0)</f>
        <v>1</v>
      </c>
      <c r="X1865" s="13" t="n">
        <f aca="false">IF(H1865="Investment",1,0)</f>
        <v>0</v>
      </c>
      <c r="Y1865" s="13" t="n">
        <f aca="false">IF(K1865="Website",1,0)</f>
        <v>0</v>
      </c>
      <c r="Z1865" s="13" t="n">
        <f aca="false">IF(K1865="Agency",1,0)</f>
        <v>1</v>
      </c>
      <c r="AA1865" s="13" t="n">
        <f aca="false">IF(K1865="Client",1,0)</f>
        <v>0</v>
      </c>
      <c r="AB1865" s="13" t="n">
        <f aca="false">(D1865-AVERAGE(D$2:D$2001))/STDEV(D$2:D$2001)</f>
        <v>-0.353874489330784</v>
      </c>
      <c r="AC1865" s="13" t="n">
        <f aca="false">(I1865-AVERAGE(I$2:I$2001))/STDEV(I$2:I$2001)</f>
        <v>1.39434968409451</v>
      </c>
      <c r="AD1865" s="13" t="n">
        <f aca="false">(L1865-AVERAGE(L$2:L$2001))/STDEV(L$2:L$2001)</f>
        <v>-0.777063122173208</v>
      </c>
      <c r="AE1865" s="13" t="n">
        <f aca="false">(M1865-AVERAGE(M$2:M$2001))/STDEV(M$2:M$2001)</f>
        <v>1.00653753387057</v>
      </c>
      <c r="AF1865" s="13" t="n">
        <f aca="false">(N1865-AVERAGE(N$2:N$2001))/STDEV(N$2:N$2001)</f>
        <v>2.7213394486029</v>
      </c>
      <c r="AG1865" s="13" t="n">
        <f aca="false">(O1865-AVERAGE(O$2:O$2001))/STDEV(O$2:O$2001)</f>
        <v>2.09870969471195</v>
      </c>
      <c r="AH1865" s="0" t="str">
        <f aca="false">IF(B1865="Company","C3 - Corporate Buyers",IF(AND(H1865="Investment",M1865&gt;'Segmentation Summary'!$C$1),"C1 - Global Investors",IF(AND(I1865&gt;=4,M1865&gt;'Segmentation Summary'!$C$1),"C4 - Luxury Investors",IF(AND(D1865&lt;'Segmentation Summary'!$C$2,J1865=1),"C2 - First-Time Buyers","C5 - Other Individual Buyers"))))</f>
        <v>C4 - Luxury Investors</v>
      </c>
    </row>
    <row r="1866" customFormat="false" ht="15" hidden="false" customHeight="true" outlineLevel="0" collapsed="false">
      <c r="A1866" s="13" t="s">
        <v>3714</v>
      </c>
      <c r="B1866" s="13" t="s">
        <v>34</v>
      </c>
      <c r="C1866" s="13" t="s">
        <v>3715</v>
      </c>
      <c r="D1866" s="13" t="n">
        <v>54</v>
      </c>
      <c r="E1866" s="13" t="s">
        <v>90</v>
      </c>
      <c r="F1866" s="13" t="s">
        <v>33</v>
      </c>
      <c r="G1866" s="13" t="s">
        <v>120</v>
      </c>
      <c r="H1866" s="13" t="s">
        <v>43</v>
      </c>
      <c r="I1866" s="13" t="n">
        <v>3</v>
      </c>
      <c r="J1866" s="13" t="n">
        <v>0</v>
      </c>
      <c r="K1866" s="13" t="s">
        <v>85</v>
      </c>
      <c r="L1866" s="13" t="n">
        <v>4</v>
      </c>
      <c r="M1866" s="13" t="n">
        <v>1300009.56</v>
      </c>
      <c r="N1866" s="13" t="n">
        <v>325002.39</v>
      </c>
      <c r="O1866" s="13" t="n">
        <v>1037.4175</v>
      </c>
      <c r="P1866" s="13" t="n">
        <v>1</v>
      </c>
      <c r="Q1866" s="13" t="n">
        <v>3</v>
      </c>
      <c r="R1866" s="13" t="s">
        <v>128</v>
      </c>
      <c r="S1866" s="13" t="s">
        <v>164</v>
      </c>
      <c r="T1866" s="13" t="n">
        <v>1</v>
      </c>
      <c r="U1866" s="13" t="n">
        <f aca="false">IF(B1866="Individual",1,0)</f>
        <v>1</v>
      </c>
      <c r="V1866" s="13" t="n">
        <f aca="false">IF(B1866="Company",1,0)</f>
        <v>0</v>
      </c>
      <c r="W1866" s="13" t="n">
        <f aca="false">IF(H1866="Home",1,0)</f>
        <v>0</v>
      </c>
      <c r="X1866" s="13" t="n">
        <f aca="false">IF(H1866="Investment",1,0)</f>
        <v>1</v>
      </c>
      <c r="Y1866" s="13" t="n">
        <f aca="false">IF(K1866="Website",1,0)</f>
        <v>1</v>
      </c>
      <c r="Z1866" s="13" t="n">
        <f aca="false">IF(K1866="Agency",1,0)</f>
        <v>0</v>
      </c>
      <c r="AA1866" s="13" t="n">
        <f aca="false">IF(K1866="Client",1,0)</f>
        <v>0</v>
      </c>
      <c r="AB1866" s="13" t="n">
        <f aca="false">(D1866-AVERAGE(D$2:D$2001))/STDEV(D$2:D$2001)</f>
        <v>-0.00789975640187674</v>
      </c>
      <c r="AC1866" s="13" t="n">
        <f aca="false">(I1866-AVERAGE(I$2:I$2001))/STDEV(I$2:I$2001)</f>
        <v>-0.0205155458339628</v>
      </c>
      <c r="AD1866" s="13" t="n">
        <f aca="false">(L1866-AVERAGE(L$2:L$2001))/STDEV(L$2:L$2001)</f>
        <v>0.413838214490712</v>
      </c>
      <c r="AE1866" s="13" t="n">
        <f aca="false">(M1866-AVERAGE(M$2:M$2001))/STDEV(M$2:M$2001)</f>
        <v>0.113946479099706</v>
      </c>
      <c r="AF1866" s="13" t="n">
        <f aca="false">(N1866-AVERAGE(N$2:N$2001))/STDEV(N$2:N$2001)</f>
        <v>-0.316795592749388</v>
      </c>
      <c r="AG1866" s="13" t="n">
        <f aca="false">(O1866-AVERAGE(O$2:O$2001))/STDEV(O$2:O$2001)</f>
        <v>-0.500458681919492</v>
      </c>
      <c r="AH1866" s="0" t="str">
        <f aca="false">IF(B1866="Company","C3 - Corporate Buyers",IF(AND(H1866="Investment",M1866&gt;'Segmentation Summary'!$C$1),"C1 - Global Investors",IF(AND(I1866&gt;=4,M1866&gt;'Segmentation Summary'!$C$1),"C4 - Luxury Investors",IF(AND(D1866&lt;'Segmentation Summary'!$C$2,J1866=1),"C2 - First-Time Buyers","C5 - Other Individual Buyers"))))</f>
        <v>C1 - Global Investors</v>
      </c>
    </row>
    <row r="1867" customFormat="false" ht="15" hidden="false" customHeight="true" outlineLevel="0" collapsed="false">
      <c r="A1867" s="13" t="s">
        <v>3716</v>
      </c>
      <c r="B1867" s="13" t="s">
        <v>34</v>
      </c>
      <c r="C1867" s="13" t="s">
        <v>3715</v>
      </c>
      <c r="D1867" s="13" t="n">
        <v>68</v>
      </c>
      <c r="E1867" s="13" t="s">
        <v>90</v>
      </c>
      <c r="F1867" s="13" t="s">
        <v>33</v>
      </c>
      <c r="G1867" s="13" t="s">
        <v>95</v>
      </c>
      <c r="H1867" s="13" t="s">
        <v>41</v>
      </c>
      <c r="I1867" s="13" t="n">
        <v>4</v>
      </c>
      <c r="J1867" s="13" t="n">
        <v>1</v>
      </c>
      <c r="K1867" s="13" t="s">
        <v>91</v>
      </c>
      <c r="L1867" s="13" t="n">
        <v>3</v>
      </c>
      <c r="M1867" s="13" t="n">
        <v>1549624.23</v>
      </c>
      <c r="N1867" s="13" t="n">
        <v>516541.41</v>
      </c>
      <c r="O1867" s="13" t="n">
        <v>1630.13666666667</v>
      </c>
      <c r="P1867" s="13" t="n">
        <v>1</v>
      </c>
      <c r="Q1867" s="13" t="n">
        <v>2</v>
      </c>
      <c r="R1867" s="13" t="s">
        <v>92</v>
      </c>
      <c r="S1867" s="13" t="s">
        <v>215</v>
      </c>
      <c r="T1867" s="13" t="n">
        <v>1</v>
      </c>
      <c r="U1867" s="13" t="n">
        <f aca="false">IF(B1867="Individual",1,0)</f>
        <v>1</v>
      </c>
      <c r="V1867" s="13" t="n">
        <f aca="false">IF(B1867="Company",1,0)</f>
        <v>0</v>
      </c>
      <c r="W1867" s="13" t="n">
        <f aca="false">IF(H1867="Home",1,0)</f>
        <v>1</v>
      </c>
      <c r="X1867" s="13" t="n">
        <f aca="false">IF(H1867="Investment",1,0)</f>
        <v>0</v>
      </c>
      <c r="Y1867" s="13" t="n">
        <f aca="false">IF(K1867="Website",1,0)</f>
        <v>0</v>
      </c>
      <c r="Z1867" s="13" t="n">
        <f aca="false">IF(K1867="Agency",1,0)</f>
        <v>1</v>
      </c>
      <c r="AA1867" s="13" t="n">
        <f aca="false">IF(K1867="Client",1,0)</f>
        <v>0</v>
      </c>
      <c r="AB1867" s="13" t="n">
        <f aca="false">(D1867-AVERAGE(D$2:D$2001))/STDEV(D$2:D$2001)</f>
        <v>0.79937462043224</v>
      </c>
      <c r="AC1867" s="13" t="n">
        <f aca="false">(I1867-AVERAGE(I$2:I$2001))/STDEV(I$2:I$2001)</f>
        <v>0.686917069130275</v>
      </c>
      <c r="AD1867" s="13" t="n">
        <f aca="false">(L1867-AVERAGE(L$2:L$2001))/STDEV(L$2:L$2001)</f>
        <v>-0.777063122173208</v>
      </c>
      <c r="AE1867" s="13" t="n">
        <f aca="false">(M1867-AVERAGE(M$2:M$2001))/STDEV(M$2:M$2001)</f>
        <v>0.831579210313372</v>
      </c>
      <c r="AF1867" s="13" t="n">
        <f aca="false">(N1867-AVERAGE(N$2:N$2001))/STDEV(N$2:N$2001)</f>
        <v>2.43039337932033</v>
      </c>
      <c r="AG1867" s="13" t="n">
        <f aca="false">(O1867-AVERAGE(O$2:O$2001))/STDEV(O$2:O$2001)</f>
        <v>2.19466770259579</v>
      </c>
      <c r="AH1867" s="0" t="str">
        <f aca="false">IF(B1867="Company","C3 - Corporate Buyers",IF(AND(H1867="Investment",M1867&gt;'Segmentation Summary'!$C$1),"C1 - Global Investors",IF(AND(I1867&gt;=4,M1867&gt;'Segmentation Summary'!$C$1),"C4 - Luxury Investors",IF(AND(D1867&lt;'Segmentation Summary'!$C$2,J1867=1),"C2 - First-Time Buyers","C5 - Other Individual Buyers"))))</f>
        <v>C4 - Luxury Investors</v>
      </c>
    </row>
    <row r="1868" customFormat="false" ht="15" hidden="false" customHeight="true" outlineLevel="0" collapsed="false">
      <c r="A1868" s="13" t="s">
        <v>3717</v>
      </c>
      <c r="B1868" s="13" t="s">
        <v>34</v>
      </c>
      <c r="C1868" s="13" t="s">
        <v>3718</v>
      </c>
      <c r="D1868" s="13" t="n">
        <v>51</v>
      </c>
      <c r="E1868" s="13" t="s">
        <v>90</v>
      </c>
      <c r="F1868" s="13" t="s">
        <v>33</v>
      </c>
      <c r="G1868" s="13" t="s">
        <v>106</v>
      </c>
      <c r="H1868" s="13" t="s">
        <v>41</v>
      </c>
      <c r="I1868" s="13" t="n">
        <v>3</v>
      </c>
      <c r="J1868" s="13" t="n">
        <v>1</v>
      </c>
      <c r="K1868" s="13" t="s">
        <v>85</v>
      </c>
      <c r="L1868" s="13" t="n">
        <v>4</v>
      </c>
      <c r="M1868" s="13" t="n">
        <v>1332432.91</v>
      </c>
      <c r="N1868" s="13" t="n">
        <v>333108.2275</v>
      </c>
      <c r="O1868" s="13" t="n">
        <v>1195.1875</v>
      </c>
      <c r="P1868" s="13" t="n">
        <v>0</v>
      </c>
      <c r="Q1868" s="13" t="n">
        <v>4</v>
      </c>
      <c r="R1868" s="13" t="s">
        <v>111</v>
      </c>
      <c r="S1868" s="13" t="s">
        <v>87</v>
      </c>
      <c r="T1868" s="13" t="n">
        <v>1</v>
      </c>
      <c r="U1868" s="13" t="n">
        <f aca="false">IF(B1868="Individual",1,0)</f>
        <v>1</v>
      </c>
      <c r="V1868" s="13" t="n">
        <f aca="false">IF(B1868="Company",1,0)</f>
        <v>0</v>
      </c>
      <c r="W1868" s="13" t="n">
        <f aca="false">IF(H1868="Home",1,0)</f>
        <v>1</v>
      </c>
      <c r="X1868" s="13" t="n">
        <f aca="false">IF(H1868="Investment",1,0)</f>
        <v>0</v>
      </c>
      <c r="Y1868" s="13" t="n">
        <f aca="false">IF(K1868="Website",1,0)</f>
        <v>1</v>
      </c>
      <c r="Z1868" s="13" t="n">
        <f aca="false">IF(K1868="Agency",1,0)</f>
        <v>0</v>
      </c>
      <c r="AA1868" s="13" t="n">
        <f aca="false">IF(K1868="Client",1,0)</f>
        <v>0</v>
      </c>
      <c r="AB1868" s="13" t="n">
        <f aca="false">(D1868-AVERAGE(D$2:D$2001))/STDEV(D$2:D$2001)</f>
        <v>-0.18088712286633</v>
      </c>
      <c r="AC1868" s="13" t="n">
        <f aca="false">(I1868-AVERAGE(I$2:I$2001))/STDEV(I$2:I$2001)</f>
        <v>-0.0205155458339628</v>
      </c>
      <c r="AD1868" s="13" t="n">
        <f aca="false">(L1868-AVERAGE(L$2:L$2001))/STDEV(L$2:L$2001)</f>
        <v>0.413838214490712</v>
      </c>
      <c r="AE1868" s="13" t="n">
        <f aca="false">(M1868-AVERAGE(M$2:M$2001))/STDEV(M$2:M$2001)</f>
        <v>0.207162383499862</v>
      </c>
      <c r="AF1868" s="13" t="n">
        <f aca="false">(N1868-AVERAGE(N$2:N$2001))/STDEV(N$2:N$2001)</f>
        <v>-0.200535901176418</v>
      </c>
      <c r="AG1868" s="13" t="n">
        <f aca="false">(O1868-AVERAGE(O$2:O$2001))/STDEV(O$2:O$2001)</f>
        <v>0.216930114660632</v>
      </c>
      <c r="AH1868" s="0" t="str">
        <f aca="false">IF(B1868="Company","C3 - Corporate Buyers",IF(AND(H1868="Investment",M1868&gt;'Segmentation Summary'!$C$1),"C1 - Global Investors",IF(AND(I1868&gt;=4,M1868&gt;'Segmentation Summary'!$C$1),"C4 - Luxury Investors",IF(AND(D1868&lt;'Segmentation Summary'!$C$2,J1868=1),"C2 - First-Time Buyers","C5 - Other Individual Buyers"))))</f>
        <v>C2 - First-Time Buyers</v>
      </c>
    </row>
    <row r="1869" customFormat="false" ht="15" hidden="false" customHeight="true" outlineLevel="0" collapsed="false">
      <c r="A1869" s="13" t="s">
        <v>3719</v>
      </c>
      <c r="B1869" s="13" t="s">
        <v>34</v>
      </c>
      <c r="C1869" s="13" t="s">
        <v>3720</v>
      </c>
      <c r="D1869" s="13" t="n">
        <v>72</v>
      </c>
      <c r="E1869" s="13" t="s">
        <v>90</v>
      </c>
      <c r="F1869" s="13" t="s">
        <v>42</v>
      </c>
      <c r="G1869" s="13" t="s">
        <v>143</v>
      </c>
      <c r="H1869" s="13" t="s">
        <v>43</v>
      </c>
      <c r="I1869" s="13" t="n">
        <v>1</v>
      </c>
      <c r="J1869" s="13" t="n">
        <v>0</v>
      </c>
      <c r="K1869" s="13" t="s">
        <v>91</v>
      </c>
      <c r="L1869" s="13" t="n">
        <v>3</v>
      </c>
      <c r="M1869" s="13" t="n">
        <v>1280128.06</v>
      </c>
      <c r="N1869" s="13" t="n">
        <v>426709.353333333</v>
      </c>
      <c r="O1869" s="13" t="n">
        <v>1361.74333333333</v>
      </c>
      <c r="P1869" s="13" t="n">
        <v>0</v>
      </c>
      <c r="Q1869" s="13" t="n">
        <v>3</v>
      </c>
      <c r="R1869" s="13" t="s">
        <v>117</v>
      </c>
      <c r="S1869" s="13" t="s">
        <v>125</v>
      </c>
      <c r="T1869" s="13" t="n">
        <v>1</v>
      </c>
      <c r="U1869" s="13" t="n">
        <f aca="false">IF(B1869="Individual",1,0)</f>
        <v>1</v>
      </c>
      <c r="V1869" s="13" t="n">
        <f aca="false">IF(B1869="Company",1,0)</f>
        <v>0</v>
      </c>
      <c r="W1869" s="13" t="n">
        <f aca="false">IF(H1869="Home",1,0)</f>
        <v>0</v>
      </c>
      <c r="X1869" s="13" t="n">
        <f aca="false">IF(H1869="Investment",1,0)</f>
        <v>1</v>
      </c>
      <c r="Y1869" s="13" t="n">
        <f aca="false">IF(K1869="Website",1,0)</f>
        <v>0</v>
      </c>
      <c r="Z1869" s="13" t="n">
        <f aca="false">IF(K1869="Agency",1,0)</f>
        <v>1</v>
      </c>
      <c r="AA1869" s="13" t="n">
        <f aca="false">IF(K1869="Client",1,0)</f>
        <v>0</v>
      </c>
      <c r="AB1869" s="13" t="n">
        <f aca="false">(D1869-AVERAGE(D$2:D$2001))/STDEV(D$2:D$2001)</f>
        <v>1.03002444238485</v>
      </c>
      <c r="AC1869" s="13" t="n">
        <f aca="false">(I1869-AVERAGE(I$2:I$2001))/STDEV(I$2:I$2001)</f>
        <v>-1.43538077576244</v>
      </c>
      <c r="AD1869" s="13" t="n">
        <f aca="false">(L1869-AVERAGE(L$2:L$2001))/STDEV(L$2:L$2001)</f>
        <v>-0.777063122173208</v>
      </c>
      <c r="AE1869" s="13" t="n">
        <f aca="false">(M1869-AVERAGE(M$2:M$2001))/STDEV(M$2:M$2001)</f>
        <v>0.0567879188851785</v>
      </c>
      <c r="AF1869" s="13" t="n">
        <f aca="false">(N1869-AVERAGE(N$2:N$2001))/STDEV(N$2:N$2001)</f>
        <v>1.14195807557381</v>
      </c>
      <c r="AG1869" s="13" t="n">
        <f aca="false">(O1869-AVERAGE(O$2:O$2001))/STDEV(O$2:O$2001)</f>
        <v>0.974268574687236</v>
      </c>
      <c r="AH1869" s="0" t="str">
        <f aca="false">IF(B1869="Company","C3 - Corporate Buyers",IF(AND(H1869="Investment",M1869&gt;'Segmentation Summary'!$C$1),"C1 - Global Investors",IF(AND(I1869&gt;=4,M1869&gt;'Segmentation Summary'!$C$1),"C4 - Luxury Investors",IF(AND(D1869&lt;'Segmentation Summary'!$C$2,J1869=1),"C2 - First-Time Buyers","C5 - Other Individual Buyers"))))</f>
        <v>C1 - Global Investors</v>
      </c>
    </row>
    <row r="1870" customFormat="false" ht="15" hidden="false" customHeight="true" outlineLevel="0" collapsed="false">
      <c r="A1870" s="13" t="s">
        <v>3721</v>
      </c>
      <c r="B1870" s="13" t="s">
        <v>34</v>
      </c>
      <c r="C1870" s="13" t="s">
        <v>3722</v>
      </c>
      <c r="D1870" s="13" t="n">
        <v>84</v>
      </c>
      <c r="E1870" s="13" t="s">
        <v>90</v>
      </c>
      <c r="F1870" s="13" t="s">
        <v>33</v>
      </c>
      <c r="G1870" s="13" t="s">
        <v>106</v>
      </c>
      <c r="H1870" s="13" t="s">
        <v>43</v>
      </c>
      <c r="I1870" s="13" t="n">
        <v>3</v>
      </c>
      <c r="J1870" s="13" t="n">
        <v>1</v>
      </c>
      <c r="K1870" s="13" t="s">
        <v>85</v>
      </c>
      <c r="L1870" s="13" t="n">
        <v>3</v>
      </c>
      <c r="M1870" s="13" t="n">
        <v>708559.15</v>
      </c>
      <c r="N1870" s="13" t="n">
        <v>236186.383333333</v>
      </c>
      <c r="O1870" s="13" t="n">
        <v>791.04</v>
      </c>
      <c r="P1870" s="13" t="n">
        <v>1</v>
      </c>
      <c r="Q1870" s="13" t="n">
        <v>2</v>
      </c>
      <c r="R1870" s="13" t="s">
        <v>121</v>
      </c>
      <c r="S1870" s="13" t="s">
        <v>87</v>
      </c>
      <c r="T1870" s="13" t="n">
        <v>1</v>
      </c>
      <c r="U1870" s="13" t="n">
        <f aca="false">IF(B1870="Individual",1,0)</f>
        <v>1</v>
      </c>
      <c r="V1870" s="13" t="n">
        <f aca="false">IF(B1870="Company",1,0)</f>
        <v>0</v>
      </c>
      <c r="W1870" s="13" t="n">
        <f aca="false">IF(H1870="Home",1,0)</f>
        <v>0</v>
      </c>
      <c r="X1870" s="13" t="n">
        <f aca="false">IF(H1870="Investment",1,0)</f>
        <v>1</v>
      </c>
      <c r="Y1870" s="13" t="n">
        <f aca="false">IF(K1870="Website",1,0)</f>
        <v>1</v>
      </c>
      <c r="Z1870" s="13" t="n">
        <f aca="false">IF(K1870="Agency",1,0)</f>
        <v>0</v>
      </c>
      <c r="AA1870" s="13" t="n">
        <f aca="false">IF(K1870="Client",1,0)</f>
        <v>0</v>
      </c>
      <c r="AB1870" s="13" t="n">
        <f aca="false">(D1870-AVERAGE(D$2:D$2001))/STDEV(D$2:D$2001)</f>
        <v>1.72197390824266</v>
      </c>
      <c r="AC1870" s="13" t="n">
        <f aca="false">(I1870-AVERAGE(I$2:I$2001))/STDEV(I$2:I$2001)</f>
        <v>-0.0205155458339628</v>
      </c>
      <c r="AD1870" s="13" t="n">
        <f aca="false">(L1870-AVERAGE(L$2:L$2001))/STDEV(L$2:L$2001)</f>
        <v>-0.777063122173208</v>
      </c>
      <c r="AE1870" s="13" t="n">
        <f aca="false">(M1870-AVERAGE(M$2:M$2001))/STDEV(M$2:M$2001)</f>
        <v>-1.58645107007375</v>
      </c>
      <c r="AF1870" s="13" t="n">
        <f aca="false">(N1870-AVERAGE(N$2:N$2001))/STDEV(N$2:N$2001)</f>
        <v>-1.59065798411976</v>
      </c>
      <c r="AG1870" s="13" t="n">
        <f aca="false">(O1870-AVERAGE(O$2:O$2001))/STDEV(O$2:O$2001)</f>
        <v>-1.62075061466602</v>
      </c>
      <c r="AH1870" s="0" t="str">
        <f aca="false">IF(B1870="Company","C3 - Corporate Buyers",IF(AND(H1870="Investment",M1870&gt;'Segmentation Summary'!$C$1),"C1 - Global Investors",IF(AND(I1870&gt;=4,M1870&gt;'Segmentation Summary'!$C$1),"C4 - Luxury Investors",IF(AND(D1870&lt;'Segmentation Summary'!$C$2,J1870=1),"C2 - First-Time Buyers","C5 - Other Individual Buyers"))))</f>
        <v>C5 - Other Individual Buyers</v>
      </c>
    </row>
    <row r="1871" customFormat="false" ht="15" hidden="false" customHeight="true" outlineLevel="0" collapsed="false">
      <c r="A1871" s="13" t="s">
        <v>3723</v>
      </c>
      <c r="B1871" s="13" t="s">
        <v>34</v>
      </c>
      <c r="C1871" s="13" t="s">
        <v>3722</v>
      </c>
      <c r="D1871" s="13" t="n">
        <v>62</v>
      </c>
      <c r="E1871" s="13" t="s">
        <v>90</v>
      </c>
      <c r="F1871" s="13" t="s">
        <v>37</v>
      </c>
      <c r="G1871" s="13" t="s">
        <v>169</v>
      </c>
      <c r="H1871" s="13" t="s">
        <v>41</v>
      </c>
      <c r="I1871" s="13" t="n">
        <v>3</v>
      </c>
      <c r="J1871" s="13" t="n">
        <v>1</v>
      </c>
      <c r="K1871" s="13" t="s">
        <v>91</v>
      </c>
      <c r="L1871" s="13" t="n">
        <v>3</v>
      </c>
      <c r="M1871" s="13" t="n">
        <v>1064342.81</v>
      </c>
      <c r="N1871" s="13" t="n">
        <v>354780.936666667</v>
      </c>
      <c r="O1871" s="13" t="n">
        <v>1162.61666666667</v>
      </c>
      <c r="P1871" s="13" t="n">
        <v>0</v>
      </c>
      <c r="Q1871" s="13" t="n">
        <v>3</v>
      </c>
      <c r="R1871" s="13" t="s">
        <v>150</v>
      </c>
      <c r="S1871" s="13" t="s">
        <v>87</v>
      </c>
      <c r="T1871" s="13" t="n">
        <v>1</v>
      </c>
      <c r="U1871" s="13" t="n">
        <f aca="false">IF(B1871="Individual",1,0)</f>
        <v>1</v>
      </c>
      <c r="V1871" s="13" t="n">
        <f aca="false">IF(B1871="Company",1,0)</f>
        <v>0</v>
      </c>
      <c r="W1871" s="13" t="n">
        <f aca="false">IF(H1871="Home",1,0)</f>
        <v>1</v>
      </c>
      <c r="X1871" s="13" t="n">
        <f aca="false">IF(H1871="Investment",1,0)</f>
        <v>0</v>
      </c>
      <c r="Y1871" s="13" t="n">
        <f aca="false">IF(K1871="Website",1,0)</f>
        <v>0</v>
      </c>
      <c r="Z1871" s="13" t="n">
        <f aca="false">IF(K1871="Agency",1,0)</f>
        <v>1</v>
      </c>
      <c r="AA1871" s="13" t="n">
        <f aca="false">IF(K1871="Client",1,0)</f>
        <v>0</v>
      </c>
      <c r="AB1871" s="13" t="n">
        <f aca="false">(D1871-AVERAGE(D$2:D$2001))/STDEV(D$2:D$2001)</f>
        <v>0.453399887503333</v>
      </c>
      <c r="AC1871" s="13" t="n">
        <f aca="false">(I1871-AVERAGE(I$2:I$2001))/STDEV(I$2:I$2001)</f>
        <v>-0.0205155458339628</v>
      </c>
      <c r="AD1871" s="13" t="n">
        <f aca="false">(L1871-AVERAGE(L$2:L$2001))/STDEV(L$2:L$2001)</f>
        <v>-0.777063122173208</v>
      </c>
      <c r="AE1871" s="13" t="n">
        <f aca="false">(M1871-AVERAGE(M$2:M$2001))/STDEV(M$2:M$2001)</f>
        <v>-0.563586509881863</v>
      </c>
      <c r="AF1871" s="13" t="n">
        <f aca="false">(N1871-AVERAGE(N$2:N$2001))/STDEV(N$2:N$2001)</f>
        <v>0.110309521430119</v>
      </c>
      <c r="AG1871" s="13" t="n">
        <f aca="false">(O1871-AVERAGE(O$2:O$2001))/STDEV(O$2:O$2001)</f>
        <v>0.0688287587082367</v>
      </c>
      <c r="AH1871" s="0" t="str">
        <f aca="false">IF(B1871="Company","C3 - Corporate Buyers",IF(AND(H1871="Investment",M1871&gt;'Segmentation Summary'!$C$1),"C1 - Global Investors",IF(AND(I1871&gt;=4,M1871&gt;'Segmentation Summary'!$C$1),"C4 - Luxury Investors",IF(AND(D1871&lt;'Segmentation Summary'!$C$2,J1871=1),"C2 - First-Time Buyers","C5 - Other Individual Buyers"))))</f>
        <v>C5 - Other Individual Buyers</v>
      </c>
    </row>
    <row r="1872" customFormat="false" ht="15" hidden="false" customHeight="true" outlineLevel="0" collapsed="false">
      <c r="A1872" s="13" t="s">
        <v>3724</v>
      </c>
      <c r="B1872" s="13" t="s">
        <v>34</v>
      </c>
      <c r="C1872" s="13" t="s">
        <v>3725</v>
      </c>
      <c r="D1872" s="13" t="n">
        <v>30</v>
      </c>
      <c r="E1872" s="13" t="s">
        <v>90</v>
      </c>
      <c r="F1872" s="13" t="s">
        <v>45</v>
      </c>
      <c r="G1872" s="13" t="s">
        <v>196</v>
      </c>
      <c r="H1872" s="13" t="s">
        <v>41</v>
      </c>
      <c r="I1872" s="13" t="n">
        <v>5</v>
      </c>
      <c r="J1872" s="13" t="n">
        <v>1</v>
      </c>
      <c r="K1872" s="13" t="s">
        <v>91</v>
      </c>
      <c r="L1872" s="13" t="n">
        <v>4</v>
      </c>
      <c r="M1872" s="13" t="n">
        <v>961942.88</v>
      </c>
      <c r="N1872" s="13" t="n">
        <v>240485.72</v>
      </c>
      <c r="O1872" s="13" t="n">
        <v>886.4275</v>
      </c>
      <c r="P1872" s="13" t="n">
        <v>0</v>
      </c>
      <c r="Q1872" s="13" t="n">
        <v>4</v>
      </c>
      <c r="R1872" s="13" t="s">
        <v>101</v>
      </c>
      <c r="S1872" s="13" t="s">
        <v>152</v>
      </c>
      <c r="T1872" s="13" t="n">
        <v>1</v>
      </c>
      <c r="U1872" s="13" t="n">
        <f aca="false">IF(B1872="Individual",1,0)</f>
        <v>1</v>
      </c>
      <c r="V1872" s="13" t="n">
        <f aca="false">IF(B1872="Company",1,0)</f>
        <v>0</v>
      </c>
      <c r="W1872" s="13" t="n">
        <f aca="false">IF(H1872="Home",1,0)</f>
        <v>1</v>
      </c>
      <c r="X1872" s="13" t="n">
        <f aca="false">IF(H1872="Investment",1,0)</f>
        <v>0</v>
      </c>
      <c r="Y1872" s="13" t="n">
        <f aca="false">IF(K1872="Website",1,0)</f>
        <v>0</v>
      </c>
      <c r="Z1872" s="13" t="n">
        <f aca="false">IF(K1872="Agency",1,0)</f>
        <v>1</v>
      </c>
      <c r="AA1872" s="13" t="n">
        <f aca="false">IF(K1872="Client",1,0)</f>
        <v>0</v>
      </c>
      <c r="AB1872" s="13" t="n">
        <f aca="false">(D1872-AVERAGE(D$2:D$2001))/STDEV(D$2:D$2001)</f>
        <v>-1.39179868811751</v>
      </c>
      <c r="AC1872" s="13" t="n">
        <f aca="false">(I1872-AVERAGE(I$2:I$2001))/STDEV(I$2:I$2001)</f>
        <v>1.39434968409451</v>
      </c>
      <c r="AD1872" s="13" t="n">
        <f aca="false">(L1872-AVERAGE(L$2:L$2001))/STDEV(L$2:L$2001)</f>
        <v>0.413838214490712</v>
      </c>
      <c r="AE1872" s="13" t="n">
        <f aca="false">(M1872-AVERAGE(M$2:M$2001))/STDEV(M$2:M$2001)</f>
        <v>-0.85798243397554</v>
      </c>
      <c r="AF1872" s="13" t="n">
        <f aca="false">(N1872-AVERAGE(N$2:N$2001))/STDEV(N$2:N$2001)</f>
        <v>-1.52899383715962</v>
      </c>
      <c r="AG1872" s="13" t="n">
        <f aca="false">(O1872-AVERAGE(O$2:O$2001))/STDEV(O$2:O$2001)</f>
        <v>-1.18701844864088</v>
      </c>
      <c r="AH1872" s="0" t="str">
        <f aca="false">IF(B1872="Company","C3 - Corporate Buyers",IF(AND(H1872="Investment",M1872&gt;'Segmentation Summary'!$C$1),"C1 - Global Investors",IF(AND(I1872&gt;=4,M1872&gt;'Segmentation Summary'!$C$1),"C4 - Luxury Investors",IF(AND(D1872&lt;'Segmentation Summary'!$C$2,J1872=1),"C2 - First-Time Buyers","C5 - Other Individual Buyers"))))</f>
        <v>C2 - First-Time Buyers</v>
      </c>
    </row>
    <row r="1873" customFormat="false" ht="15" hidden="false" customHeight="true" outlineLevel="0" collapsed="false">
      <c r="A1873" s="13" t="s">
        <v>3726</v>
      </c>
      <c r="B1873" s="13" t="s">
        <v>34</v>
      </c>
      <c r="C1873" s="13" t="s">
        <v>3727</v>
      </c>
      <c r="D1873" s="13" t="n">
        <v>83</v>
      </c>
      <c r="E1873" s="13" t="s">
        <v>90</v>
      </c>
      <c r="F1873" s="13" t="s">
        <v>33</v>
      </c>
      <c r="G1873" s="13" t="s">
        <v>95</v>
      </c>
      <c r="H1873" s="13" t="s">
        <v>41</v>
      </c>
      <c r="I1873" s="13" t="n">
        <v>1</v>
      </c>
      <c r="J1873" s="13" t="n">
        <v>1</v>
      </c>
      <c r="K1873" s="13" t="s">
        <v>85</v>
      </c>
      <c r="L1873" s="13" t="n">
        <v>4</v>
      </c>
      <c r="M1873" s="13" t="n">
        <v>1308613.57</v>
      </c>
      <c r="N1873" s="13" t="n">
        <v>327153.3925</v>
      </c>
      <c r="O1873" s="13" t="n">
        <v>1121.525</v>
      </c>
      <c r="P1873" s="13" t="n">
        <v>0</v>
      </c>
      <c r="Q1873" s="13" t="n">
        <v>4</v>
      </c>
      <c r="R1873" s="13" t="s">
        <v>117</v>
      </c>
      <c r="S1873" s="13" t="s">
        <v>154</v>
      </c>
      <c r="T1873" s="13" t="n">
        <v>1</v>
      </c>
      <c r="U1873" s="13" t="n">
        <f aca="false">IF(B1873="Individual",1,0)</f>
        <v>1</v>
      </c>
      <c r="V1873" s="13" t="n">
        <f aca="false">IF(B1873="Company",1,0)</f>
        <v>0</v>
      </c>
      <c r="W1873" s="13" t="n">
        <f aca="false">IF(H1873="Home",1,0)</f>
        <v>1</v>
      </c>
      <c r="X1873" s="13" t="n">
        <f aca="false">IF(H1873="Investment",1,0)</f>
        <v>0</v>
      </c>
      <c r="Y1873" s="13" t="n">
        <f aca="false">IF(K1873="Website",1,0)</f>
        <v>1</v>
      </c>
      <c r="Z1873" s="13" t="n">
        <f aca="false">IF(K1873="Agency",1,0)</f>
        <v>0</v>
      </c>
      <c r="AA1873" s="13" t="n">
        <f aca="false">IF(K1873="Client",1,0)</f>
        <v>0</v>
      </c>
      <c r="AB1873" s="13" t="n">
        <f aca="false">(D1873-AVERAGE(D$2:D$2001))/STDEV(D$2:D$2001)</f>
        <v>1.66431145275451</v>
      </c>
      <c r="AC1873" s="13" t="n">
        <f aca="false">(I1873-AVERAGE(I$2:I$2001))/STDEV(I$2:I$2001)</f>
        <v>-1.43538077576244</v>
      </c>
      <c r="AD1873" s="13" t="n">
        <f aca="false">(L1873-AVERAGE(L$2:L$2001))/STDEV(L$2:L$2001)</f>
        <v>0.413838214490712</v>
      </c>
      <c r="AE1873" s="13" t="n">
        <f aca="false">(M1873-AVERAGE(M$2:M$2001))/STDEV(M$2:M$2001)</f>
        <v>0.138682682287162</v>
      </c>
      <c r="AF1873" s="13" t="n">
        <f aca="false">(N1873-AVERAGE(N$2:N$2001))/STDEV(N$2:N$2001)</f>
        <v>-0.285944383701256</v>
      </c>
      <c r="AG1873" s="13" t="n">
        <f aca="false">(O1873-AVERAGE(O$2:O$2001))/STDEV(O$2:O$2001)</f>
        <v>-0.118017291234553</v>
      </c>
      <c r="AH1873" s="0" t="str">
        <f aca="false">IF(B1873="Company","C3 - Corporate Buyers",IF(AND(H1873="Investment",M1873&gt;'Segmentation Summary'!$C$1),"C1 - Global Investors",IF(AND(I1873&gt;=4,M1873&gt;'Segmentation Summary'!$C$1),"C4 - Luxury Investors",IF(AND(D1873&lt;'Segmentation Summary'!$C$2,J1873=1),"C2 - First-Time Buyers","C5 - Other Individual Buyers"))))</f>
        <v>C5 - Other Individual Buyers</v>
      </c>
    </row>
    <row r="1874" customFormat="false" ht="15" hidden="false" customHeight="true" outlineLevel="0" collapsed="false">
      <c r="A1874" s="13" t="s">
        <v>3728</v>
      </c>
      <c r="B1874" s="13" t="s">
        <v>34</v>
      </c>
      <c r="C1874" s="13" t="s">
        <v>3729</v>
      </c>
      <c r="D1874" s="13" t="n">
        <v>28</v>
      </c>
      <c r="E1874" s="13" t="s">
        <v>83</v>
      </c>
      <c r="F1874" s="13" t="s">
        <v>33</v>
      </c>
      <c r="G1874" s="13" t="s">
        <v>157</v>
      </c>
      <c r="H1874" s="13" t="s">
        <v>43</v>
      </c>
      <c r="I1874" s="13" t="n">
        <v>2</v>
      </c>
      <c r="J1874" s="13" t="n">
        <v>0</v>
      </c>
      <c r="K1874" s="13" t="s">
        <v>85</v>
      </c>
      <c r="L1874" s="13" t="n">
        <v>3</v>
      </c>
      <c r="M1874" s="13" t="n">
        <v>1213248.05</v>
      </c>
      <c r="N1874" s="13" t="n">
        <v>404416.016666667</v>
      </c>
      <c r="O1874" s="13" t="n">
        <v>1452.26333333333</v>
      </c>
      <c r="P1874" s="13" t="n">
        <v>0</v>
      </c>
      <c r="Q1874" s="13" t="n">
        <v>3</v>
      </c>
      <c r="R1874" s="13" t="s">
        <v>107</v>
      </c>
      <c r="S1874" s="13" t="s">
        <v>141</v>
      </c>
      <c r="T1874" s="13" t="n">
        <v>1</v>
      </c>
      <c r="U1874" s="13" t="n">
        <f aca="false">IF(B1874="Individual",1,0)</f>
        <v>1</v>
      </c>
      <c r="V1874" s="13" t="n">
        <f aca="false">IF(B1874="Company",1,0)</f>
        <v>0</v>
      </c>
      <c r="W1874" s="13" t="n">
        <f aca="false">IF(H1874="Home",1,0)</f>
        <v>0</v>
      </c>
      <c r="X1874" s="13" t="n">
        <f aca="false">IF(H1874="Investment",1,0)</f>
        <v>1</v>
      </c>
      <c r="Y1874" s="13" t="n">
        <f aca="false">IF(K1874="Website",1,0)</f>
        <v>1</v>
      </c>
      <c r="Z1874" s="13" t="n">
        <f aca="false">IF(K1874="Agency",1,0)</f>
        <v>0</v>
      </c>
      <c r="AA1874" s="13" t="n">
        <f aca="false">IF(K1874="Client",1,0)</f>
        <v>0</v>
      </c>
      <c r="AB1874" s="13" t="n">
        <f aca="false">(D1874-AVERAGE(D$2:D$2001))/STDEV(D$2:D$2001)</f>
        <v>-1.50712359909381</v>
      </c>
      <c r="AC1874" s="13" t="n">
        <f aca="false">(I1874-AVERAGE(I$2:I$2001))/STDEV(I$2:I$2001)</f>
        <v>-0.727948160798201</v>
      </c>
      <c r="AD1874" s="13" t="n">
        <f aca="false">(L1874-AVERAGE(L$2:L$2001))/STDEV(L$2:L$2001)</f>
        <v>-0.777063122173208</v>
      </c>
      <c r="AE1874" s="13" t="n">
        <f aca="false">(M1874-AVERAGE(M$2:M$2001))/STDEV(M$2:M$2001)</f>
        <v>-0.135489579227802</v>
      </c>
      <c r="AF1874" s="13" t="n">
        <f aca="false">(N1874-AVERAGE(N$2:N$2001))/STDEV(N$2:N$2001)</f>
        <v>0.822211171568029</v>
      </c>
      <c r="AG1874" s="13" t="n">
        <f aca="false">(O1874-AVERAGE(O$2:O$2001))/STDEV(O$2:O$2001)</f>
        <v>1.38586795268326</v>
      </c>
      <c r="AH1874" s="0" t="str">
        <f aca="false">IF(B1874="Company","C3 - Corporate Buyers",IF(AND(H1874="Investment",M1874&gt;'Segmentation Summary'!$C$1),"C1 - Global Investors",IF(AND(I1874&gt;=4,M1874&gt;'Segmentation Summary'!$C$1),"C4 - Luxury Investors",IF(AND(D1874&lt;'Segmentation Summary'!$C$2,J1874=1),"C2 - First-Time Buyers","C5 - Other Individual Buyers"))))</f>
        <v>C5 - Other Individual Buyers</v>
      </c>
    </row>
    <row r="1875" customFormat="false" ht="15" hidden="false" customHeight="true" outlineLevel="0" collapsed="false">
      <c r="A1875" s="13" t="s">
        <v>3730</v>
      </c>
      <c r="B1875" s="13" t="s">
        <v>34</v>
      </c>
      <c r="C1875" s="13" t="s">
        <v>3731</v>
      </c>
      <c r="D1875" s="13" t="n">
        <v>70</v>
      </c>
      <c r="E1875" s="13" t="s">
        <v>83</v>
      </c>
      <c r="F1875" s="13" t="s">
        <v>33</v>
      </c>
      <c r="G1875" s="13" t="s">
        <v>84</v>
      </c>
      <c r="H1875" s="13" t="s">
        <v>41</v>
      </c>
      <c r="I1875" s="13" t="n">
        <v>5</v>
      </c>
      <c r="J1875" s="13" t="n">
        <v>1</v>
      </c>
      <c r="K1875" s="13" t="s">
        <v>85</v>
      </c>
      <c r="L1875" s="13" t="n">
        <v>3</v>
      </c>
      <c r="M1875" s="13" t="n">
        <v>930994.21</v>
      </c>
      <c r="N1875" s="13" t="n">
        <v>310331.403333333</v>
      </c>
      <c r="O1875" s="13" t="n">
        <v>997.413333333333</v>
      </c>
      <c r="P1875" s="13" t="n">
        <v>0</v>
      </c>
      <c r="Q1875" s="13" t="n">
        <v>3</v>
      </c>
      <c r="R1875" s="13" t="s">
        <v>92</v>
      </c>
      <c r="S1875" s="13" t="s">
        <v>111</v>
      </c>
      <c r="T1875" s="13" t="n">
        <v>1</v>
      </c>
      <c r="U1875" s="13" t="n">
        <f aca="false">IF(B1875="Individual",1,0)</f>
        <v>1</v>
      </c>
      <c r="V1875" s="13" t="n">
        <f aca="false">IF(B1875="Company",1,0)</f>
        <v>0</v>
      </c>
      <c r="W1875" s="13" t="n">
        <f aca="false">IF(H1875="Home",1,0)</f>
        <v>1</v>
      </c>
      <c r="X1875" s="13" t="n">
        <f aca="false">IF(H1875="Investment",1,0)</f>
        <v>0</v>
      </c>
      <c r="Y1875" s="13" t="n">
        <f aca="false">IF(K1875="Website",1,0)</f>
        <v>1</v>
      </c>
      <c r="Z1875" s="13" t="n">
        <f aca="false">IF(K1875="Agency",1,0)</f>
        <v>0</v>
      </c>
      <c r="AA1875" s="13" t="n">
        <f aca="false">IF(K1875="Client",1,0)</f>
        <v>0</v>
      </c>
      <c r="AB1875" s="13" t="n">
        <f aca="false">(D1875-AVERAGE(D$2:D$2001))/STDEV(D$2:D$2001)</f>
        <v>0.914699531408543</v>
      </c>
      <c r="AC1875" s="13" t="n">
        <f aca="false">(I1875-AVERAGE(I$2:I$2001))/STDEV(I$2:I$2001)</f>
        <v>1.39434968409451</v>
      </c>
      <c r="AD1875" s="13" t="n">
        <f aca="false">(L1875-AVERAGE(L$2:L$2001))/STDEV(L$2:L$2001)</f>
        <v>-0.777063122173208</v>
      </c>
      <c r="AE1875" s="13" t="n">
        <f aca="false">(M1875-AVERAGE(M$2:M$2001))/STDEV(M$2:M$2001)</f>
        <v>-0.946958689175326</v>
      </c>
      <c r="AF1875" s="13" t="n">
        <f aca="false">(N1875-AVERAGE(N$2:N$2001))/STDEV(N$2:N$2001)</f>
        <v>-0.527217327078245</v>
      </c>
      <c r="AG1875" s="13" t="n">
        <f aca="false">(O1875-AVERAGE(O$2:O$2001))/STDEV(O$2:O$2001)</f>
        <v>-0.682359810037582</v>
      </c>
      <c r="AH1875" s="0" t="str">
        <f aca="false">IF(B1875="Company","C3 - Corporate Buyers",IF(AND(H1875="Investment",M1875&gt;'Segmentation Summary'!$C$1),"C1 - Global Investors",IF(AND(I1875&gt;=4,M1875&gt;'Segmentation Summary'!$C$1),"C4 - Luxury Investors",IF(AND(D1875&lt;'Segmentation Summary'!$C$2,J1875=1),"C2 - First-Time Buyers","C5 - Other Individual Buyers"))))</f>
        <v>C5 - Other Individual Buyers</v>
      </c>
    </row>
    <row r="1876" customFormat="false" ht="15" hidden="false" customHeight="true" outlineLevel="0" collapsed="false">
      <c r="A1876" s="13" t="s">
        <v>3732</v>
      </c>
      <c r="B1876" s="13" t="s">
        <v>34</v>
      </c>
      <c r="C1876" s="13" t="s">
        <v>3733</v>
      </c>
      <c r="D1876" s="13" t="n">
        <v>27</v>
      </c>
      <c r="E1876" s="13" t="s">
        <v>83</v>
      </c>
      <c r="F1876" s="13" t="s">
        <v>33</v>
      </c>
      <c r="G1876" s="13" t="s">
        <v>84</v>
      </c>
      <c r="H1876" s="13" t="s">
        <v>41</v>
      </c>
      <c r="I1876" s="13" t="n">
        <v>1</v>
      </c>
      <c r="J1876" s="13" t="n">
        <v>0</v>
      </c>
      <c r="K1876" s="13" t="s">
        <v>91</v>
      </c>
      <c r="L1876" s="13" t="n">
        <v>3</v>
      </c>
      <c r="M1876" s="13" t="n">
        <v>811448.36</v>
      </c>
      <c r="N1876" s="13" t="n">
        <v>270482.786666667</v>
      </c>
      <c r="O1876" s="13" t="n">
        <v>995.51</v>
      </c>
      <c r="P1876" s="13" t="n">
        <v>0</v>
      </c>
      <c r="Q1876" s="13" t="n">
        <v>3</v>
      </c>
      <c r="R1876" s="13" t="s">
        <v>86</v>
      </c>
      <c r="S1876" s="13" t="s">
        <v>152</v>
      </c>
      <c r="T1876" s="13" t="n">
        <v>1</v>
      </c>
      <c r="U1876" s="13" t="n">
        <f aca="false">IF(B1876="Individual",1,0)</f>
        <v>1</v>
      </c>
      <c r="V1876" s="13" t="n">
        <f aca="false">IF(B1876="Company",1,0)</f>
        <v>0</v>
      </c>
      <c r="W1876" s="13" t="n">
        <f aca="false">IF(H1876="Home",1,0)</f>
        <v>1</v>
      </c>
      <c r="X1876" s="13" t="n">
        <f aca="false">IF(H1876="Investment",1,0)</f>
        <v>0</v>
      </c>
      <c r="Y1876" s="13" t="n">
        <f aca="false">IF(K1876="Website",1,0)</f>
        <v>0</v>
      </c>
      <c r="Z1876" s="13" t="n">
        <f aca="false">IF(K1876="Agency",1,0)</f>
        <v>1</v>
      </c>
      <c r="AA1876" s="13" t="n">
        <f aca="false">IF(K1876="Client",1,0)</f>
        <v>0</v>
      </c>
      <c r="AB1876" s="13" t="n">
        <f aca="false">(D1876-AVERAGE(D$2:D$2001))/STDEV(D$2:D$2001)</f>
        <v>-1.56478605458196</v>
      </c>
      <c r="AC1876" s="13" t="n">
        <f aca="false">(I1876-AVERAGE(I$2:I$2001))/STDEV(I$2:I$2001)</f>
        <v>-1.43538077576244</v>
      </c>
      <c r="AD1876" s="13" t="n">
        <f aca="false">(L1876-AVERAGE(L$2:L$2001))/STDEV(L$2:L$2001)</f>
        <v>-0.777063122173208</v>
      </c>
      <c r="AE1876" s="13" t="n">
        <f aca="false">(M1876-AVERAGE(M$2:M$2001))/STDEV(M$2:M$2001)</f>
        <v>-1.29064848449368</v>
      </c>
      <c r="AF1876" s="13" t="n">
        <f aca="false">(N1876-AVERAGE(N$2:N$2001))/STDEV(N$2:N$2001)</f>
        <v>-1.09875455358644</v>
      </c>
      <c r="AG1876" s="13" t="n">
        <f aca="false">(O1876-AVERAGE(O$2:O$2001))/STDEV(O$2:O$2001)</f>
        <v>-0.691014370533814</v>
      </c>
      <c r="AH1876" s="0" t="str">
        <f aca="false">IF(B1876="Company","C3 - Corporate Buyers",IF(AND(H1876="Investment",M1876&gt;'Segmentation Summary'!$C$1),"C1 - Global Investors",IF(AND(I1876&gt;=4,M1876&gt;'Segmentation Summary'!$C$1),"C4 - Luxury Investors",IF(AND(D1876&lt;'Segmentation Summary'!$C$2,J1876=1),"C2 - First-Time Buyers","C5 - Other Individual Buyers"))))</f>
        <v>C5 - Other Individual Buyers</v>
      </c>
    </row>
    <row r="1877" customFormat="false" ht="15" hidden="false" customHeight="true" outlineLevel="0" collapsed="false">
      <c r="A1877" s="13" t="s">
        <v>3734</v>
      </c>
      <c r="B1877" s="13" t="s">
        <v>34</v>
      </c>
      <c r="C1877" s="13" t="s">
        <v>3735</v>
      </c>
      <c r="D1877" s="13" t="n">
        <v>74</v>
      </c>
      <c r="E1877" s="13" t="s">
        <v>83</v>
      </c>
      <c r="F1877" s="13" t="s">
        <v>33</v>
      </c>
      <c r="G1877" s="13" t="s">
        <v>95</v>
      </c>
      <c r="H1877" s="13" t="s">
        <v>43</v>
      </c>
      <c r="I1877" s="13" t="n">
        <v>3</v>
      </c>
      <c r="J1877" s="13" t="n">
        <v>1</v>
      </c>
      <c r="K1877" s="13" t="s">
        <v>91</v>
      </c>
      <c r="L1877" s="13" t="n">
        <v>3</v>
      </c>
      <c r="M1877" s="13" t="n">
        <v>1607877.07</v>
      </c>
      <c r="N1877" s="13" t="n">
        <v>535959.023333333</v>
      </c>
      <c r="O1877" s="13" t="n">
        <v>1654.47333333333</v>
      </c>
      <c r="P1877" s="13" t="n">
        <v>1</v>
      </c>
      <c r="Q1877" s="13" t="n">
        <v>2</v>
      </c>
      <c r="R1877" s="13" t="s">
        <v>101</v>
      </c>
      <c r="S1877" s="13" t="s">
        <v>164</v>
      </c>
      <c r="T1877" s="13" t="n">
        <v>1</v>
      </c>
      <c r="U1877" s="13" t="n">
        <f aca="false">IF(B1877="Individual",1,0)</f>
        <v>1</v>
      </c>
      <c r="V1877" s="13" t="n">
        <f aca="false">IF(B1877="Company",1,0)</f>
        <v>0</v>
      </c>
      <c r="W1877" s="13" t="n">
        <f aca="false">IF(H1877="Home",1,0)</f>
        <v>0</v>
      </c>
      <c r="X1877" s="13" t="n">
        <f aca="false">IF(H1877="Investment",1,0)</f>
        <v>1</v>
      </c>
      <c r="Y1877" s="13" t="n">
        <f aca="false">IF(K1877="Website",1,0)</f>
        <v>0</v>
      </c>
      <c r="Z1877" s="13" t="n">
        <f aca="false">IF(K1877="Agency",1,0)</f>
        <v>1</v>
      </c>
      <c r="AA1877" s="13" t="n">
        <f aca="false">IF(K1877="Client",1,0)</f>
        <v>0</v>
      </c>
      <c r="AB1877" s="13" t="n">
        <f aca="false">(D1877-AVERAGE(D$2:D$2001))/STDEV(D$2:D$2001)</f>
        <v>1.14534935336115</v>
      </c>
      <c r="AC1877" s="13" t="n">
        <f aca="false">(I1877-AVERAGE(I$2:I$2001))/STDEV(I$2:I$2001)</f>
        <v>-0.0205155458339628</v>
      </c>
      <c r="AD1877" s="13" t="n">
        <f aca="false">(L1877-AVERAGE(L$2:L$2001))/STDEV(L$2:L$2001)</f>
        <v>-0.777063122173208</v>
      </c>
      <c r="AE1877" s="13" t="n">
        <f aca="false">(M1877-AVERAGE(M$2:M$2001))/STDEV(M$2:M$2001)</f>
        <v>0.999053921115236</v>
      </c>
      <c r="AF1877" s="13" t="n">
        <f aca="false">(N1877-AVERAGE(N$2:N$2001))/STDEV(N$2:N$2001)</f>
        <v>2.70889461219312</v>
      </c>
      <c r="AG1877" s="13" t="n">
        <f aca="false">(O1877-AVERAGE(O$2:O$2001))/STDEV(O$2:O$2001)</f>
        <v>2.30532785352922</v>
      </c>
      <c r="AH1877" s="0" t="str">
        <f aca="false">IF(B1877="Company","C3 - Corporate Buyers",IF(AND(H1877="Investment",M1877&gt;'Segmentation Summary'!$C$1),"C1 - Global Investors",IF(AND(I1877&gt;=4,M1877&gt;'Segmentation Summary'!$C$1),"C4 - Luxury Investors",IF(AND(D1877&lt;'Segmentation Summary'!$C$2,J1877=1),"C2 - First-Time Buyers","C5 - Other Individual Buyers"))))</f>
        <v>C1 - Global Investors</v>
      </c>
    </row>
    <row r="1878" customFormat="false" ht="15" hidden="false" customHeight="true" outlineLevel="0" collapsed="false">
      <c r="A1878" s="13" t="s">
        <v>3736</v>
      </c>
      <c r="B1878" s="13" t="s">
        <v>34</v>
      </c>
      <c r="C1878" s="13" t="s">
        <v>3737</v>
      </c>
      <c r="D1878" s="13" t="n">
        <v>42</v>
      </c>
      <c r="E1878" s="13" t="s">
        <v>83</v>
      </c>
      <c r="F1878" s="13" t="s">
        <v>33</v>
      </c>
      <c r="G1878" s="13" t="s">
        <v>95</v>
      </c>
      <c r="H1878" s="13" t="s">
        <v>41</v>
      </c>
      <c r="I1878" s="13" t="n">
        <v>5</v>
      </c>
      <c r="J1878" s="13" t="n">
        <v>0</v>
      </c>
      <c r="K1878" s="13" t="s">
        <v>116</v>
      </c>
      <c r="L1878" s="13" t="n">
        <v>5</v>
      </c>
      <c r="M1878" s="13" t="n">
        <v>980850.42</v>
      </c>
      <c r="N1878" s="13" t="n">
        <v>196170.084</v>
      </c>
      <c r="O1878" s="13" t="n">
        <v>703.798</v>
      </c>
      <c r="P1878" s="13" t="n">
        <v>0</v>
      </c>
      <c r="Q1878" s="13" t="n">
        <v>5</v>
      </c>
      <c r="R1878" s="13" t="s">
        <v>117</v>
      </c>
      <c r="S1878" s="13" t="s">
        <v>133</v>
      </c>
      <c r="T1878" s="13" t="n">
        <v>1</v>
      </c>
      <c r="U1878" s="13" t="n">
        <f aca="false">IF(B1878="Individual",1,0)</f>
        <v>1</v>
      </c>
      <c r="V1878" s="13" t="n">
        <f aca="false">IF(B1878="Company",1,0)</f>
        <v>0</v>
      </c>
      <c r="W1878" s="13" t="n">
        <f aca="false">IF(H1878="Home",1,0)</f>
        <v>1</v>
      </c>
      <c r="X1878" s="13" t="n">
        <f aca="false">IF(H1878="Investment",1,0)</f>
        <v>0</v>
      </c>
      <c r="Y1878" s="13" t="n">
        <f aca="false">IF(K1878="Website",1,0)</f>
        <v>0</v>
      </c>
      <c r="Z1878" s="13" t="n">
        <f aca="false">IF(K1878="Agency",1,0)</f>
        <v>0</v>
      </c>
      <c r="AA1878" s="13" t="n">
        <f aca="false">IF(K1878="Client",1,0)</f>
        <v>1</v>
      </c>
      <c r="AB1878" s="13" t="n">
        <f aca="false">(D1878-AVERAGE(D$2:D$2001))/STDEV(D$2:D$2001)</f>
        <v>-0.699849222259691</v>
      </c>
      <c r="AC1878" s="13" t="n">
        <f aca="false">(I1878-AVERAGE(I$2:I$2001))/STDEV(I$2:I$2001)</f>
        <v>1.39434968409451</v>
      </c>
      <c r="AD1878" s="13" t="n">
        <f aca="false">(L1878-AVERAGE(L$2:L$2001))/STDEV(L$2:L$2001)</f>
        <v>1.60473955115463</v>
      </c>
      <c r="AE1878" s="13" t="n">
        <f aca="false">(M1878-AVERAGE(M$2:M$2001))/STDEV(M$2:M$2001)</f>
        <v>-0.803623971907859</v>
      </c>
      <c r="AF1878" s="13" t="n">
        <f aca="false">(N1878-AVERAGE(N$2:N$2001))/STDEV(N$2:N$2001)</f>
        <v>-2.16460023479836</v>
      </c>
      <c r="AG1878" s="13" t="n">
        <f aca="false">(O1878-AVERAGE(O$2:O$2001))/STDEV(O$2:O$2001)</f>
        <v>-2.01744474784244</v>
      </c>
      <c r="AH1878" s="0" t="str">
        <f aca="false">IF(B1878="Company","C3 - Corporate Buyers",IF(AND(H1878="Investment",M1878&gt;'Segmentation Summary'!$C$1),"C1 - Global Investors",IF(AND(I1878&gt;=4,M1878&gt;'Segmentation Summary'!$C$1),"C4 - Luxury Investors",IF(AND(D1878&lt;'Segmentation Summary'!$C$2,J1878=1),"C2 - First-Time Buyers","C5 - Other Individual Buyers"))))</f>
        <v>C5 - Other Individual Buyers</v>
      </c>
    </row>
    <row r="1879" customFormat="false" ht="15" hidden="false" customHeight="true" outlineLevel="0" collapsed="false">
      <c r="A1879" s="13" t="s">
        <v>3738</v>
      </c>
      <c r="B1879" s="13" t="s">
        <v>34</v>
      </c>
      <c r="C1879" s="13" t="s">
        <v>3739</v>
      </c>
      <c r="D1879" s="13" t="n">
        <v>75</v>
      </c>
      <c r="E1879" s="13" t="s">
        <v>83</v>
      </c>
      <c r="F1879" s="13" t="s">
        <v>33</v>
      </c>
      <c r="G1879" s="13" t="s">
        <v>120</v>
      </c>
      <c r="H1879" s="13" t="s">
        <v>41</v>
      </c>
      <c r="I1879" s="13" t="n">
        <v>5</v>
      </c>
      <c r="J1879" s="13" t="n">
        <v>0</v>
      </c>
      <c r="K1879" s="13" t="s">
        <v>85</v>
      </c>
      <c r="L1879" s="13" t="n">
        <v>4</v>
      </c>
      <c r="M1879" s="13" t="n">
        <v>1556253.48</v>
      </c>
      <c r="N1879" s="13" t="n">
        <v>389063.37</v>
      </c>
      <c r="O1879" s="13" t="n">
        <v>1385.6475</v>
      </c>
      <c r="P1879" s="13" t="n">
        <v>0</v>
      </c>
      <c r="Q1879" s="13" t="n">
        <v>4</v>
      </c>
      <c r="R1879" s="13" t="s">
        <v>92</v>
      </c>
      <c r="S1879" s="13" t="s">
        <v>87</v>
      </c>
      <c r="T1879" s="13" t="n">
        <v>1</v>
      </c>
      <c r="U1879" s="13" t="n">
        <f aca="false">IF(B1879="Individual",1,0)</f>
        <v>1</v>
      </c>
      <c r="V1879" s="13" t="n">
        <f aca="false">IF(B1879="Company",1,0)</f>
        <v>0</v>
      </c>
      <c r="W1879" s="13" t="n">
        <f aca="false">IF(H1879="Home",1,0)</f>
        <v>1</v>
      </c>
      <c r="X1879" s="13" t="n">
        <f aca="false">IF(H1879="Investment",1,0)</f>
        <v>0</v>
      </c>
      <c r="Y1879" s="13" t="n">
        <f aca="false">IF(K1879="Website",1,0)</f>
        <v>1</v>
      </c>
      <c r="Z1879" s="13" t="n">
        <f aca="false">IF(K1879="Agency",1,0)</f>
        <v>0</v>
      </c>
      <c r="AA1879" s="13" t="n">
        <f aca="false">IF(K1879="Client",1,0)</f>
        <v>0</v>
      </c>
      <c r="AB1879" s="13" t="n">
        <f aca="false">(D1879-AVERAGE(D$2:D$2001))/STDEV(D$2:D$2001)</f>
        <v>1.2030118088493</v>
      </c>
      <c r="AC1879" s="13" t="n">
        <f aca="false">(I1879-AVERAGE(I$2:I$2001))/STDEV(I$2:I$2001)</f>
        <v>1.39434968409451</v>
      </c>
      <c r="AD1879" s="13" t="n">
        <f aca="false">(L1879-AVERAGE(L$2:L$2001))/STDEV(L$2:L$2001)</f>
        <v>0.413838214490712</v>
      </c>
      <c r="AE1879" s="13" t="n">
        <f aca="false">(M1879-AVERAGE(M$2:M$2001))/STDEV(M$2:M$2001)</f>
        <v>0.850638053222718</v>
      </c>
      <c r="AF1879" s="13" t="n">
        <f aca="false">(N1879-AVERAGE(N$2:N$2001))/STDEV(N$2:N$2001)</f>
        <v>0.602012584278867</v>
      </c>
      <c r="AG1879" s="13" t="n">
        <f aca="false">(O1879-AVERAGE(O$2:O$2001))/STDEV(O$2:O$2001)</f>
        <v>1.08296212452721</v>
      </c>
      <c r="AH1879" s="0" t="str">
        <f aca="false">IF(B1879="Company","C3 - Corporate Buyers",IF(AND(H1879="Investment",M1879&gt;'Segmentation Summary'!$C$1),"C1 - Global Investors",IF(AND(I1879&gt;=4,M1879&gt;'Segmentation Summary'!$C$1),"C4 - Luxury Investors",IF(AND(D1879&lt;'Segmentation Summary'!$C$2,J1879=1),"C2 - First-Time Buyers","C5 - Other Individual Buyers"))))</f>
        <v>C4 - Luxury Investors</v>
      </c>
    </row>
    <row r="1880" customFormat="false" ht="15" hidden="false" customHeight="true" outlineLevel="0" collapsed="false">
      <c r="A1880" s="13" t="s">
        <v>3740</v>
      </c>
      <c r="B1880" s="13" t="s">
        <v>34</v>
      </c>
      <c r="C1880" s="13" t="s">
        <v>3741</v>
      </c>
      <c r="D1880" s="13" t="n">
        <v>68</v>
      </c>
      <c r="E1880" s="13" t="s">
        <v>83</v>
      </c>
      <c r="F1880" s="13" t="s">
        <v>37</v>
      </c>
      <c r="G1880" s="13" t="s">
        <v>676</v>
      </c>
      <c r="H1880" s="13" t="s">
        <v>41</v>
      </c>
      <c r="I1880" s="13" t="n">
        <v>2</v>
      </c>
      <c r="J1880" s="13" t="n">
        <v>1</v>
      </c>
      <c r="K1880" s="13" t="s">
        <v>116</v>
      </c>
      <c r="L1880" s="13" t="n">
        <v>3</v>
      </c>
      <c r="M1880" s="13" t="n">
        <v>888968</v>
      </c>
      <c r="N1880" s="13" t="n">
        <v>296322.666666667</v>
      </c>
      <c r="O1880" s="13" t="n">
        <v>941.21</v>
      </c>
      <c r="P1880" s="13" t="n">
        <v>1</v>
      </c>
      <c r="Q1880" s="13" t="n">
        <v>2</v>
      </c>
      <c r="R1880" s="13" t="s">
        <v>86</v>
      </c>
      <c r="S1880" s="13" t="s">
        <v>112</v>
      </c>
      <c r="T1880" s="13" t="n">
        <v>1</v>
      </c>
      <c r="U1880" s="13" t="n">
        <f aca="false">IF(B1880="Individual",1,0)</f>
        <v>1</v>
      </c>
      <c r="V1880" s="13" t="n">
        <f aca="false">IF(B1880="Company",1,0)</f>
        <v>0</v>
      </c>
      <c r="W1880" s="13" t="n">
        <f aca="false">IF(H1880="Home",1,0)</f>
        <v>1</v>
      </c>
      <c r="X1880" s="13" t="n">
        <f aca="false">IF(H1880="Investment",1,0)</f>
        <v>0</v>
      </c>
      <c r="Y1880" s="13" t="n">
        <f aca="false">IF(K1880="Website",1,0)</f>
        <v>0</v>
      </c>
      <c r="Z1880" s="13" t="n">
        <f aca="false">IF(K1880="Agency",1,0)</f>
        <v>0</v>
      </c>
      <c r="AA1880" s="13" t="n">
        <f aca="false">IF(K1880="Client",1,0)</f>
        <v>1</v>
      </c>
      <c r="AB1880" s="13" t="n">
        <f aca="false">(D1880-AVERAGE(D$2:D$2001))/STDEV(D$2:D$2001)</f>
        <v>0.79937462043224</v>
      </c>
      <c r="AC1880" s="13" t="n">
        <f aca="false">(I1880-AVERAGE(I$2:I$2001))/STDEV(I$2:I$2001)</f>
        <v>-0.727948160798201</v>
      </c>
      <c r="AD1880" s="13" t="n">
        <f aca="false">(L1880-AVERAGE(L$2:L$2001))/STDEV(L$2:L$2001)</f>
        <v>-0.777063122173208</v>
      </c>
      <c r="AE1880" s="13" t="n">
        <f aca="false">(M1880-AVERAGE(M$2:M$2001))/STDEV(M$2:M$2001)</f>
        <v>-1.06778245271799</v>
      </c>
      <c r="AF1880" s="13" t="n">
        <f aca="false">(N1880-AVERAGE(N$2:N$2001))/STDEV(N$2:N$2001)</f>
        <v>-0.728140600483807</v>
      </c>
      <c r="AG1880" s="13" t="n">
        <f aca="false">(O1880-AVERAGE(O$2:O$2001))/STDEV(O$2:O$2001)</f>
        <v>-0.937919432676812</v>
      </c>
      <c r="AH1880" s="0" t="str">
        <f aca="false">IF(B1880="Company","C3 - Corporate Buyers",IF(AND(H1880="Investment",M1880&gt;'Segmentation Summary'!$C$1),"C1 - Global Investors",IF(AND(I1880&gt;=4,M1880&gt;'Segmentation Summary'!$C$1),"C4 - Luxury Investors",IF(AND(D1880&lt;'Segmentation Summary'!$C$2,J1880=1),"C2 - First-Time Buyers","C5 - Other Individual Buyers"))))</f>
        <v>C5 - Other Individual Buyers</v>
      </c>
    </row>
    <row r="1881" customFormat="false" ht="15" hidden="false" customHeight="true" outlineLevel="0" collapsed="false">
      <c r="A1881" s="13" t="s">
        <v>3742</v>
      </c>
      <c r="B1881" s="13" t="s">
        <v>34</v>
      </c>
      <c r="C1881" s="13" t="s">
        <v>3743</v>
      </c>
      <c r="D1881" s="13" t="n">
        <v>73</v>
      </c>
      <c r="E1881" s="13" t="s">
        <v>83</v>
      </c>
      <c r="F1881" s="13" t="s">
        <v>47</v>
      </c>
      <c r="G1881" s="13" t="s">
        <v>982</v>
      </c>
      <c r="H1881" s="13" t="s">
        <v>41</v>
      </c>
      <c r="I1881" s="13" t="n">
        <v>2</v>
      </c>
      <c r="J1881" s="13" t="n">
        <v>1</v>
      </c>
      <c r="K1881" s="13" t="s">
        <v>91</v>
      </c>
      <c r="L1881" s="13" t="n">
        <v>3</v>
      </c>
      <c r="M1881" s="13" t="n">
        <v>1662639.06</v>
      </c>
      <c r="N1881" s="13" t="n">
        <v>554213.02</v>
      </c>
      <c r="O1881" s="13" t="n">
        <v>1754.93666666667</v>
      </c>
      <c r="P1881" s="13" t="n">
        <v>0</v>
      </c>
      <c r="Q1881" s="13" t="n">
        <v>3</v>
      </c>
      <c r="R1881" s="13" t="s">
        <v>101</v>
      </c>
      <c r="S1881" s="13" t="s">
        <v>164</v>
      </c>
      <c r="T1881" s="13" t="n">
        <v>1</v>
      </c>
      <c r="U1881" s="13" t="n">
        <f aca="false">IF(B1881="Individual",1,0)</f>
        <v>1</v>
      </c>
      <c r="V1881" s="13" t="n">
        <f aca="false">IF(B1881="Company",1,0)</f>
        <v>0</v>
      </c>
      <c r="W1881" s="13" t="n">
        <f aca="false">IF(H1881="Home",1,0)</f>
        <v>1</v>
      </c>
      <c r="X1881" s="13" t="n">
        <f aca="false">IF(H1881="Investment",1,0)</f>
        <v>0</v>
      </c>
      <c r="Y1881" s="13" t="n">
        <f aca="false">IF(K1881="Website",1,0)</f>
        <v>0</v>
      </c>
      <c r="Z1881" s="13" t="n">
        <f aca="false">IF(K1881="Agency",1,0)</f>
        <v>1</v>
      </c>
      <c r="AA1881" s="13" t="n">
        <f aca="false">IF(K1881="Client",1,0)</f>
        <v>0</v>
      </c>
      <c r="AB1881" s="13" t="n">
        <f aca="false">(D1881-AVERAGE(D$2:D$2001))/STDEV(D$2:D$2001)</f>
        <v>1.087686897873</v>
      </c>
      <c r="AC1881" s="13" t="n">
        <f aca="false">(I1881-AVERAGE(I$2:I$2001))/STDEV(I$2:I$2001)</f>
        <v>-0.727948160798201</v>
      </c>
      <c r="AD1881" s="13" t="n">
        <f aca="false">(L1881-AVERAGE(L$2:L$2001))/STDEV(L$2:L$2001)</f>
        <v>-0.777063122173208</v>
      </c>
      <c r="AE1881" s="13" t="n">
        <f aca="false">(M1881-AVERAGE(M$2:M$2001))/STDEV(M$2:M$2001)</f>
        <v>1.15649257025551</v>
      </c>
      <c r="AF1881" s="13" t="n">
        <f aca="false">(N1881-AVERAGE(N$2:N$2001))/STDEV(N$2:N$2001)</f>
        <v>2.97070642651098</v>
      </c>
      <c r="AG1881" s="13" t="n">
        <f aca="false">(O1881-AVERAGE(O$2:O$2001))/STDEV(O$2:O$2001)</f>
        <v>2.76214011061506</v>
      </c>
      <c r="AH1881" s="0" t="str">
        <f aca="false">IF(B1881="Company","C3 - Corporate Buyers",IF(AND(H1881="Investment",M1881&gt;'Segmentation Summary'!$C$1),"C1 - Global Investors",IF(AND(I1881&gt;=4,M1881&gt;'Segmentation Summary'!$C$1),"C4 - Luxury Investors",IF(AND(D1881&lt;'Segmentation Summary'!$C$2,J1881=1),"C2 - First-Time Buyers","C5 - Other Individual Buyers"))))</f>
        <v>C5 - Other Individual Buyers</v>
      </c>
    </row>
    <row r="1882" customFormat="false" ht="15" hidden="false" customHeight="true" outlineLevel="0" collapsed="false">
      <c r="A1882" s="13" t="s">
        <v>3744</v>
      </c>
      <c r="B1882" s="13" t="s">
        <v>34</v>
      </c>
      <c r="C1882" s="13" t="s">
        <v>3745</v>
      </c>
      <c r="D1882" s="13" t="n">
        <v>29</v>
      </c>
      <c r="E1882" s="13" t="s">
        <v>83</v>
      </c>
      <c r="F1882" s="13" t="s">
        <v>33</v>
      </c>
      <c r="G1882" s="13" t="s">
        <v>95</v>
      </c>
      <c r="H1882" s="13" t="s">
        <v>41</v>
      </c>
      <c r="I1882" s="13" t="n">
        <v>3</v>
      </c>
      <c r="J1882" s="13" t="n">
        <v>0</v>
      </c>
      <c r="K1882" s="13" t="s">
        <v>91</v>
      </c>
      <c r="L1882" s="13" t="n">
        <v>4</v>
      </c>
      <c r="M1882" s="13" t="n">
        <v>1948563.24</v>
      </c>
      <c r="N1882" s="13" t="n">
        <v>487140.81</v>
      </c>
      <c r="O1882" s="13" t="n">
        <v>1676.3825</v>
      </c>
      <c r="P1882" s="13" t="n">
        <v>1</v>
      </c>
      <c r="Q1882" s="13" t="n">
        <v>3</v>
      </c>
      <c r="R1882" s="13" t="s">
        <v>101</v>
      </c>
      <c r="S1882" s="13" t="s">
        <v>112</v>
      </c>
      <c r="T1882" s="13" t="n">
        <v>1</v>
      </c>
      <c r="U1882" s="13" t="n">
        <f aca="false">IF(B1882="Individual",1,0)</f>
        <v>1</v>
      </c>
      <c r="V1882" s="13" t="n">
        <f aca="false">IF(B1882="Company",1,0)</f>
        <v>0</v>
      </c>
      <c r="W1882" s="13" t="n">
        <f aca="false">IF(H1882="Home",1,0)</f>
        <v>1</v>
      </c>
      <c r="X1882" s="13" t="n">
        <f aca="false">IF(H1882="Investment",1,0)</f>
        <v>0</v>
      </c>
      <c r="Y1882" s="13" t="n">
        <f aca="false">IF(K1882="Website",1,0)</f>
        <v>0</v>
      </c>
      <c r="Z1882" s="13" t="n">
        <f aca="false">IF(K1882="Agency",1,0)</f>
        <v>1</v>
      </c>
      <c r="AA1882" s="13" t="n">
        <f aca="false">IF(K1882="Client",1,0)</f>
        <v>0</v>
      </c>
      <c r="AB1882" s="13" t="n">
        <f aca="false">(D1882-AVERAGE(D$2:D$2001))/STDEV(D$2:D$2001)</f>
        <v>-1.44946114360566</v>
      </c>
      <c r="AC1882" s="13" t="n">
        <f aca="false">(I1882-AVERAGE(I$2:I$2001))/STDEV(I$2:I$2001)</f>
        <v>-0.0205155458339628</v>
      </c>
      <c r="AD1882" s="13" t="n">
        <f aca="false">(L1882-AVERAGE(L$2:L$2001))/STDEV(L$2:L$2001)</f>
        <v>0.413838214490712</v>
      </c>
      <c r="AE1882" s="13" t="n">
        <f aca="false">(M1882-AVERAGE(M$2:M$2001))/STDEV(M$2:M$2001)</f>
        <v>1.978513768823</v>
      </c>
      <c r="AF1882" s="13" t="n">
        <f aca="false">(N1882-AVERAGE(N$2:N$2001))/STDEV(N$2:N$2001)</f>
        <v>2.00870904527584</v>
      </c>
      <c r="AG1882" s="13" t="n">
        <f aca="false">(O1882-AVERAGE(O$2:O$2001))/STDEV(O$2:O$2001)</f>
        <v>2.40495002953908</v>
      </c>
      <c r="AH1882" s="0" t="str">
        <f aca="false">IF(B1882="Company","C3 - Corporate Buyers",IF(AND(H1882="Investment",M1882&gt;'Segmentation Summary'!$C$1),"C1 - Global Investors",IF(AND(I1882&gt;=4,M1882&gt;'Segmentation Summary'!$C$1),"C4 - Luxury Investors",IF(AND(D1882&lt;'Segmentation Summary'!$C$2,J1882=1),"C2 - First-Time Buyers","C5 - Other Individual Buyers"))))</f>
        <v>C5 - Other Individual Buyers</v>
      </c>
    </row>
    <row r="1883" customFormat="false" ht="15" hidden="false" customHeight="true" outlineLevel="0" collapsed="false">
      <c r="A1883" s="13" t="s">
        <v>3746</v>
      </c>
      <c r="B1883" s="13" t="s">
        <v>34</v>
      </c>
      <c r="C1883" s="13" t="s">
        <v>3747</v>
      </c>
      <c r="D1883" s="13" t="n">
        <v>65</v>
      </c>
      <c r="E1883" s="13" t="s">
        <v>83</v>
      </c>
      <c r="F1883" s="13" t="s">
        <v>38</v>
      </c>
      <c r="G1883" s="13" t="s">
        <v>665</v>
      </c>
      <c r="H1883" s="13" t="s">
        <v>41</v>
      </c>
      <c r="I1883" s="13" t="n">
        <v>1</v>
      </c>
      <c r="J1883" s="13" t="n">
        <v>0</v>
      </c>
      <c r="K1883" s="13" t="s">
        <v>116</v>
      </c>
      <c r="L1883" s="13" t="n">
        <v>3</v>
      </c>
      <c r="M1883" s="13" t="n">
        <v>1047406.79</v>
      </c>
      <c r="N1883" s="13" t="n">
        <v>349135.596666667</v>
      </c>
      <c r="O1883" s="13" t="n">
        <v>1082.89666666667</v>
      </c>
      <c r="P1883" s="13" t="n">
        <v>0</v>
      </c>
      <c r="Q1883" s="13" t="n">
        <v>3</v>
      </c>
      <c r="R1883" s="13" t="s">
        <v>121</v>
      </c>
      <c r="S1883" s="13" t="s">
        <v>215</v>
      </c>
      <c r="T1883" s="13" t="n">
        <v>1</v>
      </c>
      <c r="U1883" s="13" t="n">
        <f aca="false">IF(B1883="Individual",1,0)</f>
        <v>1</v>
      </c>
      <c r="V1883" s="13" t="n">
        <f aca="false">IF(B1883="Company",1,0)</f>
        <v>0</v>
      </c>
      <c r="W1883" s="13" t="n">
        <f aca="false">IF(H1883="Home",1,0)</f>
        <v>1</v>
      </c>
      <c r="X1883" s="13" t="n">
        <f aca="false">IF(H1883="Investment",1,0)</f>
        <v>0</v>
      </c>
      <c r="Y1883" s="13" t="n">
        <f aca="false">IF(K1883="Website",1,0)</f>
        <v>0</v>
      </c>
      <c r="Z1883" s="13" t="n">
        <f aca="false">IF(K1883="Agency",1,0)</f>
        <v>0</v>
      </c>
      <c r="AA1883" s="13" t="n">
        <f aca="false">IF(K1883="Client",1,0)</f>
        <v>1</v>
      </c>
      <c r="AB1883" s="13" t="n">
        <f aca="false">(D1883-AVERAGE(D$2:D$2001))/STDEV(D$2:D$2001)</f>
        <v>0.626387253967787</v>
      </c>
      <c r="AC1883" s="13" t="n">
        <f aca="false">(I1883-AVERAGE(I$2:I$2001))/STDEV(I$2:I$2001)</f>
        <v>-1.43538077576244</v>
      </c>
      <c r="AD1883" s="13" t="n">
        <f aca="false">(L1883-AVERAGE(L$2:L$2001))/STDEV(L$2:L$2001)</f>
        <v>-0.777063122173208</v>
      </c>
      <c r="AE1883" s="13" t="n">
        <f aca="false">(M1883-AVERAGE(M$2:M$2001))/STDEV(M$2:M$2001)</f>
        <v>-0.612276926548837</v>
      </c>
      <c r="AF1883" s="13" t="n">
        <f aca="false">(N1883-AVERAGE(N$2:N$2001))/STDEV(N$2:N$2001)</f>
        <v>0.0293400365095844</v>
      </c>
      <c r="AG1883" s="13" t="n">
        <f aca="false">(O1883-AVERAGE(O$2:O$2001))/STDEV(O$2:O$2001)</f>
        <v>-0.293662430132275</v>
      </c>
      <c r="AH1883" s="0" t="str">
        <f aca="false">IF(B1883="Company","C3 - Corporate Buyers",IF(AND(H1883="Investment",M1883&gt;'Segmentation Summary'!$C$1),"C1 - Global Investors",IF(AND(I1883&gt;=4,M1883&gt;'Segmentation Summary'!$C$1),"C4 - Luxury Investors",IF(AND(D1883&lt;'Segmentation Summary'!$C$2,J1883=1),"C2 - First-Time Buyers","C5 - Other Individual Buyers"))))</f>
        <v>C5 - Other Individual Buyers</v>
      </c>
    </row>
    <row r="1884" customFormat="false" ht="15" hidden="false" customHeight="true" outlineLevel="0" collapsed="false">
      <c r="A1884" s="13" t="s">
        <v>3748</v>
      </c>
      <c r="B1884" s="13" t="s">
        <v>34</v>
      </c>
      <c r="C1884" s="13" t="s">
        <v>3749</v>
      </c>
      <c r="D1884" s="13" t="n">
        <v>42</v>
      </c>
      <c r="E1884" s="13" t="s">
        <v>83</v>
      </c>
      <c r="F1884" s="13" t="s">
        <v>33</v>
      </c>
      <c r="G1884" s="13" t="s">
        <v>207</v>
      </c>
      <c r="H1884" s="13" t="s">
        <v>41</v>
      </c>
      <c r="I1884" s="13" t="n">
        <v>2</v>
      </c>
      <c r="J1884" s="13" t="n">
        <v>1</v>
      </c>
      <c r="K1884" s="13" t="s">
        <v>85</v>
      </c>
      <c r="L1884" s="13" t="n">
        <v>3</v>
      </c>
      <c r="M1884" s="13" t="n">
        <v>1383901.27</v>
      </c>
      <c r="N1884" s="13" t="n">
        <v>461300.423333333</v>
      </c>
      <c r="O1884" s="13" t="n">
        <v>1448.82</v>
      </c>
      <c r="P1884" s="13" t="n">
        <v>0</v>
      </c>
      <c r="Q1884" s="13" t="n">
        <v>3</v>
      </c>
      <c r="R1884" s="13" t="s">
        <v>141</v>
      </c>
      <c r="S1884" s="13" t="s">
        <v>133</v>
      </c>
      <c r="T1884" s="13" t="n">
        <v>1</v>
      </c>
      <c r="U1884" s="13" t="n">
        <f aca="false">IF(B1884="Individual",1,0)</f>
        <v>1</v>
      </c>
      <c r="V1884" s="13" t="n">
        <f aca="false">IF(B1884="Company",1,0)</f>
        <v>0</v>
      </c>
      <c r="W1884" s="13" t="n">
        <f aca="false">IF(H1884="Home",1,0)</f>
        <v>1</v>
      </c>
      <c r="X1884" s="13" t="n">
        <f aca="false">IF(H1884="Investment",1,0)</f>
        <v>0</v>
      </c>
      <c r="Y1884" s="13" t="n">
        <f aca="false">IF(K1884="Website",1,0)</f>
        <v>1</v>
      </c>
      <c r="Z1884" s="13" t="n">
        <f aca="false">IF(K1884="Agency",1,0)</f>
        <v>0</v>
      </c>
      <c r="AA1884" s="13" t="n">
        <f aca="false">IF(K1884="Client",1,0)</f>
        <v>0</v>
      </c>
      <c r="AB1884" s="13" t="n">
        <f aca="false">(D1884-AVERAGE(D$2:D$2001))/STDEV(D$2:D$2001)</f>
        <v>-0.699849222259691</v>
      </c>
      <c r="AC1884" s="13" t="n">
        <f aca="false">(I1884-AVERAGE(I$2:I$2001))/STDEV(I$2:I$2001)</f>
        <v>-0.727948160798201</v>
      </c>
      <c r="AD1884" s="13" t="n">
        <f aca="false">(L1884-AVERAGE(L$2:L$2001))/STDEV(L$2:L$2001)</f>
        <v>-0.777063122173208</v>
      </c>
      <c r="AE1884" s="13" t="n">
        <f aca="false">(M1884-AVERAGE(M$2:M$2001))/STDEV(M$2:M$2001)</f>
        <v>0.355131971016046</v>
      </c>
      <c r="AF1884" s="13" t="n">
        <f aca="false">(N1884-AVERAGE(N$2:N$2001))/STDEV(N$2:N$2001)</f>
        <v>1.6380878251992</v>
      </c>
      <c r="AG1884" s="13" t="n">
        <f aca="false">(O1884-AVERAGE(O$2:O$2001))/STDEV(O$2:O$2001)</f>
        <v>1.37021092817783</v>
      </c>
      <c r="AH1884" s="0" t="str">
        <f aca="false">IF(B1884="Company","C3 - Corporate Buyers",IF(AND(H1884="Investment",M1884&gt;'Segmentation Summary'!$C$1),"C1 - Global Investors",IF(AND(I1884&gt;=4,M1884&gt;'Segmentation Summary'!$C$1),"C4 - Luxury Investors",IF(AND(D1884&lt;'Segmentation Summary'!$C$2,J1884=1),"C2 - First-Time Buyers","C5 - Other Individual Buyers"))))</f>
        <v>C2 - First-Time Buyers</v>
      </c>
    </row>
    <row r="1885" customFormat="false" ht="15" hidden="false" customHeight="true" outlineLevel="0" collapsed="false">
      <c r="A1885" s="13" t="s">
        <v>3750</v>
      </c>
      <c r="B1885" s="13" t="s">
        <v>34</v>
      </c>
      <c r="C1885" s="13" t="s">
        <v>3751</v>
      </c>
      <c r="D1885" s="13" t="n">
        <v>34</v>
      </c>
      <c r="E1885" s="13" t="s">
        <v>83</v>
      </c>
      <c r="F1885" s="13" t="s">
        <v>33</v>
      </c>
      <c r="G1885" s="13" t="s">
        <v>123</v>
      </c>
      <c r="H1885" s="13" t="s">
        <v>43</v>
      </c>
      <c r="I1885" s="13" t="n">
        <v>5</v>
      </c>
      <c r="J1885" s="13" t="n">
        <v>1</v>
      </c>
      <c r="K1885" s="13" t="s">
        <v>91</v>
      </c>
      <c r="L1885" s="13" t="n">
        <v>3</v>
      </c>
      <c r="M1885" s="13" t="n">
        <v>688864.2</v>
      </c>
      <c r="N1885" s="13" t="n">
        <v>229621.4</v>
      </c>
      <c r="O1885" s="13" t="n">
        <v>845.863333333333</v>
      </c>
      <c r="P1885" s="13" t="n">
        <v>2</v>
      </c>
      <c r="Q1885" s="13" t="n">
        <v>1</v>
      </c>
      <c r="R1885" s="13" t="s">
        <v>117</v>
      </c>
      <c r="S1885" s="13" t="s">
        <v>114</v>
      </c>
      <c r="T1885" s="13" t="n">
        <v>1</v>
      </c>
      <c r="U1885" s="13" t="n">
        <f aca="false">IF(B1885="Individual",1,0)</f>
        <v>1</v>
      </c>
      <c r="V1885" s="13" t="n">
        <f aca="false">IF(B1885="Company",1,0)</f>
        <v>0</v>
      </c>
      <c r="W1885" s="13" t="n">
        <f aca="false">IF(H1885="Home",1,0)</f>
        <v>0</v>
      </c>
      <c r="X1885" s="13" t="n">
        <f aca="false">IF(H1885="Investment",1,0)</f>
        <v>1</v>
      </c>
      <c r="Y1885" s="13" t="n">
        <f aca="false">IF(K1885="Website",1,0)</f>
        <v>0</v>
      </c>
      <c r="Z1885" s="13" t="n">
        <f aca="false">IF(K1885="Agency",1,0)</f>
        <v>1</v>
      </c>
      <c r="AA1885" s="13" t="n">
        <f aca="false">IF(K1885="Client",1,0)</f>
        <v>0</v>
      </c>
      <c r="AB1885" s="13" t="n">
        <f aca="false">(D1885-AVERAGE(D$2:D$2001))/STDEV(D$2:D$2001)</f>
        <v>-1.1611488661649</v>
      </c>
      <c r="AC1885" s="13" t="n">
        <f aca="false">(I1885-AVERAGE(I$2:I$2001))/STDEV(I$2:I$2001)</f>
        <v>1.39434968409451</v>
      </c>
      <c r="AD1885" s="13" t="n">
        <f aca="false">(L1885-AVERAGE(L$2:L$2001))/STDEV(L$2:L$2001)</f>
        <v>-0.777063122173208</v>
      </c>
      <c r="AE1885" s="13" t="n">
        <f aca="false">(M1885-AVERAGE(M$2:M$2001))/STDEV(M$2:M$2001)</f>
        <v>-1.64307330609705</v>
      </c>
      <c r="AF1885" s="13" t="n">
        <f aca="false">(N1885-AVERAGE(N$2:N$2001))/STDEV(N$2:N$2001)</f>
        <v>-1.68481764837592</v>
      </c>
      <c r="AG1885" s="13" t="n">
        <f aca="false">(O1885-AVERAGE(O$2:O$2001))/STDEV(O$2:O$2001)</f>
        <v>-1.37146592730777</v>
      </c>
      <c r="AH1885" s="0" t="str">
        <f aca="false">IF(B1885="Company","C3 - Corporate Buyers",IF(AND(H1885="Investment",M1885&gt;'Segmentation Summary'!$C$1),"C1 - Global Investors",IF(AND(I1885&gt;=4,M1885&gt;'Segmentation Summary'!$C$1),"C4 - Luxury Investors",IF(AND(D1885&lt;'Segmentation Summary'!$C$2,J1885=1),"C2 - First-Time Buyers","C5 - Other Individual Buyers"))))</f>
        <v>C2 - First-Time Buyers</v>
      </c>
    </row>
    <row r="1886" customFormat="false" ht="15" hidden="false" customHeight="true" outlineLevel="0" collapsed="false">
      <c r="A1886" s="13" t="s">
        <v>3752</v>
      </c>
      <c r="B1886" s="13" t="s">
        <v>34</v>
      </c>
      <c r="C1886" s="13" t="s">
        <v>3753</v>
      </c>
      <c r="D1886" s="13" t="n">
        <v>84</v>
      </c>
      <c r="E1886" s="13" t="s">
        <v>83</v>
      </c>
      <c r="F1886" s="13" t="s">
        <v>33</v>
      </c>
      <c r="G1886" s="13" t="s">
        <v>120</v>
      </c>
      <c r="H1886" s="13" t="s">
        <v>41</v>
      </c>
      <c r="I1886" s="13" t="n">
        <v>1</v>
      </c>
      <c r="J1886" s="13" t="n">
        <v>0</v>
      </c>
      <c r="K1886" s="13" t="s">
        <v>85</v>
      </c>
      <c r="L1886" s="13" t="n">
        <v>3</v>
      </c>
      <c r="M1886" s="13" t="n">
        <v>1094818.68</v>
      </c>
      <c r="N1886" s="13" t="n">
        <v>364939.56</v>
      </c>
      <c r="O1886" s="13" t="n">
        <v>1086.24</v>
      </c>
      <c r="P1886" s="13" t="n">
        <v>0</v>
      </c>
      <c r="Q1886" s="13" t="n">
        <v>3</v>
      </c>
      <c r="R1886" s="13" t="s">
        <v>92</v>
      </c>
      <c r="S1886" s="13" t="s">
        <v>164</v>
      </c>
      <c r="T1886" s="13" t="n">
        <v>1</v>
      </c>
      <c r="U1886" s="13" t="n">
        <f aca="false">IF(B1886="Individual",1,0)</f>
        <v>1</v>
      </c>
      <c r="V1886" s="13" t="n">
        <f aca="false">IF(B1886="Company",1,0)</f>
        <v>0</v>
      </c>
      <c r="W1886" s="13" t="n">
        <f aca="false">IF(H1886="Home",1,0)</f>
        <v>1</v>
      </c>
      <c r="X1886" s="13" t="n">
        <f aca="false">IF(H1886="Investment",1,0)</f>
        <v>0</v>
      </c>
      <c r="Y1886" s="13" t="n">
        <f aca="false">IF(K1886="Website",1,0)</f>
        <v>1</v>
      </c>
      <c r="Z1886" s="13" t="n">
        <f aca="false">IF(K1886="Agency",1,0)</f>
        <v>0</v>
      </c>
      <c r="AA1886" s="13" t="n">
        <f aca="false">IF(K1886="Client",1,0)</f>
        <v>0</v>
      </c>
      <c r="AB1886" s="13" t="n">
        <f aca="false">(D1886-AVERAGE(D$2:D$2001))/STDEV(D$2:D$2001)</f>
        <v>1.72197390824266</v>
      </c>
      <c r="AC1886" s="13" t="n">
        <f aca="false">(I1886-AVERAGE(I$2:I$2001))/STDEV(I$2:I$2001)</f>
        <v>-1.43538077576244</v>
      </c>
      <c r="AD1886" s="13" t="n">
        <f aca="false">(L1886-AVERAGE(L$2:L$2001))/STDEV(L$2:L$2001)</f>
        <v>-0.777063122173208</v>
      </c>
      <c r="AE1886" s="13" t="n">
        <f aca="false">(M1886-AVERAGE(M$2:M$2001))/STDEV(M$2:M$2001)</f>
        <v>-0.47596953679205</v>
      </c>
      <c r="AF1886" s="13" t="n">
        <f aca="false">(N1886-AVERAGE(N$2:N$2001))/STDEV(N$2:N$2001)</f>
        <v>0.256011728702259</v>
      </c>
      <c r="AG1886" s="13" t="n">
        <f aca="false">(O1886-AVERAGE(O$2:O$2001))/STDEV(O$2:O$2001)</f>
        <v>-0.278460111081988</v>
      </c>
      <c r="AH1886" s="0" t="str">
        <f aca="false">IF(B1886="Company","C3 - Corporate Buyers",IF(AND(H1886="Investment",M1886&gt;'Segmentation Summary'!$C$1),"C1 - Global Investors",IF(AND(I1886&gt;=4,M1886&gt;'Segmentation Summary'!$C$1),"C4 - Luxury Investors",IF(AND(D1886&lt;'Segmentation Summary'!$C$2,J1886=1),"C2 - First-Time Buyers","C5 - Other Individual Buyers"))))</f>
        <v>C5 - Other Individual Buyers</v>
      </c>
    </row>
    <row r="1887" customFormat="false" ht="15" hidden="false" customHeight="true" outlineLevel="0" collapsed="false">
      <c r="A1887" s="13" t="s">
        <v>3754</v>
      </c>
      <c r="B1887" s="13" t="s">
        <v>34</v>
      </c>
      <c r="C1887" s="13" t="s">
        <v>3755</v>
      </c>
      <c r="D1887" s="13" t="n">
        <v>32</v>
      </c>
      <c r="E1887" s="13" t="s">
        <v>83</v>
      </c>
      <c r="F1887" s="13" t="s">
        <v>33</v>
      </c>
      <c r="G1887" s="13" t="s">
        <v>106</v>
      </c>
      <c r="H1887" s="13" t="s">
        <v>41</v>
      </c>
      <c r="I1887" s="13" t="n">
        <v>4</v>
      </c>
      <c r="J1887" s="13" t="n">
        <v>1</v>
      </c>
      <c r="K1887" s="13" t="s">
        <v>91</v>
      </c>
      <c r="L1887" s="13" t="n">
        <v>3</v>
      </c>
      <c r="M1887" s="13" t="n">
        <v>864605.61</v>
      </c>
      <c r="N1887" s="13" t="n">
        <v>288201.87</v>
      </c>
      <c r="O1887" s="13" t="n">
        <v>1037.11</v>
      </c>
      <c r="P1887" s="13" t="n">
        <v>0</v>
      </c>
      <c r="Q1887" s="13" t="n">
        <v>3</v>
      </c>
      <c r="R1887" s="13" t="s">
        <v>86</v>
      </c>
      <c r="S1887" s="13" t="s">
        <v>87</v>
      </c>
      <c r="T1887" s="13" t="n">
        <v>1</v>
      </c>
      <c r="U1887" s="13" t="n">
        <f aca="false">IF(B1887="Individual",1,0)</f>
        <v>1</v>
      </c>
      <c r="V1887" s="13" t="n">
        <f aca="false">IF(B1887="Company",1,0)</f>
        <v>0</v>
      </c>
      <c r="W1887" s="13" t="n">
        <f aca="false">IF(H1887="Home",1,0)</f>
        <v>1</v>
      </c>
      <c r="X1887" s="13" t="n">
        <f aca="false">IF(H1887="Investment",1,0)</f>
        <v>0</v>
      </c>
      <c r="Y1887" s="13" t="n">
        <f aca="false">IF(K1887="Website",1,0)</f>
        <v>0</v>
      </c>
      <c r="Z1887" s="13" t="n">
        <f aca="false">IF(K1887="Agency",1,0)</f>
        <v>1</v>
      </c>
      <c r="AA1887" s="13" t="n">
        <f aca="false">IF(K1887="Client",1,0)</f>
        <v>0</v>
      </c>
      <c r="AB1887" s="13" t="n">
        <f aca="false">(D1887-AVERAGE(D$2:D$2001))/STDEV(D$2:D$2001)</f>
        <v>-1.2764737771412</v>
      </c>
      <c r="AC1887" s="13" t="n">
        <f aca="false">(I1887-AVERAGE(I$2:I$2001))/STDEV(I$2:I$2001)</f>
        <v>0.686917069130275</v>
      </c>
      <c r="AD1887" s="13" t="n">
        <f aca="false">(L1887-AVERAGE(L$2:L$2001))/STDEV(L$2:L$2001)</f>
        <v>-0.777063122173208</v>
      </c>
      <c r="AE1887" s="13" t="n">
        <f aca="false">(M1887-AVERAGE(M$2:M$2001))/STDEV(M$2:M$2001)</f>
        <v>-1.13782340213251</v>
      </c>
      <c r="AF1887" s="13" t="n">
        <f aca="false">(N1887-AVERAGE(N$2:N$2001))/STDEV(N$2:N$2001)</f>
        <v>-0.844614847073813</v>
      </c>
      <c r="AG1887" s="13" t="n">
        <f aca="false">(O1887-AVERAGE(O$2:O$2001))/STDEV(O$2:O$2001)</f>
        <v>-0.50185690119406</v>
      </c>
      <c r="AH1887" s="0" t="str">
        <f aca="false">IF(B1887="Company","C3 - Corporate Buyers",IF(AND(H1887="Investment",M1887&gt;'Segmentation Summary'!$C$1),"C1 - Global Investors",IF(AND(I1887&gt;=4,M1887&gt;'Segmentation Summary'!$C$1),"C4 - Luxury Investors",IF(AND(D1887&lt;'Segmentation Summary'!$C$2,J1887=1),"C2 - First-Time Buyers","C5 - Other Individual Buyers"))))</f>
        <v>C2 - First-Time Buyers</v>
      </c>
    </row>
    <row r="1888" customFormat="false" ht="15" hidden="false" customHeight="true" outlineLevel="0" collapsed="false">
      <c r="A1888" s="13" t="s">
        <v>3756</v>
      </c>
      <c r="B1888" s="13" t="s">
        <v>34</v>
      </c>
      <c r="C1888" s="13" t="s">
        <v>3757</v>
      </c>
      <c r="D1888" s="13" t="n">
        <v>47</v>
      </c>
      <c r="E1888" s="13" t="s">
        <v>83</v>
      </c>
      <c r="F1888" s="13" t="s">
        <v>33</v>
      </c>
      <c r="G1888" s="13" t="s">
        <v>207</v>
      </c>
      <c r="H1888" s="13" t="s">
        <v>43</v>
      </c>
      <c r="I1888" s="13" t="n">
        <v>1</v>
      </c>
      <c r="J1888" s="13" t="n">
        <v>0</v>
      </c>
      <c r="K1888" s="13" t="s">
        <v>85</v>
      </c>
      <c r="L1888" s="13" t="n">
        <v>4</v>
      </c>
      <c r="M1888" s="13" t="n">
        <v>1442798.93</v>
      </c>
      <c r="N1888" s="13" t="n">
        <v>360699.7325</v>
      </c>
      <c r="O1888" s="13" t="n">
        <v>1153.5575</v>
      </c>
      <c r="P1888" s="13" t="n">
        <v>0</v>
      </c>
      <c r="Q1888" s="13" t="n">
        <v>4</v>
      </c>
      <c r="R1888" s="13" t="s">
        <v>86</v>
      </c>
      <c r="S1888" s="13" t="s">
        <v>114</v>
      </c>
      <c r="T1888" s="13" t="n">
        <v>1</v>
      </c>
      <c r="U1888" s="13" t="n">
        <f aca="false">IF(B1888="Individual",1,0)</f>
        <v>1</v>
      </c>
      <c r="V1888" s="13" t="n">
        <f aca="false">IF(B1888="Company",1,0)</f>
        <v>0</v>
      </c>
      <c r="W1888" s="13" t="n">
        <f aca="false">IF(H1888="Home",1,0)</f>
        <v>0</v>
      </c>
      <c r="X1888" s="13" t="n">
        <f aca="false">IF(H1888="Investment",1,0)</f>
        <v>1</v>
      </c>
      <c r="Y1888" s="13" t="n">
        <f aca="false">IF(K1888="Website",1,0)</f>
        <v>1</v>
      </c>
      <c r="Z1888" s="13" t="n">
        <f aca="false">IF(K1888="Agency",1,0)</f>
        <v>0</v>
      </c>
      <c r="AA1888" s="13" t="n">
        <f aca="false">IF(K1888="Client",1,0)</f>
        <v>0</v>
      </c>
      <c r="AB1888" s="13" t="n">
        <f aca="false">(D1888-AVERAGE(D$2:D$2001))/STDEV(D$2:D$2001)</f>
        <v>-0.411536944818935</v>
      </c>
      <c r="AC1888" s="13" t="n">
        <f aca="false">(I1888-AVERAGE(I$2:I$2001))/STDEV(I$2:I$2001)</f>
        <v>-1.43538077576244</v>
      </c>
      <c r="AD1888" s="13" t="n">
        <f aca="false">(L1888-AVERAGE(L$2:L$2001))/STDEV(L$2:L$2001)</f>
        <v>0.413838214490712</v>
      </c>
      <c r="AE1888" s="13" t="n">
        <f aca="false">(M1888-AVERAGE(M$2:M$2001))/STDEV(M$2:M$2001)</f>
        <v>0.524460514918909</v>
      </c>
      <c r="AF1888" s="13" t="n">
        <f aca="false">(N1888-AVERAGE(N$2:N$2001))/STDEV(N$2:N$2001)</f>
        <v>0.195201104572105</v>
      </c>
      <c r="AG1888" s="13" t="n">
        <f aca="false">(O1888-AVERAGE(O$2:O$2001))/STDEV(O$2:O$2001)</f>
        <v>0.0276362336843334</v>
      </c>
      <c r="AH1888" s="0" t="str">
        <f aca="false">IF(B1888="Company","C3 - Corporate Buyers",IF(AND(H1888="Investment",M1888&gt;'Segmentation Summary'!$C$1),"C1 - Global Investors",IF(AND(I1888&gt;=4,M1888&gt;'Segmentation Summary'!$C$1),"C4 - Luxury Investors",IF(AND(D1888&lt;'Segmentation Summary'!$C$2,J1888=1),"C2 - First-Time Buyers","C5 - Other Individual Buyers"))))</f>
        <v>C1 - Global Investors</v>
      </c>
    </row>
    <row r="1889" customFormat="false" ht="15" hidden="false" customHeight="true" outlineLevel="0" collapsed="false">
      <c r="A1889" s="13" t="s">
        <v>3758</v>
      </c>
      <c r="B1889" s="13" t="s">
        <v>34</v>
      </c>
      <c r="C1889" s="13" t="s">
        <v>3759</v>
      </c>
      <c r="D1889" s="13" t="n">
        <v>40</v>
      </c>
      <c r="E1889" s="13" t="s">
        <v>83</v>
      </c>
      <c r="F1889" s="13" t="s">
        <v>33</v>
      </c>
      <c r="G1889" s="13" t="s">
        <v>157</v>
      </c>
      <c r="H1889" s="13" t="s">
        <v>43</v>
      </c>
      <c r="I1889" s="13" t="n">
        <v>1</v>
      </c>
      <c r="J1889" s="13" t="n">
        <v>0</v>
      </c>
      <c r="K1889" s="13" t="s">
        <v>116</v>
      </c>
      <c r="L1889" s="13" t="n">
        <v>3</v>
      </c>
      <c r="M1889" s="13" t="n">
        <v>917709.61</v>
      </c>
      <c r="N1889" s="13" t="n">
        <v>305903.203333333</v>
      </c>
      <c r="O1889" s="13" t="n">
        <v>1042.71</v>
      </c>
      <c r="P1889" s="13" t="n">
        <v>0</v>
      </c>
      <c r="Q1889" s="13" t="n">
        <v>3</v>
      </c>
      <c r="R1889" s="13" t="s">
        <v>121</v>
      </c>
      <c r="S1889" s="13" t="s">
        <v>215</v>
      </c>
      <c r="T1889" s="13" t="n">
        <v>1</v>
      </c>
      <c r="U1889" s="13" t="n">
        <f aca="false">IF(B1889="Individual",1,0)</f>
        <v>1</v>
      </c>
      <c r="V1889" s="13" t="n">
        <f aca="false">IF(B1889="Company",1,0)</f>
        <v>0</v>
      </c>
      <c r="W1889" s="13" t="n">
        <f aca="false">IF(H1889="Home",1,0)</f>
        <v>0</v>
      </c>
      <c r="X1889" s="13" t="n">
        <f aca="false">IF(H1889="Investment",1,0)</f>
        <v>1</v>
      </c>
      <c r="Y1889" s="13" t="n">
        <f aca="false">IF(K1889="Website",1,0)</f>
        <v>0</v>
      </c>
      <c r="Z1889" s="13" t="n">
        <f aca="false">IF(K1889="Agency",1,0)</f>
        <v>0</v>
      </c>
      <c r="AA1889" s="13" t="n">
        <f aca="false">IF(K1889="Client",1,0)</f>
        <v>1</v>
      </c>
      <c r="AB1889" s="13" t="n">
        <f aca="false">(D1889-AVERAGE(D$2:D$2001))/STDEV(D$2:D$2001)</f>
        <v>-0.815174133235994</v>
      </c>
      <c r="AC1889" s="13" t="n">
        <f aca="false">(I1889-AVERAGE(I$2:I$2001))/STDEV(I$2:I$2001)</f>
        <v>-1.43538077576244</v>
      </c>
      <c r="AD1889" s="13" t="n">
        <f aca="false">(L1889-AVERAGE(L$2:L$2001))/STDEV(L$2:L$2001)</f>
        <v>-0.777063122173208</v>
      </c>
      <c r="AE1889" s="13" t="n">
        <f aca="false">(M1889-AVERAGE(M$2:M$2001))/STDEV(M$2:M$2001)</f>
        <v>-0.985151411506434</v>
      </c>
      <c r="AF1889" s="13" t="n">
        <f aca="false">(N1889-AVERAGE(N$2:N$2001))/STDEV(N$2:N$2001)</f>
        <v>-0.590729723696537</v>
      </c>
      <c r="AG1889" s="13" t="n">
        <f aca="false">(O1889-AVERAGE(O$2:O$2001))/STDEV(O$2:O$2001)</f>
        <v>-0.476393395706015</v>
      </c>
      <c r="AH1889" s="0" t="str">
        <f aca="false">IF(B1889="Company","C3 - Corporate Buyers",IF(AND(H1889="Investment",M1889&gt;'Segmentation Summary'!$C$1),"C1 - Global Investors",IF(AND(I1889&gt;=4,M1889&gt;'Segmentation Summary'!$C$1),"C4 - Luxury Investors",IF(AND(D1889&lt;'Segmentation Summary'!$C$2,J1889=1),"C2 - First-Time Buyers","C5 - Other Individual Buyers"))))</f>
        <v>C5 - Other Individual Buyers</v>
      </c>
    </row>
    <row r="1890" customFormat="false" ht="15" hidden="false" customHeight="true" outlineLevel="0" collapsed="false">
      <c r="A1890" s="13" t="s">
        <v>3760</v>
      </c>
      <c r="B1890" s="13" t="s">
        <v>34</v>
      </c>
      <c r="C1890" s="13" t="s">
        <v>3761</v>
      </c>
      <c r="D1890" s="13" t="n">
        <v>76</v>
      </c>
      <c r="E1890" s="13" t="s">
        <v>83</v>
      </c>
      <c r="F1890" s="13" t="s">
        <v>35</v>
      </c>
      <c r="G1890" s="13" t="s">
        <v>185</v>
      </c>
      <c r="H1890" s="13" t="s">
        <v>41</v>
      </c>
      <c r="I1890" s="13" t="n">
        <v>4</v>
      </c>
      <c r="J1890" s="13" t="n">
        <v>0</v>
      </c>
      <c r="K1890" s="13" t="s">
        <v>85</v>
      </c>
      <c r="L1890" s="13" t="n">
        <v>4</v>
      </c>
      <c r="M1890" s="13" t="n">
        <v>1146845.98</v>
      </c>
      <c r="N1890" s="13" t="n">
        <v>286711.495</v>
      </c>
      <c r="O1890" s="13" t="n">
        <v>947.7475</v>
      </c>
      <c r="P1890" s="13" t="n">
        <v>0</v>
      </c>
      <c r="Q1890" s="13" t="n">
        <v>4</v>
      </c>
      <c r="R1890" s="13" t="s">
        <v>150</v>
      </c>
      <c r="S1890" s="13" t="s">
        <v>135</v>
      </c>
      <c r="T1890" s="13" t="n">
        <v>1</v>
      </c>
      <c r="U1890" s="13" t="n">
        <f aca="false">IF(B1890="Individual",1,0)</f>
        <v>1</v>
      </c>
      <c r="V1890" s="13" t="n">
        <f aca="false">IF(B1890="Company",1,0)</f>
        <v>0</v>
      </c>
      <c r="W1890" s="13" t="n">
        <f aca="false">IF(H1890="Home",1,0)</f>
        <v>1</v>
      </c>
      <c r="X1890" s="13" t="n">
        <f aca="false">IF(H1890="Investment",1,0)</f>
        <v>0</v>
      </c>
      <c r="Y1890" s="13" t="n">
        <f aca="false">IF(K1890="Website",1,0)</f>
        <v>1</v>
      </c>
      <c r="Z1890" s="13" t="n">
        <f aca="false">IF(K1890="Agency",1,0)</f>
        <v>0</v>
      </c>
      <c r="AA1890" s="13" t="n">
        <f aca="false">IF(K1890="Client",1,0)</f>
        <v>0</v>
      </c>
      <c r="AB1890" s="13" t="n">
        <f aca="false">(D1890-AVERAGE(D$2:D$2001))/STDEV(D$2:D$2001)</f>
        <v>1.26067426433745</v>
      </c>
      <c r="AC1890" s="13" t="n">
        <f aca="false">(I1890-AVERAGE(I$2:I$2001))/STDEV(I$2:I$2001)</f>
        <v>0.686917069130275</v>
      </c>
      <c r="AD1890" s="13" t="n">
        <f aca="false">(L1890-AVERAGE(L$2:L$2001))/STDEV(L$2:L$2001)</f>
        <v>0.413838214490712</v>
      </c>
      <c r="AE1890" s="13" t="n">
        <f aca="false">(M1890-AVERAGE(M$2:M$2001))/STDEV(M$2:M$2001)</f>
        <v>-0.326393017925299</v>
      </c>
      <c r="AF1890" s="13" t="n">
        <f aca="false">(N1890-AVERAGE(N$2:N$2001))/STDEV(N$2:N$2001)</f>
        <v>-0.865990866248644</v>
      </c>
      <c r="AG1890" s="13" t="n">
        <f aca="false">(O1890-AVERAGE(O$2:O$2001))/STDEV(O$2:O$2001)</f>
        <v>-0.908193063546797</v>
      </c>
      <c r="AH1890" s="0" t="str">
        <f aca="false">IF(B1890="Company","C3 - Corporate Buyers",IF(AND(H1890="Investment",M1890&gt;'Segmentation Summary'!$C$1),"C1 - Global Investors",IF(AND(I1890&gt;=4,M1890&gt;'Segmentation Summary'!$C$1),"C4 - Luxury Investors",IF(AND(D1890&lt;'Segmentation Summary'!$C$2,J1890=1),"C2 - First-Time Buyers","C5 - Other Individual Buyers"))))</f>
        <v>C5 - Other Individual Buyers</v>
      </c>
    </row>
    <row r="1891" customFormat="false" ht="15" hidden="false" customHeight="true" outlineLevel="0" collapsed="false">
      <c r="A1891" s="13" t="s">
        <v>3762</v>
      </c>
      <c r="B1891" s="13" t="s">
        <v>34</v>
      </c>
      <c r="C1891" s="13" t="s">
        <v>3763</v>
      </c>
      <c r="D1891" s="13" t="n">
        <v>29</v>
      </c>
      <c r="E1891" s="13" t="s">
        <v>83</v>
      </c>
      <c r="F1891" s="13" t="s">
        <v>33</v>
      </c>
      <c r="G1891" s="13" t="s">
        <v>157</v>
      </c>
      <c r="H1891" s="13" t="s">
        <v>43</v>
      </c>
      <c r="I1891" s="13" t="n">
        <v>1</v>
      </c>
      <c r="J1891" s="13" t="n">
        <v>0</v>
      </c>
      <c r="K1891" s="13" t="s">
        <v>91</v>
      </c>
      <c r="L1891" s="13" t="n">
        <v>4</v>
      </c>
      <c r="M1891" s="13" t="n">
        <v>1382881.81</v>
      </c>
      <c r="N1891" s="13" t="n">
        <v>345720.4525</v>
      </c>
      <c r="O1891" s="13" t="n">
        <v>1123.3175</v>
      </c>
      <c r="P1891" s="13" t="n">
        <v>1</v>
      </c>
      <c r="Q1891" s="13" t="n">
        <v>3</v>
      </c>
      <c r="R1891" s="13" t="s">
        <v>86</v>
      </c>
      <c r="S1891" s="13" t="s">
        <v>154</v>
      </c>
      <c r="T1891" s="13" t="n">
        <v>1</v>
      </c>
      <c r="U1891" s="13" t="n">
        <f aca="false">IF(B1891="Individual",1,0)</f>
        <v>1</v>
      </c>
      <c r="V1891" s="13" t="n">
        <f aca="false">IF(B1891="Company",1,0)</f>
        <v>0</v>
      </c>
      <c r="W1891" s="13" t="n">
        <f aca="false">IF(H1891="Home",1,0)</f>
        <v>0</v>
      </c>
      <c r="X1891" s="13" t="n">
        <f aca="false">IF(H1891="Investment",1,0)</f>
        <v>1</v>
      </c>
      <c r="Y1891" s="13" t="n">
        <f aca="false">IF(K1891="Website",1,0)</f>
        <v>0</v>
      </c>
      <c r="Z1891" s="13" t="n">
        <f aca="false">IF(K1891="Agency",1,0)</f>
        <v>1</v>
      </c>
      <c r="AA1891" s="13" t="n">
        <f aca="false">IF(K1891="Client",1,0)</f>
        <v>0</v>
      </c>
      <c r="AB1891" s="13" t="n">
        <f aca="false">(D1891-AVERAGE(D$2:D$2001))/STDEV(D$2:D$2001)</f>
        <v>-1.44946114360566</v>
      </c>
      <c r="AC1891" s="13" t="n">
        <f aca="false">(I1891-AVERAGE(I$2:I$2001))/STDEV(I$2:I$2001)</f>
        <v>-1.43538077576244</v>
      </c>
      <c r="AD1891" s="13" t="n">
        <f aca="false">(L1891-AVERAGE(L$2:L$2001))/STDEV(L$2:L$2001)</f>
        <v>0.413838214490712</v>
      </c>
      <c r="AE1891" s="13" t="n">
        <f aca="false">(M1891-AVERAGE(M$2:M$2001))/STDEV(M$2:M$2001)</f>
        <v>0.352201062090849</v>
      </c>
      <c r="AF1891" s="13" t="n">
        <f aca="false">(N1891-AVERAGE(N$2:N$2001))/STDEV(N$2:N$2001)</f>
        <v>-0.0196423922023086</v>
      </c>
      <c r="AG1891" s="13" t="n">
        <f aca="false">(O1891-AVERAGE(O$2:O$2001))/STDEV(O$2:O$2001)</f>
        <v>-0.109866695951103</v>
      </c>
      <c r="AH1891" s="0" t="str">
        <f aca="false">IF(B1891="Company","C3 - Corporate Buyers",IF(AND(H1891="Investment",M1891&gt;'Segmentation Summary'!$C$1),"C1 - Global Investors",IF(AND(I1891&gt;=4,M1891&gt;'Segmentation Summary'!$C$1),"C4 - Luxury Investors",IF(AND(D1891&lt;'Segmentation Summary'!$C$2,J1891=1),"C2 - First-Time Buyers","C5 - Other Individual Buyers"))))</f>
        <v>C1 - Global Investors</v>
      </c>
    </row>
    <row r="1892" customFormat="false" ht="15" hidden="false" customHeight="true" outlineLevel="0" collapsed="false">
      <c r="A1892" s="13" t="s">
        <v>3764</v>
      </c>
      <c r="B1892" s="13" t="s">
        <v>34</v>
      </c>
      <c r="C1892" s="13" t="s">
        <v>3765</v>
      </c>
      <c r="D1892" s="13" t="n">
        <v>32</v>
      </c>
      <c r="E1892" s="13" t="s">
        <v>90</v>
      </c>
      <c r="F1892" s="13" t="s">
        <v>33</v>
      </c>
      <c r="G1892" s="13" t="s">
        <v>84</v>
      </c>
      <c r="H1892" s="13" t="s">
        <v>43</v>
      </c>
      <c r="I1892" s="13" t="n">
        <v>4</v>
      </c>
      <c r="J1892" s="13" t="n">
        <v>0</v>
      </c>
      <c r="K1892" s="13" t="s">
        <v>91</v>
      </c>
      <c r="L1892" s="13" t="n">
        <v>3</v>
      </c>
      <c r="M1892" s="13" t="n">
        <v>1476970.3</v>
      </c>
      <c r="N1892" s="13" t="n">
        <v>492323.433333333</v>
      </c>
      <c r="O1892" s="13" t="n">
        <v>1550.12666666667</v>
      </c>
      <c r="P1892" s="13" t="n">
        <v>0</v>
      </c>
      <c r="Q1892" s="13" t="n">
        <v>3</v>
      </c>
      <c r="R1892" s="13" t="s">
        <v>101</v>
      </c>
      <c r="S1892" s="13" t="s">
        <v>125</v>
      </c>
      <c r="T1892" s="13" t="n">
        <v>1</v>
      </c>
      <c r="U1892" s="13" t="n">
        <f aca="false">IF(B1892="Individual",1,0)</f>
        <v>1</v>
      </c>
      <c r="V1892" s="13" t="n">
        <f aca="false">IF(B1892="Company",1,0)</f>
        <v>0</v>
      </c>
      <c r="W1892" s="13" t="n">
        <f aca="false">IF(H1892="Home",1,0)</f>
        <v>0</v>
      </c>
      <c r="X1892" s="13" t="n">
        <f aca="false">IF(H1892="Investment",1,0)</f>
        <v>1</v>
      </c>
      <c r="Y1892" s="13" t="n">
        <f aca="false">IF(K1892="Website",1,0)</f>
        <v>0</v>
      </c>
      <c r="Z1892" s="13" t="n">
        <f aca="false">IF(K1892="Agency",1,0)</f>
        <v>1</v>
      </c>
      <c r="AA1892" s="13" t="n">
        <f aca="false">IF(K1892="Client",1,0)</f>
        <v>0</v>
      </c>
      <c r="AB1892" s="13" t="n">
        <f aca="false">(D1892-AVERAGE(D$2:D$2001))/STDEV(D$2:D$2001)</f>
        <v>-1.2764737771412</v>
      </c>
      <c r="AC1892" s="13" t="n">
        <f aca="false">(I1892-AVERAGE(I$2:I$2001))/STDEV(I$2:I$2001)</f>
        <v>0.686917069130275</v>
      </c>
      <c r="AD1892" s="13" t="n">
        <f aca="false">(L1892-AVERAGE(L$2:L$2001))/STDEV(L$2:L$2001)</f>
        <v>-0.777063122173208</v>
      </c>
      <c r="AE1892" s="13" t="n">
        <f aca="false">(M1892-AVERAGE(M$2:M$2001))/STDEV(M$2:M$2001)</f>
        <v>0.62270191067667</v>
      </c>
      <c r="AF1892" s="13" t="n">
        <f aca="false">(N1892-AVERAGE(N$2:N$2001))/STDEV(N$2:N$2001)</f>
        <v>2.08304191837775</v>
      </c>
      <c r="AG1892" s="13" t="n">
        <f aca="false">(O1892-AVERAGE(O$2:O$2001))/STDEV(O$2:O$2001)</f>
        <v>1.83085786793537</v>
      </c>
      <c r="AH1892" s="0" t="str">
        <f aca="false">IF(B1892="Company","C3 - Corporate Buyers",IF(AND(H1892="Investment",M1892&gt;'Segmentation Summary'!$C$1),"C1 - Global Investors",IF(AND(I1892&gt;=4,M1892&gt;'Segmentation Summary'!$C$1),"C4 - Luxury Investors",IF(AND(D1892&lt;'Segmentation Summary'!$C$2,J1892=1),"C2 - First-Time Buyers","C5 - Other Individual Buyers"))))</f>
        <v>C1 - Global Investors</v>
      </c>
    </row>
    <row r="1893" customFormat="false" ht="15" hidden="false" customHeight="true" outlineLevel="0" collapsed="false">
      <c r="A1893" s="13" t="s">
        <v>3766</v>
      </c>
      <c r="B1893" s="13" t="s">
        <v>34</v>
      </c>
      <c r="C1893" s="13" t="s">
        <v>3767</v>
      </c>
      <c r="D1893" s="13" t="n">
        <v>28</v>
      </c>
      <c r="E1893" s="13" t="s">
        <v>90</v>
      </c>
      <c r="F1893" s="13" t="s">
        <v>33</v>
      </c>
      <c r="G1893" s="13" t="s">
        <v>95</v>
      </c>
      <c r="H1893" s="13" t="s">
        <v>41</v>
      </c>
      <c r="I1893" s="13" t="n">
        <v>4</v>
      </c>
      <c r="J1893" s="13" t="n">
        <v>1</v>
      </c>
      <c r="K1893" s="13" t="s">
        <v>116</v>
      </c>
      <c r="L1893" s="13" t="n">
        <v>3</v>
      </c>
      <c r="M1893" s="13" t="n">
        <v>1297382.59</v>
      </c>
      <c r="N1893" s="13" t="n">
        <v>432460.863333333</v>
      </c>
      <c r="O1893" s="13" t="n">
        <v>1439.25666666667</v>
      </c>
      <c r="P1893" s="13" t="n">
        <v>1</v>
      </c>
      <c r="Q1893" s="13" t="n">
        <v>2</v>
      </c>
      <c r="R1893" s="13" t="s">
        <v>111</v>
      </c>
      <c r="S1893" s="13" t="s">
        <v>133</v>
      </c>
      <c r="T1893" s="13" t="n">
        <v>1</v>
      </c>
      <c r="U1893" s="13" t="n">
        <f aca="false">IF(B1893="Individual",1,0)</f>
        <v>1</v>
      </c>
      <c r="V1893" s="13" t="n">
        <f aca="false">IF(B1893="Company",1,0)</f>
        <v>0</v>
      </c>
      <c r="W1893" s="13" t="n">
        <f aca="false">IF(H1893="Home",1,0)</f>
        <v>1</v>
      </c>
      <c r="X1893" s="13" t="n">
        <f aca="false">IF(H1893="Investment",1,0)</f>
        <v>0</v>
      </c>
      <c r="Y1893" s="13" t="n">
        <f aca="false">IF(K1893="Website",1,0)</f>
        <v>0</v>
      </c>
      <c r="Z1893" s="13" t="n">
        <f aca="false">IF(K1893="Agency",1,0)</f>
        <v>0</v>
      </c>
      <c r="AA1893" s="13" t="n">
        <f aca="false">IF(K1893="Client",1,0)</f>
        <v>1</v>
      </c>
      <c r="AB1893" s="13" t="n">
        <f aca="false">(D1893-AVERAGE(D$2:D$2001))/STDEV(D$2:D$2001)</f>
        <v>-1.50712359909381</v>
      </c>
      <c r="AC1893" s="13" t="n">
        <f aca="false">(I1893-AVERAGE(I$2:I$2001))/STDEV(I$2:I$2001)</f>
        <v>0.686917069130275</v>
      </c>
      <c r="AD1893" s="13" t="n">
        <f aca="false">(L1893-AVERAGE(L$2:L$2001))/STDEV(L$2:L$2001)</f>
        <v>-0.777063122173208</v>
      </c>
      <c r="AE1893" s="13" t="n">
        <f aca="false">(M1893-AVERAGE(M$2:M$2001))/STDEV(M$2:M$2001)</f>
        <v>0.106394039750223</v>
      </c>
      <c r="AF1893" s="13" t="n">
        <f aca="false">(N1893-AVERAGE(N$2:N$2001))/STDEV(N$2:N$2001)</f>
        <v>1.22445032621156</v>
      </c>
      <c r="AG1893" s="13" t="n">
        <f aca="false">(O1893-AVERAGE(O$2:O$2001))/STDEV(O$2:O$2001)</f>
        <v>1.32672592981761</v>
      </c>
      <c r="AH1893" s="0" t="str">
        <f aca="false">IF(B1893="Company","C3 - Corporate Buyers",IF(AND(H1893="Investment",M1893&gt;'Segmentation Summary'!$C$1),"C1 - Global Investors",IF(AND(I1893&gt;=4,M1893&gt;'Segmentation Summary'!$C$1),"C4 - Luxury Investors",IF(AND(D1893&lt;'Segmentation Summary'!$C$2,J1893=1),"C2 - First-Time Buyers","C5 - Other Individual Buyers"))))</f>
        <v>C4 - Luxury Investors</v>
      </c>
    </row>
    <row r="1894" customFormat="false" ht="15" hidden="false" customHeight="true" outlineLevel="0" collapsed="false">
      <c r="A1894" s="13" t="s">
        <v>3768</v>
      </c>
      <c r="B1894" s="13" t="s">
        <v>34</v>
      </c>
      <c r="C1894" s="13" t="s">
        <v>3769</v>
      </c>
      <c r="D1894" s="13" t="n">
        <v>47</v>
      </c>
      <c r="E1894" s="13" t="s">
        <v>90</v>
      </c>
      <c r="F1894" s="13" t="s">
        <v>33</v>
      </c>
      <c r="G1894" s="13" t="s">
        <v>95</v>
      </c>
      <c r="H1894" s="13" t="s">
        <v>41</v>
      </c>
      <c r="I1894" s="13" t="n">
        <v>4</v>
      </c>
      <c r="J1894" s="13" t="n">
        <v>1</v>
      </c>
      <c r="K1894" s="13" t="s">
        <v>85</v>
      </c>
      <c r="L1894" s="13" t="n">
        <v>4</v>
      </c>
      <c r="M1894" s="13" t="n">
        <v>1201633.01</v>
      </c>
      <c r="N1894" s="13" t="n">
        <v>300408.2525</v>
      </c>
      <c r="O1894" s="13" t="n">
        <v>1123.3175</v>
      </c>
      <c r="P1894" s="13" t="n">
        <v>0</v>
      </c>
      <c r="Q1894" s="13" t="n">
        <v>4</v>
      </c>
      <c r="R1894" s="13" t="s">
        <v>150</v>
      </c>
      <c r="S1894" s="13" t="s">
        <v>154</v>
      </c>
      <c r="T1894" s="13" t="n">
        <v>1</v>
      </c>
      <c r="U1894" s="13" t="n">
        <f aca="false">IF(B1894="Individual",1,0)</f>
        <v>1</v>
      </c>
      <c r="V1894" s="13" t="n">
        <f aca="false">IF(B1894="Company",1,0)</f>
        <v>0</v>
      </c>
      <c r="W1894" s="13" t="n">
        <f aca="false">IF(H1894="Home",1,0)</f>
        <v>1</v>
      </c>
      <c r="X1894" s="13" t="n">
        <f aca="false">IF(H1894="Investment",1,0)</f>
        <v>0</v>
      </c>
      <c r="Y1894" s="13" t="n">
        <f aca="false">IF(K1894="Website",1,0)</f>
        <v>1</v>
      </c>
      <c r="Z1894" s="13" t="n">
        <f aca="false">IF(K1894="Agency",1,0)</f>
        <v>0</v>
      </c>
      <c r="AA1894" s="13" t="n">
        <f aca="false">IF(K1894="Client",1,0)</f>
        <v>0</v>
      </c>
      <c r="AB1894" s="13" t="n">
        <f aca="false">(D1894-AVERAGE(D$2:D$2001))/STDEV(D$2:D$2001)</f>
        <v>-0.411536944818935</v>
      </c>
      <c r="AC1894" s="13" t="n">
        <f aca="false">(I1894-AVERAGE(I$2:I$2001))/STDEV(I$2:I$2001)</f>
        <v>0.686917069130275</v>
      </c>
      <c r="AD1894" s="13" t="n">
        <f aca="false">(L1894-AVERAGE(L$2:L$2001))/STDEV(L$2:L$2001)</f>
        <v>0.413838214490712</v>
      </c>
      <c r="AE1894" s="13" t="n">
        <f aca="false">(M1894-AVERAGE(M$2:M$2001))/STDEV(M$2:M$2001)</f>
        <v>-0.1688823797325</v>
      </c>
      <c r="AF1894" s="13" t="n">
        <f aca="false">(N1894-AVERAGE(N$2:N$2001))/STDEV(N$2:N$2001)</f>
        <v>-0.669542220134066</v>
      </c>
      <c r="AG1894" s="13" t="n">
        <f aca="false">(O1894-AVERAGE(O$2:O$2001))/STDEV(O$2:O$2001)</f>
        <v>-0.109866695951103</v>
      </c>
      <c r="AH1894" s="0" t="str">
        <f aca="false">IF(B1894="Company","C3 - Corporate Buyers",IF(AND(H1894="Investment",M1894&gt;'Segmentation Summary'!$C$1),"C1 - Global Investors",IF(AND(I1894&gt;=4,M1894&gt;'Segmentation Summary'!$C$1),"C4 - Luxury Investors",IF(AND(D1894&lt;'Segmentation Summary'!$C$2,J1894=1),"C2 - First-Time Buyers","C5 - Other Individual Buyers"))))</f>
        <v>C2 - First-Time Buyers</v>
      </c>
    </row>
    <row r="1895" customFormat="false" ht="15" hidden="false" customHeight="true" outlineLevel="0" collapsed="false">
      <c r="A1895" s="13" t="s">
        <v>3770</v>
      </c>
      <c r="B1895" s="13" t="s">
        <v>34</v>
      </c>
      <c r="C1895" s="13" t="s">
        <v>3771</v>
      </c>
      <c r="D1895" s="13" t="n">
        <v>38</v>
      </c>
      <c r="E1895" s="13" t="s">
        <v>90</v>
      </c>
      <c r="F1895" s="13" t="s">
        <v>33</v>
      </c>
      <c r="G1895" s="13" t="s">
        <v>120</v>
      </c>
      <c r="H1895" s="13" t="s">
        <v>41</v>
      </c>
      <c r="I1895" s="13" t="n">
        <v>5</v>
      </c>
      <c r="J1895" s="13" t="n">
        <v>0</v>
      </c>
      <c r="K1895" s="13" t="s">
        <v>85</v>
      </c>
      <c r="L1895" s="13" t="n">
        <v>4</v>
      </c>
      <c r="M1895" s="13" t="n">
        <v>1326217.01</v>
      </c>
      <c r="N1895" s="13" t="n">
        <v>331554.2525</v>
      </c>
      <c r="O1895" s="13" t="n">
        <v>1009.23</v>
      </c>
      <c r="P1895" s="13" t="n">
        <v>2</v>
      </c>
      <c r="Q1895" s="13" t="n">
        <v>2</v>
      </c>
      <c r="R1895" s="13" t="s">
        <v>86</v>
      </c>
      <c r="S1895" s="13" t="s">
        <v>114</v>
      </c>
      <c r="T1895" s="13" t="n">
        <v>1</v>
      </c>
      <c r="U1895" s="13" t="n">
        <f aca="false">IF(B1895="Individual",1,0)</f>
        <v>1</v>
      </c>
      <c r="V1895" s="13" t="n">
        <f aca="false">IF(B1895="Company",1,0)</f>
        <v>0</v>
      </c>
      <c r="W1895" s="13" t="n">
        <f aca="false">IF(H1895="Home",1,0)</f>
        <v>1</v>
      </c>
      <c r="X1895" s="13" t="n">
        <f aca="false">IF(H1895="Investment",1,0)</f>
        <v>0</v>
      </c>
      <c r="Y1895" s="13" t="n">
        <f aca="false">IF(K1895="Website",1,0)</f>
        <v>1</v>
      </c>
      <c r="Z1895" s="13" t="n">
        <f aca="false">IF(K1895="Agency",1,0)</f>
        <v>0</v>
      </c>
      <c r="AA1895" s="13" t="n">
        <f aca="false">IF(K1895="Client",1,0)</f>
        <v>0</v>
      </c>
      <c r="AB1895" s="13" t="n">
        <f aca="false">(D1895-AVERAGE(D$2:D$2001))/STDEV(D$2:D$2001)</f>
        <v>-0.930499044212296</v>
      </c>
      <c r="AC1895" s="13" t="n">
        <f aca="false">(I1895-AVERAGE(I$2:I$2001))/STDEV(I$2:I$2001)</f>
        <v>1.39434968409451</v>
      </c>
      <c r="AD1895" s="13" t="n">
        <f aca="false">(L1895-AVERAGE(L$2:L$2001))/STDEV(L$2:L$2001)</f>
        <v>0.413838214490712</v>
      </c>
      <c r="AE1895" s="13" t="n">
        <f aca="false">(M1895-AVERAGE(M$2:M$2001))/STDEV(M$2:M$2001)</f>
        <v>0.189291906199987</v>
      </c>
      <c r="AF1895" s="13" t="n">
        <f aca="false">(N1895-AVERAGE(N$2:N$2001))/STDEV(N$2:N$2001)</f>
        <v>-0.222824116824968</v>
      </c>
      <c r="AG1895" s="13" t="n">
        <f aca="false">(O1895-AVERAGE(O$2:O$2001))/STDEV(O$2:O$2001)</f>
        <v>-0.628628782088107</v>
      </c>
      <c r="AH1895" s="0" t="str">
        <f aca="false">IF(B1895="Company","C3 - Corporate Buyers",IF(AND(H1895="Investment",M1895&gt;'Segmentation Summary'!$C$1),"C1 - Global Investors",IF(AND(I1895&gt;=4,M1895&gt;'Segmentation Summary'!$C$1),"C4 - Luxury Investors",IF(AND(D1895&lt;'Segmentation Summary'!$C$2,J1895=1),"C2 - First-Time Buyers","C5 - Other Individual Buyers"))))</f>
        <v>C4 - Luxury Investors</v>
      </c>
    </row>
    <row r="1896" customFormat="false" ht="15" hidden="false" customHeight="true" outlineLevel="0" collapsed="false">
      <c r="A1896" s="13" t="s">
        <v>3772</v>
      </c>
      <c r="B1896" s="13" t="s">
        <v>34</v>
      </c>
      <c r="C1896" s="13" t="s">
        <v>3771</v>
      </c>
      <c r="D1896" s="13" t="n">
        <v>28</v>
      </c>
      <c r="E1896" s="13" t="s">
        <v>90</v>
      </c>
      <c r="F1896" s="13" t="s">
        <v>46</v>
      </c>
      <c r="G1896" s="13" t="s">
        <v>359</v>
      </c>
      <c r="H1896" s="13" t="s">
        <v>41</v>
      </c>
      <c r="I1896" s="13" t="n">
        <v>3</v>
      </c>
      <c r="J1896" s="13" t="n">
        <v>0</v>
      </c>
      <c r="K1896" s="13" t="s">
        <v>85</v>
      </c>
      <c r="L1896" s="13" t="n">
        <v>3</v>
      </c>
      <c r="M1896" s="13" t="n">
        <v>829078.01</v>
      </c>
      <c r="N1896" s="13" t="n">
        <v>276359.336666667</v>
      </c>
      <c r="O1896" s="13" t="n">
        <v>913.67</v>
      </c>
      <c r="P1896" s="13" t="n">
        <v>0</v>
      </c>
      <c r="Q1896" s="13" t="n">
        <v>3</v>
      </c>
      <c r="R1896" s="13" t="s">
        <v>117</v>
      </c>
      <c r="S1896" s="13" t="s">
        <v>87</v>
      </c>
      <c r="T1896" s="13" t="n">
        <v>1</v>
      </c>
      <c r="U1896" s="13" t="n">
        <f aca="false">IF(B1896="Individual",1,0)</f>
        <v>1</v>
      </c>
      <c r="V1896" s="13" t="n">
        <f aca="false">IF(B1896="Company",1,0)</f>
        <v>0</v>
      </c>
      <c r="W1896" s="13" t="n">
        <f aca="false">IF(H1896="Home",1,0)</f>
        <v>1</v>
      </c>
      <c r="X1896" s="13" t="n">
        <f aca="false">IF(H1896="Investment",1,0)</f>
        <v>0</v>
      </c>
      <c r="Y1896" s="13" t="n">
        <f aca="false">IF(K1896="Website",1,0)</f>
        <v>1</v>
      </c>
      <c r="Z1896" s="13" t="n">
        <f aca="false">IF(K1896="Agency",1,0)</f>
        <v>0</v>
      </c>
      <c r="AA1896" s="13" t="n">
        <f aca="false">IF(K1896="Client",1,0)</f>
        <v>0</v>
      </c>
      <c r="AB1896" s="13" t="n">
        <f aca="false">(D1896-AVERAGE(D$2:D$2001))/STDEV(D$2:D$2001)</f>
        <v>-1.50712359909381</v>
      </c>
      <c r="AC1896" s="13" t="n">
        <f aca="false">(I1896-AVERAGE(I$2:I$2001))/STDEV(I$2:I$2001)</f>
        <v>-0.0205155458339628</v>
      </c>
      <c r="AD1896" s="13" t="n">
        <f aca="false">(L1896-AVERAGE(L$2:L$2001))/STDEV(L$2:L$2001)</f>
        <v>-0.777063122173208</v>
      </c>
      <c r="AE1896" s="13" t="n">
        <f aca="false">(M1896-AVERAGE(M$2:M$2001))/STDEV(M$2:M$2001)</f>
        <v>-1.2399639078226</v>
      </c>
      <c r="AF1896" s="13" t="n">
        <f aca="false">(N1896-AVERAGE(N$2:N$2001))/STDEV(N$2:N$2001)</f>
        <v>-1.01446889025885</v>
      </c>
      <c r="AG1896" s="13" t="n">
        <f aca="false">(O1896-AVERAGE(O$2:O$2001))/STDEV(O$2:O$2001)</f>
        <v>-1.06314531502337</v>
      </c>
      <c r="AH1896" s="0" t="str">
        <f aca="false">IF(B1896="Company","C3 - Corporate Buyers",IF(AND(H1896="Investment",M1896&gt;'Segmentation Summary'!$C$1),"C1 - Global Investors",IF(AND(I1896&gt;=4,M1896&gt;'Segmentation Summary'!$C$1),"C4 - Luxury Investors",IF(AND(D1896&lt;'Segmentation Summary'!$C$2,J1896=1),"C2 - First-Time Buyers","C5 - Other Individual Buyers"))))</f>
        <v>C5 - Other Individual Buyers</v>
      </c>
    </row>
    <row r="1897" customFormat="false" ht="15" hidden="false" customHeight="true" outlineLevel="0" collapsed="false">
      <c r="A1897" s="13" t="s">
        <v>3773</v>
      </c>
      <c r="B1897" s="13" t="s">
        <v>34</v>
      </c>
      <c r="C1897" s="13" t="s">
        <v>3774</v>
      </c>
      <c r="D1897" s="13" t="n">
        <v>69</v>
      </c>
      <c r="E1897" s="13" t="s">
        <v>90</v>
      </c>
      <c r="F1897" s="13" t="s">
        <v>42</v>
      </c>
      <c r="G1897" s="13" t="s">
        <v>143</v>
      </c>
      <c r="H1897" s="13" t="s">
        <v>41</v>
      </c>
      <c r="I1897" s="13" t="n">
        <v>5</v>
      </c>
      <c r="J1897" s="13" t="n">
        <v>0</v>
      </c>
      <c r="K1897" s="13" t="s">
        <v>85</v>
      </c>
      <c r="L1897" s="13" t="n">
        <v>3</v>
      </c>
      <c r="M1897" s="13" t="n">
        <v>975866.19</v>
      </c>
      <c r="N1897" s="13" t="n">
        <v>325288.73</v>
      </c>
      <c r="O1897" s="13" t="n">
        <v>1111.29666666667</v>
      </c>
      <c r="P1897" s="13" t="n">
        <v>0</v>
      </c>
      <c r="Q1897" s="13" t="n">
        <v>3</v>
      </c>
      <c r="R1897" s="13" t="s">
        <v>92</v>
      </c>
      <c r="S1897" s="13" t="s">
        <v>150</v>
      </c>
      <c r="T1897" s="13" t="n">
        <v>1</v>
      </c>
      <c r="U1897" s="13" t="n">
        <f aca="false">IF(B1897="Individual",1,0)</f>
        <v>1</v>
      </c>
      <c r="V1897" s="13" t="n">
        <f aca="false">IF(B1897="Company",1,0)</f>
        <v>0</v>
      </c>
      <c r="W1897" s="13" t="n">
        <f aca="false">IF(H1897="Home",1,0)</f>
        <v>1</v>
      </c>
      <c r="X1897" s="13" t="n">
        <f aca="false">IF(H1897="Investment",1,0)</f>
        <v>0</v>
      </c>
      <c r="Y1897" s="13" t="n">
        <f aca="false">IF(K1897="Website",1,0)</f>
        <v>1</v>
      </c>
      <c r="Z1897" s="13" t="n">
        <f aca="false">IF(K1897="Agency",1,0)</f>
        <v>0</v>
      </c>
      <c r="AA1897" s="13" t="n">
        <f aca="false">IF(K1897="Client",1,0)</f>
        <v>0</v>
      </c>
      <c r="AB1897" s="13" t="n">
        <f aca="false">(D1897-AVERAGE(D$2:D$2001))/STDEV(D$2:D$2001)</f>
        <v>0.857037075920391</v>
      </c>
      <c r="AC1897" s="13" t="n">
        <f aca="false">(I1897-AVERAGE(I$2:I$2001))/STDEV(I$2:I$2001)</f>
        <v>1.39434968409451</v>
      </c>
      <c r="AD1897" s="13" t="n">
        <f aca="false">(L1897-AVERAGE(L$2:L$2001))/STDEV(L$2:L$2001)</f>
        <v>-0.777063122173208</v>
      </c>
      <c r="AE1897" s="13" t="n">
        <f aca="false">(M1897-AVERAGE(M$2:M$2001))/STDEV(M$2:M$2001)</f>
        <v>-0.81795344456224</v>
      </c>
      <c r="AF1897" s="13" t="n">
        <f aca="false">(N1897-AVERAGE(N$2:N$2001))/STDEV(N$2:N$2001)</f>
        <v>-0.312688700637993</v>
      </c>
      <c r="AG1897" s="13" t="n">
        <f aca="false">(O1897-AVERAGE(O$2:O$2001))/STDEV(O$2:O$2001)</f>
        <v>-0.16452608087148</v>
      </c>
      <c r="AH1897" s="0" t="str">
        <f aca="false">IF(B1897="Company","C3 - Corporate Buyers",IF(AND(H1897="Investment",M1897&gt;'Segmentation Summary'!$C$1),"C1 - Global Investors",IF(AND(I1897&gt;=4,M1897&gt;'Segmentation Summary'!$C$1),"C4 - Luxury Investors",IF(AND(D1897&lt;'Segmentation Summary'!$C$2,J1897=1),"C2 - First-Time Buyers","C5 - Other Individual Buyers"))))</f>
        <v>C5 - Other Individual Buyers</v>
      </c>
    </row>
    <row r="1898" customFormat="false" ht="15" hidden="false" customHeight="true" outlineLevel="0" collapsed="false">
      <c r="A1898" s="13" t="s">
        <v>3775</v>
      </c>
      <c r="B1898" s="13" t="s">
        <v>34</v>
      </c>
      <c r="C1898" s="13" t="s">
        <v>3776</v>
      </c>
      <c r="D1898" s="13" t="n">
        <v>84</v>
      </c>
      <c r="E1898" s="13" t="s">
        <v>90</v>
      </c>
      <c r="F1898" s="13" t="s">
        <v>33</v>
      </c>
      <c r="G1898" s="13" t="s">
        <v>95</v>
      </c>
      <c r="H1898" s="13" t="s">
        <v>43</v>
      </c>
      <c r="I1898" s="13" t="n">
        <v>5</v>
      </c>
      <c r="J1898" s="13" t="n">
        <v>0</v>
      </c>
      <c r="K1898" s="13" t="s">
        <v>85</v>
      </c>
      <c r="L1898" s="13" t="n">
        <v>3</v>
      </c>
      <c r="M1898" s="13" t="n">
        <v>1214294.16</v>
      </c>
      <c r="N1898" s="13" t="n">
        <v>404764.72</v>
      </c>
      <c r="O1898" s="13" t="n">
        <v>1451.53666666667</v>
      </c>
      <c r="P1898" s="13" t="n">
        <v>0</v>
      </c>
      <c r="Q1898" s="13" t="n">
        <v>3</v>
      </c>
      <c r="R1898" s="13" t="s">
        <v>128</v>
      </c>
      <c r="S1898" s="13" t="s">
        <v>125</v>
      </c>
      <c r="T1898" s="13" t="n">
        <v>1</v>
      </c>
      <c r="U1898" s="13" t="n">
        <f aca="false">IF(B1898="Individual",1,0)</f>
        <v>1</v>
      </c>
      <c r="V1898" s="13" t="n">
        <f aca="false">IF(B1898="Company",1,0)</f>
        <v>0</v>
      </c>
      <c r="W1898" s="13" t="n">
        <f aca="false">IF(H1898="Home",1,0)</f>
        <v>0</v>
      </c>
      <c r="X1898" s="13" t="n">
        <f aca="false">IF(H1898="Investment",1,0)</f>
        <v>1</v>
      </c>
      <c r="Y1898" s="13" t="n">
        <f aca="false">IF(K1898="Website",1,0)</f>
        <v>1</v>
      </c>
      <c r="Z1898" s="13" t="n">
        <f aca="false">IF(K1898="Agency",1,0)</f>
        <v>0</v>
      </c>
      <c r="AA1898" s="13" t="n">
        <f aca="false">IF(K1898="Client",1,0)</f>
        <v>0</v>
      </c>
      <c r="AB1898" s="13" t="n">
        <f aca="false">(D1898-AVERAGE(D$2:D$2001))/STDEV(D$2:D$2001)</f>
        <v>1.72197390824266</v>
      </c>
      <c r="AC1898" s="13" t="n">
        <f aca="false">(I1898-AVERAGE(I$2:I$2001))/STDEV(I$2:I$2001)</f>
        <v>1.39434968409451</v>
      </c>
      <c r="AD1898" s="13" t="n">
        <f aca="false">(L1898-AVERAGE(L$2:L$2001))/STDEV(L$2:L$2001)</f>
        <v>-0.777063122173208</v>
      </c>
      <c r="AE1898" s="13" t="n">
        <f aca="false">(M1898-AVERAGE(M$2:M$2001))/STDEV(M$2:M$2001)</f>
        <v>-0.132482052561001</v>
      </c>
      <c r="AF1898" s="13" t="n">
        <f aca="false">(N1898-AVERAGE(N$2:N$2001))/STDEV(N$2:N$2001)</f>
        <v>0.827212522999482</v>
      </c>
      <c r="AG1898" s="13" t="n">
        <f aca="false">(O1898-AVERAGE(O$2:O$2001))/STDEV(O$2:O$2001)</f>
        <v>1.38256375970925</v>
      </c>
      <c r="AH1898" s="0" t="str">
        <f aca="false">IF(B1898="Company","C3 - Corporate Buyers",IF(AND(H1898="Investment",M1898&gt;'Segmentation Summary'!$C$1),"C1 - Global Investors",IF(AND(I1898&gt;=4,M1898&gt;'Segmentation Summary'!$C$1),"C4 - Luxury Investors",IF(AND(D1898&lt;'Segmentation Summary'!$C$2,J1898=1),"C2 - First-Time Buyers","C5 - Other Individual Buyers"))))</f>
        <v>C5 - Other Individual Buyers</v>
      </c>
    </row>
    <row r="1899" customFormat="false" ht="15" hidden="false" customHeight="true" outlineLevel="0" collapsed="false">
      <c r="A1899" s="13" t="s">
        <v>3777</v>
      </c>
      <c r="B1899" s="13" t="s">
        <v>34</v>
      </c>
      <c r="C1899" s="13" t="s">
        <v>3776</v>
      </c>
      <c r="D1899" s="13" t="n">
        <v>55</v>
      </c>
      <c r="E1899" s="13" t="s">
        <v>90</v>
      </c>
      <c r="F1899" s="13" t="s">
        <v>42</v>
      </c>
      <c r="G1899" s="13" t="s">
        <v>551</v>
      </c>
      <c r="H1899" s="13" t="s">
        <v>43</v>
      </c>
      <c r="I1899" s="13" t="n">
        <v>5</v>
      </c>
      <c r="J1899" s="13" t="n">
        <v>1</v>
      </c>
      <c r="K1899" s="13" t="s">
        <v>85</v>
      </c>
      <c r="L1899" s="13" t="n">
        <v>4</v>
      </c>
      <c r="M1899" s="13" t="n">
        <v>1443894.02</v>
      </c>
      <c r="N1899" s="13" t="n">
        <v>360973.505</v>
      </c>
      <c r="O1899" s="13" t="n">
        <v>1260.0625</v>
      </c>
      <c r="P1899" s="13" t="n">
        <v>0</v>
      </c>
      <c r="Q1899" s="13" t="n">
        <v>4</v>
      </c>
      <c r="R1899" s="13" t="s">
        <v>141</v>
      </c>
      <c r="S1899" s="13" t="s">
        <v>152</v>
      </c>
      <c r="T1899" s="13" t="n">
        <v>1</v>
      </c>
      <c r="U1899" s="13" t="n">
        <f aca="false">IF(B1899="Individual",1,0)</f>
        <v>1</v>
      </c>
      <c r="V1899" s="13" t="n">
        <f aca="false">IF(B1899="Company",1,0)</f>
        <v>0</v>
      </c>
      <c r="W1899" s="13" t="n">
        <f aca="false">IF(H1899="Home",1,0)</f>
        <v>0</v>
      </c>
      <c r="X1899" s="13" t="n">
        <f aca="false">IF(H1899="Investment",1,0)</f>
        <v>1</v>
      </c>
      <c r="Y1899" s="13" t="n">
        <f aca="false">IF(K1899="Website",1,0)</f>
        <v>1</v>
      </c>
      <c r="Z1899" s="13" t="n">
        <f aca="false">IF(K1899="Agency",1,0)</f>
        <v>0</v>
      </c>
      <c r="AA1899" s="13" t="n">
        <f aca="false">IF(K1899="Client",1,0)</f>
        <v>0</v>
      </c>
      <c r="AB1899" s="13" t="n">
        <f aca="false">(D1899-AVERAGE(D$2:D$2001))/STDEV(D$2:D$2001)</f>
        <v>0.0497626990862745</v>
      </c>
      <c r="AC1899" s="13" t="n">
        <f aca="false">(I1899-AVERAGE(I$2:I$2001))/STDEV(I$2:I$2001)</f>
        <v>1.39434968409451</v>
      </c>
      <c r="AD1899" s="13" t="n">
        <f aca="false">(L1899-AVERAGE(L$2:L$2001))/STDEV(L$2:L$2001)</f>
        <v>0.413838214490712</v>
      </c>
      <c r="AE1899" s="13" t="n">
        <f aca="false">(M1899-AVERAGE(M$2:M$2001))/STDEV(M$2:M$2001)</f>
        <v>0.527608857232383</v>
      </c>
      <c r="AF1899" s="13" t="n">
        <f aca="false">(N1899-AVERAGE(N$2:N$2001))/STDEV(N$2:N$2001)</f>
        <v>0.199127744652314</v>
      </c>
      <c r="AG1899" s="13" t="n">
        <f aca="false">(O1899-AVERAGE(O$2:O$2001))/STDEV(O$2:O$2001)</f>
        <v>0.51192027868507</v>
      </c>
      <c r="AH1899" s="0" t="str">
        <f aca="false">IF(B1899="Company","C3 - Corporate Buyers",IF(AND(H1899="Investment",M1899&gt;'Segmentation Summary'!$C$1),"C1 - Global Investors",IF(AND(I1899&gt;=4,M1899&gt;'Segmentation Summary'!$C$1),"C4 - Luxury Investors",IF(AND(D1899&lt;'Segmentation Summary'!$C$2,J1899=1),"C2 - First-Time Buyers","C5 - Other Individual Buyers"))))</f>
        <v>C1 - Global Investors</v>
      </c>
    </row>
    <row r="1900" customFormat="false" ht="15" hidden="false" customHeight="true" outlineLevel="0" collapsed="false">
      <c r="A1900" s="13" t="s">
        <v>3778</v>
      </c>
      <c r="B1900" s="13" t="s">
        <v>34</v>
      </c>
      <c r="C1900" s="13" t="s">
        <v>3779</v>
      </c>
      <c r="D1900" s="13" t="n">
        <v>57</v>
      </c>
      <c r="E1900" s="13" t="s">
        <v>90</v>
      </c>
      <c r="F1900" s="13" t="s">
        <v>33</v>
      </c>
      <c r="G1900" s="13" t="s">
        <v>162</v>
      </c>
      <c r="H1900" s="13" t="s">
        <v>41</v>
      </c>
      <c r="I1900" s="13" t="n">
        <v>5</v>
      </c>
      <c r="J1900" s="13" t="n">
        <v>1</v>
      </c>
      <c r="K1900" s="13" t="s">
        <v>116</v>
      </c>
      <c r="L1900" s="13" t="n">
        <v>3</v>
      </c>
      <c r="M1900" s="13" t="n">
        <v>845680.57</v>
      </c>
      <c r="N1900" s="13" t="n">
        <v>281893.523333333</v>
      </c>
      <c r="O1900" s="13" t="n">
        <v>1033.48333333333</v>
      </c>
      <c r="P1900" s="13" t="n">
        <v>0</v>
      </c>
      <c r="Q1900" s="13" t="n">
        <v>3</v>
      </c>
      <c r="R1900" s="13" t="s">
        <v>101</v>
      </c>
      <c r="S1900" s="13" t="s">
        <v>141</v>
      </c>
      <c r="T1900" s="13" t="n">
        <v>1</v>
      </c>
      <c r="U1900" s="13" t="n">
        <f aca="false">IF(B1900="Individual",1,0)</f>
        <v>1</v>
      </c>
      <c r="V1900" s="13" t="n">
        <f aca="false">IF(B1900="Company",1,0)</f>
        <v>0</v>
      </c>
      <c r="W1900" s="13" t="n">
        <f aca="false">IF(H1900="Home",1,0)</f>
        <v>1</v>
      </c>
      <c r="X1900" s="13" t="n">
        <f aca="false">IF(H1900="Investment",1,0)</f>
        <v>0</v>
      </c>
      <c r="Y1900" s="13" t="n">
        <f aca="false">IF(K1900="Website",1,0)</f>
        <v>0</v>
      </c>
      <c r="Z1900" s="13" t="n">
        <f aca="false">IF(K1900="Agency",1,0)</f>
        <v>0</v>
      </c>
      <c r="AA1900" s="13" t="n">
        <f aca="false">IF(K1900="Client",1,0)</f>
        <v>1</v>
      </c>
      <c r="AB1900" s="13" t="n">
        <f aca="false">(D1900-AVERAGE(D$2:D$2001))/STDEV(D$2:D$2001)</f>
        <v>0.165087610062577</v>
      </c>
      <c r="AC1900" s="13" t="n">
        <f aca="false">(I1900-AVERAGE(I$2:I$2001))/STDEV(I$2:I$2001)</f>
        <v>1.39434968409451</v>
      </c>
      <c r="AD1900" s="13" t="n">
        <f aca="false">(L1900-AVERAGE(L$2:L$2001))/STDEV(L$2:L$2001)</f>
        <v>-0.777063122173208</v>
      </c>
      <c r="AE1900" s="13" t="n">
        <f aca="false">(M1900-AVERAGE(M$2:M$2001))/STDEV(M$2:M$2001)</f>
        <v>-1.19223217603802</v>
      </c>
      <c r="AF1900" s="13" t="n">
        <f aca="false">(N1900-AVERAGE(N$2:N$2001))/STDEV(N$2:N$2001)</f>
        <v>-0.935093645569598</v>
      </c>
      <c r="AG1900" s="13" t="n">
        <f aca="false">(O1900-AVERAGE(O$2:O$2001))/STDEV(O$2:O$2001)</f>
        <v>-0.518347552367284</v>
      </c>
      <c r="AH1900" s="0" t="str">
        <f aca="false">IF(B1900="Company","C3 - Corporate Buyers",IF(AND(H1900="Investment",M1900&gt;'Segmentation Summary'!$C$1),"C1 - Global Investors",IF(AND(I1900&gt;=4,M1900&gt;'Segmentation Summary'!$C$1),"C4 - Luxury Investors",IF(AND(D1900&lt;'Segmentation Summary'!$C$2,J1900=1),"C2 - First-Time Buyers","C5 - Other Individual Buyers"))))</f>
        <v>C5 - Other Individual Buyers</v>
      </c>
    </row>
    <row r="1901" customFormat="false" ht="15" hidden="false" customHeight="true" outlineLevel="0" collapsed="false">
      <c r="A1901" s="13" t="s">
        <v>3780</v>
      </c>
      <c r="B1901" s="13" t="s">
        <v>34</v>
      </c>
      <c r="C1901" s="13" t="s">
        <v>3781</v>
      </c>
      <c r="D1901" s="13" t="n">
        <v>65</v>
      </c>
      <c r="E1901" s="13" t="s">
        <v>83</v>
      </c>
      <c r="F1901" s="13" t="s">
        <v>33</v>
      </c>
      <c r="G1901" s="13" t="s">
        <v>95</v>
      </c>
      <c r="H1901" s="13" t="s">
        <v>41</v>
      </c>
      <c r="I1901" s="13" t="n">
        <v>1</v>
      </c>
      <c r="J1901" s="13" t="n">
        <v>0</v>
      </c>
      <c r="K1901" s="13" t="s">
        <v>91</v>
      </c>
      <c r="L1901" s="13" t="n">
        <v>3</v>
      </c>
      <c r="M1901" s="13" t="n">
        <v>1336757.18</v>
      </c>
      <c r="N1901" s="13" t="n">
        <v>445585.726666667</v>
      </c>
      <c r="O1901" s="13" t="n">
        <v>1511.63</v>
      </c>
      <c r="P1901" s="13" t="n">
        <v>0</v>
      </c>
      <c r="Q1901" s="13" t="n">
        <v>3</v>
      </c>
      <c r="R1901" s="13" t="s">
        <v>107</v>
      </c>
      <c r="S1901" s="13" t="s">
        <v>87</v>
      </c>
      <c r="T1901" s="13" t="n">
        <v>1</v>
      </c>
      <c r="U1901" s="13" t="n">
        <f aca="false">IF(B1901="Individual",1,0)</f>
        <v>1</v>
      </c>
      <c r="V1901" s="13" t="n">
        <f aca="false">IF(B1901="Company",1,0)</f>
        <v>0</v>
      </c>
      <c r="W1901" s="13" t="n">
        <f aca="false">IF(H1901="Home",1,0)</f>
        <v>1</v>
      </c>
      <c r="X1901" s="13" t="n">
        <f aca="false">IF(H1901="Investment",1,0)</f>
        <v>0</v>
      </c>
      <c r="Y1901" s="13" t="n">
        <f aca="false">IF(K1901="Website",1,0)</f>
        <v>0</v>
      </c>
      <c r="Z1901" s="13" t="n">
        <f aca="false">IF(K1901="Agency",1,0)</f>
        <v>1</v>
      </c>
      <c r="AA1901" s="13" t="n">
        <f aca="false">IF(K1901="Client",1,0)</f>
        <v>0</v>
      </c>
      <c r="AB1901" s="13" t="n">
        <f aca="false">(D1901-AVERAGE(D$2:D$2001))/STDEV(D$2:D$2001)</f>
        <v>0.626387253967787</v>
      </c>
      <c r="AC1901" s="13" t="n">
        <f aca="false">(I1901-AVERAGE(I$2:I$2001))/STDEV(I$2:I$2001)</f>
        <v>-1.43538077576244</v>
      </c>
      <c r="AD1901" s="13" t="n">
        <f aca="false">(L1901-AVERAGE(L$2:L$2001))/STDEV(L$2:L$2001)</f>
        <v>-0.777063122173208</v>
      </c>
      <c r="AE1901" s="13" t="n">
        <f aca="false">(M1901-AVERAGE(M$2:M$2001))/STDEV(M$2:M$2001)</f>
        <v>0.219594496126117</v>
      </c>
      <c r="AF1901" s="13" t="n">
        <f aca="false">(N1901-AVERAGE(N$2:N$2001))/STDEV(N$2:N$2001)</f>
        <v>1.41269645908442</v>
      </c>
      <c r="AG1901" s="13" t="n">
        <f aca="false">(O1901-AVERAGE(O$2:O$2001))/STDEV(O$2:O$2001)</f>
        <v>1.65581142455355</v>
      </c>
      <c r="AH1901" s="0" t="str">
        <f aca="false">IF(B1901="Company","C3 - Corporate Buyers",IF(AND(H1901="Investment",M1901&gt;'Segmentation Summary'!$C$1),"C1 - Global Investors",IF(AND(I1901&gt;=4,M1901&gt;'Segmentation Summary'!$C$1),"C4 - Luxury Investors",IF(AND(D1901&lt;'Segmentation Summary'!$C$2,J1901=1),"C2 - First-Time Buyers","C5 - Other Individual Buyers"))))</f>
        <v>C5 - Other Individual Buyers</v>
      </c>
    </row>
    <row r="1902" customFormat="false" ht="15" hidden="false" customHeight="true" outlineLevel="0" collapsed="false">
      <c r="A1902" s="13" t="s">
        <v>3782</v>
      </c>
      <c r="B1902" s="13" t="s">
        <v>34</v>
      </c>
      <c r="C1902" s="13" t="s">
        <v>3783</v>
      </c>
      <c r="D1902" s="13" t="n">
        <v>25</v>
      </c>
      <c r="E1902" s="13" t="s">
        <v>83</v>
      </c>
      <c r="F1902" s="13" t="s">
        <v>42</v>
      </c>
      <c r="G1902" s="13" t="s">
        <v>288</v>
      </c>
      <c r="H1902" s="13" t="s">
        <v>41</v>
      </c>
      <c r="I1902" s="13" t="n">
        <v>5</v>
      </c>
      <c r="J1902" s="13" t="n">
        <v>0</v>
      </c>
      <c r="K1902" s="13" t="s">
        <v>85</v>
      </c>
      <c r="L1902" s="13" t="n">
        <v>4</v>
      </c>
      <c r="M1902" s="13" t="n">
        <v>1344816.1</v>
      </c>
      <c r="N1902" s="13" t="n">
        <v>336204.025</v>
      </c>
      <c r="O1902" s="13" t="n">
        <v>1167.105</v>
      </c>
      <c r="P1902" s="13" t="n">
        <v>0</v>
      </c>
      <c r="Q1902" s="13" t="n">
        <v>4</v>
      </c>
      <c r="R1902" s="13" t="s">
        <v>98</v>
      </c>
      <c r="S1902" s="13" t="s">
        <v>135</v>
      </c>
      <c r="T1902" s="13" t="n">
        <v>1</v>
      </c>
      <c r="U1902" s="13" t="n">
        <f aca="false">IF(B1902="Individual",1,0)</f>
        <v>1</v>
      </c>
      <c r="V1902" s="13" t="n">
        <f aca="false">IF(B1902="Company",1,0)</f>
        <v>0</v>
      </c>
      <c r="W1902" s="13" t="n">
        <f aca="false">IF(H1902="Home",1,0)</f>
        <v>1</v>
      </c>
      <c r="X1902" s="13" t="n">
        <f aca="false">IF(H1902="Investment",1,0)</f>
        <v>0</v>
      </c>
      <c r="Y1902" s="13" t="n">
        <f aca="false">IF(K1902="Website",1,0)</f>
        <v>1</v>
      </c>
      <c r="Z1902" s="13" t="n">
        <f aca="false">IF(K1902="Agency",1,0)</f>
        <v>0</v>
      </c>
      <c r="AA1902" s="13" t="n">
        <f aca="false">IF(K1902="Client",1,0)</f>
        <v>0</v>
      </c>
      <c r="AB1902" s="13" t="n">
        <f aca="false">(D1902-AVERAGE(D$2:D$2001))/STDEV(D$2:D$2001)</f>
        <v>-1.68011096555826</v>
      </c>
      <c r="AC1902" s="13" t="n">
        <f aca="false">(I1902-AVERAGE(I$2:I$2001))/STDEV(I$2:I$2001)</f>
        <v>1.39434968409451</v>
      </c>
      <c r="AD1902" s="13" t="n">
        <f aca="false">(L1902-AVERAGE(L$2:L$2001))/STDEV(L$2:L$2001)</f>
        <v>0.413838214490712</v>
      </c>
      <c r="AE1902" s="13" t="n">
        <f aca="false">(M1902-AVERAGE(M$2:M$2001))/STDEV(M$2:M$2001)</f>
        <v>0.242763586188943</v>
      </c>
      <c r="AF1902" s="13" t="n">
        <f aca="false">(N1902-AVERAGE(N$2:N$2001))/STDEV(N$2:N$2001)</f>
        <v>-0.156133769685084</v>
      </c>
      <c r="AG1902" s="13" t="n">
        <f aca="false">(O1902-AVERAGE(O$2:O$2001))/STDEV(O$2:O$2001)</f>
        <v>0.0892374552199189</v>
      </c>
      <c r="AH1902" s="0" t="str">
        <f aca="false">IF(B1902="Company","C3 - Corporate Buyers",IF(AND(H1902="Investment",M1902&gt;'Segmentation Summary'!$C$1),"C1 - Global Investors",IF(AND(I1902&gt;=4,M1902&gt;'Segmentation Summary'!$C$1),"C4 - Luxury Investors",IF(AND(D1902&lt;'Segmentation Summary'!$C$2,J1902=1),"C2 - First-Time Buyers","C5 - Other Individual Buyers"))))</f>
        <v>C4 - Luxury Investors</v>
      </c>
    </row>
    <row r="1903" customFormat="false" ht="15" hidden="false" customHeight="true" outlineLevel="0" collapsed="false">
      <c r="A1903" s="13" t="s">
        <v>3784</v>
      </c>
      <c r="B1903" s="13" t="s">
        <v>34</v>
      </c>
      <c r="C1903" s="13" t="s">
        <v>3785</v>
      </c>
      <c r="D1903" s="13" t="n">
        <v>24</v>
      </c>
      <c r="E1903" s="13" t="s">
        <v>83</v>
      </c>
      <c r="F1903" s="13" t="s">
        <v>33</v>
      </c>
      <c r="G1903" s="13" t="s">
        <v>162</v>
      </c>
      <c r="H1903" s="13" t="s">
        <v>41</v>
      </c>
      <c r="I1903" s="13" t="n">
        <v>2</v>
      </c>
      <c r="J1903" s="13" t="n">
        <v>1</v>
      </c>
      <c r="K1903" s="13" t="s">
        <v>116</v>
      </c>
      <c r="L1903" s="13" t="n">
        <v>3</v>
      </c>
      <c r="M1903" s="13" t="n">
        <v>1007348.75</v>
      </c>
      <c r="N1903" s="13" t="n">
        <v>335782.916666667</v>
      </c>
      <c r="O1903" s="13" t="n">
        <v>1110.62333333333</v>
      </c>
      <c r="P1903" s="13" t="n">
        <v>0</v>
      </c>
      <c r="Q1903" s="13" t="n">
        <v>3</v>
      </c>
      <c r="R1903" s="13" t="s">
        <v>101</v>
      </c>
      <c r="S1903" s="13" t="s">
        <v>87</v>
      </c>
      <c r="T1903" s="13" t="n">
        <v>1</v>
      </c>
      <c r="U1903" s="13" t="n">
        <f aca="false">IF(B1903="Individual",1,0)</f>
        <v>1</v>
      </c>
      <c r="V1903" s="13" t="n">
        <f aca="false">IF(B1903="Company",1,0)</f>
        <v>0</v>
      </c>
      <c r="W1903" s="13" t="n">
        <f aca="false">IF(H1903="Home",1,0)</f>
        <v>1</v>
      </c>
      <c r="X1903" s="13" t="n">
        <f aca="false">IF(H1903="Investment",1,0)</f>
        <v>0</v>
      </c>
      <c r="Y1903" s="13" t="n">
        <f aca="false">IF(K1903="Website",1,0)</f>
        <v>0</v>
      </c>
      <c r="Z1903" s="13" t="n">
        <f aca="false">IF(K1903="Agency",1,0)</f>
        <v>0</v>
      </c>
      <c r="AA1903" s="13" t="n">
        <f aca="false">IF(K1903="Client",1,0)</f>
        <v>1</v>
      </c>
      <c r="AB1903" s="13" t="n">
        <f aca="false">(D1903-AVERAGE(D$2:D$2001))/STDEV(D$2:D$2001)</f>
        <v>-1.73777342104641</v>
      </c>
      <c r="AC1903" s="13" t="n">
        <f aca="false">(I1903-AVERAGE(I$2:I$2001))/STDEV(I$2:I$2001)</f>
        <v>-0.727948160798201</v>
      </c>
      <c r="AD1903" s="13" t="n">
        <f aca="false">(L1903-AVERAGE(L$2:L$2001))/STDEV(L$2:L$2001)</f>
        <v>-0.777063122173208</v>
      </c>
      <c r="AE1903" s="13" t="n">
        <f aca="false">(M1903-AVERAGE(M$2:M$2001))/STDEV(M$2:M$2001)</f>
        <v>-0.727442275814032</v>
      </c>
      <c r="AF1903" s="13" t="n">
        <f aca="false">(N1903-AVERAGE(N$2:N$2001))/STDEV(N$2:N$2001)</f>
        <v>-0.162173605168106</v>
      </c>
      <c r="AG1903" s="13" t="n">
        <f aca="false">(O1903-AVERAGE(O$2:O$2001))/STDEV(O$2:O$2001)</f>
        <v>-0.167587764269478</v>
      </c>
      <c r="AH1903" s="0" t="str">
        <f aca="false">IF(B1903="Company","C3 - Corporate Buyers",IF(AND(H1903="Investment",M1903&gt;'Segmentation Summary'!$C$1),"C1 - Global Investors",IF(AND(I1903&gt;=4,M1903&gt;'Segmentation Summary'!$C$1),"C4 - Luxury Investors",IF(AND(D1903&lt;'Segmentation Summary'!$C$2,J1903=1),"C2 - First-Time Buyers","C5 - Other Individual Buyers"))))</f>
        <v>C2 - First-Time Buyers</v>
      </c>
    </row>
    <row r="1904" customFormat="false" ht="15" hidden="false" customHeight="true" outlineLevel="0" collapsed="false">
      <c r="A1904" s="13" t="s">
        <v>3786</v>
      </c>
      <c r="B1904" s="13" t="s">
        <v>34</v>
      </c>
      <c r="C1904" s="13" t="s">
        <v>3787</v>
      </c>
      <c r="D1904" s="13" t="n">
        <v>54</v>
      </c>
      <c r="E1904" s="13" t="s">
        <v>83</v>
      </c>
      <c r="F1904" s="13" t="s">
        <v>40</v>
      </c>
      <c r="G1904" s="13" t="s">
        <v>219</v>
      </c>
      <c r="H1904" s="13" t="s">
        <v>41</v>
      </c>
      <c r="I1904" s="13" t="n">
        <v>4</v>
      </c>
      <c r="J1904" s="13" t="n">
        <v>1</v>
      </c>
      <c r="K1904" s="13" t="s">
        <v>91</v>
      </c>
      <c r="L1904" s="13" t="n">
        <v>4</v>
      </c>
      <c r="M1904" s="13" t="n">
        <v>1157933.44</v>
      </c>
      <c r="N1904" s="13" t="n">
        <v>289483.36</v>
      </c>
      <c r="O1904" s="13" t="n">
        <v>935.765</v>
      </c>
      <c r="P1904" s="13" t="n">
        <v>1</v>
      </c>
      <c r="Q1904" s="13" t="n">
        <v>3</v>
      </c>
      <c r="R1904" s="13" t="s">
        <v>117</v>
      </c>
      <c r="S1904" s="13" t="s">
        <v>125</v>
      </c>
      <c r="T1904" s="13" t="n">
        <v>1</v>
      </c>
      <c r="U1904" s="13" t="n">
        <f aca="false">IF(B1904="Individual",1,0)</f>
        <v>1</v>
      </c>
      <c r="V1904" s="13" t="n">
        <f aca="false">IF(B1904="Company",1,0)</f>
        <v>0</v>
      </c>
      <c r="W1904" s="13" t="n">
        <f aca="false">IF(H1904="Home",1,0)</f>
        <v>1</v>
      </c>
      <c r="X1904" s="13" t="n">
        <f aca="false">IF(H1904="Investment",1,0)</f>
        <v>0</v>
      </c>
      <c r="Y1904" s="13" t="n">
        <f aca="false">IF(K1904="Website",1,0)</f>
        <v>0</v>
      </c>
      <c r="Z1904" s="13" t="n">
        <f aca="false">IF(K1904="Agency",1,0)</f>
        <v>1</v>
      </c>
      <c r="AA1904" s="13" t="n">
        <f aca="false">IF(K1904="Client",1,0)</f>
        <v>0</v>
      </c>
      <c r="AB1904" s="13" t="n">
        <f aca="false">(D1904-AVERAGE(D$2:D$2001))/STDEV(D$2:D$2001)</f>
        <v>-0.00789975640187674</v>
      </c>
      <c r="AC1904" s="13" t="n">
        <f aca="false">(I1904-AVERAGE(I$2:I$2001))/STDEV(I$2:I$2001)</f>
        <v>0.686917069130275</v>
      </c>
      <c r="AD1904" s="13" t="n">
        <f aca="false">(L1904-AVERAGE(L$2:L$2001))/STDEV(L$2:L$2001)</f>
        <v>0.413838214490712</v>
      </c>
      <c r="AE1904" s="13" t="n">
        <f aca="false">(M1904-AVERAGE(M$2:M$2001))/STDEV(M$2:M$2001)</f>
        <v>-0.294516989957784</v>
      </c>
      <c r="AF1904" s="13" t="n">
        <f aca="false">(N1904-AVERAGE(N$2:N$2001))/STDEV(N$2:N$2001)</f>
        <v>-0.826234805263963</v>
      </c>
      <c r="AG1904" s="13" t="n">
        <f aca="false">(O1904-AVERAGE(O$2:O$2001))/STDEV(O$2:O$2001)</f>
        <v>-0.962678144709384</v>
      </c>
      <c r="AH1904" s="0" t="str">
        <f aca="false">IF(B1904="Company","C3 - Corporate Buyers",IF(AND(H1904="Investment",M1904&gt;'Segmentation Summary'!$C$1),"C1 - Global Investors",IF(AND(I1904&gt;=4,M1904&gt;'Segmentation Summary'!$C$1),"C4 - Luxury Investors",IF(AND(D1904&lt;'Segmentation Summary'!$C$2,J1904=1),"C2 - First-Time Buyers","C5 - Other Individual Buyers"))))</f>
        <v>C2 - First-Time Buyers</v>
      </c>
    </row>
    <row r="1905" customFormat="false" ht="15" hidden="false" customHeight="true" outlineLevel="0" collapsed="false">
      <c r="A1905" s="13" t="s">
        <v>3788</v>
      </c>
      <c r="B1905" s="13" t="s">
        <v>34</v>
      </c>
      <c r="C1905" s="13" t="s">
        <v>3789</v>
      </c>
      <c r="D1905" s="13" t="n">
        <v>69</v>
      </c>
      <c r="E1905" s="13" t="s">
        <v>83</v>
      </c>
      <c r="F1905" s="13" t="s">
        <v>33</v>
      </c>
      <c r="G1905" s="13" t="s">
        <v>162</v>
      </c>
      <c r="H1905" s="13" t="s">
        <v>41</v>
      </c>
      <c r="I1905" s="13" t="n">
        <v>1</v>
      </c>
      <c r="J1905" s="13" t="n">
        <v>1</v>
      </c>
      <c r="K1905" s="13" t="s">
        <v>85</v>
      </c>
      <c r="L1905" s="13" t="n">
        <v>4</v>
      </c>
      <c r="M1905" s="13" t="n">
        <v>1339827.27</v>
      </c>
      <c r="N1905" s="13" t="n">
        <v>334956.8175</v>
      </c>
      <c r="O1905" s="13" t="n">
        <v>1030.21</v>
      </c>
      <c r="P1905" s="13" t="n">
        <v>1</v>
      </c>
      <c r="Q1905" s="13" t="n">
        <v>3</v>
      </c>
      <c r="R1905" s="13" t="s">
        <v>150</v>
      </c>
      <c r="S1905" s="13" t="s">
        <v>125</v>
      </c>
      <c r="T1905" s="13" t="n">
        <v>1</v>
      </c>
      <c r="U1905" s="13" t="n">
        <f aca="false">IF(B1905="Individual",1,0)</f>
        <v>1</v>
      </c>
      <c r="V1905" s="13" t="n">
        <f aca="false">IF(B1905="Company",1,0)</f>
        <v>0</v>
      </c>
      <c r="W1905" s="13" t="n">
        <f aca="false">IF(H1905="Home",1,0)</f>
        <v>1</v>
      </c>
      <c r="X1905" s="13" t="n">
        <f aca="false">IF(H1905="Investment",1,0)</f>
        <v>0</v>
      </c>
      <c r="Y1905" s="13" t="n">
        <f aca="false">IF(K1905="Website",1,0)</f>
        <v>1</v>
      </c>
      <c r="Z1905" s="13" t="n">
        <f aca="false">IF(K1905="Agency",1,0)</f>
        <v>0</v>
      </c>
      <c r="AA1905" s="13" t="n">
        <f aca="false">IF(K1905="Client",1,0)</f>
        <v>0</v>
      </c>
      <c r="AB1905" s="13" t="n">
        <f aca="false">(D1905-AVERAGE(D$2:D$2001))/STDEV(D$2:D$2001)</f>
        <v>0.857037075920391</v>
      </c>
      <c r="AC1905" s="13" t="n">
        <f aca="false">(I1905-AVERAGE(I$2:I$2001))/STDEV(I$2:I$2001)</f>
        <v>-1.43538077576244</v>
      </c>
      <c r="AD1905" s="13" t="n">
        <f aca="false">(L1905-AVERAGE(L$2:L$2001))/STDEV(L$2:L$2001)</f>
        <v>0.413838214490712</v>
      </c>
      <c r="AE1905" s="13" t="n">
        <f aca="false">(M1905-AVERAGE(M$2:M$2001))/STDEV(M$2:M$2001)</f>
        <v>0.228420888708619</v>
      </c>
      <c r="AF1905" s="13" t="n">
        <f aca="false">(N1905-AVERAGE(N$2:N$2001))/STDEV(N$2:N$2001)</f>
        <v>-0.174022107475905</v>
      </c>
      <c r="AG1905" s="13" t="n">
        <f aca="false">(O1905-AVERAGE(O$2:O$2001))/STDEV(O$2:O$2001)</f>
        <v>-0.53323157759897</v>
      </c>
      <c r="AH1905" s="0" t="str">
        <f aca="false">IF(B1905="Company","C3 - Corporate Buyers",IF(AND(H1905="Investment",M1905&gt;'Segmentation Summary'!$C$1),"C1 - Global Investors",IF(AND(I1905&gt;=4,M1905&gt;'Segmentation Summary'!$C$1),"C4 - Luxury Investors",IF(AND(D1905&lt;'Segmentation Summary'!$C$2,J1905=1),"C2 - First-Time Buyers","C5 - Other Individual Buyers"))))</f>
        <v>C5 - Other Individual Buyers</v>
      </c>
    </row>
    <row r="1906" customFormat="false" ht="15" hidden="false" customHeight="true" outlineLevel="0" collapsed="false">
      <c r="A1906" s="13" t="s">
        <v>3790</v>
      </c>
      <c r="B1906" s="13" t="s">
        <v>34</v>
      </c>
      <c r="C1906" s="13" t="s">
        <v>3791</v>
      </c>
      <c r="D1906" s="13" t="n">
        <v>84</v>
      </c>
      <c r="E1906" s="13" t="s">
        <v>83</v>
      </c>
      <c r="F1906" s="13" t="s">
        <v>33</v>
      </c>
      <c r="G1906" s="13" t="s">
        <v>84</v>
      </c>
      <c r="H1906" s="13" t="s">
        <v>41</v>
      </c>
      <c r="I1906" s="13" t="n">
        <v>3</v>
      </c>
      <c r="J1906" s="13" t="n">
        <v>0</v>
      </c>
      <c r="K1906" s="13" t="s">
        <v>85</v>
      </c>
      <c r="L1906" s="13" t="n">
        <v>3</v>
      </c>
      <c r="M1906" s="13" t="n">
        <v>1643383.67</v>
      </c>
      <c r="N1906" s="13" t="n">
        <v>547794.556666667</v>
      </c>
      <c r="O1906" s="13" t="n">
        <v>1680.52666666667</v>
      </c>
      <c r="P1906" s="13" t="n">
        <v>0</v>
      </c>
      <c r="Q1906" s="13" t="n">
        <v>3</v>
      </c>
      <c r="R1906" s="13" t="s">
        <v>101</v>
      </c>
      <c r="S1906" s="13" t="s">
        <v>124</v>
      </c>
      <c r="T1906" s="13" t="n">
        <v>1</v>
      </c>
      <c r="U1906" s="13" t="n">
        <f aca="false">IF(B1906="Individual",1,0)</f>
        <v>1</v>
      </c>
      <c r="V1906" s="13" t="n">
        <f aca="false">IF(B1906="Company",1,0)</f>
        <v>0</v>
      </c>
      <c r="W1906" s="13" t="n">
        <f aca="false">IF(H1906="Home",1,0)</f>
        <v>1</v>
      </c>
      <c r="X1906" s="13" t="n">
        <f aca="false">IF(H1906="Investment",1,0)</f>
        <v>0</v>
      </c>
      <c r="Y1906" s="13" t="n">
        <f aca="false">IF(K1906="Website",1,0)</f>
        <v>1</v>
      </c>
      <c r="Z1906" s="13" t="n">
        <f aca="false">IF(K1906="Agency",1,0)</f>
        <v>0</v>
      </c>
      <c r="AA1906" s="13" t="n">
        <f aca="false">IF(K1906="Client",1,0)</f>
        <v>0</v>
      </c>
      <c r="AB1906" s="13" t="n">
        <f aca="false">(D1906-AVERAGE(D$2:D$2001))/STDEV(D$2:D$2001)</f>
        <v>1.72197390824266</v>
      </c>
      <c r="AC1906" s="13" t="n">
        <f aca="false">(I1906-AVERAGE(I$2:I$2001))/STDEV(I$2:I$2001)</f>
        <v>-0.0205155458339628</v>
      </c>
      <c r="AD1906" s="13" t="n">
        <f aca="false">(L1906-AVERAGE(L$2:L$2001))/STDEV(L$2:L$2001)</f>
        <v>-0.777063122173208</v>
      </c>
      <c r="AE1906" s="13" t="n">
        <f aca="false">(M1906-AVERAGE(M$2:M$2001))/STDEV(M$2:M$2001)</f>
        <v>1.10113405259994</v>
      </c>
      <c r="AF1906" s="13" t="n">
        <f aca="false">(N1906-AVERAGE(N$2:N$2001))/STDEV(N$2:N$2001)</f>
        <v>2.87864825639522</v>
      </c>
      <c r="AG1906" s="13" t="n">
        <f aca="false">(O1906-AVERAGE(O$2:O$2001))/STDEV(O$2:O$2001)</f>
        <v>2.42379378144268</v>
      </c>
      <c r="AH1906" s="0" t="str">
        <f aca="false">IF(B1906="Company","C3 - Corporate Buyers",IF(AND(H1906="Investment",M1906&gt;'Segmentation Summary'!$C$1),"C1 - Global Investors",IF(AND(I1906&gt;=4,M1906&gt;'Segmentation Summary'!$C$1),"C4 - Luxury Investors",IF(AND(D1906&lt;'Segmentation Summary'!$C$2,J1906=1),"C2 - First-Time Buyers","C5 - Other Individual Buyers"))))</f>
        <v>C5 - Other Individual Buyers</v>
      </c>
    </row>
    <row r="1907" customFormat="false" ht="15" hidden="false" customHeight="true" outlineLevel="0" collapsed="false">
      <c r="A1907" s="13" t="s">
        <v>3792</v>
      </c>
      <c r="B1907" s="13" t="s">
        <v>34</v>
      </c>
      <c r="C1907" s="13" t="s">
        <v>3793</v>
      </c>
      <c r="D1907" s="13" t="n">
        <v>52</v>
      </c>
      <c r="E1907" s="13" t="s">
        <v>83</v>
      </c>
      <c r="F1907" s="13" t="s">
        <v>33</v>
      </c>
      <c r="G1907" s="13" t="s">
        <v>84</v>
      </c>
      <c r="H1907" s="13" t="s">
        <v>41</v>
      </c>
      <c r="I1907" s="13" t="n">
        <v>1</v>
      </c>
      <c r="J1907" s="13" t="n">
        <v>1</v>
      </c>
      <c r="K1907" s="13" t="s">
        <v>85</v>
      </c>
      <c r="L1907" s="13" t="n">
        <v>4</v>
      </c>
      <c r="M1907" s="13" t="n">
        <v>1816669.2</v>
      </c>
      <c r="N1907" s="13" t="n">
        <v>454167.3</v>
      </c>
      <c r="O1907" s="13" t="n">
        <v>1449.3775</v>
      </c>
      <c r="P1907" s="13" t="n">
        <v>2</v>
      </c>
      <c r="Q1907" s="13" t="n">
        <v>2</v>
      </c>
      <c r="R1907" s="13" t="s">
        <v>101</v>
      </c>
      <c r="S1907" s="13" t="s">
        <v>215</v>
      </c>
      <c r="T1907" s="13" t="n">
        <v>1</v>
      </c>
      <c r="U1907" s="13" t="n">
        <f aca="false">IF(B1907="Individual",1,0)</f>
        <v>1</v>
      </c>
      <c r="V1907" s="13" t="n">
        <f aca="false">IF(B1907="Company",1,0)</f>
        <v>0</v>
      </c>
      <c r="W1907" s="13" t="n">
        <f aca="false">IF(H1907="Home",1,0)</f>
        <v>1</v>
      </c>
      <c r="X1907" s="13" t="n">
        <f aca="false">IF(H1907="Investment",1,0)</f>
        <v>0</v>
      </c>
      <c r="Y1907" s="13" t="n">
        <f aca="false">IF(K1907="Website",1,0)</f>
        <v>1</v>
      </c>
      <c r="Z1907" s="13" t="n">
        <f aca="false">IF(K1907="Agency",1,0)</f>
        <v>0</v>
      </c>
      <c r="AA1907" s="13" t="n">
        <f aca="false">IF(K1907="Client",1,0)</f>
        <v>0</v>
      </c>
      <c r="AB1907" s="13" t="n">
        <f aca="false">(D1907-AVERAGE(D$2:D$2001))/STDEV(D$2:D$2001)</f>
        <v>-0.123224667378179</v>
      </c>
      <c r="AC1907" s="13" t="n">
        <f aca="false">(I1907-AVERAGE(I$2:I$2001))/STDEV(I$2:I$2001)</f>
        <v>-1.43538077576244</v>
      </c>
      <c r="AD1907" s="13" t="n">
        <f aca="false">(L1907-AVERAGE(L$2:L$2001))/STDEV(L$2:L$2001)</f>
        <v>0.413838214490712</v>
      </c>
      <c r="AE1907" s="13" t="n">
        <f aca="false">(M1907-AVERAGE(M$2:M$2001))/STDEV(M$2:M$2001)</f>
        <v>1.59932339449121</v>
      </c>
      <c r="AF1907" s="13" t="n">
        <f aca="false">(N1907-AVERAGE(N$2:N$2001))/STDEV(N$2:N$2001)</f>
        <v>1.53577949263205</v>
      </c>
      <c r="AG1907" s="13" t="n">
        <f aca="false">(O1907-AVERAGE(O$2:O$2001))/STDEV(O$2:O$2001)</f>
        <v>1.37274591109026</v>
      </c>
      <c r="AH1907" s="0" t="str">
        <f aca="false">IF(B1907="Company","C3 - Corporate Buyers",IF(AND(H1907="Investment",M1907&gt;'Segmentation Summary'!$C$1),"C1 - Global Investors",IF(AND(I1907&gt;=4,M1907&gt;'Segmentation Summary'!$C$1),"C4 - Luxury Investors",IF(AND(D1907&lt;'Segmentation Summary'!$C$2,J1907=1),"C2 - First-Time Buyers","C5 - Other Individual Buyers"))))</f>
        <v>C2 - First-Time Buyers</v>
      </c>
    </row>
    <row r="1908" customFormat="false" ht="15" hidden="false" customHeight="true" outlineLevel="0" collapsed="false">
      <c r="A1908" s="13" t="s">
        <v>3794</v>
      </c>
      <c r="B1908" s="13" t="s">
        <v>34</v>
      </c>
      <c r="C1908" s="13" t="s">
        <v>3795</v>
      </c>
      <c r="D1908" s="13" t="n">
        <v>77</v>
      </c>
      <c r="E1908" s="13" t="s">
        <v>83</v>
      </c>
      <c r="F1908" s="13" t="s">
        <v>33</v>
      </c>
      <c r="G1908" s="13" t="s">
        <v>106</v>
      </c>
      <c r="H1908" s="13" t="s">
        <v>41</v>
      </c>
      <c r="I1908" s="13" t="n">
        <v>4</v>
      </c>
      <c r="J1908" s="13" t="n">
        <v>0</v>
      </c>
      <c r="K1908" s="13" t="s">
        <v>85</v>
      </c>
      <c r="L1908" s="13" t="n">
        <v>3</v>
      </c>
      <c r="M1908" s="13" t="n">
        <v>870451.65</v>
      </c>
      <c r="N1908" s="13" t="n">
        <v>290150.55</v>
      </c>
      <c r="O1908" s="13" t="n">
        <v>934.873333333333</v>
      </c>
      <c r="P1908" s="13" t="n">
        <v>1</v>
      </c>
      <c r="Q1908" s="13" t="n">
        <v>2</v>
      </c>
      <c r="R1908" s="13" t="s">
        <v>124</v>
      </c>
      <c r="S1908" s="13" t="s">
        <v>103</v>
      </c>
      <c r="T1908" s="13" t="n">
        <v>1</v>
      </c>
      <c r="U1908" s="13" t="n">
        <f aca="false">IF(B1908="Individual",1,0)</f>
        <v>1</v>
      </c>
      <c r="V1908" s="13" t="n">
        <f aca="false">IF(B1908="Company",1,0)</f>
        <v>0</v>
      </c>
      <c r="W1908" s="13" t="n">
        <f aca="false">IF(H1908="Home",1,0)</f>
        <v>1</v>
      </c>
      <c r="X1908" s="13" t="n">
        <f aca="false">IF(H1908="Investment",1,0)</f>
        <v>0</v>
      </c>
      <c r="Y1908" s="13" t="n">
        <f aca="false">IF(K1908="Website",1,0)</f>
        <v>1</v>
      </c>
      <c r="Z1908" s="13" t="n">
        <f aca="false">IF(K1908="Agency",1,0)</f>
        <v>0</v>
      </c>
      <c r="AA1908" s="13" t="n">
        <f aca="false">IF(K1908="Client",1,0)</f>
        <v>0</v>
      </c>
      <c r="AB1908" s="13" t="n">
        <f aca="false">(D1908-AVERAGE(D$2:D$2001))/STDEV(D$2:D$2001)</f>
        <v>1.3183367198256</v>
      </c>
      <c r="AC1908" s="13" t="n">
        <f aca="false">(I1908-AVERAGE(I$2:I$2001))/STDEV(I$2:I$2001)</f>
        <v>0.686917069130275</v>
      </c>
      <c r="AD1908" s="13" t="n">
        <f aca="false">(L1908-AVERAGE(L$2:L$2001))/STDEV(L$2:L$2001)</f>
        <v>-0.777063122173208</v>
      </c>
      <c r="AE1908" s="13" t="n">
        <f aca="false">(M1908-AVERAGE(M$2:M$2001))/STDEV(M$2:M$2001)</f>
        <v>-1.1210162583377</v>
      </c>
      <c r="AF1908" s="13" t="n">
        <f aca="false">(N1908-AVERAGE(N$2:N$2001))/STDEV(N$2:N$2001)</f>
        <v>-0.816665491344141</v>
      </c>
      <c r="AG1908" s="13" t="n">
        <f aca="false">(O1908-AVERAGE(O$2:O$2001))/STDEV(O$2:O$2001)</f>
        <v>-0.966732601684416</v>
      </c>
      <c r="AH1908" s="0" t="str">
        <f aca="false">IF(B1908="Company","C3 - Corporate Buyers",IF(AND(H1908="Investment",M1908&gt;'Segmentation Summary'!$C$1),"C1 - Global Investors",IF(AND(I1908&gt;=4,M1908&gt;'Segmentation Summary'!$C$1),"C4 - Luxury Investors",IF(AND(D1908&lt;'Segmentation Summary'!$C$2,J1908=1),"C2 - First-Time Buyers","C5 - Other Individual Buyers"))))</f>
        <v>C5 - Other Individual Buyers</v>
      </c>
    </row>
    <row r="1909" customFormat="false" ht="15" hidden="false" customHeight="true" outlineLevel="0" collapsed="false">
      <c r="A1909" s="13" t="s">
        <v>3796</v>
      </c>
      <c r="B1909" s="13" t="s">
        <v>34</v>
      </c>
      <c r="C1909" s="13" t="s">
        <v>3797</v>
      </c>
      <c r="D1909" s="13" t="n">
        <v>24</v>
      </c>
      <c r="E1909" s="13" t="s">
        <v>83</v>
      </c>
      <c r="F1909" s="13" t="s">
        <v>33</v>
      </c>
      <c r="G1909" s="13" t="s">
        <v>95</v>
      </c>
      <c r="H1909" s="13" t="s">
        <v>43</v>
      </c>
      <c r="I1909" s="13" t="n">
        <v>5</v>
      </c>
      <c r="J1909" s="13" t="n">
        <v>0</v>
      </c>
      <c r="K1909" s="13" t="s">
        <v>91</v>
      </c>
      <c r="L1909" s="13" t="n">
        <v>4</v>
      </c>
      <c r="M1909" s="13" t="n">
        <v>1363559.13</v>
      </c>
      <c r="N1909" s="13" t="n">
        <v>340889.7825</v>
      </c>
      <c r="O1909" s="13" t="n">
        <v>1042.1975</v>
      </c>
      <c r="P1909" s="13" t="n">
        <v>1</v>
      </c>
      <c r="Q1909" s="13" t="n">
        <v>3</v>
      </c>
      <c r="R1909" s="13" t="s">
        <v>150</v>
      </c>
      <c r="S1909" s="13" t="s">
        <v>87</v>
      </c>
      <c r="T1909" s="13" t="n">
        <v>1</v>
      </c>
      <c r="U1909" s="13" t="n">
        <f aca="false">IF(B1909="Individual",1,0)</f>
        <v>1</v>
      </c>
      <c r="V1909" s="13" t="n">
        <f aca="false">IF(B1909="Company",1,0)</f>
        <v>0</v>
      </c>
      <c r="W1909" s="13" t="n">
        <f aca="false">IF(H1909="Home",1,0)</f>
        <v>0</v>
      </c>
      <c r="X1909" s="13" t="n">
        <f aca="false">IF(H1909="Investment",1,0)</f>
        <v>1</v>
      </c>
      <c r="Y1909" s="13" t="n">
        <f aca="false">IF(K1909="Website",1,0)</f>
        <v>0</v>
      </c>
      <c r="Z1909" s="13" t="n">
        <f aca="false">IF(K1909="Agency",1,0)</f>
        <v>1</v>
      </c>
      <c r="AA1909" s="13" t="n">
        <f aca="false">IF(K1909="Client",1,0)</f>
        <v>0</v>
      </c>
      <c r="AB1909" s="13" t="n">
        <f aca="false">(D1909-AVERAGE(D$2:D$2001))/STDEV(D$2:D$2001)</f>
        <v>-1.73777342104641</v>
      </c>
      <c r="AC1909" s="13" t="n">
        <f aca="false">(I1909-AVERAGE(I$2:I$2001))/STDEV(I$2:I$2001)</f>
        <v>1.39434968409451</v>
      </c>
      <c r="AD1909" s="13" t="n">
        <f aca="false">(L1909-AVERAGE(L$2:L$2001))/STDEV(L$2:L$2001)</f>
        <v>0.413838214490712</v>
      </c>
      <c r="AE1909" s="13" t="n">
        <f aca="false">(M1909-AVERAGE(M$2:M$2001))/STDEV(M$2:M$2001)</f>
        <v>0.296649088231429</v>
      </c>
      <c r="AF1909" s="13" t="n">
        <f aca="false">(N1909-AVERAGE(N$2:N$2001))/STDEV(N$2:N$2001)</f>
        <v>-0.0889273000592462</v>
      </c>
      <c r="AG1909" s="13" t="n">
        <f aca="false">(O1909-AVERAGE(O$2:O$2001))/STDEV(O$2:O$2001)</f>
        <v>-0.478723761163626</v>
      </c>
      <c r="AH1909" s="0" t="str">
        <f aca="false">IF(B1909="Company","C3 - Corporate Buyers",IF(AND(H1909="Investment",M1909&gt;'Segmentation Summary'!$C$1),"C1 - Global Investors",IF(AND(I1909&gt;=4,M1909&gt;'Segmentation Summary'!$C$1),"C4 - Luxury Investors",IF(AND(D1909&lt;'Segmentation Summary'!$C$2,J1909=1),"C2 - First-Time Buyers","C5 - Other Individual Buyers"))))</f>
        <v>C1 - Global Investors</v>
      </c>
    </row>
    <row r="1910" customFormat="false" ht="15" hidden="false" customHeight="true" outlineLevel="0" collapsed="false">
      <c r="A1910" s="13" t="s">
        <v>3798</v>
      </c>
      <c r="B1910" s="13" t="s">
        <v>34</v>
      </c>
      <c r="C1910" s="13" t="s">
        <v>3799</v>
      </c>
      <c r="D1910" s="13" t="n">
        <v>24</v>
      </c>
      <c r="E1910" s="13" t="s">
        <v>83</v>
      </c>
      <c r="F1910" s="13" t="s">
        <v>33</v>
      </c>
      <c r="G1910" s="13" t="s">
        <v>157</v>
      </c>
      <c r="H1910" s="13" t="s">
        <v>43</v>
      </c>
      <c r="I1910" s="13" t="n">
        <v>1</v>
      </c>
      <c r="J1910" s="13" t="n">
        <v>1</v>
      </c>
      <c r="K1910" s="13" t="s">
        <v>85</v>
      </c>
      <c r="L1910" s="13" t="n">
        <v>4</v>
      </c>
      <c r="M1910" s="13" t="n">
        <v>1063833.91</v>
      </c>
      <c r="N1910" s="13" t="n">
        <v>265958.4775</v>
      </c>
      <c r="O1910" s="13" t="n">
        <v>896.2525</v>
      </c>
      <c r="P1910" s="13" t="n">
        <v>0</v>
      </c>
      <c r="Q1910" s="13" t="n">
        <v>4</v>
      </c>
      <c r="R1910" s="13" t="s">
        <v>101</v>
      </c>
      <c r="S1910" s="13" t="s">
        <v>154</v>
      </c>
      <c r="T1910" s="13" t="n">
        <v>1</v>
      </c>
      <c r="U1910" s="13" t="n">
        <f aca="false">IF(B1910="Individual",1,0)</f>
        <v>1</v>
      </c>
      <c r="V1910" s="13" t="n">
        <f aca="false">IF(B1910="Company",1,0)</f>
        <v>0</v>
      </c>
      <c r="W1910" s="13" t="n">
        <f aca="false">IF(H1910="Home",1,0)</f>
        <v>0</v>
      </c>
      <c r="X1910" s="13" t="n">
        <f aca="false">IF(H1910="Investment",1,0)</f>
        <v>1</v>
      </c>
      <c r="Y1910" s="13" t="n">
        <f aca="false">IF(K1910="Website",1,0)</f>
        <v>1</v>
      </c>
      <c r="Z1910" s="13" t="n">
        <f aca="false">IF(K1910="Agency",1,0)</f>
        <v>0</v>
      </c>
      <c r="AA1910" s="13" t="n">
        <f aca="false">IF(K1910="Client",1,0)</f>
        <v>0</v>
      </c>
      <c r="AB1910" s="13" t="n">
        <f aca="false">(D1910-AVERAGE(D$2:D$2001))/STDEV(D$2:D$2001)</f>
        <v>-1.73777342104641</v>
      </c>
      <c r="AC1910" s="13" t="n">
        <f aca="false">(I1910-AVERAGE(I$2:I$2001))/STDEV(I$2:I$2001)</f>
        <v>-1.43538077576244</v>
      </c>
      <c r="AD1910" s="13" t="n">
        <f aca="false">(L1910-AVERAGE(L$2:L$2001))/STDEV(L$2:L$2001)</f>
        <v>0.413838214490712</v>
      </c>
      <c r="AE1910" s="13" t="n">
        <f aca="false">(M1910-AVERAGE(M$2:M$2001))/STDEV(M$2:M$2001)</f>
        <v>-0.565049578125868</v>
      </c>
      <c r="AF1910" s="13" t="n">
        <f aca="false">(N1910-AVERAGE(N$2:N$2001))/STDEV(N$2:N$2001)</f>
        <v>-1.16364541628847</v>
      </c>
      <c r="AG1910" s="13" t="n">
        <f aca="false">(O1910-AVERAGE(O$2:O$2001))/STDEV(O$2:O$2001)</f>
        <v>-1.14234363767302</v>
      </c>
      <c r="AH1910" s="0" t="str">
        <f aca="false">IF(B1910="Company","C3 - Corporate Buyers",IF(AND(H1910="Investment",M1910&gt;'Segmentation Summary'!$C$1),"C1 - Global Investors",IF(AND(I1910&gt;=4,M1910&gt;'Segmentation Summary'!$C$1),"C4 - Luxury Investors",IF(AND(D1910&lt;'Segmentation Summary'!$C$2,J1910=1),"C2 - First-Time Buyers","C5 - Other Individual Buyers"))))</f>
        <v>C2 - First-Time Buyers</v>
      </c>
    </row>
    <row r="1911" customFormat="false" ht="15" hidden="false" customHeight="true" outlineLevel="0" collapsed="false">
      <c r="A1911" s="13" t="s">
        <v>3800</v>
      </c>
      <c r="B1911" s="13" t="s">
        <v>34</v>
      </c>
      <c r="C1911" s="13" t="s">
        <v>3801</v>
      </c>
      <c r="D1911" s="13" t="n">
        <v>82</v>
      </c>
      <c r="E1911" s="13" t="s">
        <v>83</v>
      </c>
      <c r="F1911" s="13" t="s">
        <v>33</v>
      </c>
      <c r="G1911" s="13" t="s">
        <v>207</v>
      </c>
      <c r="H1911" s="13" t="s">
        <v>41</v>
      </c>
      <c r="I1911" s="13" t="n">
        <v>5</v>
      </c>
      <c r="J1911" s="13" t="n">
        <v>0</v>
      </c>
      <c r="K1911" s="13" t="s">
        <v>85</v>
      </c>
      <c r="L1911" s="13" t="n">
        <v>3</v>
      </c>
      <c r="M1911" s="13" t="n">
        <v>786877.06</v>
      </c>
      <c r="N1911" s="13" t="n">
        <v>262292.353333333</v>
      </c>
      <c r="O1911" s="13" t="n">
        <v>801.46</v>
      </c>
      <c r="P1911" s="13" t="n">
        <v>0</v>
      </c>
      <c r="Q1911" s="13" t="n">
        <v>3</v>
      </c>
      <c r="R1911" s="13" t="s">
        <v>92</v>
      </c>
      <c r="S1911" s="13" t="s">
        <v>135</v>
      </c>
      <c r="T1911" s="13" t="n">
        <v>1</v>
      </c>
      <c r="U1911" s="13" t="n">
        <f aca="false">IF(B1911="Individual",1,0)</f>
        <v>1</v>
      </c>
      <c r="V1911" s="13" t="n">
        <f aca="false">IF(B1911="Company",1,0)</f>
        <v>0</v>
      </c>
      <c r="W1911" s="13" t="n">
        <f aca="false">IF(H1911="Home",1,0)</f>
        <v>1</v>
      </c>
      <c r="X1911" s="13" t="n">
        <f aca="false">IF(H1911="Investment",1,0)</f>
        <v>0</v>
      </c>
      <c r="Y1911" s="13" t="n">
        <f aca="false">IF(K1911="Website",1,0)</f>
        <v>1</v>
      </c>
      <c r="Z1911" s="13" t="n">
        <f aca="false">IF(K1911="Agency",1,0)</f>
        <v>0</v>
      </c>
      <c r="AA1911" s="13" t="n">
        <f aca="false">IF(K1911="Client",1,0)</f>
        <v>0</v>
      </c>
      <c r="AB1911" s="13" t="n">
        <f aca="false">(D1911-AVERAGE(D$2:D$2001))/STDEV(D$2:D$2001)</f>
        <v>1.60664899726636</v>
      </c>
      <c r="AC1911" s="13" t="n">
        <f aca="false">(I1911-AVERAGE(I$2:I$2001))/STDEV(I$2:I$2001)</f>
        <v>1.39434968409451</v>
      </c>
      <c r="AD1911" s="13" t="n">
        <f aca="false">(L1911-AVERAGE(L$2:L$2001))/STDEV(L$2:L$2001)</f>
        <v>-0.777063122173208</v>
      </c>
      <c r="AE1911" s="13" t="n">
        <f aca="false">(M1911-AVERAGE(M$2:M$2001))/STDEV(M$2:M$2001)</f>
        <v>-1.36129004225337</v>
      </c>
      <c r="AF1911" s="13" t="n">
        <f aca="false">(N1911-AVERAGE(N$2:N$2001))/STDEV(N$2:N$2001)</f>
        <v>-1.21622757882071</v>
      </c>
      <c r="AG1911" s="13" t="n">
        <f aca="false">(O1911-AVERAGE(O$2:O$2001))/STDEV(O$2:O$2001)</f>
        <v>-1.57337030624005</v>
      </c>
      <c r="AH1911" s="0" t="str">
        <f aca="false">IF(B1911="Company","C3 - Corporate Buyers",IF(AND(H1911="Investment",M1911&gt;'Segmentation Summary'!$C$1),"C1 - Global Investors",IF(AND(I1911&gt;=4,M1911&gt;'Segmentation Summary'!$C$1),"C4 - Luxury Investors",IF(AND(D1911&lt;'Segmentation Summary'!$C$2,J1911=1),"C2 - First-Time Buyers","C5 - Other Individual Buyers"))))</f>
        <v>C5 - Other Individual Buyers</v>
      </c>
    </row>
    <row r="1912" customFormat="false" ht="15" hidden="false" customHeight="true" outlineLevel="0" collapsed="false">
      <c r="A1912" s="13" t="s">
        <v>3802</v>
      </c>
      <c r="B1912" s="13" t="s">
        <v>34</v>
      </c>
      <c r="C1912" s="13" t="s">
        <v>3803</v>
      </c>
      <c r="D1912" s="13" t="n">
        <v>35</v>
      </c>
      <c r="E1912" s="13" t="s">
        <v>83</v>
      </c>
      <c r="F1912" s="13" t="s">
        <v>35</v>
      </c>
      <c r="G1912" s="13" t="s">
        <v>374</v>
      </c>
      <c r="H1912" s="13" t="s">
        <v>41</v>
      </c>
      <c r="I1912" s="13" t="n">
        <v>2</v>
      </c>
      <c r="J1912" s="13" t="n">
        <v>1</v>
      </c>
      <c r="K1912" s="13" t="s">
        <v>85</v>
      </c>
      <c r="L1912" s="13" t="n">
        <v>4</v>
      </c>
      <c r="M1912" s="13" t="n">
        <v>1036681.19</v>
      </c>
      <c r="N1912" s="13" t="n">
        <v>259170.2975</v>
      </c>
      <c r="O1912" s="13" t="n">
        <v>948.835</v>
      </c>
      <c r="P1912" s="13" t="n">
        <v>0</v>
      </c>
      <c r="Q1912" s="13" t="n">
        <v>4</v>
      </c>
      <c r="R1912" s="13" t="s">
        <v>93</v>
      </c>
      <c r="S1912" s="13" t="s">
        <v>87</v>
      </c>
      <c r="T1912" s="13" t="n">
        <v>1</v>
      </c>
      <c r="U1912" s="13" t="n">
        <f aca="false">IF(B1912="Individual",1,0)</f>
        <v>1</v>
      </c>
      <c r="V1912" s="13" t="n">
        <f aca="false">IF(B1912="Company",1,0)</f>
        <v>0</v>
      </c>
      <c r="W1912" s="13" t="n">
        <f aca="false">IF(H1912="Home",1,0)</f>
        <v>1</v>
      </c>
      <c r="X1912" s="13" t="n">
        <f aca="false">IF(H1912="Investment",1,0)</f>
        <v>0</v>
      </c>
      <c r="Y1912" s="13" t="n">
        <f aca="false">IF(K1912="Website",1,0)</f>
        <v>1</v>
      </c>
      <c r="Z1912" s="13" t="n">
        <f aca="false">IF(K1912="Agency",1,0)</f>
        <v>0</v>
      </c>
      <c r="AA1912" s="13" t="n">
        <f aca="false">IF(K1912="Client",1,0)</f>
        <v>0</v>
      </c>
      <c r="AB1912" s="13" t="n">
        <f aca="false">(D1912-AVERAGE(D$2:D$2001))/STDEV(D$2:D$2001)</f>
        <v>-1.10348641067675</v>
      </c>
      <c r="AC1912" s="13" t="n">
        <f aca="false">(I1912-AVERAGE(I$2:I$2001))/STDEV(I$2:I$2001)</f>
        <v>-0.727948160798201</v>
      </c>
      <c r="AD1912" s="13" t="n">
        <f aca="false">(L1912-AVERAGE(L$2:L$2001))/STDEV(L$2:L$2001)</f>
        <v>0.413838214490712</v>
      </c>
      <c r="AE1912" s="13" t="n">
        <f aca="false">(M1912-AVERAGE(M$2:M$2001))/STDEV(M$2:M$2001)</f>
        <v>-0.643112620708581</v>
      </c>
      <c r="AF1912" s="13" t="n">
        <f aca="false">(N1912-AVERAGE(N$2:N$2001))/STDEV(N$2:N$2001)</f>
        <v>-1.26100632602073</v>
      </c>
      <c r="AG1912" s="13" t="n">
        <f aca="false">(O1912-AVERAGE(O$2:O$2001))/STDEV(O$2:O$2001)</f>
        <v>-0.903248141722109</v>
      </c>
      <c r="AH1912" s="0" t="str">
        <f aca="false">IF(B1912="Company","C3 - Corporate Buyers",IF(AND(H1912="Investment",M1912&gt;'Segmentation Summary'!$C$1),"C1 - Global Investors",IF(AND(I1912&gt;=4,M1912&gt;'Segmentation Summary'!$C$1),"C4 - Luxury Investors",IF(AND(D1912&lt;'Segmentation Summary'!$C$2,J1912=1),"C2 - First-Time Buyers","C5 - Other Individual Buyers"))))</f>
        <v>C2 - First-Time Buyers</v>
      </c>
    </row>
    <row r="1913" customFormat="false" ht="15" hidden="false" customHeight="true" outlineLevel="0" collapsed="false">
      <c r="A1913" s="13" t="s">
        <v>3804</v>
      </c>
      <c r="B1913" s="13" t="s">
        <v>34</v>
      </c>
      <c r="C1913" s="13" t="s">
        <v>3805</v>
      </c>
      <c r="D1913" s="13" t="n">
        <v>71</v>
      </c>
      <c r="E1913" s="13" t="s">
        <v>83</v>
      </c>
      <c r="F1913" s="13" t="s">
        <v>33</v>
      </c>
      <c r="G1913" s="13" t="s">
        <v>95</v>
      </c>
      <c r="H1913" s="13" t="s">
        <v>41</v>
      </c>
      <c r="I1913" s="13" t="n">
        <v>3</v>
      </c>
      <c r="J1913" s="13" t="n">
        <v>0</v>
      </c>
      <c r="K1913" s="13" t="s">
        <v>85</v>
      </c>
      <c r="L1913" s="13" t="n">
        <v>3</v>
      </c>
      <c r="M1913" s="13" t="n">
        <v>944335.88</v>
      </c>
      <c r="N1913" s="13" t="n">
        <v>314778.626666667</v>
      </c>
      <c r="O1913" s="13" t="n">
        <v>1015.94</v>
      </c>
      <c r="P1913" s="13" t="n">
        <v>2</v>
      </c>
      <c r="Q1913" s="13" t="n">
        <v>1</v>
      </c>
      <c r="R1913" s="13" t="s">
        <v>92</v>
      </c>
      <c r="S1913" s="13" t="s">
        <v>128</v>
      </c>
      <c r="T1913" s="13" t="n">
        <v>1</v>
      </c>
      <c r="U1913" s="13" t="n">
        <f aca="false">IF(B1913="Individual",1,0)</f>
        <v>1</v>
      </c>
      <c r="V1913" s="13" t="n">
        <f aca="false">IF(B1913="Company",1,0)</f>
        <v>0</v>
      </c>
      <c r="W1913" s="13" t="n">
        <f aca="false">IF(H1913="Home",1,0)</f>
        <v>1</v>
      </c>
      <c r="X1913" s="13" t="n">
        <f aca="false">IF(H1913="Investment",1,0)</f>
        <v>0</v>
      </c>
      <c r="Y1913" s="13" t="n">
        <f aca="false">IF(K1913="Website",1,0)</f>
        <v>1</v>
      </c>
      <c r="Z1913" s="13" t="n">
        <f aca="false">IF(K1913="Agency",1,0)</f>
        <v>0</v>
      </c>
      <c r="AA1913" s="13" t="n">
        <f aca="false">IF(K1913="Client",1,0)</f>
        <v>0</v>
      </c>
      <c r="AB1913" s="13" t="n">
        <f aca="false">(D1913-AVERAGE(D$2:D$2001))/STDEV(D$2:D$2001)</f>
        <v>0.972361986896694</v>
      </c>
      <c r="AC1913" s="13" t="n">
        <f aca="false">(I1913-AVERAGE(I$2:I$2001))/STDEV(I$2:I$2001)</f>
        <v>-0.0205155458339628</v>
      </c>
      <c r="AD1913" s="13" t="n">
        <f aca="false">(L1913-AVERAGE(L$2:L$2001))/STDEV(L$2:L$2001)</f>
        <v>-0.777063122173208</v>
      </c>
      <c r="AE1913" s="13" t="n">
        <f aca="false">(M1913-AVERAGE(M$2:M$2001))/STDEV(M$2:M$2001)</f>
        <v>-0.90860189275366</v>
      </c>
      <c r="AF1913" s="13" t="n">
        <f aca="false">(N1913-AVERAGE(N$2:N$2001))/STDEV(N$2:N$2001)</f>
        <v>-0.463432084271498</v>
      </c>
      <c r="AG1913" s="13" t="n">
        <f aca="false">(O1913-AVERAGE(O$2:O$2001))/STDEV(O$2:O$2001)</f>
        <v>-0.598118046047968</v>
      </c>
      <c r="AH1913" s="0" t="str">
        <f aca="false">IF(B1913="Company","C3 - Corporate Buyers",IF(AND(H1913="Investment",M1913&gt;'Segmentation Summary'!$C$1),"C1 - Global Investors",IF(AND(I1913&gt;=4,M1913&gt;'Segmentation Summary'!$C$1),"C4 - Luxury Investors",IF(AND(D1913&lt;'Segmentation Summary'!$C$2,J1913=1),"C2 - First-Time Buyers","C5 - Other Individual Buyers"))))</f>
        <v>C5 - Other Individual Buyers</v>
      </c>
    </row>
    <row r="1914" customFormat="false" ht="15" hidden="false" customHeight="true" outlineLevel="0" collapsed="false">
      <c r="A1914" s="13" t="s">
        <v>3806</v>
      </c>
      <c r="B1914" s="13" t="s">
        <v>34</v>
      </c>
      <c r="C1914" s="13" t="s">
        <v>3807</v>
      </c>
      <c r="D1914" s="13" t="n">
        <v>66</v>
      </c>
      <c r="E1914" s="13" t="s">
        <v>83</v>
      </c>
      <c r="F1914" s="13" t="s">
        <v>33</v>
      </c>
      <c r="G1914" s="13" t="s">
        <v>95</v>
      </c>
      <c r="H1914" s="13" t="s">
        <v>41</v>
      </c>
      <c r="I1914" s="13" t="n">
        <v>4</v>
      </c>
      <c r="J1914" s="13" t="n">
        <v>0</v>
      </c>
      <c r="K1914" s="13" t="s">
        <v>91</v>
      </c>
      <c r="L1914" s="13" t="n">
        <v>6</v>
      </c>
      <c r="M1914" s="13" t="n">
        <v>1998798.72</v>
      </c>
      <c r="N1914" s="13" t="n">
        <v>333133.12</v>
      </c>
      <c r="O1914" s="13" t="n">
        <v>1104.17</v>
      </c>
      <c r="P1914" s="13" t="n">
        <v>1</v>
      </c>
      <c r="Q1914" s="13" t="n">
        <v>5</v>
      </c>
      <c r="R1914" s="13" t="s">
        <v>121</v>
      </c>
      <c r="S1914" s="13" t="s">
        <v>133</v>
      </c>
      <c r="T1914" s="13" t="n">
        <v>1</v>
      </c>
      <c r="U1914" s="13" t="n">
        <f aca="false">IF(B1914="Individual",1,0)</f>
        <v>1</v>
      </c>
      <c r="V1914" s="13" t="n">
        <f aca="false">IF(B1914="Company",1,0)</f>
        <v>0</v>
      </c>
      <c r="W1914" s="13" t="n">
        <f aca="false">IF(H1914="Home",1,0)</f>
        <v>1</v>
      </c>
      <c r="X1914" s="13" t="n">
        <f aca="false">IF(H1914="Investment",1,0)</f>
        <v>0</v>
      </c>
      <c r="Y1914" s="13" t="n">
        <f aca="false">IF(K1914="Website",1,0)</f>
        <v>0</v>
      </c>
      <c r="Z1914" s="13" t="n">
        <f aca="false">IF(K1914="Agency",1,0)</f>
        <v>1</v>
      </c>
      <c r="AA1914" s="13" t="n">
        <f aca="false">IF(K1914="Client",1,0)</f>
        <v>0</v>
      </c>
      <c r="AB1914" s="13" t="n">
        <f aca="false">(D1914-AVERAGE(D$2:D$2001))/STDEV(D$2:D$2001)</f>
        <v>0.684049709455938</v>
      </c>
      <c r="AC1914" s="13" t="n">
        <f aca="false">(I1914-AVERAGE(I$2:I$2001))/STDEV(I$2:I$2001)</f>
        <v>0.686917069130275</v>
      </c>
      <c r="AD1914" s="13" t="n">
        <f aca="false">(L1914-AVERAGE(L$2:L$2001))/STDEV(L$2:L$2001)</f>
        <v>2.79564088781855</v>
      </c>
      <c r="AE1914" s="13" t="n">
        <f aca="false">(M1914-AVERAGE(M$2:M$2001))/STDEV(M$2:M$2001)</f>
        <v>2.12293887298947</v>
      </c>
      <c r="AF1914" s="13" t="n">
        <f aca="false">(N1914-AVERAGE(N$2:N$2001))/STDEV(N$2:N$2001)</f>
        <v>-0.200178875221668</v>
      </c>
      <c r="AG1914" s="13" t="n">
        <f aca="false">(O1914-AVERAGE(O$2:O$2001))/STDEV(O$2:O$2001)</f>
        <v>-0.196931422974732</v>
      </c>
      <c r="AH1914" s="0" t="str">
        <f aca="false">IF(B1914="Company","C3 - Corporate Buyers",IF(AND(H1914="Investment",M1914&gt;'Segmentation Summary'!$C$1),"C1 - Global Investors",IF(AND(I1914&gt;=4,M1914&gt;'Segmentation Summary'!$C$1),"C4 - Luxury Investors",IF(AND(D1914&lt;'Segmentation Summary'!$C$2,J1914=1),"C2 - First-Time Buyers","C5 - Other Individual Buyers"))))</f>
        <v>C4 - Luxury Investors</v>
      </c>
    </row>
    <row r="1915" customFormat="false" ht="15" hidden="false" customHeight="true" outlineLevel="0" collapsed="false">
      <c r="A1915" s="13" t="s">
        <v>3808</v>
      </c>
      <c r="B1915" s="13" t="s">
        <v>34</v>
      </c>
      <c r="C1915" s="13" t="s">
        <v>3809</v>
      </c>
      <c r="D1915" s="13" t="n">
        <v>68</v>
      </c>
      <c r="E1915" s="13" t="s">
        <v>83</v>
      </c>
      <c r="F1915" s="13" t="s">
        <v>33</v>
      </c>
      <c r="G1915" s="13" t="s">
        <v>95</v>
      </c>
      <c r="H1915" s="13" t="s">
        <v>41</v>
      </c>
      <c r="I1915" s="13" t="n">
        <v>5</v>
      </c>
      <c r="J1915" s="13" t="n">
        <v>0</v>
      </c>
      <c r="K1915" s="13" t="s">
        <v>91</v>
      </c>
      <c r="L1915" s="13" t="n">
        <v>6</v>
      </c>
      <c r="M1915" s="13" t="n">
        <v>1905852.09</v>
      </c>
      <c r="N1915" s="13" t="n">
        <v>317642.015</v>
      </c>
      <c r="O1915" s="13" t="n">
        <v>1067.28</v>
      </c>
      <c r="P1915" s="13" t="n">
        <v>0</v>
      </c>
      <c r="Q1915" s="13" t="n">
        <v>6</v>
      </c>
      <c r="R1915" s="13" t="s">
        <v>101</v>
      </c>
      <c r="S1915" s="13" t="s">
        <v>135</v>
      </c>
      <c r="T1915" s="13" t="n">
        <v>1</v>
      </c>
      <c r="U1915" s="13" t="n">
        <f aca="false">IF(B1915="Individual",1,0)</f>
        <v>1</v>
      </c>
      <c r="V1915" s="13" t="n">
        <f aca="false">IF(B1915="Company",1,0)</f>
        <v>0</v>
      </c>
      <c r="W1915" s="13" t="n">
        <f aca="false">IF(H1915="Home",1,0)</f>
        <v>1</v>
      </c>
      <c r="X1915" s="13" t="n">
        <f aca="false">IF(H1915="Investment",1,0)</f>
        <v>0</v>
      </c>
      <c r="Y1915" s="13" t="n">
        <f aca="false">IF(K1915="Website",1,0)</f>
        <v>0</v>
      </c>
      <c r="Z1915" s="13" t="n">
        <f aca="false">IF(K1915="Agency",1,0)</f>
        <v>1</v>
      </c>
      <c r="AA1915" s="13" t="n">
        <f aca="false">IF(K1915="Client",1,0)</f>
        <v>0</v>
      </c>
      <c r="AB1915" s="13" t="n">
        <f aca="false">(D1915-AVERAGE(D$2:D$2001))/STDEV(D$2:D$2001)</f>
        <v>0.79937462043224</v>
      </c>
      <c r="AC1915" s="13" t="n">
        <f aca="false">(I1915-AVERAGE(I$2:I$2001))/STDEV(I$2:I$2001)</f>
        <v>1.39434968409451</v>
      </c>
      <c r="AD1915" s="13" t="n">
        <f aca="false">(L1915-AVERAGE(L$2:L$2001))/STDEV(L$2:L$2001)</f>
        <v>2.79564088781855</v>
      </c>
      <c r="AE1915" s="13" t="n">
        <f aca="false">(M1915-AVERAGE(M$2:M$2001))/STDEV(M$2:M$2001)</f>
        <v>1.85572082869742</v>
      </c>
      <c r="AF1915" s="13" t="n">
        <f aca="false">(N1915-AVERAGE(N$2:N$2001))/STDEV(N$2:N$2001)</f>
        <v>-0.422363330489185</v>
      </c>
      <c r="AG1915" s="13" t="n">
        <f aca="false">(O1915-AVERAGE(O$2:O$2001))/STDEV(O$2:O$2001)</f>
        <v>-0.364672265377222</v>
      </c>
      <c r="AH1915" s="0" t="str">
        <f aca="false">IF(B1915="Company","C3 - Corporate Buyers",IF(AND(H1915="Investment",M1915&gt;'Segmentation Summary'!$C$1),"C1 - Global Investors",IF(AND(I1915&gt;=4,M1915&gt;'Segmentation Summary'!$C$1),"C4 - Luxury Investors",IF(AND(D1915&lt;'Segmentation Summary'!$C$2,J1915=1),"C2 - First-Time Buyers","C5 - Other Individual Buyers"))))</f>
        <v>C4 - Luxury Investors</v>
      </c>
    </row>
    <row r="1916" customFormat="false" ht="15" hidden="false" customHeight="true" outlineLevel="0" collapsed="false">
      <c r="A1916" s="13" t="s">
        <v>3810</v>
      </c>
      <c r="B1916" s="13" t="s">
        <v>34</v>
      </c>
      <c r="C1916" s="13" t="s">
        <v>3811</v>
      </c>
      <c r="D1916" s="13" t="n">
        <v>62</v>
      </c>
      <c r="E1916" s="13" t="s">
        <v>83</v>
      </c>
      <c r="F1916" s="13" t="s">
        <v>33</v>
      </c>
      <c r="G1916" s="13" t="s">
        <v>95</v>
      </c>
      <c r="H1916" s="13" t="s">
        <v>41</v>
      </c>
      <c r="I1916" s="13" t="n">
        <v>1</v>
      </c>
      <c r="J1916" s="13" t="n">
        <v>0</v>
      </c>
      <c r="K1916" s="13" t="s">
        <v>85</v>
      </c>
      <c r="L1916" s="13" t="n">
        <v>5</v>
      </c>
      <c r="M1916" s="13" t="n">
        <v>1841095.93</v>
      </c>
      <c r="N1916" s="13" t="n">
        <v>368219.186</v>
      </c>
      <c r="O1916" s="13" t="n">
        <v>1187.942</v>
      </c>
      <c r="P1916" s="13" t="n">
        <v>0</v>
      </c>
      <c r="Q1916" s="13" t="n">
        <v>5</v>
      </c>
      <c r="R1916" s="13" t="s">
        <v>92</v>
      </c>
      <c r="S1916" s="13" t="s">
        <v>87</v>
      </c>
      <c r="T1916" s="13" t="n">
        <v>1</v>
      </c>
      <c r="U1916" s="13" t="n">
        <f aca="false">IF(B1916="Individual",1,0)</f>
        <v>1</v>
      </c>
      <c r="V1916" s="13" t="n">
        <f aca="false">IF(B1916="Company",1,0)</f>
        <v>0</v>
      </c>
      <c r="W1916" s="13" t="n">
        <f aca="false">IF(H1916="Home",1,0)</f>
        <v>1</v>
      </c>
      <c r="X1916" s="13" t="n">
        <f aca="false">IF(H1916="Investment",1,0)</f>
        <v>0</v>
      </c>
      <c r="Y1916" s="13" t="n">
        <f aca="false">IF(K1916="Website",1,0)</f>
        <v>1</v>
      </c>
      <c r="Z1916" s="13" t="n">
        <f aca="false">IF(K1916="Agency",1,0)</f>
        <v>0</v>
      </c>
      <c r="AA1916" s="13" t="n">
        <f aca="false">IF(K1916="Client",1,0)</f>
        <v>0</v>
      </c>
      <c r="AB1916" s="13" t="n">
        <f aca="false">(D1916-AVERAGE(D$2:D$2001))/STDEV(D$2:D$2001)</f>
        <v>0.453399887503333</v>
      </c>
      <c r="AC1916" s="13" t="n">
        <f aca="false">(I1916-AVERAGE(I$2:I$2001))/STDEV(I$2:I$2001)</f>
        <v>-1.43538077576244</v>
      </c>
      <c r="AD1916" s="13" t="n">
        <f aca="false">(L1916-AVERAGE(L$2:L$2001))/STDEV(L$2:L$2001)</f>
        <v>1.60473955115463</v>
      </c>
      <c r="AE1916" s="13" t="n">
        <f aca="false">(M1916-AVERAGE(M$2:M$2001))/STDEV(M$2:M$2001)</f>
        <v>1.66954931897121</v>
      </c>
      <c r="AF1916" s="13" t="n">
        <f aca="false">(N1916-AVERAGE(N$2:N$2001))/STDEV(N$2:N$2001)</f>
        <v>0.30305045939908</v>
      </c>
      <c r="AG1916" s="13" t="n">
        <f aca="false">(O1916-AVERAGE(O$2:O$2001))/STDEV(O$2:O$2001)</f>
        <v>0.1839844309082</v>
      </c>
      <c r="AH1916" s="0" t="str">
        <f aca="false">IF(B1916="Company","C3 - Corporate Buyers",IF(AND(H1916="Investment",M1916&gt;'Segmentation Summary'!$C$1),"C1 - Global Investors",IF(AND(I1916&gt;=4,M1916&gt;'Segmentation Summary'!$C$1),"C4 - Luxury Investors",IF(AND(D1916&lt;'Segmentation Summary'!$C$2,J1916=1),"C2 - First-Time Buyers","C5 - Other Individual Buyers"))))</f>
        <v>C5 - Other Individual Buyers</v>
      </c>
    </row>
    <row r="1917" customFormat="false" ht="15" hidden="false" customHeight="true" outlineLevel="0" collapsed="false">
      <c r="A1917" s="13" t="s">
        <v>3812</v>
      </c>
      <c r="B1917" s="13" t="s">
        <v>34</v>
      </c>
      <c r="C1917" s="13" t="s">
        <v>3813</v>
      </c>
      <c r="D1917" s="13" t="n">
        <v>61</v>
      </c>
      <c r="E1917" s="13" t="s">
        <v>83</v>
      </c>
      <c r="F1917" s="13" t="s">
        <v>33</v>
      </c>
      <c r="G1917" s="13" t="s">
        <v>120</v>
      </c>
      <c r="H1917" s="13" t="s">
        <v>43</v>
      </c>
      <c r="I1917" s="13" t="n">
        <v>2</v>
      </c>
      <c r="J1917" s="13" t="n">
        <v>0</v>
      </c>
      <c r="K1917" s="13" t="s">
        <v>85</v>
      </c>
      <c r="L1917" s="13" t="n">
        <v>4</v>
      </c>
      <c r="M1917" s="13" t="n">
        <v>1760000.34</v>
      </c>
      <c r="N1917" s="13" t="n">
        <v>440000.085</v>
      </c>
      <c r="O1917" s="13" t="n">
        <v>1350.2175</v>
      </c>
      <c r="P1917" s="13" t="n">
        <v>0</v>
      </c>
      <c r="Q1917" s="13" t="n">
        <v>4</v>
      </c>
      <c r="R1917" s="13" t="s">
        <v>121</v>
      </c>
      <c r="S1917" s="13" t="s">
        <v>215</v>
      </c>
      <c r="T1917" s="13" t="n">
        <v>1</v>
      </c>
      <c r="U1917" s="13" t="n">
        <f aca="false">IF(B1917="Individual",1,0)</f>
        <v>1</v>
      </c>
      <c r="V1917" s="13" t="n">
        <f aca="false">IF(B1917="Company",1,0)</f>
        <v>0</v>
      </c>
      <c r="W1917" s="13" t="n">
        <f aca="false">IF(H1917="Home",1,0)</f>
        <v>0</v>
      </c>
      <c r="X1917" s="13" t="n">
        <f aca="false">IF(H1917="Investment",1,0)</f>
        <v>1</v>
      </c>
      <c r="Y1917" s="13" t="n">
        <f aca="false">IF(K1917="Website",1,0)</f>
        <v>1</v>
      </c>
      <c r="Z1917" s="13" t="n">
        <f aca="false">IF(K1917="Agency",1,0)</f>
        <v>0</v>
      </c>
      <c r="AA1917" s="13" t="n">
        <f aca="false">IF(K1917="Client",1,0)</f>
        <v>0</v>
      </c>
      <c r="AB1917" s="13" t="n">
        <f aca="false">(D1917-AVERAGE(D$2:D$2001))/STDEV(D$2:D$2001)</f>
        <v>0.395737432015182</v>
      </c>
      <c r="AC1917" s="13" t="n">
        <f aca="false">(I1917-AVERAGE(I$2:I$2001))/STDEV(I$2:I$2001)</f>
        <v>-0.727948160798201</v>
      </c>
      <c r="AD1917" s="13" t="n">
        <f aca="false">(L1917-AVERAGE(L$2:L$2001))/STDEV(L$2:L$2001)</f>
        <v>0.413838214490712</v>
      </c>
      <c r="AE1917" s="13" t="n">
        <f aca="false">(M1917-AVERAGE(M$2:M$2001))/STDEV(M$2:M$2001)</f>
        <v>1.43640256625398</v>
      </c>
      <c r="AF1917" s="13" t="n">
        <f aca="false">(N1917-AVERAGE(N$2:N$2001))/STDEV(N$2:N$2001)</f>
        <v>1.33258321015686</v>
      </c>
      <c r="AG1917" s="13" t="n">
        <f aca="false">(O1917-AVERAGE(O$2:O$2001))/STDEV(O$2:O$2001)</f>
        <v>0.921859981769821</v>
      </c>
      <c r="AH1917" s="0" t="str">
        <f aca="false">IF(B1917="Company","C3 - Corporate Buyers",IF(AND(H1917="Investment",M1917&gt;'Segmentation Summary'!$C$1),"C1 - Global Investors",IF(AND(I1917&gt;=4,M1917&gt;'Segmentation Summary'!$C$1),"C4 - Luxury Investors",IF(AND(D1917&lt;'Segmentation Summary'!$C$2,J1917=1),"C2 - First-Time Buyers","C5 - Other Individual Buyers"))))</f>
        <v>C1 - Global Investors</v>
      </c>
    </row>
    <row r="1918" customFormat="false" ht="15" hidden="false" customHeight="true" outlineLevel="0" collapsed="false">
      <c r="A1918" s="13" t="s">
        <v>3814</v>
      </c>
      <c r="B1918" s="13" t="s">
        <v>34</v>
      </c>
      <c r="C1918" s="13" t="s">
        <v>3815</v>
      </c>
      <c r="D1918" s="13" t="n">
        <v>50</v>
      </c>
      <c r="E1918" s="13" t="s">
        <v>83</v>
      </c>
      <c r="F1918" s="13" t="s">
        <v>33</v>
      </c>
      <c r="G1918" s="13" t="s">
        <v>95</v>
      </c>
      <c r="H1918" s="13" t="s">
        <v>41</v>
      </c>
      <c r="I1918" s="13" t="n">
        <v>5</v>
      </c>
      <c r="J1918" s="13" t="n">
        <v>1</v>
      </c>
      <c r="K1918" s="13" t="s">
        <v>116</v>
      </c>
      <c r="L1918" s="13" t="n">
        <v>5</v>
      </c>
      <c r="M1918" s="13" t="n">
        <v>1489333.49</v>
      </c>
      <c r="N1918" s="13" t="n">
        <v>297866.698</v>
      </c>
      <c r="O1918" s="13" t="n">
        <v>1059.832</v>
      </c>
      <c r="P1918" s="13" t="n">
        <v>0</v>
      </c>
      <c r="Q1918" s="13" t="n">
        <v>5</v>
      </c>
      <c r="R1918" s="13" t="s">
        <v>92</v>
      </c>
      <c r="S1918" s="13" t="s">
        <v>164</v>
      </c>
      <c r="T1918" s="13" t="n">
        <v>1</v>
      </c>
      <c r="U1918" s="13" t="n">
        <f aca="false">IF(B1918="Individual",1,0)</f>
        <v>1</v>
      </c>
      <c r="V1918" s="13" t="n">
        <f aca="false">IF(B1918="Company",1,0)</f>
        <v>0</v>
      </c>
      <c r="W1918" s="13" t="n">
        <f aca="false">IF(H1918="Home",1,0)</f>
        <v>1</v>
      </c>
      <c r="X1918" s="13" t="n">
        <f aca="false">IF(H1918="Investment",1,0)</f>
        <v>0</v>
      </c>
      <c r="Y1918" s="13" t="n">
        <f aca="false">IF(K1918="Website",1,0)</f>
        <v>0</v>
      </c>
      <c r="Z1918" s="13" t="n">
        <f aca="false">IF(K1918="Agency",1,0)</f>
        <v>0</v>
      </c>
      <c r="AA1918" s="13" t="n">
        <f aca="false">IF(K1918="Client",1,0)</f>
        <v>1</v>
      </c>
      <c r="AB1918" s="13" t="n">
        <f aca="false">(D1918-AVERAGE(D$2:D$2001))/STDEV(D$2:D$2001)</f>
        <v>-0.238549578354482</v>
      </c>
      <c r="AC1918" s="13" t="n">
        <f aca="false">(I1918-AVERAGE(I$2:I$2001))/STDEV(I$2:I$2001)</f>
        <v>1.39434968409451</v>
      </c>
      <c r="AD1918" s="13" t="n">
        <f aca="false">(L1918-AVERAGE(L$2:L$2001))/STDEV(L$2:L$2001)</f>
        <v>1.60473955115463</v>
      </c>
      <c r="AE1918" s="13" t="n">
        <f aca="false">(M1918-AVERAGE(M$2:M$2001))/STDEV(M$2:M$2001)</f>
        <v>0.658245614122519</v>
      </c>
      <c r="AF1918" s="13" t="n">
        <f aca="false">(N1918-AVERAGE(N$2:N$2001))/STDEV(N$2:N$2001)</f>
        <v>-0.705995003981003</v>
      </c>
      <c r="AG1918" s="13" t="n">
        <f aca="false">(O1918-AVERAGE(O$2:O$2001))/STDEV(O$2:O$2001)</f>
        <v>-0.39853872767632</v>
      </c>
      <c r="AH1918" s="0" t="str">
        <f aca="false">IF(B1918="Company","C3 - Corporate Buyers",IF(AND(H1918="Investment",M1918&gt;'Segmentation Summary'!$C$1),"C1 - Global Investors",IF(AND(I1918&gt;=4,M1918&gt;'Segmentation Summary'!$C$1),"C4 - Luxury Investors",IF(AND(D1918&lt;'Segmentation Summary'!$C$2,J1918=1),"C2 - First-Time Buyers","C5 - Other Individual Buyers"))))</f>
        <v>C4 - Luxury Investors</v>
      </c>
    </row>
    <row r="1919" customFormat="false" ht="15" hidden="false" customHeight="true" outlineLevel="0" collapsed="false">
      <c r="A1919" s="13" t="s">
        <v>3816</v>
      </c>
      <c r="B1919" s="13" t="s">
        <v>34</v>
      </c>
      <c r="C1919" s="13" t="s">
        <v>3817</v>
      </c>
      <c r="D1919" s="13" t="n">
        <v>57</v>
      </c>
      <c r="E1919" s="13" t="s">
        <v>83</v>
      </c>
      <c r="F1919" s="13" t="s">
        <v>33</v>
      </c>
      <c r="G1919" s="13" t="s">
        <v>106</v>
      </c>
      <c r="H1919" s="13" t="s">
        <v>41</v>
      </c>
      <c r="I1919" s="13" t="n">
        <v>5</v>
      </c>
      <c r="J1919" s="13" t="n">
        <v>0</v>
      </c>
      <c r="K1919" s="13" t="s">
        <v>91</v>
      </c>
      <c r="L1919" s="13" t="n">
        <v>3</v>
      </c>
      <c r="M1919" s="13" t="n">
        <v>1223755.92</v>
      </c>
      <c r="N1919" s="13" t="n">
        <v>407918.64</v>
      </c>
      <c r="O1919" s="13" t="n">
        <v>1464.84666666667</v>
      </c>
      <c r="P1919" s="13" t="n">
        <v>2</v>
      </c>
      <c r="Q1919" s="13" t="n">
        <v>1</v>
      </c>
      <c r="R1919" s="13" t="s">
        <v>117</v>
      </c>
      <c r="S1919" s="13" t="s">
        <v>93</v>
      </c>
      <c r="T1919" s="13" t="n">
        <v>1</v>
      </c>
      <c r="U1919" s="13" t="n">
        <f aca="false">IF(B1919="Individual",1,0)</f>
        <v>1</v>
      </c>
      <c r="V1919" s="13" t="n">
        <f aca="false">IF(B1919="Company",1,0)</f>
        <v>0</v>
      </c>
      <c r="W1919" s="13" t="n">
        <f aca="false">IF(H1919="Home",1,0)</f>
        <v>1</v>
      </c>
      <c r="X1919" s="13" t="n">
        <f aca="false">IF(H1919="Investment",1,0)</f>
        <v>0</v>
      </c>
      <c r="Y1919" s="13" t="n">
        <f aca="false">IF(K1919="Website",1,0)</f>
        <v>0</v>
      </c>
      <c r="Z1919" s="13" t="n">
        <f aca="false">IF(K1919="Agency",1,0)</f>
        <v>1</v>
      </c>
      <c r="AA1919" s="13" t="n">
        <f aca="false">IF(K1919="Client",1,0)</f>
        <v>0</v>
      </c>
      <c r="AB1919" s="13" t="n">
        <f aca="false">(D1919-AVERAGE(D$2:D$2001))/STDEV(D$2:D$2001)</f>
        <v>0.165087610062577</v>
      </c>
      <c r="AC1919" s="13" t="n">
        <f aca="false">(I1919-AVERAGE(I$2:I$2001))/STDEV(I$2:I$2001)</f>
        <v>1.39434968409451</v>
      </c>
      <c r="AD1919" s="13" t="n">
        <f aca="false">(L1919-AVERAGE(L$2:L$2001))/STDEV(L$2:L$2001)</f>
        <v>-0.777063122173208</v>
      </c>
      <c r="AE1919" s="13" t="n">
        <f aca="false">(M1919-AVERAGE(M$2:M$2001))/STDEV(M$2:M$2001)</f>
        <v>-0.10527985057949</v>
      </c>
      <c r="AF1919" s="13" t="n">
        <f aca="false">(N1919-AVERAGE(N$2:N$2001))/STDEV(N$2:N$2001)</f>
        <v>0.872448288760371</v>
      </c>
      <c r="AG1919" s="13" t="n">
        <f aca="false">(O1919-AVERAGE(O$2:O$2001))/STDEV(O$2:O$2001)</f>
        <v>1.44308505578887</v>
      </c>
      <c r="AH1919" s="0" t="str">
        <f aca="false">IF(B1919="Company","C3 - Corporate Buyers",IF(AND(H1919="Investment",M1919&gt;'Segmentation Summary'!$C$1),"C1 - Global Investors",IF(AND(I1919&gt;=4,M1919&gt;'Segmentation Summary'!$C$1),"C4 - Luxury Investors",IF(AND(D1919&lt;'Segmentation Summary'!$C$2,J1919=1),"C2 - First-Time Buyers","C5 - Other Individual Buyers"))))</f>
        <v>C4 - Luxury Investors</v>
      </c>
    </row>
    <row r="1920" customFormat="false" ht="15" hidden="false" customHeight="true" outlineLevel="0" collapsed="false">
      <c r="A1920" s="13" t="s">
        <v>3818</v>
      </c>
      <c r="B1920" s="13" t="s">
        <v>34</v>
      </c>
      <c r="C1920" s="13" t="s">
        <v>3819</v>
      </c>
      <c r="D1920" s="13" t="n">
        <v>41</v>
      </c>
      <c r="E1920" s="13" t="s">
        <v>83</v>
      </c>
      <c r="F1920" s="13" t="s">
        <v>33</v>
      </c>
      <c r="G1920" s="13" t="s">
        <v>265</v>
      </c>
      <c r="H1920" s="13" t="s">
        <v>41</v>
      </c>
      <c r="I1920" s="13" t="n">
        <v>3</v>
      </c>
      <c r="J1920" s="13" t="n">
        <v>1</v>
      </c>
      <c r="K1920" s="13" t="s">
        <v>116</v>
      </c>
      <c r="L1920" s="13" t="n">
        <v>3</v>
      </c>
      <c r="M1920" s="13" t="n">
        <v>1317732.09</v>
      </c>
      <c r="N1920" s="13" t="n">
        <v>439244.03</v>
      </c>
      <c r="O1920" s="13" t="n">
        <v>1465.92</v>
      </c>
      <c r="P1920" s="13" t="n">
        <v>1</v>
      </c>
      <c r="Q1920" s="13" t="n">
        <v>2</v>
      </c>
      <c r="R1920" s="13" t="s">
        <v>92</v>
      </c>
      <c r="S1920" s="13" t="s">
        <v>101</v>
      </c>
      <c r="T1920" s="13" t="n">
        <v>1</v>
      </c>
      <c r="U1920" s="13" t="n">
        <f aca="false">IF(B1920="Individual",1,0)</f>
        <v>1</v>
      </c>
      <c r="V1920" s="13" t="n">
        <f aca="false">IF(B1920="Company",1,0)</f>
        <v>0</v>
      </c>
      <c r="W1920" s="13" t="n">
        <f aca="false">IF(H1920="Home",1,0)</f>
        <v>1</v>
      </c>
      <c r="X1920" s="13" t="n">
        <f aca="false">IF(H1920="Investment",1,0)</f>
        <v>0</v>
      </c>
      <c r="Y1920" s="13" t="n">
        <f aca="false">IF(K1920="Website",1,0)</f>
        <v>0</v>
      </c>
      <c r="Z1920" s="13" t="n">
        <f aca="false">IF(K1920="Agency",1,0)</f>
        <v>0</v>
      </c>
      <c r="AA1920" s="13" t="n">
        <f aca="false">IF(K1920="Client",1,0)</f>
        <v>1</v>
      </c>
      <c r="AB1920" s="13" t="n">
        <f aca="false">(D1920-AVERAGE(D$2:D$2001))/STDEV(D$2:D$2001)</f>
        <v>-0.757511677747842</v>
      </c>
      <c r="AC1920" s="13" t="n">
        <f aca="false">(I1920-AVERAGE(I$2:I$2001))/STDEV(I$2:I$2001)</f>
        <v>-0.0205155458339628</v>
      </c>
      <c r="AD1920" s="13" t="n">
        <f aca="false">(L1920-AVERAGE(L$2:L$2001))/STDEV(L$2:L$2001)</f>
        <v>-0.777063122173208</v>
      </c>
      <c r="AE1920" s="13" t="n">
        <f aca="false">(M1920-AVERAGE(M$2:M$2001))/STDEV(M$2:M$2001)</f>
        <v>0.164898082256348</v>
      </c>
      <c r="AF1920" s="13" t="n">
        <f aca="false">(N1920-AVERAGE(N$2:N$2001))/STDEV(N$2:N$2001)</f>
        <v>1.32173933114841</v>
      </c>
      <c r="AG1920" s="13" t="n">
        <f aca="false">(O1920-AVERAGE(O$2:O$2001))/STDEV(O$2:O$2001)</f>
        <v>1.44796556100739</v>
      </c>
      <c r="AH1920" s="0" t="str">
        <f aca="false">IF(B1920="Company","C3 - Corporate Buyers",IF(AND(H1920="Investment",M1920&gt;'Segmentation Summary'!$C$1),"C1 - Global Investors",IF(AND(I1920&gt;=4,M1920&gt;'Segmentation Summary'!$C$1),"C4 - Luxury Investors",IF(AND(D1920&lt;'Segmentation Summary'!$C$2,J1920=1),"C2 - First-Time Buyers","C5 - Other Individual Buyers"))))</f>
        <v>C2 - First-Time Buyers</v>
      </c>
    </row>
    <row r="1921" customFormat="false" ht="15" hidden="false" customHeight="true" outlineLevel="0" collapsed="false">
      <c r="A1921" s="13" t="s">
        <v>3820</v>
      </c>
      <c r="B1921" s="13" t="s">
        <v>34</v>
      </c>
      <c r="C1921" s="13" t="s">
        <v>3821</v>
      </c>
      <c r="D1921" s="13" t="n">
        <v>70</v>
      </c>
      <c r="E1921" s="13" t="s">
        <v>83</v>
      </c>
      <c r="F1921" s="13" t="s">
        <v>33</v>
      </c>
      <c r="G1921" s="13" t="s">
        <v>162</v>
      </c>
      <c r="H1921" s="13" t="s">
        <v>41</v>
      </c>
      <c r="I1921" s="13" t="n">
        <v>3</v>
      </c>
      <c r="J1921" s="13" t="n">
        <v>0</v>
      </c>
      <c r="K1921" s="13" t="s">
        <v>85</v>
      </c>
      <c r="L1921" s="13" t="n">
        <v>4</v>
      </c>
      <c r="M1921" s="13" t="n">
        <v>1312198.98</v>
      </c>
      <c r="N1921" s="13" t="n">
        <v>328049.745</v>
      </c>
      <c r="O1921" s="13" t="n">
        <v>1141.225</v>
      </c>
      <c r="P1921" s="13" t="n">
        <v>1</v>
      </c>
      <c r="Q1921" s="13" t="n">
        <v>3</v>
      </c>
      <c r="R1921" s="13" t="s">
        <v>92</v>
      </c>
      <c r="S1921" s="13" t="s">
        <v>141</v>
      </c>
      <c r="T1921" s="13" t="n">
        <v>1</v>
      </c>
      <c r="U1921" s="13" t="n">
        <f aca="false">IF(B1921="Individual",1,0)</f>
        <v>1</v>
      </c>
      <c r="V1921" s="13" t="n">
        <f aca="false">IF(B1921="Company",1,0)</f>
        <v>0</v>
      </c>
      <c r="W1921" s="13" t="n">
        <f aca="false">IF(H1921="Home",1,0)</f>
        <v>1</v>
      </c>
      <c r="X1921" s="13" t="n">
        <f aca="false">IF(H1921="Investment",1,0)</f>
        <v>0</v>
      </c>
      <c r="Y1921" s="13" t="n">
        <f aca="false">IF(K1921="Website",1,0)</f>
        <v>1</v>
      </c>
      <c r="Z1921" s="13" t="n">
        <f aca="false">IF(K1921="Agency",1,0)</f>
        <v>0</v>
      </c>
      <c r="AA1921" s="13" t="n">
        <f aca="false">IF(K1921="Client",1,0)</f>
        <v>0</v>
      </c>
      <c r="AB1921" s="13" t="n">
        <f aca="false">(D1921-AVERAGE(D$2:D$2001))/STDEV(D$2:D$2001)</f>
        <v>0.914699531408543</v>
      </c>
      <c r="AC1921" s="13" t="n">
        <f aca="false">(I1921-AVERAGE(I$2:I$2001))/STDEV(I$2:I$2001)</f>
        <v>-0.0205155458339628</v>
      </c>
      <c r="AD1921" s="13" t="n">
        <f aca="false">(L1921-AVERAGE(L$2:L$2001))/STDEV(L$2:L$2001)</f>
        <v>0.413838214490712</v>
      </c>
      <c r="AE1921" s="13" t="n">
        <f aca="false">(M1921-AVERAGE(M$2:M$2001))/STDEV(M$2:M$2001)</f>
        <v>0.148990600370746</v>
      </c>
      <c r="AF1921" s="13" t="n">
        <f aca="false">(N1921-AVERAGE(N$2:N$2001))/STDEV(N$2:N$2001)</f>
        <v>-0.273088258076895</v>
      </c>
      <c r="AG1921" s="13" t="n">
        <f aca="false">(O1921-AVERAGE(O$2:O$2001))/STDEV(O$2:O$2001)</f>
        <v>-0.0284403165712562</v>
      </c>
      <c r="AH1921" s="0" t="str">
        <f aca="false">IF(B1921="Company","C3 - Corporate Buyers",IF(AND(H1921="Investment",M1921&gt;'Segmentation Summary'!$C$1),"C1 - Global Investors",IF(AND(I1921&gt;=4,M1921&gt;'Segmentation Summary'!$C$1),"C4 - Luxury Investors",IF(AND(D1921&lt;'Segmentation Summary'!$C$2,J1921=1),"C2 - First-Time Buyers","C5 - Other Individual Buyers"))))</f>
        <v>C5 - Other Individual Buyers</v>
      </c>
    </row>
    <row r="1922" customFormat="false" ht="15" hidden="false" customHeight="true" outlineLevel="0" collapsed="false">
      <c r="A1922" s="13" t="s">
        <v>3822</v>
      </c>
      <c r="B1922" s="13" t="s">
        <v>34</v>
      </c>
      <c r="C1922" s="13" t="s">
        <v>3823</v>
      </c>
      <c r="D1922" s="13" t="n">
        <v>65</v>
      </c>
      <c r="E1922" s="13" t="s">
        <v>83</v>
      </c>
      <c r="F1922" s="13" t="s">
        <v>33</v>
      </c>
      <c r="G1922" s="13" t="s">
        <v>95</v>
      </c>
      <c r="H1922" s="13" t="s">
        <v>43</v>
      </c>
      <c r="I1922" s="13" t="n">
        <v>1</v>
      </c>
      <c r="J1922" s="13" t="n">
        <v>0</v>
      </c>
      <c r="K1922" s="13" t="s">
        <v>85</v>
      </c>
      <c r="L1922" s="13" t="n">
        <v>3</v>
      </c>
      <c r="M1922" s="13" t="n">
        <v>748797.26</v>
      </c>
      <c r="N1922" s="13" t="n">
        <v>249599.086666667</v>
      </c>
      <c r="O1922" s="13" t="n">
        <v>879.343333333333</v>
      </c>
      <c r="P1922" s="13" t="n">
        <v>1</v>
      </c>
      <c r="Q1922" s="13" t="n">
        <v>2</v>
      </c>
      <c r="R1922" s="13" t="s">
        <v>86</v>
      </c>
      <c r="S1922" s="13" t="s">
        <v>164</v>
      </c>
      <c r="T1922" s="13" t="n">
        <v>1</v>
      </c>
      <c r="U1922" s="13" t="n">
        <f aca="false">IF(B1922="Individual",1,0)</f>
        <v>1</v>
      </c>
      <c r="V1922" s="13" t="n">
        <f aca="false">IF(B1922="Company",1,0)</f>
        <v>0</v>
      </c>
      <c r="W1922" s="13" t="n">
        <f aca="false">IF(H1922="Home",1,0)</f>
        <v>0</v>
      </c>
      <c r="X1922" s="13" t="n">
        <f aca="false">IF(H1922="Investment",1,0)</f>
        <v>1</v>
      </c>
      <c r="Y1922" s="13" t="n">
        <f aca="false">IF(K1922="Website",1,0)</f>
        <v>1</v>
      </c>
      <c r="Z1922" s="13" t="n">
        <f aca="false">IF(K1922="Agency",1,0)</f>
        <v>0</v>
      </c>
      <c r="AA1922" s="13" t="n">
        <f aca="false">IF(K1922="Client",1,0)</f>
        <v>0</v>
      </c>
      <c r="AB1922" s="13" t="n">
        <f aca="false">(D1922-AVERAGE(D$2:D$2001))/STDEV(D$2:D$2001)</f>
        <v>0.626387253967787</v>
      </c>
      <c r="AC1922" s="13" t="n">
        <f aca="false">(I1922-AVERAGE(I$2:I$2001))/STDEV(I$2:I$2001)</f>
        <v>-1.43538077576244</v>
      </c>
      <c r="AD1922" s="13" t="n">
        <f aca="false">(L1922-AVERAGE(L$2:L$2001))/STDEV(L$2:L$2001)</f>
        <v>-0.777063122173208</v>
      </c>
      <c r="AE1922" s="13" t="n">
        <f aca="false">(M1922-AVERAGE(M$2:M$2001))/STDEV(M$2:M$2001)</f>
        <v>-1.47076802637213</v>
      </c>
      <c r="AF1922" s="13" t="n">
        <f aca="false">(N1922-AVERAGE(N$2:N$2001))/STDEV(N$2:N$2001)</f>
        <v>-1.39828344506773</v>
      </c>
      <c r="AG1922" s="13" t="n">
        <f aca="false">(O1922-AVERAGE(O$2:O$2001))/STDEV(O$2:O$2001)</f>
        <v>-1.21923054092568</v>
      </c>
      <c r="AH1922" s="0" t="str">
        <f aca="false">IF(B1922="Company","C3 - Corporate Buyers",IF(AND(H1922="Investment",M1922&gt;'Segmentation Summary'!$C$1),"C1 - Global Investors",IF(AND(I1922&gt;=4,M1922&gt;'Segmentation Summary'!$C$1),"C4 - Luxury Investors",IF(AND(D1922&lt;'Segmentation Summary'!$C$2,J1922=1),"C2 - First-Time Buyers","C5 - Other Individual Buyers"))))</f>
        <v>C5 - Other Individual Buyers</v>
      </c>
    </row>
    <row r="1923" customFormat="false" ht="15" hidden="false" customHeight="true" outlineLevel="0" collapsed="false">
      <c r="A1923" s="13" t="s">
        <v>3824</v>
      </c>
      <c r="B1923" s="13" t="s">
        <v>34</v>
      </c>
      <c r="C1923" s="13" t="s">
        <v>3825</v>
      </c>
      <c r="D1923" s="13" t="n">
        <v>80</v>
      </c>
      <c r="E1923" s="13" t="s">
        <v>83</v>
      </c>
      <c r="F1923" s="13" t="s">
        <v>44</v>
      </c>
      <c r="G1923" s="13" t="s">
        <v>148</v>
      </c>
      <c r="H1923" s="13" t="s">
        <v>41</v>
      </c>
      <c r="I1923" s="13" t="n">
        <v>4</v>
      </c>
      <c r="J1923" s="13" t="n">
        <v>0</v>
      </c>
      <c r="K1923" s="13" t="s">
        <v>85</v>
      </c>
      <c r="L1923" s="13" t="n">
        <v>3</v>
      </c>
      <c r="M1923" s="13" t="n">
        <v>1482069.56</v>
      </c>
      <c r="N1923" s="13" t="n">
        <v>494023.186666667</v>
      </c>
      <c r="O1923" s="13" t="n">
        <v>1680.52666666667</v>
      </c>
      <c r="P1923" s="13" t="n">
        <v>2</v>
      </c>
      <c r="Q1923" s="13" t="n">
        <v>1</v>
      </c>
      <c r="R1923" s="13" t="s">
        <v>121</v>
      </c>
      <c r="S1923" s="13" t="s">
        <v>150</v>
      </c>
      <c r="T1923" s="13" t="n">
        <v>1</v>
      </c>
      <c r="U1923" s="13" t="n">
        <f aca="false">IF(B1923="Individual",1,0)</f>
        <v>1</v>
      </c>
      <c r="V1923" s="13" t="n">
        <f aca="false">IF(B1923="Company",1,0)</f>
        <v>0</v>
      </c>
      <c r="W1923" s="13" t="n">
        <f aca="false">IF(H1923="Home",1,0)</f>
        <v>1</v>
      </c>
      <c r="X1923" s="13" t="n">
        <f aca="false">IF(H1923="Investment",1,0)</f>
        <v>0</v>
      </c>
      <c r="Y1923" s="13" t="n">
        <f aca="false">IF(K1923="Website",1,0)</f>
        <v>1</v>
      </c>
      <c r="Z1923" s="13" t="n">
        <f aca="false">IF(K1923="Agency",1,0)</f>
        <v>0</v>
      </c>
      <c r="AA1923" s="13" t="n">
        <f aca="false">IF(K1923="Client",1,0)</f>
        <v>0</v>
      </c>
      <c r="AB1923" s="13" t="n">
        <f aca="false">(D1923-AVERAGE(D$2:D$2001))/STDEV(D$2:D$2001)</f>
        <v>1.49132408629005</v>
      </c>
      <c r="AC1923" s="13" t="n">
        <f aca="false">(I1923-AVERAGE(I$2:I$2001))/STDEV(I$2:I$2001)</f>
        <v>0.686917069130275</v>
      </c>
      <c r="AD1923" s="13" t="n">
        <f aca="false">(L1923-AVERAGE(L$2:L$2001))/STDEV(L$2:L$2001)</f>
        <v>-0.777063122173208</v>
      </c>
      <c r="AE1923" s="13" t="n">
        <f aca="false">(M1923-AVERAGE(M$2:M$2001))/STDEV(M$2:M$2001)</f>
        <v>0.637362090228491</v>
      </c>
      <c r="AF1923" s="13" t="n">
        <f aca="false">(N1923-AVERAGE(N$2:N$2001))/STDEV(N$2:N$2001)</f>
        <v>2.10742099065542</v>
      </c>
      <c r="AG1923" s="13" t="n">
        <f aca="false">(O1923-AVERAGE(O$2:O$2001))/STDEV(O$2:O$2001)</f>
        <v>2.42379378144268</v>
      </c>
      <c r="AH1923" s="0" t="str">
        <f aca="false">IF(B1923="Company","C3 - Corporate Buyers",IF(AND(H1923="Investment",M1923&gt;'Segmentation Summary'!$C$1),"C1 - Global Investors",IF(AND(I1923&gt;=4,M1923&gt;'Segmentation Summary'!$C$1),"C4 - Luxury Investors",IF(AND(D1923&lt;'Segmentation Summary'!$C$2,J1923=1),"C2 - First-Time Buyers","C5 - Other Individual Buyers"))))</f>
        <v>C4 - Luxury Investors</v>
      </c>
    </row>
    <row r="1924" customFormat="false" ht="15" hidden="false" customHeight="true" outlineLevel="0" collapsed="false">
      <c r="A1924" s="13" t="s">
        <v>3826</v>
      </c>
      <c r="B1924" s="13" t="s">
        <v>34</v>
      </c>
      <c r="C1924" s="13" t="s">
        <v>3827</v>
      </c>
      <c r="D1924" s="13" t="n">
        <v>47</v>
      </c>
      <c r="E1924" s="13" t="s">
        <v>83</v>
      </c>
      <c r="F1924" s="13" t="s">
        <v>33</v>
      </c>
      <c r="G1924" s="13" t="s">
        <v>95</v>
      </c>
      <c r="H1924" s="13" t="s">
        <v>41</v>
      </c>
      <c r="I1924" s="13" t="n">
        <v>3</v>
      </c>
      <c r="J1924" s="13" t="n">
        <v>0</v>
      </c>
      <c r="K1924" s="13" t="s">
        <v>85</v>
      </c>
      <c r="L1924" s="13" t="n">
        <v>3</v>
      </c>
      <c r="M1924" s="13" t="n">
        <v>1320497.01</v>
      </c>
      <c r="N1924" s="13" t="n">
        <v>440165.67</v>
      </c>
      <c r="O1924" s="13" t="n">
        <v>1413.06</v>
      </c>
      <c r="P1924" s="13" t="n">
        <v>0</v>
      </c>
      <c r="Q1924" s="13" t="n">
        <v>3</v>
      </c>
      <c r="R1924" s="13" t="s">
        <v>86</v>
      </c>
      <c r="S1924" s="13" t="s">
        <v>114</v>
      </c>
      <c r="T1924" s="13" t="n">
        <v>1</v>
      </c>
      <c r="U1924" s="13" t="n">
        <f aca="false">IF(B1924="Individual",1,0)</f>
        <v>1</v>
      </c>
      <c r="V1924" s="13" t="n">
        <f aca="false">IF(B1924="Company",1,0)</f>
        <v>0</v>
      </c>
      <c r="W1924" s="13" t="n">
        <f aca="false">IF(H1924="Home",1,0)</f>
        <v>1</v>
      </c>
      <c r="X1924" s="13" t="n">
        <f aca="false">IF(H1924="Investment",1,0)</f>
        <v>0</v>
      </c>
      <c r="Y1924" s="13" t="n">
        <f aca="false">IF(K1924="Website",1,0)</f>
        <v>1</v>
      </c>
      <c r="Z1924" s="13" t="n">
        <f aca="false">IF(K1924="Agency",1,0)</f>
        <v>0</v>
      </c>
      <c r="AA1924" s="13" t="n">
        <f aca="false">IF(K1924="Client",1,0)</f>
        <v>0</v>
      </c>
      <c r="AB1924" s="13" t="n">
        <f aca="false">(D1924-AVERAGE(D$2:D$2001))/STDEV(D$2:D$2001)</f>
        <v>-0.411536944818935</v>
      </c>
      <c r="AC1924" s="13" t="n">
        <f aca="false">(I1924-AVERAGE(I$2:I$2001))/STDEV(I$2:I$2001)</f>
        <v>-0.0205155458339628</v>
      </c>
      <c r="AD1924" s="13" t="n">
        <f aca="false">(L1924-AVERAGE(L$2:L$2001))/STDEV(L$2:L$2001)</f>
        <v>-0.777063122173208</v>
      </c>
      <c r="AE1924" s="13" t="n">
        <f aca="false">(M1924-AVERAGE(M$2:M$2001))/STDEV(M$2:M$2001)</f>
        <v>0.172847122636015</v>
      </c>
      <c r="AF1924" s="13" t="n">
        <f aca="false">(N1924-AVERAGE(N$2:N$2001))/STDEV(N$2:N$2001)</f>
        <v>1.3349581480987</v>
      </c>
      <c r="AG1924" s="13" t="n">
        <f aca="false">(O1924-AVERAGE(O$2:O$2001))/STDEV(O$2:O$2001)</f>
        <v>1.20760825741846</v>
      </c>
      <c r="AH1924" s="0" t="str">
        <f aca="false">IF(B1924="Company","C3 - Corporate Buyers",IF(AND(H1924="Investment",M1924&gt;'Segmentation Summary'!$C$1),"C1 - Global Investors",IF(AND(I1924&gt;=4,M1924&gt;'Segmentation Summary'!$C$1),"C4 - Luxury Investors",IF(AND(D1924&lt;'Segmentation Summary'!$C$2,J1924=1),"C2 - First-Time Buyers","C5 - Other Individual Buyers"))))</f>
        <v>C5 - Other Individual Buyers</v>
      </c>
    </row>
    <row r="1925" customFormat="false" ht="15" hidden="false" customHeight="true" outlineLevel="0" collapsed="false">
      <c r="A1925" s="13" t="s">
        <v>3828</v>
      </c>
      <c r="B1925" s="13" t="s">
        <v>34</v>
      </c>
      <c r="C1925" s="13" t="s">
        <v>3829</v>
      </c>
      <c r="D1925" s="13" t="n">
        <v>69</v>
      </c>
      <c r="E1925" s="13" t="s">
        <v>83</v>
      </c>
      <c r="F1925" s="13" t="s">
        <v>33</v>
      </c>
      <c r="G1925" s="13" t="s">
        <v>97</v>
      </c>
      <c r="H1925" s="13" t="s">
        <v>41</v>
      </c>
      <c r="I1925" s="13" t="n">
        <v>4</v>
      </c>
      <c r="J1925" s="13" t="n">
        <v>1</v>
      </c>
      <c r="K1925" s="13" t="s">
        <v>85</v>
      </c>
      <c r="L1925" s="13" t="n">
        <v>4</v>
      </c>
      <c r="M1925" s="13" t="n">
        <v>1274655.09</v>
      </c>
      <c r="N1925" s="13" t="n">
        <v>318663.7725</v>
      </c>
      <c r="O1925" s="13" t="n">
        <v>1192.72</v>
      </c>
      <c r="P1925" s="13" t="n">
        <v>0</v>
      </c>
      <c r="Q1925" s="13" t="n">
        <v>4</v>
      </c>
      <c r="R1925" s="13" t="s">
        <v>128</v>
      </c>
      <c r="S1925" s="13" t="s">
        <v>133</v>
      </c>
      <c r="T1925" s="13" t="n">
        <v>1</v>
      </c>
      <c r="U1925" s="13" t="n">
        <f aca="false">IF(B1925="Individual",1,0)</f>
        <v>1</v>
      </c>
      <c r="V1925" s="13" t="n">
        <f aca="false">IF(B1925="Company",1,0)</f>
        <v>0</v>
      </c>
      <c r="W1925" s="13" t="n">
        <f aca="false">IF(H1925="Home",1,0)</f>
        <v>1</v>
      </c>
      <c r="X1925" s="13" t="n">
        <f aca="false">IF(H1925="Investment",1,0)</f>
        <v>0</v>
      </c>
      <c r="Y1925" s="13" t="n">
        <f aca="false">IF(K1925="Website",1,0)</f>
        <v>1</v>
      </c>
      <c r="Z1925" s="13" t="n">
        <f aca="false">IF(K1925="Agency",1,0)</f>
        <v>0</v>
      </c>
      <c r="AA1925" s="13" t="n">
        <f aca="false">IF(K1925="Client",1,0)</f>
        <v>0</v>
      </c>
      <c r="AB1925" s="13" t="n">
        <f aca="false">(D1925-AVERAGE(D$2:D$2001))/STDEV(D$2:D$2001)</f>
        <v>0.857037075920391</v>
      </c>
      <c r="AC1925" s="13" t="n">
        <f aca="false">(I1925-AVERAGE(I$2:I$2001))/STDEV(I$2:I$2001)</f>
        <v>0.686917069130275</v>
      </c>
      <c r="AD1925" s="13" t="n">
        <f aca="false">(L1925-AVERAGE(L$2:L$2001))/STDEV(L$2:L$2001)</f>
        <v>0.413838214490712</v>
      </c>
      <c r="AE1925" s="13" t="n">
        <f aca="false">(M1925-AVERAGE(M$2:M$2001))/STDEV(M$2:M$2001)</f>
        <v>0.0410533372239708</v>
      </c>
      <c r="AF1925" s="13" t="n">
        <f aca="false">(N1925-AVERAGE(N$2:N$2001))/STDEV(N$2:N$2001)</f>
        <v>-0.407708557085157</v>
      </c>
      <c r="AG1925" s="13" t="n">
        <f aca="false">(O1925-AVERAGE(O$2:O$2001))/STDEV(O$2:O$2001)</f>
        <v>0.205710257554963</v>
      </c>
      <c r="AH1925" s="0" t="str">
        <f aca="false">IF(B1925="Company","C3 - Corporate Buyers",IF(AND(H1925="Investment",M1925&gt;'Segmentation Summary'!$C$1),"C1 - Global Investors",IF(AND(I1925&gt;=4,M1925&gt;'Segmentation Summary'!$C$1),"C4 - Luxury Investors",IF(AND(D1925&lt;'Segmentation Summary'!$C$2,J1925=1),"C2 - First-Time Buyers","C5 - Other Individual Buyers"))))</f>
        <v>C4 - Luxury Investors</v>
      </c>
    </row>
    <row r="1926" customFormat="false" ht="15" hidden="false" customHeight="true" outlineLevel="0" collapsed="false">
      <c r="A1926" s="13" t="s">
        <v>3830</v>
      </c>
      <c r="B1926" s="13" t="s">
        <v>34</v>
      </c>
      <c r="C1926" s="13" t="s">
        <v>3831</v>
      </c>
      <c r="D1926" s="13" t="n">
        <v>59</v>
      </c>
      <c r="E1926" s="13" t="s">
        <v>90</v>
      </c>
      <c r="F1926" s="13" t="s">
        <v>33</v>
      </c>
      <c r="G1926" s="13" t="s">
        <v>95</v>
      </c>
      <c r="H1926" s="13" t="s">
        <v>41</v>
      </c>
      <c r="I1926" s="13" t="n">
        <v>4</v>
      </c>
      <c r="J1926" s="13" t="n">
        <v>1</v>
      </c>
      <c r="K1926" s="13" t="s">
        <v>91</v>
      </c>
      <c r="L1926" s="13" t="n">
        <v>5</v>
      </c>
      <c r="M1926" s="13" t="n">
        <v>2142457.31</v>
      </c>
      <c r="N1926" s="13" t="n">
        <v>428491.462</v>
      </c>
      <c r="O1926" s="13" t="n">
        <v>1390.49</v>
      </c>
      <c r="P1926" s="13" t="n">
        <v>2</v>
      </c>
      <c r="Q1926" s="13" t="n">
        <v>3</v>
      </c>
      <c r="R1926" s="13" t="s">
        <v>101</v>
      </c>
      <c r="S1926" s="13" t="s">
        <v>164</v>
      </c>
      <c r="T1926" s="13" t="n">
        <v>1</v>
      </c>
      <c r="U1926" s="13" t="n">
        <f aca="false">IF(B1926="Individual",1,0)</f>
        <v>1</v>
      </c>
      <c r="V1926" s="13" t="n">
        <f aca="false">IF(B1926="Company",1,0)</f>
        <v>0</v>
      </c>
      <c r="W1926" s="13" t="n">
        <f aca="false">IF(H1926="Home",1,0)</f>
        <v>1</v>
      </c>
      <c r="X1926" s="13" t="n">
        <f aca="false">IF(H1926="Investment",1,0)</f>
        <v>0</v>
      </c>
      <c r="Y1926" s="13" t="n">
        <f aca="false">IF(K1926="Website",1,0)</f>
        <v>0</v>
      </c>
      <c r="Z1926" s="13" t="n">
        <f aca="false">IF(K1926="Agency",1,0)</f>
        <v>1</v>
      </c>
      <c r="AA1926" s="13" t="n">
        <f aca="false">IF(K1926="Client",1,0)</f>
        <v>0</v>
      </c>
      <c r="AB1926" s="13" t="n">
        <f aca="false">(D1926-AVERAGE(D$2:D$2001))/STDEV(D$2:D$2001)</f>
        <v>0.280412521038879</v>
      </c>
      <c r="AC1926" s="13" t="n">
        <f aca="false">(I1926-AVERAGE(I$2:I$2001))/STDEV(I$2:I$2001)</f>
        <v>0.686917069130275</v>
      </c>
      <c r="AD1926" s="13" t="n">
        <f aca="false">(L1926-AVERAGE(L$2:L$2001))/STDEV(L$2:L$2001)</f>
        <v>1.60473955115463</v>
      </c>
      <c r="AE1926" s="13" t="n">
        <f aca="false">(M1926-AVERAGE(M$2:M$2001))/STDEV(M$2:M$2001)</f>
        <v>2.53595188341872</v>
      </c>
      <c r="AF1926" s="13" t="n">
        <f aca="false">(N1926-AVERAGE(N$2:N$2001))/STDEV(N$2:N$2001)</f>
        <v>1.16751834666687</v>
      </c>
      <c r="AG1926" s="13" t="n">
        <f aca="false">(O1926-AVERAGE(O$2:O$2001))/STDEV(O$2:O$2001)</f>
        <v>1.10498123619254</v>
      </c>
      <c r="AH1926" s="0" t="str">
        <f aca="false">IF(B1926="Company","C3 - Corporate Buyers",IF(AND(H1926="Investment",M1926&gt;'Segmentation Summary'!$C$1),"C1 - Global Investors",IF(AND(I1926&gt;=4,M1926&gt;'Segmentation Summary'!$C$1),"C4 - Luxury Investors",IF(AND(D1926&lt;'Segmentation Summary'!$C$2,J1926=1),"C2 - First-Time Buyers","C5 - Other Individual Buyers"))))</f>
        <v>C4 - Luxury Investors</v>
      </c>
    </row>
    <row r="1927" customFormat="false" ht="15" hidden="false" customHeight="true" outlineLevel="0" collapsed="false">
      <c r="A1927" s="13" t="s">
        <v>3832</v>
      </c>
      <c r="B1927" s="13" t="s">
        <v>34</v>
      </c>
      <c r="C1927" s="13" t="s">
        <v>3833</v>
      </c>
      <c r="D1927" s="13" t="n">
        <v>72</v>
      </c>
      <c r="E1927" s="13" t="s">
        <v>83</v>
      </c>
      <c r="F1927" s="13" t="s">
        <v>33</v>
      </c>
      <c r="G1927" s="13" t="s">
        <v>162</v>
      </c>
      <c r="H1927" s="13" t="s">
        <v>41</v>
      </c>
      <c r="I1927" s="13" t="n">
        <v>2</v>
      </c>
      <c r="J1927" s="13" t="n">
        <v>1</v>
      </c>
      <c r="K1927" s="13" t="s">
        <v>116</v>
      </c>
      <c r="L1927" s="13" t="n">
        <v>4</v>
      </c>
      <c r="M1927" s="13" t="n">
        <v>1060400.03</v>
      </c>
      <c r="N1927" s="13" t="n">
        <v>265100.0075</v>
      </c>
      <c r="O1927" s="13" t="n">
        <v>830.7675</v>
      </c>
      <c r="P1927" s="13" t="n">
        <v>0</v>
      </c>
      <c r="Q1927" s="13" t="n">
        <v>4</v>
      </c>
      <c r="R1927" s="13" t="s">
        <v>101</v>
      </c>
      <c r="S1927" s="13" t="s">
        <v>107</v>
      </c>
      <c r="T1927" s="13" t="n">
        <v>1</v>
      </c>
      <c r="U1927" s="13" t="n">
        <f aca="false">IF(B1927="Individual",1,0)</f>
        <v>1</v>
      </c>
      <c r="V1927" s="13" t="n">
        <f aca="false">IF(B1927="Company",1,0)</f>
        <v>0</v>
      </c>
      <c r="W1927" s="13" t="n">
        <f aca="false">IF(H1927="Home",1,0)</f>
        <v>1</v>
      </c>
      <c r="X1927" s="13" t="n">
        <f aca="false">IF(H1927="Investment",1,0)</f>
        <v>0</v>
      </c>
      <c r="Y1927" s="13" t="n">
        <f aca="false">IF(K1927="Website",1,0)</f>
        <v>0</v>
      </c>
      <c r="Z1927" s="13" t="n">
        <f aca="false">IF(K1927="Agency",1,0)</f>
        <v>0</v>
      </c>
      <c r="AA1927" s="13" t="n">
        <f aca="false">IF(K1927="Client",1,0)</f>
        <v>1</v>
      </c>
      <c r="AB1927" s="13" t="n">
        <f aca="false">(D1927-AVERAGE(D$2:D$2001))/STDEV(D$2:D$2001)</f>
        <v>1.03002444238485</v>
      </c>
      <c r="AC1927" s="13" t="n">
        <f aca="false">(I1927-AVERAGE(I$2:I$2001))/STDEV(I$2:I$2001)</f>
        <v>-0.727948160798201</v>
      </c>
      <c r="AD1927" s="13" t="n">
        <f aca="false">(L1927-AVERAGE(L$2:L$2001))/STDEV(L$2:L$2001)</f>
        <v>0.413838214490712</v>
      </c>
      <c r="AE1927" s="13" t="n">
        <f aca="false">(M1927-AVERAGE(M$2:M$2001))/STDEV(M$2:M$2001)</f>
        <v>-0.574921853193114</v>
      </c>
      <c r="AF1927" s="13" t="n">
        <f aca="false">(N1927-AVERAGE(N$2:N$2001))/STDEV(N$2:N$2001)</f>
        <v>-1.17595820413114</v>
      </c>
      <c r="AG1927" s="13" t="n">
        <f aca="false">(O1927-AVERAGE(O$2:O$2001))/STDEV(O$2:O$2001)</f>
        <v>-1.44010750497383</v>
      </c>
      <c r="AH1927" s="0" t="str">
        <f aca="false">IF(B1927="Company","C3 - Corporate Buyers",IF(AND(H1927="Investment",M1927&gt;'Segmentation Summary'!$C$1),"C1 - Global Investors",IF(AND(I1927&gt;=4,M1927&gt;'Segmentation Summary'!$C$1),"C4 - Luxury Investors",IF(AND(D1927&lt;'Segmentation Summary'!$C$2,J1927=1),"C2 - First-Time Buyers","C5 - Other Individual Buyers"))))</f>
        <v>C5 - Other Individual Buyers</v>
      </c>
    </row>
    <row r="1928" customFormat="false" ht="15" hidden="false" customHeight="true" outlineLevel="0" collapsed="false">
      <c r="A1928" s="13" t="s">
        <v>3834</v>
      </c>
      <c r="B1928" s="13" t="s">
        <v>34</v>
      </c>
      <c r="C1928" s="13" t="s">
        <v>3835</v>
      </c>
      <c r="D1928" s="13" t="n">
        <v>52</v>
      </c>
      <c r="E1928" s="13" t="s">
        <v>83</v>
      </c>
      <c r="F1928" s="13" t="s">
        <v>33</v>
      </c>
      <c r="G1928" s="13" t="s">
        <v>95</v>
      </c>
      <c r="H1928" s="13" t="s">
        <v>41</v>
      </c>
      <c r="I1928" s="13" t="n">
        <v>4</v>
      </c>
      <c r="J1928" s="13" t="n">
        <v>0</v>
      </c>
      <c r="K1928" s="13" t="s">
        <v>85</v>
      </c>
      <c r="L1928" s="13" t="n">
        <v>4</v>
      </c>
      <c r="M1928" s="13" t="n">
        <v>1173683.53</v>
      </c>
      <c r="N1928" s="13" t="n">
        <v>293420.8825</v>
      </c>
      <c r="O1928" s="13" t="n">
        <v>963.325</v>
      </c>
      <c r="P1928" s="13" t="n">
        <v>0</v>
      </c>
      <c r="Q1928" s="13" t="n">
        <v>4</v>
      </c>
      <c r="R1928" s="13" t="s">
        <v>92</v>
      </c>
      <c r="S1928" s="13" t="s">
        <v>152</v>
      </c>
      <c r="T1928" s="13" t="n">
        <v>1</v>
      </c>
      <c r="U1928" s="13" t="n">
        <f aca="false">IF(B1928="Individual",1,0)</f>
        <v>1</v>
      </c>
      <c r="V1928" s="13" t="n">
        <f aca="false">IF(B1928="Company",1,0)</f>
        <v>0</v>
      </c>
      <c r="W1928" s="13" t="n">
        <f aca="false">IF(H1928="Home",1,0)</f>
        <v>1</v>
      </c>
      <c r="X1928" s="13" t="n">
        <f aca="false">IF(H1928="Investment",1,0)</f>
        <v>0</v>
      </c>
      <c r="Y1928" s="13" t="n">
        <f aca="false">IF(K1928="Website",1,0)</f>
        <v>1</v>
      </c>
      <c r="Z1928" s="13" t="n">
        <f aca="false">IF(K1928="Agency",1,0)</f>
        <v>0</v>
      </c>
      <c r="AA1928" s="13" t="n">
        <f aca="false">IF(K1928="Client",1,0)</f>
        <v>0</v>
      </c>
      <c r="AB1928" s="13" t="n">
        <f aca="false">(D1928-AVERAGE(D$2:D$2001))/STDEV(D$2:D$2001)</f>
        <v>-0.123224667378179</v>
      </c>
      <c r="AC1928" s="13" t="n">
        <f aca="false">(I1928-AVERAGE(I$2:I$2001))/STDEV(I$2:I$2001)</f>
        <v>0.686917069130275</v>
      </c>
      <c r="AD1928" s="13" t="n">
        <f aca="false">(L1928-AVERAGE(L$2:L$2001))/STDEV(L$2:L$2001)</f>
        <v>0.413838214490712</v>
      </c>
      <c r="AE1928" s="13" t="n">
        <f aca="false">(M1928-AVERAGE(M$2:M$2001))/STDEV(M$2:M$2001)</f>
        <v>-0.249236077167037</v>
      </c>
      <c r="AF1928" s="13" t="n">
        <f aca="false">(N1928-AVERAGE(N$2:N$2001))/STDEV(N$2:N$2001)</f>
        <v>-0.769760054639906</v>
      </c>
      <c r="AG1928" s="13" t="n">
        <f aca="false">(O1928-AVERAGE(O$2:O$2001))/STDEV(O$2:O$2001)</f>
        <v>-0.837361321271795</v>
      </c>
      <c r="AH1928" s="0" t="str">
        <f aca="false">IF(B1928="Company","C3 - Corporate Buyers",IF(AND(H1928="Investment",M1928&gt;'Segmentation Summary'!$C$1),"C1 - Global Investors",IF(AND(I1928&gt;=4,M1928&gt;'Segmentation Summary'!$C$1),"C4 - Luxury Investors",IF(AND(D1928&lt;'Segmentation Summary'!$C$2,J1928=1),"C2 - First-Time Buyers","C5 - Other Individual Buyers"))))</f>
        <v>C5 - Other Individual Buyers</v>
      </c>
    </row>
    <row r="1929" customFormat="false" ht="15" hidden="false" customHeight="true" outlineLevel="0" collapsed="false">
      <c r="A1929" s="13" t="s">
        <v>3836</v>
      </c>
      <c r="B1929" s="13" t="s">
        <v>34</v>
      </c>
      <c r="C1929" s="13" t="s">
        <v>3837</v>
      </c>
      <c r="D1929" s="13" t="n">
        <v>30</v>
      </c>
      <c r="E1929" s="13" t="s">
        <v>90</v>
      </c>
      <c r="F1929" s="13" t="s">
        <v>46</v>
      </c>
      <c r="G1929" s="13" t="s">
        <v>2934</v>
      </c>
      <c r="H1929" s="13" t="s">
        <v>41</v>
      </c>
      <c r="I1929" s="13" t="n">
        <v>1</v>
      </c>
      <c r="J1929" s="13" t="n">
        <v>0</v>
      </c>
      <c r="K1929" s="13" t="s">
        <v>85</v>
      </c>
      <c r="L1929" s="13" t="n">
        <v>3</v>
      </c>
      <c r="M1929" s="13" t="n">
        <v>970705.4</v>
      </c>
      <c r="N1929" s="13" t="n">
        <v>323568.466666667</v>
      </c>
      <c r="O1929" s="13" t="n">
        <v>1079.92666666667</v>
      </c>
      <c r="P1929" s="13" t="n">
        <v>0</v>
      </c>
      <c r="Q1929" s="13" t="n">
        <v>3</v>
      </c>
      <c r="R1929" s="13" t="s">
        <v>112</v>
      </c>
      <c r="S1929" s="13" t="s">
        <v>87</v>
      </c>
      <c r="T1929" s="13" t="n">
        <v>1</v>
      </c>
      <c r="U1929" s="13" t="n">
        <f aca="false">IF(B1929="Individual",1,0)</f>
        <v>1</v>
      </c>
      <c r="V1929" s="13" t="n">
        <f aca="false">IF(B1929="Company",1,0)</f>
        <v>0</v>
      </c>
      <c r="W1929" s="13" t="n">
        <f aca="false">IF(H1929="Home",1,0)</f>
        <v>1</v>
      </c>
      <c r="X1929" s="13" t="n">
        <f aca="false">IF(H1929="Investment",1,0)</f>
        <v>0</v>
      </c>
      <c r="Y1929" s="13" t="n">
        <f aca="false">IF(K1929="Website",1,0)</f>
        <v>1</v>
      </c>
      <c r="Z1929" s="13" t="n">
        <f aca="false">IF(K1929="Agency",1,0)</f>
        <v>0</v>
      </c>
      <c r="AA1929" s="13" t="n">
        <f aca="false">IF(K1929="Client",1,0)</f>
        <v>0</v>
      </c>
      <c r="AB1929" s="13" t="n">
        <f aca="false">(D1929-AVERAGE(D$2:D$2001))/STDEV(D$2:D$2001)</f>
        <v>-1.39179868811751</v>
      </c>
      <c r="AC1929" s="13" t="n">
        <f aca="false">(I1929-AVERAGE(I$2:I$2001))/STDEV(I$2:I$2001)</f>
        <v>-1.43538077576244</v>
      </c>
      <c r="AD1929" s="13" t="n">
        <f aca="false">(L1929-AVERAGE(L$2:L$2001))/STDEV(L$2:L$2001)</f>
        <v>-0.777063122173208</v>
      </c>
      <c r="AE1929" s="13" t="n">
        <f aca="false">(M1929-AVERAGE(M$2:M$2001))/STDEV(M$2:M$2001)</f>
        <v>-0.83279052053586</v>
      </c>
      <c r="AF1929" s="13" t="n">
        <f aca="false">(N1929-AVERAGE(N$2:N$2001))/STDEV(N$2:N$2001)</f>
        <v>-0.33736194193571</v>
      </c>
      <c r="AG1929" s="13" t="n">
        <f aca="false">(O1929-AVERAGE(O$2:O$2001))/STDEV(O$2:O$2001)</f>
        <v>-0.307167182150041</v>
      </c>
      <c r="AH1929" s="0" t="str">
        <f aca="false">IF(B1929="Company","C3 - Corporate Buyers",IF(AND(H1929="Investment",M1929&gt;'Segmentation Summary'!$C$1),"C1 - Global Investors",IF(AND(I1929&gt;=4,M1929&gt;'Segmentation Summary'!$C$1),"C4 - Luxury Investors",IF(AND(D1929&lt;'Segmentation Summary'!$C$2,J1929=1),"C2 - First-Time Buyers","C5 - Other Individual Buyers"))))</f>
        <v>C5 - Other Individual Buyers</v>
      </c>
    </row>
    <row r="1930" customFormat="false" ht="15" hidden="false" customHeight="true" outlineLevel="0" collapsed="false">
      <c r="A1930" s="13" t="s">
        <v>3838</v>
      </c>
      <c r="B1930" s="13" t="s">
        <v>34</v>
      </c>
      <c r="C1930" s="13" t="s">
        <v>3839</v>
      </c>
      <c r="D1930" s="13" t="n">
        <v>46</v>
      </c>
      <c r="E1930" s="13" t="s">
        <v>90</v>
      </c>
      <c r="F1930" s="13" t="s">
        <v>33</v>
      </c>
      <c r="G1930" s="13" t="s">
        <v>84</v>
      </c>
      <c r="H1930" s="13" t="s">
        <v>41</v>
      </c>
      <c r="I1930" s="13" t="n">
        <v>3</v>
      </c>
      <c r="J1930" s="13" t="n">
        <v>1</v>
      </c>
      <c r="K1930" s="13" t="s">
        <v>85</v>
      </c>
      <c r="L1930" s="13" t="n">
        <v>3</v>
      </c>
      <c r="M1930" s="13" t="n">
        <v>1141153.96</v>
      </c>
      <c r="N1930" s="13" t="n">
        <v>380384.653333333</v>
      </c>
      <c r="O1930" s="13" t="n">
        <v>1221.67666666667</v>
      </c>
      <c r="P1930" s="13" t="n">
        <v>1</v>
      </c>
      <c r="Q1930" s="13" t="n">
        <v>2</v>
      </c>
      <c r="R1930" s="13" t="s">
        <v>98</v>
      </c>
      <c r="S1930" s="13" t="s">
        <v>103</v>
      </c>
      <c r="T1930" s="13" t="n">
        <v>1</v>
      </c>
      <c r="U1930" s="13" t="n">
        <f aca="false">IF(B1930="Individual",1,0)</f>
        <v>1</v>
      </c>
      <c r="V1930" s="13" t="n">
        <f aca="false">IF(B1930="Company",1,0)</f>
        <v>0</v>
      </c>
      <c r="W1930" s="13" t="n">
        <f aca="false">IF(H1930="Home",1,0)</f>
        <v>1</v>
      </c>
      <c r="X1930" s="13" t="n">
        <f aca="false">IF(H1930="Investment",1,0)</f>
        <v>0</v>
      </c>
      <c r="Y1930" s="13" t="n">
        <f aca="false">IF(K1930="Website",1,0)</f>
        <v>1</v>
      </c>
      <c r="Z1930" s="13" t="n">
        <f aca="false">IF(K1930="Agency",1,0)</f>
        <v>0</v>
      </c>
      <c r="AA1930" s="13" t="n">
        <f aca="false">IF(K1930="Client",1,0)</f>
        <v>0</v>
      </c>
      <c r="AB1930" s="13" t="n">
        <f aca="false">(D1930-AVERAGE(D$2:D$2001))/STDEV(D$2:D$2001)</f>
        <v>-0.469199400307086</v>
      </c>
      <c r="AC1930" s="13" t="n">
        <f aca="false">(I1930-AVERAGE(I$2:I$2001))/STDEV(I$2:I$2001)</f>
        <v>-0.0205155458339628</v>
      </c>
      <c r="AD1930" s="13" t="n">
        <f aca="false">(L1930-AVERAGE(L$2:L$2001))/STDEV(L$2:L$2001)</f>
        <v>-0.777063122173208</v>
      </c>
      <c r="AE1930" s="13" t="n">
        <f aca="false">(M1930-AVERAGE(M$2:M$2001))/STDEV(M$2:M$2001)</f>
        <v>-0.342757360047991</v>
      </c>
      <c r="AF1930" s="13" t="n">
        <f aca="false">(N1930-AVERAGE(N$2:N$2001))/STDEV(N$2:N$2001)</f>
        <v>0.477536251892989</v>
      </c>
      <c r="AG1930" s="13" t="n">
        <f aca="false">(O1930-AVERAGE(O$2:O$2001))/STDEV(O$2:O$2001)</f>
        <v>0.337377800516072</v>
      </c>
      <c r="AH1930" s="0" t="str">
        <f aca="false">IF(B1930="Company","C3 - Corporate Buyers",IF(AND(H1930="Investment",M1930&gt;'Segmentation Summary'!$C$1),"C1 - Global Investors",IF(AND(I1930&gt;=4,M1930&gt;'Segmentation Summary'!$C$1),"C4 - Luxury Investors",IF(AND(D1930&lt;'Segmentation Summary'!$C$2,J1930=1),"C2 - First-Time Buyers","C5 - Other Individual Buyers"))))</f>
        <v>C2 - First-Time Buyers</v>
      </c>
    </row>
    <row r="1931" customFormat="false" ht="15" hidden="false" customHeight="true" outlineLevel="0" collapsed="false">
      <c r="A1931" s="13" t="s">
        <v>3840</v>
      </c>
      <c r="B1931" s="13" t="s">
        <v>34</v>
      </c>
      <c r="C1931" s="13" t="s">
        <v>3841</v>
      </c>
      <c r="D1931" s="13" t="n">
        <v>82</v>
      </c>
      <c r="E1931" s="13" t="s">
        <v>90</v>
      </c>
      <c r="F1931" s="13" t="s">
        <v>33</v>
      </c>
      <c r="G1931" s="13" t="s">
        <v>84</v>
      </c>
      <c r="H1931" s="13" t="s">
        <v>41</v>
      </c>
      <c r="I1931" s="13" t="n">
        <v>5</v>
      </c>
      <c r="J1931" s="13" t="n">
        <v>0</v>
      </c>
      <c r="K1931" s="13" t="s">
        <v>85</v>
      </c>
      <c r="L1931" s="13" t="n">
        <v>4</v>
      </c>
      <c r="M1931" s="13" t="n">
        <v>1240274.79</v>
      </c>
      <c r="N1931" s="13" t="n">
        <v>310068.6975</v>
      </c>
      <c r="O1931" s="13" t="n">
        <v>990.4475</v>
      </c>
      <c r="P1931" s="13" t="n">
        <v>1</v>
      </c>
      <c r="Q1931" s="13" t="n">
        <v>3</v>
      </c>
      <c r="R1931" s="13" t="s">
        <v>92</v>
      </c>
      <c r="S1931" s="13" t="s">
        <v>135</v>
      </c>
      <c r="T1931" s="13" t="n">
        <v>1</v>
      </c>
      <c r="U1931" s="13" t="n">
        <f aca="false">IF(B1931="Individual",1,0)</f>
        <v>1</v>
      </c>
      <c r="V1931" s="13" t="n">
        <f aca="false">IF(B1931="Company",1,0)</f>
        <v>0</v>
      </c>
      <c r="W1931" s="13" t="n">
        <f aca="false">IF(H1931="Home",1,0)</f>
        <v>1</v>
      </c>
      <c r="X1931" s="13" t="n">
        <f aca="false">IF(H1931="Investment",1,0)</f>
        <v>0</v>
      </c>
      <c r="Y1931" s="13" t="n">
        <f aca="false">IF(K1931="Website",1,0)</f>
        <v>1</v>
      </c>
      <c r="Z1931" s="13" t="n">
        <f aca="false">IF(K1931="Agency",1,0)</f>
        <v>0</v>
      </c>
      <c r="AA1931" s="13" t="n">
        <f aca="false">IF(K1931="Client",1,0)</f>
        <v>0</v>
      </c>
      <c r="AB1931" s="13" t="n">
        <f aca="false">(D1931-AVERAGE(D$2:D$2001))/STDEV(D$2:D$2001)</f>
        <v>1.60664899726636</v>
      </c>
      <c r="AC1931" s="13" t="n">
        <f aca="false">(I1931-AVERAGE(I$2:I$2001))/STDEV(I$2:I$2001)</f>
        <v>1.39434968409451</v>
      </c>
      <c r="AD1931" s="13" t="n">
        <f aca="false">(L1931-AVERAGE(L$2:L$2001))/STDEV(L$2:L$2001)</f>
        <v>0.413838214490712</v>
      </c>
      <c r="AE1931" s="13" t="n">
        <f aca="false">(M1931-AVERAGE(M$2:M$2001))/STDEV(M$2:M$2001)</f>
        <v>-0.0577887243781988</v>
      </c>
      <c r="AF1931" s="13" t="n">
        <f aca="false">(N1931-AVERAGE(N$2:N$2001))/STDEV(N$2:N$2001)</f>
        <v>-0.530985241147298</v>
      </c>
      <c r="AG1931" s="13" t="n">
        <f aca="false">(O1931-AVERAGE(O$2:O$2001))/STDEV(O$2:O$2001)</f>
        <v>-0.714033834200461</v>
      </c>
      <c r="AH1931" s="0" t="str">
        <f aca="false">IF(B1931="Company","C3 - Corporate Buyers",IF(AND(H1931="Investment",M1931&gt;'Segmentation Summary'!$C$1),"C1 - Global Investors",IF(AND(I1931&gt;=4,M1931&gt;'Segmentation Summary'!$C$1),"C4 - Luxury Investors",IF(AND(D1931&lt;'Segmentation Summary'!$C$2,J1931=1),"C2 - First-Time Buyers","C5 - Other Individual Buyers"))))</f>
        <v>C4 - Luxury Investors</v>
      </c>
    </row>
    <row r="1932" customFormat="false" ht="15" hidden="false" customHeight="true" outlineLevel="0" collapsed="false">
      <c r="A1932" s="13" t="s">
        <v>3842</v>
      </c>
      <c r="B1932" s="13" t="s">
        <v>34</v>
      </c>
      <c r="C1932" s="13" t="s">
        <v>3843</v>
      </c>
      <c r="D1932" s="13" t="n">
        <v>78</v>
      </c>
      <c r="E1932" s="13" t="s">
        <v>90</v>
      </c>
      <c r="F1932" s="13" t="s">
        <v>33</v>
      </c>
      <c r="G1932" s="13" t="s">
        <v>95</v>
      </c>
      <c r="H1932" s="13" t="s">
        <v>41</v>
      </c>
      <c r="I1932" s="13" t="n">
        <v>4</v>
      </c>
      <c r="J1932" s="13" t="n">
        <v>0</v>
      </c>
      <c r="K1932" s="13" t="s">
        <v>91</v>
      </c>
      <c r="L1932" s="13" t="n">
        <v>4</v>
      </c>
      <c r="M1932" s="13" t="n">
        <v>2115520.42</v>
      </c>
      <c r="N1932" s="13" t="n">
        <v>528880.105</v>
      </c>
      <c r="O1932" s="13" t="n">
        <v>1676.3825</v>
      </c>
      <c r="P1932" s="13" t="n">
        <v>1</v>
      </c>
      <c r="Q1932" s="13" t="n">
        <v>3</v>
      </c>
      <c r="R1932" s="13" t="s">
        <v>154</v>
      </c>
      <c r="S1932" s="13" t="s">
        <v>87</v>
      </c>
      <c r="T1932" s="13" t="n">
        <v>1</v>
      </c>
      <c r="U1932" s="13" t="n">
        <f aca="false">IF(B1932="Individual",1,0)</f>
        <v>1</v>
      </c>
      <c r="V1932" s="13" t="n">
        <f aca="false">IF(B1932="Company",1,0)</f>
        <v>0</v>
      </c>
      <c r="W1932" s="13" t="n">
        <f aca="false">IF(H1932="Home",1,0)</f>
        <v>1</v>
      </c>
      <c r="X1932" s="13" t="n">
        <f aca="false">IF(H1932="Investment",1,0)</f>
        <v>0</v>
      </c>
      <c r="Y1932" s="13" t="n">
        <f aca="false">IF(K1932="Website",1,0)</f>
        <v>0</v>
      </c>
      <c r="Z1932" s="13" t="n">
        <f aca="false">IF(K1932="Agency",1,0)</f>
        <v>1</v>
      </c>
      <c r="AA1932" s="13" t="n">
        <f aca="false">IF(K1932="Client",1,0)</f>
        <v>0</v>
      </c>
      <c r="AB1932" s="13" t="n">
        <f aca="false">(D1932-AVERAGE(D$2:D$2001))/STDEV(D$2:D$2001)</f>
        <v>1.37599917531375</v>
      </c>
      <c r="AC1932" s="13" t="n">
        <f aca="false">(I1932-AVERAGE(I$2:I$2001))/STDEV(I$2:I$2001)</f>
        <v>0.686917069130275</v>
      </c>
      <c r="AD1932" s="13" t="n">
        <f aca="false">(L1932-AVERAGE(L$2:L$2001))/STDEV(L$2:L$2001)</f>
        <v>0.413838214490712</v>
      </c>
      <c r="AE1932" s="13" t="n">
        <f aca="false">(M1932-AVERAGE(M$2:M$2001))/STDEV(M$2:M$2001)</f>
        <v>2.45850934391933</v>
      </c>
      <c r="AF1932" s="13" t="n">
        <f aca="false">(N1932-AVERAGE(N$2:N$2001))/STDEV(N$2:N$2001)</f>
        <v>2.60736372632185</v>
      </c>
      <c r="AG1932" s="13" t="n">
        <f aca="false">(O1932-AVERAGE(O$2:O$2001))/STDEV(O$2:O$2001)</f>
        <v>2.40495002953908</v>
      </c>
      <c r="AH1932" s="0" t="str">
        <f aca="false">IF(B1932="Company","C3 - Corporate Buyers",IF(AND(H1932="Investment",M1932&gt;'Segmentation Summary'!$C$1),"C1 - Global Investors",IF(AND(I1932&gt;=4,M1932&gt;'Segmentation Summary'!$C$1),"C4 - Luxury Investors",IF(AND(D1932&lt;'Segmentation Summary'!$C$2,J1932=1),"C2 - First-Time Buyers","C5 - Other Individual Buyers"))))</f>
        <v>C4 - Luxury Investors</v>
      </c>
    </row>
    <row r="1933" customFormat="false" ht="15" hidden="false" customHeight="true" outlineLevel="0" collapsed="false">
      <c r="A1933" s="13" t="s">
        <v>3844</v>
      </c>
      <c r="B1933" s="13" t="s">
        <v>34</v>
      </c>
      <c r="C1933" s="13" t="s">
        <v>3845</v>
      </c>
      <c r="D1933" s="13" t="n">
        <v>68</v>
      </c>
      <c r="E1933" s="13" t="s">
        <v>90</v>
      </c>
      <c r="F1933" s="13" t="s">
        <v>33</v>
      </c>
      <c r="G1933" s="13" t="s">
        <v>95</v>
      </c>
      <c r="H1933" s="13" t="s">
        <v>41</v>
      </c>
      <c r="I1933" s="13" t="n">
        <v>3</v>
      </c>
      <c r="J1933" s="13" t="n">
        <v>0</v>
      </c>
      <c r="K1933" s="13" t="s">
        <v>85</v>
      </c>
      <c r="L1933" s="13" t="n">
        <v>3</v>
      </c>
      <c r="M1933" s="13" t="n">
        <v>1429330.15</v>
      </c>
      <c r="N1933" s="13" t="n">
        <v>476443.383333333</v>
      </c>
      <c r="O1933" s="13" t="n">
        <v>1600.91333333333</v>
      </c>
      <c r="P1933" s="13" t="n">
        <v>0</v>
      </c>
      <c r="Q1933" s="13" t="n">
        <v>3</v>
      </c>
      <c r="R1933" s="13" t="s">
        <v>98</v>
      </c>
      <c r="S1933" s="13" t="s">
        <v>135</v>
      </c>
      <c r="T1933" s="13" t="n">
        <v>1</v>
      </c>
      <c r="U1933" s="13" t="n">
        <f aca="false">IF(B1933="Individual",1,0)</f>
        <v>1</v>
      </c>
      <c r="V1933" s="13" t="n">
        <f aca="false">IF(B1933="Company",1,0)</f>
        <v>0</v>
      </c>
      <c r="W1933" s="13" t="n">
        <f aca="false">IF(H1933="Home",1,0)</f>
        <v>1</v>
      </c>
      <c r="X1933" s="13" t="n">
        <f aca="false">IF(H1933="Investment",1,0)</f>
        <v>0</v>
      </c>
      <c r="Y1933" s="13" t="n">
        <f aca="false">IF(K1933="Website",1,0)</f>
        <v>1</v>
      </c>
      <c r="Z1933" s="13" t="n">
        <f aca="false">IF(K1933="Agency",1,0)</f>
        <v>0</v>
      </c>
      <c r="AA1933" s="13" t="n">
        <f aca="false">IF(K1933="Client",1,0)</f>
        <v>0</v>
      </c>
      <c r="AB1933" s="13" t="n">
        <f aca="false">(D1933-AVERAGE(D$2:D$2001))/STDEV(D$2:D$2001)</f>
        <v>0.79937462043224</v>
      </c>
      <c r="AC1933" s="13" t="n">
        <f aca="false">(I1933-AVERAGE(I$2:I$2001))/STDEV(I$2:I$2001)</f>
        <v>-0.0205155458339628</v>
      </c>
      <c r="AD1933" s="13" t="n">
        <f aca="false">(L1933-AVERAGE(L$2:L$2001))/STDEV(L$2:L$2001)</f>
        <v>-0.777063122173208</v>
      </c>
      <c r="AE1933" s="13" t="n">
        <f aca="false">(M1933-AVERAGE(M$2:M$2001))/STDEV(M$2:M$2001)</f>
        <v>0.48573828205689</v>
      </c>
      <c r="AF1933" s="13" t="n">
        <f aca="false">(N1933-AVERAGE(N$2:N$2001))/STDEV(N$2:N$2001)</f>
        <v>1.85527893704937</v>
      </c>
      <c r="AG1933" s="13" t="n">
        <f aca="false">(O1933-AVERAGE(O$2:O$2001))/STDEV(O$2:O$2001)</f>
        <v>2.06178761175429</v>
      </c>
      <c r="AH1933" s="0" t="str">
        <f aca="false">IF(B1933="Company","C3 - Corporate Buyers",IF(AND(H1933="Investment",M1933&gt;'Segmentation Summary'!$C$1),"C1 - Global Investors",IF(AND(I1933&gt;=4,M1933&gt;'Segmentation Summary'!$C$1),"C4 - Luxury Investors",IF(AND(D1933&lt;'Segmentation Summary'!$C$2,J1933=1),"C2 - First-Time Buyers","C5 - Other Individual Buyers"))))</f>
        <v>C5 - Other Individual Buyers</v>
      </c>
    </row>
    <row r="1934" customFormat="false" ht="15" hidden="false" customHeight="true" outlineLevel="0" collapsed="false">
      <c r="A1934" s="13" t="s">
        <v>3846</v>
      </c>
      <c r="B1934" s="13" t="s">
        <v>34</v>
      </c>
      <c r="C1934" s="13" t="s">
        <v>3847</v>
      </c>
      <c r="D1934" s="13" t="n">
        <v>29</v>
      </c>
      <c r="E1934" s="13" t="s">
        <v>90</v>
      </c>
      <c r="F1934" s="13" t="s">
        <v>33</v>
      </c>
      <c r="G1934" s="13" t="s">
        <v>95</v>
      </c>
      <c r="H1934" s="13" t="s">
        <v>43</v>
      </c>
      <c r="I1934" s="13" t="n">
        <v>3</v>
      </c>
      <c r="J1934" s="13" t="n">
        <v>0</v>
      </c>
      <c r="K1934" s="13" t="s">
        <v>91</v>
      </c>
      <c r="L1934" s="13" t="n">
        <v>4</v>
      </c>
      <c r="M1934" s="13" t="n">
        <v>1045658.54</v>
      </c>
      <c r="N1934" s="13" t="n">
        <v>261414.635</v>
      </c>
      <c r="O1934" s="13" t="n">
        <v>905.7525</v>
      </c>
      <c r="P1934" s="13" t="n">
        <v>1</v>
      </c>
      <c r="Q1934" s="13" t="n">
        <v>3</v>
      </c>
      <c r="R1934" s="13" t="s">
        <v>121</v>
      </c>
      <c r="S1934" s="13" t="s">
        <v>215</v>
      </c>
      <c r="T1934" s="13" t="n">
        <v>1</v>
      </c>
      <c r="U1934" s="13" t="n">
        <f aca="false">IF(B1934="Individual",1,0)</f>
        <v>1</v>
      </c>
      <c r="V1934" s="13" t="n">
        <f aca="false">IF(B1934="Company",1,0)</f>
        <v>0</v>
      </c>
      <c r="W1934" s="13" t="n">
        <f aca="false">IF(H1934="Home",1,0)</f>
        <v>0</v>
      </c>
      <c r="X1934" s="13" t="n">
        <f aca="false">IF(H1934="Investment",1,0)</f>
        <v>1</v>
      </c>
      <c r="Y1934" s="13" t="n">
        <f aca="false">IF(K1934="Website",1,0)</f>
        <v>0</v>
      </c>
      <c r="Z1934" s="13" t="n">
        <f aca="false">IF(K1934="Agency",1,0)</f>
        <v>1</v>
      </c>
      <c r="AA1934" s="13" t="n">
        <f aca="false">IF(K1934="Client",1,0)</f>
        <v>0</v>
      </c>
      <c r="AB1934" s="13" t="n">
        <f aca="false">(D1934-AVERAGE(D$2:D$2001))/STDEV(D$2:D$2001)</f>
        <v>-1.44946114360566</v>
      </c>
      <c r="AC1934" s="13" t="n">
        <f aca="false">(I1934-AVERAGE(I$2:I$2001))/STDEV(I$2:I$2001)</f>
        <v>-0.0205155458339628</v>
      </c>
      <c r="AD1934" s="13" t="n">
        <f aca="false">(L1934-AVERAGE(L$2:L$2001))/STDEV(L$2:L$2001)</f>
        <v>0.413838214490712</v>
      </c>
      <c r="AE1934" s="13" t="n">
        <f aca="false">(M1934-AVERAGE(M$2:M$2001))/STDEV(M$2:M$2001)</f>
        <v>-0.617303079147738</v>
      </c>
      <c r="AF1934" s="13" t="n">
        <f aca="false">(N1934-AVERAGE(N$2:N$2001))/STDEV(N$2:N$2001)</f>
        <v>-1.22881643996199</v>
      </c>
      <c r="AG1934" s="13" t="n">
        <f aca="false">(O1934-AVERAGE(O$2:O$2001))/STDEV(O$2:O$2001)</f>
        <v>-1.09914661943437</v>
      </c>
      <c r="AH1934" s="0" t="str">
        <f aca="false">IF(B1934="Company","C3 - Corporate Buyers",IF(AND(H1934="Investment",M1934&gt;'Segmentation Summary'!$C$1),"C1 - Global Investors",IF(AND(I1934&gt;=4,M1934&gt;'Segmentation Summary'!$C$1),"C4 - Luxury Investors",IF(AND(D1934&lt;'Segmentation Summary'!$C$2,J1934=1),"C2 - First-Time Buyers","C5 - Other Individual Buyers"))))</f>
        <v>C5 - Other Individual Buyers</v>
      </c>
    </row>
    <row r="1935" customFormat="false" ht="15" hidden="false" customHeight="true" outlineLevel="0" collapsed="false">
      <c r="A1935" s="13" t="s">
        <v>3848</v>
      </c>
      <c r="B1935" s="13" t="s">
        <v>34</v>
      </c>
      <c r="C1935" s="13" t="s">
        <v>3849</v>
      </c>
      <c r="D1935" s="13" t="n">
        <v>53</v>
      </c>
      <c r="E1935" s="13" t="s">
        <v>90</v>
      </c>
      <c r="F1935" s="13" t="s">
        <v>33</v>
      </c>
      <c r="G1935" s="13" t="s">
        <v>265</v>
      </c>
      <c r="H1935" s="13" t="s">
        <v>41</v>
      </c>
      <c r="I1935" s="13" t="n">
        <v>3</v>
      </c>
      <c r="J1935" s="13" t="n">
        <v>1</v>
      </c>
      <c r="K1935" s="13" t="s">
        <v>91</v>
      </c>
      <c r="L1935" s="13" t="n">
        <v>3</v>
      </c>
      <c r="M1935" s="13" t="n">
        <v>1293598.48</v>
      </c>
      <c r="N1935" s="13" t="n">
        <v>431199.493333333</v>
      </c>
      <c r="O1935" s="13" t="n">
        <v>1238.36</v>
      </c>
      <c r="P1935" s="13" t="n">
        <v>1</v>
      </c>
      <c r="Q1935" s="13" t="n">
        <v>2</v>
      </c>
      <c r="R1935" s="13" t="s">
        <v>215</v>
      </c>
      <c r="S1935" s="13" t="s">
        <v>164</v>
      </c>
      <c r="T1935" s="13" t="n">
        <v>1</v>
      </c>
      <c r="U1935" s="13" t="n">
        <f aca="false">IF(B1935="Individual",1,0)</f>
        <v>1</v>
      </c>
      <c r="V1935" s="13" t="n">
        <f aca="false">IF(B1935="Company",1,0)</f>
        <v>0</v>
      </c>
      <c r="W1935" s="13" t="n">
        <f aca="false">IF(H1935="Home",1,0)</f>
        <v>1</v>
      </c>
      <c r="X1935" s="13" t="n">
        <f aca="false">IF(H1935="Investment",1,0)</f>
        <v>0</v>
      </c>
      <c r="Y1935" s="13" t="n">
        <f aca="false">IF(K1935="Website",1,0)</f>
        <v>0</v>
      </c>
      <c r="Z1935" s="13" t="n">
        <f aca="false">IF(K1935="Agency",1,0)</f>
        <v>1</v>
      </c>
      <c r="AA1935" s="13" t="n">
        <f aca="false">IF(K1935="Client",1,0)</f>
        <v>0</v>
      </c>
      <c r="AB1935" s="13" t="n">
        <f aca="false">(D1935-AVERAGE(D$2:D$2001))/STDEV(D$2:D$2001)</f>
        <v>-0.065562211890028</v>
      </c>
      <c r="AC1935" s="13" t="n">
        <f aca="false">(I1935-AVERAGE(I$2:I$2001))/STDEV(I$2:I$2001)</f>
        <v>-0.0205155458339628</v>
      </c>
      <c r="AD1935" s="13" t="n">
        <f aca="false">(L1935-AVERAGE(L$2:L$2001))/STDEV(L$2:L$2001)</f>
        <v>-0.777063122173208</v>
      </c>
      <c r="AE1935" s="13" t="n">
        <f aca="false">(M1935-AVERAGE(M$2:M$2001))/STDEV(M$2:M$2001)</f>
        <v>0.0955148666851421</v>
      </c>
      <c r="AF1935" s="13" t="n">
        <f aca="false">(N1935-AVERAGE(N$2:N$2001))/STDEV(N$2:N$2001)</f>
        <v>1.20635885976415</v>
      </c>
      <c r="AG1935" s="13" t="n">
        <f aca="false">(O1935-AVERAGE(O$2:O$2001))/STDEV(O$2:O$2001)</f>
        <v>0.413237827282521</v>
      </c>
      <c r="AH1935" s="0" t="str">
        <f aca="false">IF(B1935="Company","C3 - Corporate Buyers",IF(AND(H1935="Investment",M1935&gt;'Segmentation Summary'!$C$1),"C1 - Global Investors",IF(AND(I1935&gt;=4,M1935&gt;'Segmentation Summary'!$C$1),"C4 - Luxury Investors",IF(AND(D1935&lt;'Segmentation Summary'!$C$2,J1935=1),"C2 - First-Time Buyers","C5 - Other Individual Buyers"))))</f>
        <v>C2 - First-Time Buyers</v>
      </c>
    </row>
    <row r="1936" customFormat="false" ht="15" hidden="false" customHeight="true" outlineLevel="0" collapsed="false">
      <c r="A1936" s="13" t="s">
        <v>3850</v>
      </c>
      <c r="B1936" s="13" t="s">
        <v>34</v>
      </c>
      <c r="C1936" s="13" t="s">
        <v>3851</v>
      </c>
      <c r="D1936" s="13" t="n">
        <v>72</v>
      </c>
      <c r="E1936" s="13" t="s">
        <v>90</v>
      </c>
      <c r="F1936" s="13" t="s">
        <v>33</v>
      </c>
      <c r="G1936" s="13" t="s">
        <v>95</v>
      </c>
      <c r="H1936" s="13" t="s">
        <v>43</v>
      </c>
      <c r="I1936" s="13" t="n">
        <v>1</v>
      </c>
      <c r="J1936" s="13" t="n">
        <v>1</v>
      </c>
      <c r="K1936" s="13" t="s">
        <v>85</v>
      </c>
      <c r="L1936" s="13" t="n">
        <v>4</v>
      </c>
      <c r="M1936" s="13" t="n">
        <v>1325474.94</v>
      </c>
      <c r="N1936" s="13" t="n">
        <v>331368.735</v>
      </c>
      <c r="O1936" s="13" t="n">
        <v>1280.6875</v>
      </c>
      <c r="P1936" s="13" t="n">
        <v>0</v>
      </c>
      <c r="Q1936" s="13" t="n">
        <v>4</v>
      </c>
      <c r="R1936" s="13" t="s">
        <v>93</v>
      </c>
      <c r="S1936" s="13" t="s">
        <v>154</v>
      </c>
      <c r="T1936" s="13" t="n">
        <v>1</v>
      </c>
      <c r="U1936" s="13" t="n">
        <f aca="false">IF(B1936="Individual",1,0)</f>
        <v>1</v>
      </c>
      <c r="V1936" s="13" t="n">
        <f aca="false">IF(B1936="Company",1,0)</f>
        <v>0</v>
      </c>
      <c r="W1936" s="13" t="n">
        <f aca="false">IF(H1936="Home",1,0)</f>
        <v>0</v>
      </c>
      <c r="X1936" s="13" t="n">
        <f aca="false">IF(H1936="Investment",1,0)</f>
        <v>1</v>
      </c>
      <c r="Y1936" s="13" t="n">
        <f aca="false">IF(K1936="Website",1,0)</f>
        <v>1</v>
      </c>
      <c r="Z1936" s="13" t="n">
        <f aca="false">IF(K1936="Agency",1,0)</f>
        <v>0</v>
      </c>
      <c r="AA1936" s="13" t="n">
        <f aca="false">IF(K1936="Client",1,0)</f>
        <v>0</v>
      </c>
      <c r="AB1936" s="13" t="n">
        <f aca="false">(D1936-AVERAGE(D$2:D$2001))/STDEV(D$2:D$2001)</f>
        <v>1.03002444238485</v>
      </c>
      <c r="AC1936" s="13" t="n">
        <f aca="false">(I1936-AVERAGE(I$2:I$2001))/STDEV(I$2:I$2001)</f>
        <v>-1.43538077576244</v>
      </c>
      <c r="AD1936" s="13" t="n">
        <f aca="false">(L1936-AVERAGE(L$2:L$2001))/STDEV(L$2:L$2001)</f>
        <v>0.413838214490712</v>
      </c>
      <c r="AE1936" s="13" t="n">
        <f aca="false">(M1936-AVERAGE(M$2:M$2001))/STDEV(M$2:M$2001)</f>
        <v>0.187158483028777</v>
      </c>
      <c r="AF1936" s="13" t="n">
        <f aca="false">(N1936-AVERAGE(N$2:N$2001))/STDEV(N$2:N$2001)</f>
        <v>-0.225484940870773</v>
      </c>
      <c r="AG1936" s="13" t="n">
        <f aca="false">(O1936-AVERAGE(O$2:O$2001))/STDEV(O$2:O$2001)</f>
        <v>0.605703278808446</v>
      </c>
      <c r="AH1936" s="0" t="str">
        <f aca="false">IF(B1936="Company","C3 - Corporate Buyers",IF(AND(H1936="Investment",M1936&gt;'Segmentation Summary'!$C$1),"C1 - Global Investors",IF(AND(I1936&gt;=4,M1936&gt;'Segmentation Summary'!$C$1),"C4 - Luxury Investors",IF(AND(D1936&lt;'Segmentation Summary'!$C$2,J1936=1),"C2 - First-Time Buyers","C5 - Other Individual Buyers"))))</f>
        <v>C1 - Global Investors</v>
      </c>
    </row>
    <row r="1937" customFormat="false" ht="15" hidden="false" customHeight="true" outlineLevel="0" collapsed="false">
      <c r="A1937" s="13" t="s">
        <v>3852</v>
      </c>
      <c r="B1937" s="13" t="s">
        <v>34</v>
      </c>
      <c r="C1937" s="13" t="s">
        <v>3853</v>
      </c>
      <c r="D1937" s="13" t="n">
        <v>59</v>
      </c>
      <c r="E1937" s="13" t="s">
        <v>90</v>
      </c>
      <c r="F1937" s="13" t="s">
        <v>33</v>
      </c>
      <c r="G1937" s="13" t="s">
        <v>95</v>
      </c>
      <c r="H1937" s="13" t="s">
        <v>41</v>
      </c>
      <c r="I1937" s="13" t="n">
        <v>5</v>
      </c>
      <c r="J1937" s="13" t="n">
        <v>1</v>
      </c>
      <c r="K1937" s="13" t="s">
        <v>91</v>
      </c>
      <c r="L1937" s="13" t="n">
        <v>4</v>
      </c>
      <c r="M1937" s="13" t="n">
        <v>1906641.78</v>
      </c>
      <c r="N1937" s="13" t="n">
        <v>476660.445</v>
      </c>
      <c r="O1937" s="13" t="n">
        <v>1552.15</v>
      </c>
      <c r="P1937" s="13" t="n">
        <v>1</v>
      </c>
      <c r="Q1937" s="13" t="n">
        <v>3</v>
      </c>
      <c r="R1937" s="13" t="s">
        <v>117</v>
      </c>
      <c r="S1937" s="13" t="s">
        <v>87</v>
      </c>
      <c r="T1937" s="13" t="n">
        <v>1</v>
      </c>
      <c r="U1937" s="13" t="n">
        <f aca="false">IF(B1937="Individual",1,0)</f>
        <v>1</v>
      </c>
      <c r="V1937" s="13" t="n">
        <f aca="false">IF(B1937="Company",1,0)</f>
        <v>0</v>
      </c>
      <c r="W1937" s="13" t="n">
        <f aca="false">IF(H1937="Home",1,0)</f>
        <v>1</v>
      </c>
      <c r="X1937" s="13" t="n">
        <f aca="false">IF(H1937="Investment",1,0)</f>
        <v>0</v>
      </c>
      <c r="Y1937" s="13" t="n">
        <f aca="false">IF(K1937="Website",1,0)</f>
        <v>0</v>
      </c>
      <c r="Z1937" s="13" t="n">
        <f aca="false">IF(K1937="Agency",1,0)</f>
        <v>1</v>
      </c>
      <c r="AA1937" s="13" t="n">
        <f aca="false">IF(K1937="Client",1,0)</f>
        <v>0</v>
      </c>
      <c r="AB1937" s="13" t="n">
        <f aca="false">(D1937-AVERAGE(D$2:D$2001))/STDEV(D$2:D$2001)</f>
        <v>0.280412521038879</v>
      </c>
      <c r="AC1937" s="13" t="n">
        <f aca="false">(I1937-AVERAGE(I$2:I$2001))/STDEV(I$2:I$2001)</f>
        <v>1.39434968409451</v>
      </c>
      <c r="AD1937" s="13" t="n">
        <f aca="false">(L1937-AVERAGE(L$2:L$2001))/STDEV(L$2:L$2001)</f>
        <v>0.413838214490712</v>
      </c>
      <c r="AE1937" s="13" t="n">
        <f aca="false">(M1937-AVERAGE(M$2:M$2001))/STDEV(M$2:M$2001)</f>
        <v>1.85799115756676</v>
      </c>
      <c r="AF1937" s="13" t="n">
        <f aca="false">(N1937-AVERAGE(N$2:N$2001))/STDEV(N$2:N$2001)</f>
        <v>1.85839218998826</v>
      </c>
      <c r="AG1937" s="13" t="n">
        <f aca="false">(O1937-AVERAGE(O$2:O$2001))/STDEV(O$2:O$2001)</f>
        <v>1.84005807497776</v>
      </c>
      <c r="AH1937" s="0" t="str">
        <f aca="false">IF(B1937="Company","C3 - Corporate Buyers",IF(AND(H1937="Investment",M1937&gt;'Segmentation Summary'!$C$1),"C1 - Global Investors",IF(AND(I1937&gt;=4,M1937&gt;'Segmentation Summary'!$C$1),"C4 - Luxury Investors",IF(AND(D1937&lt;'Segmentation Summary'!$C$2,J1937=1),"C2 - First-Time Buyers","C5 - Other Individual Buyers"))))</f>
        <v>C4 - Luxury Investors</v>
      </c>
    </row>
    <row r="1938" customFormat="false" ht="15" hidden="false" customHeight="true" outlineLevel="0" collapsed="false">
      <c r="A1938" s="13" t="s">
        <v>3854</v>
      </c>
      <c r="B1938" s="13" t="s">
        <v>34</v>
      </c>
      <c r="C1938" s="13" t="s">
        <v>3855</v>
      </c>
      <c r="D1938" s="13" t="n">
        <v>79</v>
      </c>
      <c r="E1938" s="13" t="s">
        <v>90</v>
      </c>
      <c r="F1938" s="13" t="s">
        <v>33</v>
      </c>
      <c r="G1938" s="13" t="s">
        <v>145</v>
      </c>
      <c r="H1938" s="13" t="s">
        <v>41</v>
      </c>
      <c r="I1938" s="13" t="n">
        <v>3</v>
      </c>
      <c r="J1938" s="13" t="n">
        <v>1</v>
      </c>
      <c r="K1938" s="13" t="s">
        <v>91</v>
      </c>
      <c r="L1938" s="13" t="n">
        <v>3</v>
      </c>
      <c r="M1938" s="13" t="n">
        <v>987211.17</v>
      </c>
      <c r="N1938" s="13" t="n">
        <v>329070.39</v>
      </c>
      <c r="O1938" s="13" t="n">
        <v>1049.38</v>
      </c>
      <c r="P1938" s="13" t="n">
        <v>1</v>
      </c>
      <c r="Q1938" s="13" t="n">
        <v>2</v>
      </c>
      <c r="R1938" s="13" t="s">
        <v>98</v>
      </c>
      <c r="S1938" s="13" t="s">
        <v>141</v>
      </c>
      <c r="T1938" s="13" t="n">
        <v>1</v>
      </c>
      <c r="U1938" s="13" t="n">
        <f aca="false">IF(B1938="Individual",1,0)</f>
        <v>1</v>
      </c>
      <c r="V1938" s="13" t="n">
        <f aca="false">IF(B1938="Company",1,0)</f>
        <v>0</v>
      </c>
      <c r="W1938" s="13" t="n">
        <f aca="false">IF(H1938="Home",1,0)</f>
        <v>1</v>
      </c>
      <c r="X1938" s="13" t="n">
        <f aca="false">IF(H1938="Investment",1,0)</f>
        <v>0</v>
      </c>
      <c r="Y1938" s="13" t="n">
        <f aca="false">IF(K1938="Website",1,0)</f>
        <v>0</v>
      </c>
      <c r="Z1938" s="13" t="n">
        <f aca="false">IF(K1938="Agency",1,0)</f>
        <v>1</v>
      </c>
      <c r="AA1938" s="13" t="n">
        <f aca="false">IF(K1938="Client",1,0)</f>
        <v>0</v>
      </c>
      <c r="AB1938" s="13" t="n">
        <f aca="false">(D1938-AVERAGE(D$2:D$2001))/STDEV(D$2:D$2001)</f>
        <v>1.4336616308019</v>
      </c>
      <c r="AC1938" s="13" t="n">
        <f aca="false">(I1938-AVERAGE(I$2:I$2001))/STDEV(I$2:I$2001)</f>
        <v>-0.0205155458339628</v>
      </c>
      <c r="AD1938" s="13" t="n">
        <f aca="false">(L1938-AVERAGE(L$2:L$2001))/STDEV(L$2:L$2001)</f>
        <v>-0.777063122173208</v>
      </c>
      <c r="AE1938" s="13" t="n">
        <f aca="false">(M1938-AVERAGE(M$2:M$2001))/STDEV(M$2:M$2001)</f>
        <v>-0.785337056338885</v>
      </c>
      <c r="AF1938" s="13" t="n">
        <f aca="false">(N1938-AVERAGE(N$2:N$2001))/STDEV(N$2:N$2001)</f>
        <v>-0.258449440939801</v>
      </c>
      <c r="AG1938" s="13" t="n">
        <f aca="false">(O1938-AVERAGE(O$2:O$2001))/STDEV(O$2:O$2001)</f>
        <v>-0.446064541847934</v>
      </c>
      <c r="AH1938" s="0" t="str">
        <f aca="false">IF(B1938="Company","C3 - Corporate Buyers",IF(AND(H1938="Investment",M1938&gt;'Segmentation Summary'!$C$1),"C1 - Global Investors",IF(AND(I1938&gt;=4,M1938&gt;'Segmentation Summary'!$C$1),"C4 - Luxury Investors",IF(AND(D1938&lt;'Segmentation Summary'!$C$2,J1938=1),"C2 - First-Time Buyers","C5 - Other Individual Buyers"))))</f>
        <v>C5 - Other Individual Buyers</v>
      </c>
    </row>
    <row r="1939" customFormat="false" ht="15" hidden="false" customHeight="true" outlineLevel="0" collapsed="false">
      <c r="A1939" s="13" t="s">
        <v>3856</v>
      </c>
      <c r="B1939" s="13" t="s">
        <v>34</v>
      </c>
      <c r="C1939" s="13" t="s">
        <v>3857</v>
      </c>
      <c r="D1939" s="13" t="n">
        <v>34</v>
      </c>
      <c r="E1939" s="13" t="s">
        <v>90</v>
      </c>
      <c r="F1939" s="13" t="s">
        <v>33</v>
      </c>
      <c r="G1939" s="13" t="s">
        <v>106</v>
      </c>
      <c r="H1939" s="13" t="s">
        <v>43</v>
      </c>
      <c r="I1939" s="13" t="n">
        <v>2</v>
      </c>
      <c r="J1939" s="13" t="n">
        <v>0</v>
      </c>
      <c r="K1939" s="13" t="s">
        <v>116</v>
      </c>
      <c r="L1939" s="13" t="n">
        <v>4</v>
      </c>
      <c r="M1939" s="13" t="n">
        <v>1102931.45</v>
      </c>
      <c r="N1939" s="13" t="n">
        <v>275732.8625</v>
      </c>
      <c r="O1939" s="13" t="n">
        <v>989.46</v>
      </c>
      <c r="P1939" s="13" t="n">
        <v>0</v>
      </c>
      <c r="Q1939" s="13" t="n">
        <v>4</v>
      </c>
      <c r="R1939" s="13" t="s">
        <v>101</v>
      </c>
      <c r="S1939" s="13" t="s">
        <v>133</v>
      </c>
      <c r="T1939" s="13" t="n">
        <v>1</v>
      </c>
      <c r="U1939" s="13" t="n">
        <f aca="false">IF(B1939="Individual",1,0)</f>
        <v>1</v>
      </c>
      <c r="V1939" s="13" t="n">
        <f aca="false">IF(B1939="Company",1,0)</f>
        <v>0</v>
      </c>
      <c r="W1939" s="13" t="n">
        <f aca="false">IF(H1939="Home",1,0)</f>
        <v>0</v>
      </c>
      <c r="X1939" s="13" t="n">
        <f aca="false">IF(H1939="Investment",1,0)</f>
        <v>1</v>
      </c>
      <c r="Y1939" s="13" t="n">
        <f aca="false">IF(K1939="Website",1,0)</f>
        <v>0</v>
      </c>
      <c r="Z1939" s="13" t="n">
        <f aca="false">IF(K1939="Agency",1,0)</f>
        <v>0</v>
      </c>
      <c r="AA1939" s="13" t="n">
        <f aca="false">IF(K1939="Client",1,0)</f>
        <v>1</v>
      </c>
      <c r="AB1939" s="13" t="n">
        <f aca="false">(D1939-AVERAGE(D$2:D$2001))/STDEV(D$2:D$2001)</f>
        <v>-1.1611488661649</v>
      </c>
      <c r="AC1939" s="13" t="n">
        <f aca="false">(I1939-AVERAGE(I$2:I$2001))/STDEV(I$2:I$2001)</f>
        <v>-0.727948160798201</v>
      </c>
      <c r="AD1939" s="13" t="n">
        <f aca="false">(L1939-AVERAGE(L$2:L$2001))/STDEV(L$2:L$2001)</f>
        <v>0.413838214490712</v>
      </c>
      <c r="AE1939" s="13" t="n">
        <f aca="false">(M1939-AVERAGE(M$2:M$2001))/STDEV(M$2:M$2001)</f>
        <v>-0.452645630016826</v>
      </c>
      <c r="AF1939" s="13" t="n">
        <f aca="false">(N1939-AVERAGE(N$2:N$2001))/STDEV(N$2:N$2001)</f>
        <v>-1.02345422871341</v>
      </c>
      <c r="AG1939" s="13" t="n">
        <f aca="false">(O1939-AVERAGE(O$2:O$2001))/STDEV(O$2:O$2001)</f>
        <v>-0.718524050570005</v>
      </c>
      <c r="AH1939" s="0" t="str">
        <f aca="false">IF(B1939="Company","C3 - Corporate Buyers",IF(AND(H1939="Investment",M1939&gt;'Segmentation Summary'!$C$1),"C1 - Global Investors",IF(AND(I1939&gt;=4,M1939&gt;'Segmentation Summary'!$C$1),"C4 - Luxury Investors",IF(AND(D1939&lt;'Segmentation Summary'!$C$2,J1939=1),"C2 - First-Time Buyers","C5 - Other Individual Buyers"))))</f>
        <v>C5 - Other Individual Buyers</v>
      </c>
    </row>
    <row r="1940" customFormat="false" ht="15" hidden="false" customHeight="true" outlineLevel="0" collapsed="false">
      <c r="A1940" s="13" t="s">
        <v>3858</v>
      </c>
      <c r="B1940" s="13" t="s">
        <v>34</v>
      </c>
      <c r="C1940" s="13" t="s">
        <v>3859</v>
      </c>
      <c r="D1940" s="13" t="n">
        <v>61</v>
      </c>
      <c r="E1940" s="13" t="s">
        <v>90</v>
      </c>
      <c r="F1940" s="13" t="s">
        <v>33</v>
      </c>
      <c r="G1940" s="13" t="s">
        <v>95</v>
      </c>
      <c r="H1940" s="13" t="s">
        <v>43</v>
      </c>
      <c r="I1940" s="13" t="n">
        <v>3</v>
      </c>
      <c r="J1940" s="13" t="n">
        <v>1</v>
      </c>
      <c r="K1940" s="13" t="s">
        <v>91</v>
      </c>
      <c r="L1940" s="13" t="n">
        <v>4</v>
      </c>
      <c r="M1940" s="13" t="n">
        <v>1425130.68</v>
      </c>
      <c r="N1940" s="13" t="n">
        <v>356282.67</v>
      </c>
      <c r="O1940" s="13" t="n">
        <v>1152.755</v>
      </c>
      <c r="P1940" s="13" t="n">
        <v>0</v>
      </c>
      <c r="Q1940" s="13" t="n">
        <v>4</v>
      </c>
      <c r="R1940" s="13" t="s">
        <v>92</v>
      </c>
      <c r="S1940" s="13" t="s">
        <v>125</v>
      </c>
      <c r="T1940" s="13" t="n">
        <v>1</v>
      </c>
      <c r="U1940" s="13" t="n">
        <f aca="false">IF(B1940="Individual",1,0)</f>
        <v>1</v>
      </c>
      <c r="V1940" s="13" t="n">
        <f aca="false">IF(B1940="Company",1,0)</f>
        <v>0</v>
      </c>
      <c r="W1940" s="13" t="n">
        <f aca="false">IF(H1940="Home",1,0)</f>
        <v>0</v>
      </c>
      <c r="X1940" s="13" t="n">
        <f aca="false">IF(H1940="Investment",1,0)</f>
        <v>1</v>
      </c>
      <c r="Y1940" s="13" t="n">
        <f aca="false">IF(K1940="Website",1,0)</f>
        <v>0</v>
      </c>
      <c r="Z1940" s="13" t="n">
        <f aca="false">IF(K1940="Agency",1,0)</f>
        <v>1</v>
      </c>
      <c r="AA1940" s="13" t="n">
        <f aca="false">IF(K1940="Client",1,0)</f>
        <v>0</v>
      </c>
      <c r="AB1940" s="13" t="n">
        <f aca="false">(D1940-AVERAGE(D$2:D$2001))/STDEV(D$2:D$2001)</f>
        <v>0.395737432015182</v>
      </c>
      <c r="AC1940" s="13" t="n">
        <f aca="false">(I1940-AVERAGE(I$2:I$2001))/STDEV(I$2:I$2001)</f>
        <v>-0.0205155458339628</v>
      </c>
      <c r="AD1940" s="13" t="n">
        <f aca="false">(L1940-AVERAGE(L$2:L$2001))/STDEV(L$2:L$2001)</f>
        <v>0.413838214490712</v>
      </c>
      <c r="AE1940" s="13" t="n">
        <f aca="false">(M1940-AVERAGE(M$2:M$2001))/STDEV(M$2:M$2001)</f>
        <v>0.473664964708396</v>
      </c>
      <c r="AF1940" s="13" t="n">
        <f aca="false">(N1940-AVERAGE(N$2:N$2001))/STDEV(N$2:N$2001)</f>
        <v>0.131848449907052</v>
      </c>
      <c r="AG1940" s="13" t="n">
        <f aca="false">(O1940-AVERAGE(O$2:O$2001))/STDEV(O$2:O$2001)</f>
        <v>0.0239872224068066</v>
      </c>
      <c r="AH1940" s="0" t="str">
        <f aca="false">IF(B1940="Company","C3 - Corporate Buyers",IF(AND(H1940="Investment",M1940&gt;'Segmentation Summary'!$C$1),"C1 - Global Investors",IF(AND(I1940&gt;=4,M1940&gt;'Segmentation Summary'!$C$1),"C4 - Luxury Investors",IF(AND(D1940&lt;'Segmentation Summary'!$C$2,J1940=1),"C2 - First-Time Buyers","C5 - Other Individual Buyers"))))</f>
        <v>C1 - Global Investors</v>
      </c>
    </row>
    <row r="1941" customFormat="false" ht="15" hidden="false" customHeight="true" outlineLevel="0" collapsed="false">
      <c r="A1941" s="13" t="s">
        <v>3860</v>
      </c>
      <c r="B1941" s="13" t="s">
        <v>34</v>
      </c>
      <c r="C1941" s="13" t="s">
        <v>3861</v>
      </c>
      <c r="D1941" s="13" t="n">
        <v>66</v>
      </c>
      <c r="E1941" s="13" t="s">
        <v>90</v>
      </c>
      <c r="F1941" s="13" t="s">
        <v>33</v>
      </c>
      <c r="G1941" s="13" t="s">
        <v>157</v>
      </c>
      <c r="H1941" s="13" t="s">
        <v>43</v>
      </c>
      <c r="I1941" s="13" t="n">
        <v>5</v>
      </c>
      <c r="J1941" s="13" t="n">
        <v>0</v>
      </c>
      <c r="K1941" s="13" t="s">
        <v>116</v>
      </c>
      <c r="L1941" s="13" t="n">
        <v>5</v>
      </c>
      <c r="M1941" s="13" t="n">
        <v>1709458.65</v>
      </c>
      <c r="N1941" s="13" t="n">
        <v>341891.73</v>
      </c>
      <c r="O1941" s="13" t="n">
        <v>1138.044</v>
      </c>
      <c r="P1941" s="13" t="n">
        <v>2</v>
      </c>
      <c r="Q1941" s="13" t="n">
        <v>3</v>
      </c>
      <c r="R1941" s="13" t="s">
        <v>121</v>
      </c>
      <c r="S1941" s="13" t="s">
        <v>133</v>
      </c>
      <c r="T1941" s="13" t="n">
        <v>1</v>
      </c>
      <c r="U1941" s="13" t="n">
        <f aca="false">IF(B1941="Individual",1,0)</f>
        <v>1</v>
      </c>
      <c r="V1941" s="13" t="n">
        <f aca="false">IF(B1941="Company",1,0)</f>
        <v>0</v>
      </c>
      <c r="W1941" s="13" t="n">
        <f aca="false">IF(H1941="Home",1,0)</f>
        <v>0</v>
      </c>
      <c r="X1941" s="13" t="n">
        <f aca="false">IF(H1941="Investment",1,0)</f>
        <v>1</v>
      </c>
      <c r="Y1941" s="13" t="n">
        <f aca="false">IF(K1941="Website",1,0)</f>
        <v>0</v>
      </c>
      <c r="Z1941" s="13" t="n">
        <f aca="false">IF(K1941="Agency",1,0)</f>
        <v>0</v>
      </c>
      <c r="AA1941" s="13" t="n">
        <f aca="false">IF(K1941="Client",1,0)</f>
        <v>1</v>
      </c>
      <c r="AB1941" s="13" t="n">
        <f aca="false">(D1941-AVERAGE(D$2:D$2001))/STDEV(D$2:D$2001)</f>
        <v>0.684049709455938</v>
      </c>
      <c r="AC1941" s="13" t="n">
        <f aca="false">(I1941-AVERAGE(I$2:I$2001))/STDEV(I$2:I$2001)</f>
        <v>1.39434968409451</v>
      </c>
      <c r="AD1941" s="13" t="n">
        <f aca="false">(L1941-AVERAGE(L$2:L$2001))/STDEV(L$2:L$2001)</f>
        <v>1.60473955115463</v>
      </c>
      <c r="AE1941" s="13" t="n">
        <f aca="false">(M1941-AVERAGE(M$2:M$2001))/STDEV(M$2:M$2001)</f>
        <v>1.29109711992402</v>
      </c>
      <c r="AF1941" s="13" t="n">
        <f aca="false">(N1941-AVERAGE(N$2:N$2001))/STDEV(N$2:N$2001)</f>
        <v>-0.0745566557769853</v>
      </c>
      <c r="AG1941" s="13" t="n">
        <f aca="false">(O1941-AVERAGE(O$2:O$2001))/STDEV(O$2:O$2001)</f>
        <v>-0.0429044970993747</v>
      </c>
      <c r="AH1941" s="0" t="str">
        <f aca="false">IF(B1941="Company","C3 - Corporate Buyers",IF(AND(H1941="Investment",M1941&gt;'Segmentation Summary'!$C$1),"C1 - Global Investors",IF(AND(I1941&gt;=4,M1941&gt;'Segmentation Summary'!$C$1),"C4 - Luxury Investors",IF(AND(D1941&lt;'Segmentation Summary'!$C$2,J1941=1),"C2 - First-Time Buyers","C5 - Other Individual Buyers"))))</f>
        <v>C1 - Global Investors</v>
      </c>
    </row>
    <row r="1942" customFormat="false" ht="15" hidden="false" customHeight="true" outlineLevel="0" collapsed="false">
      <c r="A1942" s="13" t="s">
        <v>3862</v>
      </c>
      <c r="B1942" s="13" t="s">
        <v>34</v>
      </c>
      <c r="C1942" s="13" t="s">
        <v>3863</v>
      </c>
      <c r="D1942" s="13" t="n">
        <v>40</v>
      </c>
      <c r="E1942" s="13" t="s">
        <v>90</v>
      </c>
      <c r="F1942" s="13" t="s">
        <v>38</v>
      </c>
      <c r="G1942" s="13" t="s">
        <v>665</v>
      </c>
      <c r="H1942" s="13" t="s">
        <v>43</v>
      </c>
      <c r="I1942" s="13" t="n">
        <v>3</v>
      </c>
      <c r="J1942" s="13" t="n">
        <v>0</v>
      </c>
      <c r="K1942" s="13" t="s">
        <v>91</v>
      </c>
      <c r="L1942" s="13" t="n">
        <v>4</v>
      </c>
      <c r="M1942" s="13" t="n">
        <v>1220331.12</v>
      </c>
      <c r="N1942" s="13" t="n">
        <v>305082.78</v>
      </c>
      <c r="O1942" s="13" t="n">
        <v>956.6725</v>
      </c>
      <c r="P1942" s="13" t="n">
        <v>2</v>
      </c>
      <c r="Q1942" s="13" t="n">
        <v>2</v>
      </c>
      <c r="R1942" s="13" t="s">
        <v>93</v>
      </c>
      <c r="S1942" s="13" t="s">
        <v>87</v>
      </c>
      <c r="T1942" s="13" t="n">
        <v>1</v>
      </c>
      <c r="U1942" s="13" t="n">
        <f aca="false">IF(B1942="Individual",1,0)</f>
        <v>1</v>
      </c>
      <c r="V1942" s="13" t="n">
        <f aca="false">IF(B1942="Company",1,0)</f>
        <v>0</v>
      </c>
      <c r="W1942" s="13" t="n">
        <f aca="false">IF(H1942="Home",1,0)</f>
        <v>0</v>
      </c>
      <c r="X1942" s="13" t="n">
        <f aca="false">IF(H1942="Investment",1,0)</f>
        <v>1</v>
      </c>
      <c r="Y1942" s="13" t="n">
        <f aca="false">IF(K1942="Website",1,0)</f>
        <v>0</v>
      </c>
      <c r="Z1942" s="13" t="n">
        <f aca="false">IF(K1942="Agency",1,0)</f>
        <v>1</v>
      </c>
      <c r="AA1942" s="13" t="n">
        <f aca="false">IF(K1942="Client",1,0)</f>
        <v>0</v>
      </c>
      <c r="AB1942" s="13" t="n">
        <f aca="false">(D1942-AVERAGE(D$2:D$2001))/STDEV(D$2:D$2001)</f>
        <v>-0.815174133235994</v>
      </c>
      <c r="AC1942" s="13" t="n">
        <f aca="false">(I1942-AVERAGE(I$2:I$2001))/STDEV(I$2:I$2001)</f>
        <v>-0.0205155458339628</v>
      </c>
      <c r="AD1942" s="13" t="n">
        <f aca="false">(L1942-AVERAGE(L$2:L$2001))/STDEV(L$2:L$2001)</f>
        <v>0.413838214490712</v>
      </c>
      <c r="AE1942" s="13" t="n">
        <f aca="false">(M1942-AVERAGE(M$2:M$2001))/STDEV(M$2:M$2001)</f>
        <v>-0.115126020990309</v>
      </c>
      <c r="AF1942" s="13" t="n">
        <f aca="false">(N1942-AVERAGE(N$2:N$2001))/STDEV(N$2:N$2001)</f>
        <v>-0.602496819162312</v>
      </c>
      <c r="AG1942" s="13" t="n">
        <f aca="false">(O1942-AVERAGE(O$2:O$2001))/STDEV(O$2:O$2001)</f>
        <v>-0.867610601675226</v>
      </c>
      <c r="AH1942" s="0" t="str">
        <f aca="false">IF(B1942="Company","C3 - Corporate Buyers",IF(AND(H1942="Investment",M1942&gt;'Segmentation Summary'!$C$1),"C1 - Global Investors",IF(AND(I1942&gt;=4,M1942&gt;'Segmentation Summary'!$C$1),"C4 - Luxury Investors",IF(AND(D1942&lt;'Segmentation Summary'!$C$2,J1942=1),"C2 - First-Time Buyers","C5 - Other Individual Buyers"))))</f>
        <v>C5 - Other Individual Buyers</v>
      </c>
    </row>
    <row r="1943" customFormat="false" ht="15" hidden="false" customHeight="true" outlineLevel="0" collapsed="false">
      <c r="A1943" s="13" t="s">
        <v>3864</v>
      </c>
      <c r="B1943" s="13" t="s">
        <v>34</v>
      </c>
      <c r="C1943" s="13" t="s">
        <v>3865</v>
      </c>
      <c r="D1943" s="13" t="n">
        <v>53</v>
      </c>
      <c r="E1943" s="13" t="s">
        <v>90</v>
      </c>
      <c r="F1943" s="13" t="s">
        <v>38</v>
      </c>
      <c r="G1943" s="13" t="s">
        <v>127</v>
      </c>
      <c r="H1943" s="13" t="s">
        <v>43</v>
      </c>
      <c r="I1943" s="13" t="n">
        <v>1</v>
      </c>
      <c r="J1943" s="13" t="n">
        <v>1</v>
      </c>
      <c r="K1943" s="13" t="s">
        <v>85</v>
      </c>
      <c r="L1943" s="13" t="n">
        <v>8</v>
      </c>
      <c r="M1943" s="13" t="n">
        <v>3082362.35</v>
      </c>
      <c r="N1943" s="13" t="n">
        <v>385295.29375</v>
      </c>
      <c r="O1943" s="13" t="n">
        <v>1246.94625</v>
      </c>
      <c r="P1943" s="13" t="n">
        <v>0</v>
      </c>
      <c r="Q1943" s="13" t="n">
        <v>8</v>
      </c>
      <c r="R1943" s="13" t="s">
        <v>92</v>
      </c>
      <c r="S1943" s="13" t="s">
        <v>87</v>
      </c>
      <c r="T1943" s="13" t="n">
        <v>1</v>
      </c>
      <c r="U1943" s="13" t="n">
        <f aca="false">IF(B1943="Individual",1,0)</f>
        <v>1</v>
      </c>
      <c r="V1943" s="13" t="n">
        <f aca="false">IF(B1943="Company",1,0)</f>
        <v>0</v>
      </c>
      <c r="W1943" s="13" t="n">
        <f aca="false">IF(H1943="Home",1,0)</f>
        <v>0</v>
      </c>
      <c r="X1943" s="13" t="n">
        <f aca="false">IF(H1943="Investment",1,0)</f>
        <v>1</v>
      </c>
      <c r="Y1943" s="13" t="n">
        <f aca="false">IF(K1943="Website",1,0)</f>
        <v>1</v>
      </c>
      <c r="Z1943" s="13" t="n">
        <f aca="false">IF(K1943="Agency",1,0)</f>
        <v>0</v>
      </c>
      <c r="AA1943" s="13" t="n">
        <f aca="false">IF(K1943="Client",1,0)</f>
        <v>0</v>
      </c>
      <c r="AB1943" s="13" t="n">
        <f aca="false">(D1943-AVERAGE(D$2:D$2001))/STDEV(D$2:D$2001)</f>
        <v>-0.065562211890028</v>
      </c>
      <c r="AC1943" s="13" t="n">
        <f aca="false">(I1943-AVERAGE(I$2:I$2001))/STDEV(I$2:I$2001)</f>
        <v>-1.43538077576244</v>
      </c>
      <c r="AD1943" s="13" t="n">
        <f aca="false">(L1943-AVERAGE(L$2:L$2001))/STDEV(L$2:L$2001)</f>
        <v>5.17744356114639</v>
      </c>
      <c r="AE1943" s="13" t="n">
        <f aca="false">(M1943-AVERAGE(M$2:M$2001))/STDEV(M$2:M$2001)</f>
        <v>5.23814330885333</v>
      </c>
      <c r="AF1943" s="13" t="n">
        <f aca="false">(N1943-AVERAGE(N$2:N$2001))/STDEV(N$2:N$2001)</f>
        <v>0.54796815239278</v>
      </c>
      <c r="AG1943" s="13" t="n">
        <f aca="false">(O1943-AVERAGE(O$2:O$2001))/STDEV(O$2:O$2001)</f>
        <v>0.452279974424792</v>
      </c>
      <c r="AH1943" s="0" t="str">
        <f aca="false">IF(B1943="Company","C3 - Corporate Buyers",IF(AND(H1943="Investment",M1943&gt;'Segmentation Summary'!$C$1),"C1 - Global Investors",IF(AND(I1943&gt;=4,M1943&gt;'Segmentation Summary'!$C$1),"C4 - Luxury Investors",IF(AND(D1943&lt;'Segmentation Summary'!$C$2,J1943=1),"C2 - First-Time Buyers","C5 - Other Individual Buyers"))))</f>
        <v>C1 - Global Investors</v>
      </c>
    </row>
    <row r="1944" customFormat="false" ht="15" hidden="false" customHeight="true" outlineLevel="0" collapsed="false">
      <c r="A1944" s="13" t="s">
        <v>3866</v>
      </c>
      <c r="B1944" s="13" t="s">
        <v>34</v>
      </c>
      <c r="C1944" s="13" t="s">
        <v>3867</v>
      </c>
      <c r="D1944" s="13" t="n">
        <v>29</v>
      </c>
      <c r="E1944" s="13" t="s">
        <v>90</v>
      </c>
      <c r="F1944" s="13" t="s">
        <v>33</v>
      </c>
      <c r="G1944" s="13" t="s">
        <v>157</v>
      </c>
      <c r="H1944" s="13" t="s">
        <v>41</v>
      </c>
      <c r="I1944" s="13" t="n">
        <v>3</v>
      </c>
      <c r="J1944" s="13" t="n">
        <v>1</v>
      </c>
      <c r="K1944" s="13" t="s">
        <v>85</v>
      </c>
      <c r="L1944" s="13" t="n">
        <v>3</v>
      </c>
      <c r="M1944" s="13" t="n">
        <v>1349210.55</v>
      </c>
      <c r="N1944" s="13" t="n">
        <v>449736.85</v>
      </c>
      <c r="O1944" s="13" t="n">
        <v>1448.82</v>
      </c>
      <c r="P1944" s="13" t="n">
        <v>0</v>
      </c>
      <c r="Q1944" s="13" t="n">
        <v>3</v>
      </c>
      <c r="R1944" s="13" t="s">
        <v>98</v>
      </c>
      <c r="S1944" s="13" t="s">
        <v>133</v>
      </c>
      <c r="T1944" s="13" t="n">
        <v>1</v>
      </c>
      <c r="U1944" s="13" t="n">
        <f aca="false">IF(B1944="Individual",1,0)</f>
        <v>1</v>
      </c>
      <c r="V1944" s="13" t="n">
        <f aca="false">IF(B1944="Company",1,0)</f>
        <v>0</v>
      </c>
      <c r="W1944" s="13" t="n">
        <f aca="false">IF(H1944="Home",1,0)</f>
        <v>1</v>
      </c>
      <c r="X1944" s="13" t="n">
        <f aca="false">IF(H1944="Investment",1,0)</f>
        <v>0</v>
      </c>
      <c r="Y1944" s="13" t="n">
        <f aca="false">IF(K1944="Website",1,0)</f>
        <v>1</v>
      </c>
      <c r="Z1944" s="13" t="n">
        <f aca="false">IF(K1944="Agency",1,0)</f>
        <v>0</v>
      </c>
      <c r="AA1944" s="13" t="n">
        <f aca="false">IF(K1944="Client",1,0)</f>
        <v>0</v>
      </c>
      <c r="AB1944" s="13" t="n">
        <f aca="false">(D1944-AVERAGE(D$2:D$2001))/STDEV(D$2:D$2001)</f>
        <v>-1.44946114360566</v>
      </c>
      <c r="AC1944" s="13" t="n">
        <f aca="false">(I1944-AVERAGE(I$2:I$2001))/STDEV(I$2:I$2001)</f>
        <v>-0.0205155458339628</v>
      </c>
      <c r="AD1944" s="13" t="n">
        <f aca="false">(L1944-AVERAGE(L$2:L$2001))/STDEV(L$2:L$2001)</f>
        <v>-0.777063122173208</v>
      </c>
      <c r="AE1944" s="13" t="n">
        <f aca="false">(M1944-AVERAGE(M$2:M$2001))/STDEV(M$2:M$2001)</f>
        <v>0.255397463659693</v>
      </c>
      <c r="AF1944" s="13" t="n">
        <f aca="false">(N1944-AVERAGE(N$2:N$2001))/STDEV(N$2:N$2001)</f>
        <v>1.47223482491209</v>
      </c>
      <c r="AG1944" s="13" t="n">
        <f aca="false">(O1944-AVERAGE(O$2:O$2001))/STDEV(O$2:O$2001)</f>
        <v>1.37021092817783</v>
      </c>
      <c r="AH1944" s="0" t="str">
        <f aca="false">IF(B1944="Company","C3 - Corporate Buyers",IF(AND(H1944="Investment",M1944&gt;'Segmentation Summary'!$C$1),"C1 - Global Investors",IF(AND(I1944&gt;=4,M1944&gt;'Segmentation Summary'!$C$1),"C4 - Luxury Investors",IF(AND(D1944&lt;'Segmentation Summary'!$C$2,J1944=1),"C2 - First-Time Buyers","C5 - Other Individual Buyers"))))</f>
        <v>C2 - First-Time Buyers</v>
      </c>
    </row>
    <row r="1945" customFormat="false" ht="15" hidden="false" customHeight="true" outlineLevel="0" collapsed="false">
      <c r="A1945" s="13" t="s">
        <v>3868</v>
      </c>
      <c r="B1945" s="13" t="s">
        <v>34</v>
      </c>
      <c r="C1945" s="13" t="s">
        <v>3867</v>
      </c>
      <c r="D1945" s="13" t="n">
        <v>72</v>
      </c>
      <c r="E1945" s="13" t="s">
        <v>90</v>
      </c>
      <c r="F1945" s="13" t="s">
        <v>33</v>
      </c>
      <c r="G1945" s="13" t="s">
        <v>95</v>
      </c>
      <c r="H1945" s="13" t="s">
        <v>43</v>
      </c>
      <c r="I1945" s="13" t="n">
        <v>1</v>
      </c>
      <c r="J1945" s="13" t="n">
        <v>0</v>
      </c>
      <c r="K1945" s="13" t="s">
        <v>85</v>
      </c>
      <c r="L1945" s="13" t="n">
        <v>4</v>
      </c>
      <c r="M1945" s="13" t="n">
        <v>1281389.39</v>
      </c>
      <c r="N1945" s="13" t="n">
        <v>320347.3475</v>
      </c>
      <c r="O1945" s="13" t="n">
        <v>1075.505</v>
      </c>
      <c r="P1945" s="13" t="n">
        <v>0</v>
      </c>
      <c r="Q1945" s="13" t="n">
        <v>4</v>
      </c>
      <c r="R1945" s="13" t="s">
        <v>101</v>
      </c>
      <c r="S1945" s="13" t="s">
        <v>107</v>
      </c>
      <c r="T1945" s="13" t="n">
        <v>1</v>
      </c>
      <c r="U1945" s="13" t="n">
        <f aca="false">IF(B1945="Individual",1,0)</f>
        <v>1</v>
      </c>
      <c r="V1945" s="13" t="n">
        <f aca="false">IF(B1945="Company",1,0)</f>
        <v>0</v>
      </c>
      <c r="W1945" s="13" t="n">
        <f aca="false">IF(H1945="Home",1,0)</f>
        <v>0</v>
      </c>
      <c r="X1945" s="13" t="n">
        <f aca="false">IF(H1945="Investment",1,0)</f>
        <v>1</v>
      </c>
      <c r="Y1945" s="13" t="n">
        <f aca="false">IF(K1945="Website",1,0)</f>
        <v>1</v>
      </c>
      <c r="Z1945" s="13" t="n">
        <f aca="false">IF(K1945="Agency",1,0)</f>
        <v>0</v>
      </c>
      <c r="AA1945" s="13" t="n">
        <f aca="false">IF(K1945="Client",1,0)</f>
        <v>0</v>
      </c>
      <c r="AB1945" s="13" t="n">
        <f aca="false">(D1945-AVERAGE(D$2:D$2001))/STDEV(D$2:D$2001)</f>
        <v>1.03002444238485</v>
      </c>
      <c r="AC1945" s="13" t="n">
        <f aca="false">(I1945-AVERAGE(I$2:I$2001))/STDEV(I$2:I$2001)</f>
        <v>-1.43538077576244</v>
      </c>
      <c r="AD1945" s="13" t="n">
        <f aca="false">(L1945-AVERAGE(L$2:L$2001))/STDEV(L$2:L$2001)</f>
        <v>0.413838214490712</v>
      </c>
      <c r="AE1945" s="13" t="n">
        <f aca="false">(M1945-AVERAGE(M$2:M$2001))/STDEV(M$2:M$2001)</f>
        <v>0.0604141949083851</v>
      </c>
      <c r="AF1945" s="13" t="n">
        <f aca="false">(N1945-AVERAGE(N$2:N$2001))/STDEV(N$2:N$2001)</f>
        <v>-0.383561525980726</v>
      </c>
      <c r="AG1945" s="13" t="n">
        <f aca="false">(O1945-AVERAGE(O$2:O$2001))/STDEV(O$2:O$2001)</f>
        <v>-0.327272741691657</v>
      </c>
      <c r="AH1945" s="0" t="str">
        <f aca="false">IF(B1945="Company","C3 - Corporate Buyers",IF(AND(H1945="Investment",M1945&gt;'Segmentation Summary'!$C$1),"C1 - Global Investors",IF(AND(I1945&gt;=4,M1945&gt;'Segmentation Summary'!$C$1),"C4 - Luxury Investors",IF(AND(D1945&lt;'Segmentation Summary'!$C$2,J1945=1),"C2 - First-Time Buyers","C5 - Other Individual Buyers"))))</f>
        <v>C1 - Global Investors</v>
      </c>
    </row>
    <row r="1946" customFormat="false" ht="15" hidden="false" customHeight="true" outlineLevel="0" collapsed="false">
      <c r="A1946" s="13" t="s">
        <v>3869</v>
      </c>
      <c r="B1946" s="13" t="s">
        <v>34</v>
      </c>
      <c r="C1946" s="13" t="s">
        <v>3867</v>
      </c>
      <c r="D1946" s="13" t="n">
        <v>25</v>
      </c>
      <c r="E1946" s="13" t="s">
        <v>90</v>
      </c>
      <c r="F1946" s="13" t="s">
        <v>33</v>
      </c>
      <c r="G1946" s="13" t="s">
        <v>100</v>
      </c>
      <c r="H1946" s="13" t="s">
        <v>43</v>
      </c>
      <c r="I1946" s="13" t="n">
        <v>1</v>
      </c>
      <c r="J1946" s="13" t="n">
        <v>0</v>
      </c>
      <c r="K1946" s="13" t="s">
        <v>85</v>
      </c>
      <c r="L1946" s="13" t="n">
        <v>4</v>
      </c>
      <c r="M1946" s="13" t="n">
        <v>1223523.71</v>
      </c>
      <c r="N1946" s="13" t="n">
        <v>305880.9275</v>
      </c>
      <c r="O1946" s="13" t="n">
        <v>1005.5625</v>
      </c>
      <c r="P1946" s="13" t="n">
        <v>2</v>
      </c>
      <c r="Q1946" s="13" t="n">
        <v>2</v>
      </c>
      <c r="R1946" s="13" t="s">
        <v>86</v>
      </c>
      <c r="S1946" s="13" t="s">
        <v>87</v>
      </c>
      <c r="T1946" s="13" t="n">
        <v>1</v>
      </c>
      <c r="U1946" s="13" t="n">
        <f aca="false">IF(B1946="Individual",1,0)</f>
        <v>1</v>
      </c>
      <c r="V1946" s="13" t="n">
        <f aca="false">IF(B1946="Company",1,0)</f>
        <v>0</v>
      </c>
      <c r="W1946" s="13" t="n">
        <f aca="false">IF(H1946="Home",1,0)</f>
        <v>0</v>
      </c>
      <c r="X1946" s="13" t="n">
        <f aca="false">IF(H1946="Investment",1,0)</f>
        <v>1</v>
      </c>
      <c r="Y1946" s="13" t="n">
        <f aca="false">IF(K1946="Website",1,0)</f>
        <v>1</v>
      </c>
      <c r="Z1946" s="13" t="n">
        <f aca="false">IF(K1946="Agency",1,0)</f>
        <v>0</v>
      </c>
      <c r="AA1946" s="13" t="n">
        <f aca="false">IF(K1946="Client",1,0)</f>
        <v>0</v>
      </c>
      <c r="AB1946" s="13" t="n">
        <f aca="false">(D1946-AVERAGE(D$2:D$2001))/STDEV(D$2:D$2001)</f>
        <v>-1.68011096555826</v>
      </c>
      <c r="AC1946" s="13" t="n">
        <f aca="false">(I1946-AVERAGE(I$2:I$2001))/STDEV(I$2:I$2001)</f>
        <v>-1.43538077576244</v>
      </c>
      <c r="AD1946" s="13" t="n">
        <f aca="false">(L1946-AVERAGE(L$2:L$2001))/STDEV(L$2:L$2001)</f>
        <v>0.413838214490712</v>
      </c>
      <c r="AE1946" s="13" t="n">
        <f aca="false">(M1946-AVERAGE(M$2:M$2001))/STDEV(M$2:M$2001)</f>
        <v>-0.105947445543019</v>
      </c>
      <c r="AF1946" s="13" t="n">
        <f aca="false">(N1946-AVERAGE(N$2:N$2001))/STDEV(N$2:N$2001)</f>
        <v>-0.591049219555272</v>
      </c>
      <c r="AG1946" s="13" t="n">
        <f aca="false">(O1946-AVERAGE(O$2:O$2001))/STDEV(O$2:O$2001)</f>
        <v>-0.6453051046555</v>
      </c>
      <c r="AH1946" s="0" t="str">
        <f aca="false">IF(B1946="Company","C3 - Corporate Buyers",IF(AND(H1946="Investment",M1946&gt;'Segmentation Summary'!$C$1),"C1 - Global Investors",IF(AND(I1946&gt;=4,M1946&gt;'Segmentation Summary'!$C$1),"C4 - Luxury Investors",IF(AND(D1946&lt;'Segmentation Summary'!$C$2,J1946=1),"C2 - First-Time Buyers","C5 - Other Individual Buyers"))))</f>
        <v>C1 - Global Investors</v>
      </c>
    </row>
    <row r="1947" customFormat="false" ht="15" hidden="false" customHeight="true" outlineLevel="0" collapsed="false">
      <c r="A1947" s="13" t="s">
        <v>3870</v>
      </c>
      <c r="B1947" s="13" t="s">
        <v>34</v>
      </c>
      <c r="C1947" s="13" t="s">
        <v>3871</v>
      </c>
      <c r="D1947" s="13" t="n">
        <v>68</v>
      </c>
      <c r="E1947" s="13" t="s">
        <v>90</v>
      </c>
      <c r="F1947" s="13" t="s">
        <v>33</v>
      </c>
      <c r="G1947" s="13" t="s">
        <v>145</v>
      </c>
      <c r="H1947" s="13" t="s">
        <v>41</v>
      </c>
      <c r="I1947" s="13" t="n">
        <v>2</v>
      </c>
      <c r="J1947" s="13" t="n">
        <v>0</v>
      </c>
      <c r="K1947" s="13" t="s">
        <v>85</v>
      </c>
      <c r="L1947" s="13" t="n">
        <v>3</v>
      </c>
      <c r="M1947" s="13" t="n">
        <v>1256722.03</v>
      </c>
      <c r="N1947" s="13" t="n">
        <v>418907.343333333</v>
      </c>
      <c r="O1947" s="13" t="n">
        <v>1283.46</v>
      </c>
      <c r="P1947" s="13" t="n">
        <v>1</v>
      </c>
      <c r="Q1947" s="13" t="n">
        <v>2</v>
      </c>
      <c r="R1947" s="13" t="s">
        <v>128</v>
      </c>
      <c r="S1947" s="13" t="s">
        <v>87</v>
      </c>
      <c r="T1947" s="13" t="n">
        <v>1</v>
      </c>
      <c r="U1947" s="13" t="n">
        <f aca="false">IF(B1947="Individual",1,0)</f>
        <v>1</v>
      </c>
      <c r="V1947" s="13" t="n">
        <f aca="false">IF(B1947="Company",1,0)</f>
        <v>0</v>
      </c>
      <c r="W1947" s="13" t="n">
        <f aca="false">IF(H1947="Home",1,0)</f>
        <v>1</v>
      </c>
      <c r="X1947" s="13" t="n">
        <f aca="false">IF(H1947="Investment",1,0)</f>
        <v>0</v>
      </c>
      <c r="Y1947" s="13" t="n">
        <f aca="false">IF(K1947="Website",1,0)</f>
        <v>1</v>
      </c>
      <c r="Z1947" s="13" t="n">
        <f aca="false">IF(K1947="Agency",1,0)</f>
        <v>0</v>
      </c>
      <c r="AA1947" s="13" t="n">
        <f aca="false">IF(K1947="Client",1,0)</f>
        <v>0</v>
      </c>
      <c r="AB1947" s="13" t="n">
        <f aca="false">(D1947-AVERAGE(D$2:D$2001))/STDEV(D$2:D$2001)</f>
        <v>0.79937462043224</v>
      </c>
      <c r="AC1947" s="13" t="n">
        <f aca="false">(I1947-AVERAGE(I$2:I$2001))/STDEV(I$2:I$2001)</f>
        <v>-0.727948160798201</v>
      </c>
      <c r="AD1947" s="13" t="n">
        <f aca="false">(L1947-AVERAGE(L$2:L$2001))/STDEV(L$2:L$2001)</f>
        <v>-0.777063122173208</v>
      </c>
      <c r="AE1947" s="13" t="n">
        <f aca="false">(M1947-AVERAGE(M$2:M$2001))/STDEV(M$2:M$2001)</f>
        <v>-0.0105035317165389</v>
      </c>
      <c r="AF1947" s="13" t="n">
        <f aca="false">(N1947-AVERAGE(N$2:N$2001))/STDEV(N$2:N$2001)</f>
        <v>1.03005609428573</v>
      </c>
      <c r="AG1947" s="13" t="n">
        <f aca="false">(O1947-AVERAGE(O$2:O$2001))/STDEV(O$2:O$2001)</f>
        <v>0.618309987552304</v>
      </c>
      <c r="AH1947" s="0" t="str">
        <f aca="false">IF(B1947="Company","C3 - Corporate Buyers",IF(AND(H1947="Investment",M1947&gt;'Segmentation Summary'!$C$1),"C1 - Global Investors",IF(AND(I1947&gt;=4,M1947&gt;'Segmentation Summary'!$C$1),"C4 - Luxury Investors",IF(AND(D1947&lt;'Segmentation Summary'!$C$2,J1947=1),"C2 - First-Time Buyers","C5 - Other Individual Buyers"))))</f>
        <v>C5 - Other Individual Buyers</v>
      </c>
    </row>
    <row r="1948" customFormat="false" ht="15" hidden="false" customHeight="true" outlineLevel="0" collapsed="false">
      <c r="A1948" s="13" t="s">
        <v>3872</v>
      </c>
      <c r="B1948" s="13" t="s">
        <v>34</v>
      </c>
      <c r="C1948" s="13" t="s">
        <v>3873</v>
      </c>
      <c r="D1948" s="13" t="n">
        <v>39</v>
      </c>
      <c r="E1948" s="13" t="s">
        <v>90</v>
      </c>
      <c r="F1948" s="13" t="s">
        <v>33</v>
      </c>
      <c r="G1948" s="13" t="s">
        <v>157</v>
      </c>
      <c r="H1948" s="13" t="s">
        <v>43</v>
      </c>
      <c r="I1948" s="13" t="n">
        <v>1</v>
      </c>
      <c r="J1948" s="13" t="n">
        <v>1</v>
      </c>
      <c r="K1948" s="13" t="s">
        <v>116</v>
      </c>
      <c r="L1948" s="13" t="n">
        <v>3</v>
      </c>
      <c r="M1948" s="13" t="n">
        <v>896100.8</v>
      </c>
      <c r="N1948" s="13" t="n">
        <v>298700.266666667</v>
      </c>
      <c r="O1948" s="13" t="n">
        <v>973.09</v>
      </c>
      <c r="P1948" s="13" t="n">
        <v>1</v>
      </c>
      <c r="Q1948" s="13" t="n">
        <v>2</v>
      </c>
      <c r="R1948" s="13" t="s">
        <v>124</v>
      </c>
      <c r="S1948" s="13" t="s">
        <v>125</v>
      </c>
      <c r="T1948" s="13" t="n">
        <v>1</v>
      </c>
      <c r="U1948" s="13" t="n">
        <f aca="false">IF(B1948="Individual",1,0)</f>
        <v>1</v>
      </c>
      <c r="V1948" s="13" t="n">
        <f aca="false">IF(B1948="Company",1,0)</f>
        <v>0</v>
      </c>
      <c r="W1948" s="13" t="n">
        <f aca="false">IF(H1948="Home",1,0)</f>
        <v>0</v>
      </c>
      <c r="X1948" s="13" t="n">
        <f aca="false">IF(H1948="Investment",1,0)</f>
        <v>1</v>
      </c>
      <c r="Y1948" s="13" t="n">
        <f aca="false">IF(K1948="Website",1,0)</f>
        <v>0</v>
      </c>
      <c r="Z1948" s="13" t="n">
        <f aca="false">IF(K1948="Agency",1,0)</f>
        <v>0</v>
      </c>
      <c r="AA1948" s="13" t="n">
        <f aca="false">IF(K1948="Client",1,0)</f>
        <v>1</v>
      </c>
      <c r="AB1948" s="13" t="n">
        <f aca="false">(D1948-AVERAGE(D$2:D$2001))/STDEV(D$2:D$2001)</f>
        <v>-0.872836588724145</v>
      </c>
      <c r="AC1948" s="13" t="n">
        <f aca="false">(I1948-AVERAGE(I$2:I$2001))/STDEV(I$2:I$2001)</f>
        <v>-1.43538077576244</v>
      </c>
      <c r="AD1948" s="13" t="n">
        <f aca="false">(L1948-AVERAGE(L$2:L$2001))/STDEV(L$2:L$2001)</f>
        <v>-0.777063122173208</v>
      </c>
      <c r="AE1948" s="13" t="n">
        <f aca="false">(M1948-AVERAGE(M$2:M$2001))/STDEV(M$2:M$2001)</f>
        <v>-1.0472759226122</v>
      </c>
      <c r="AF1948" s="13" t="n">
        <f aca="false">(N1948-AVERAGE(N$2:N$2001))/STDEV(N$2:N$2001)</f>
        <v>-0.694039368787033</v>
      </c>
      <c r="AG1948" s="13" t="n">
        <f aca="false">(O1948-AVERAGE(O$2:O$2001))/STDEV(O$2:O$2001)</f>
        <v>-0.792959333577019</v>
      </c>
      <c r="AH1948" s="0" t="str">
        <f aca="false">IF(B1948="Company","C3 - Corporate Buyers",IF(AND(H1948="Investment",M1948&gt;'Segmentation Summary'!$C$1),"C1 - Global Investors",IF(AND(I1948&gt;=4,M1948&gt;'Segmentation Summary'!$C$1),"C4 - Luxury Investors",IF(AND(D1948&lt;'Segmentation Summary'!$C$2,J1948=1),"C2 - First-Time Buyers","C5 - Other Individual Buyers"))))</f>
        <v>C2 - First-Time Buyers</v>
      </c>
    </row>
    <row r="1949" customFormat="false" ht="15" hidden="false" customHeight="true" outlineLevel="0" collapsed="false">
      <c r="A1949" s="13" t="s">
        <v>3874</v>
      </c>
      <c r="B1949" s="13" t="s">
        <v>34</v>
      </c>
      <c r="C1949" s="13" t="s">
        <v>3875</v>
      </c>
      <c r="D1949" s="13" t="n">
        <v>43</v>
      </c>
      <c r="E1949" s="13" t="s">
        <v>90</v>
      </c>
      <c r="F1949" s="13" t="s">
        <v>44</v>
      </c>
      <c r="G1949" s="13" t="s">
        <v>148</v>
      </c>
      <c r="H1949" s="13" t="s">
        <v>43</v>
      </c>
      <c r="I1949" s="13" t="n">
        <v>1</v>
      </c>
      <c r="J1949" s="13" t="n">
        <v>0</v>
      </c>
      <c r="K1949" s="13" t="s">
        <v>91</v>
      </c>
      <c r="L1949" s="13" t="n">
        <v>4</v>
      </c>
      <c r="M1949" s="13" t="n">
        <v>1187799.99</v>
      </c>
      <c r="N1949" s="13" t="n">
        <v>296949.9975</v>
      </c>
      <c r="O1949" s="13" t="n">
        <v>1027.325</v>
      </c>
      <c r="P1949" s="13" t="n">
        <v>0</v>
      </c>
      <c r="Q1949" s="13" t="n">
        <v>4</v>
      </c>
      <c r="R1949" s="13" t="s">
        <v>98</v>
      </c>
      <c r="S1949" s="13" t="s">
        <v>107</v>
      </c>
      <c r="T1949" s="13" t="n">
        <v>1</v>
      </c>
      <c r="U1949" s="13" t="n">
        <f aca="false">IF(B1949="Individual",1,0)</f>
        <v>1</v>
      </c>
      <c r="V1949" s="13" t="n">
        <f aca="false">IF(B1949="Company",1,0)</f>
        <v>0</v>
      </c>
      <c r="W1949" s="13" t="n">
        <f aca="false">IF(H1949="Home",1,0)</f>
        <v>0</v>
      </c>
      <c r="X1949" s="13" t="n">
        <f aca="false">IF(H1949="Investment",1,0)</f>
        <v>1</v>
      </c>
      <c r="Y1949" s="13" t="n">
        <f aca="false">IF(K1949="Website",1,0)</f>
        <v>0</v>
      </c>
      <c r="Z1949" s="13" t="n">
        <f aca="false">IF(K1949="Agency",1,0)</f>
        <v>1</v>
      </c>
      <c r="AA1949" s="13" t="n">
        <f aca="false">IF(K1949="Client",1,0)</f>
        <v>0</v>
      </c>
      <c r="AB1949" s="13" t="n">
        <f aca="false">(D1949-AVERAGE(D$2:D$2001))/STDEV(D$2:D$2001)</f>
        <v>-0.64218676677154</v>
      </c>
      <c r="AC1949" s="13" t="n">
        <f aca="false">(I1949-AVERAGE(I$2:I$2001))/STDEV(I$2:I$2001)</f>
        <v>-1.43538077576244</v>
      </c>
      <c r="AD1949" s="13" t="n">
        <f aca="false">(L1949-AVERAGE(L$2:L$2001))/STDEV(L$2:L$2001)</f>
        <v>0.413838214490712</v>
      </c>
      <c r="AE1949" s="13" t="n">
        <f aca="false">(M1949-AVERAGE(M$2:M$2001))/STDEV(M$2:M$2001)</f>
        <v>-0.208651788812236</v>
      </c>
      <c r="AF1949" s="13" t="n">
        <f aca="false">(N1949-AVERAGE(N$2:N$2001))/STDEV(N$2:N$2001)</f>
        <v>-0.719142975106107</v>
      </c>
      <c r="AG1949" s="13" t="n">
        <f aca="false">(O1949-AVERAGE(O$2:O$2001))/STDEV(O$2:O$2001)</f>
        <v>-0.546349829979864</v>
      </c>
      <c r="AH1949" s="0" t="str">
        <f aca="false">IF(B1949="Company","C3 - Corporate Buyers",IF(AND(H1949="Investment",M1949&gt;'Segmentation Summary'!$C$1),"C1 - Global Investors",IF(AND(I1949&gt;=4,M1949&gt;'Segmentation Summary'!$C$1),"C4 - Luxury Investors",IF(AND(D1949&lt;'Segmentation Summary'!$C$2,J1949=1),"C2 - First-Time Buyers","C5 - Other Individual Buyers"))))</f>
        <v>C5 - Other Individual Buyers</v>
      </c>
    </row>
    <row r="1950" customFormat="false" ht="15" hidden="false" customHeight="true" outlineLevel="0" collapsed="false">
      <c r="A1950" s="13" t="s">
        <v>3876</v>
      </c>
      <c r="B1950" s="13" t="s">
        <v>34</v>
      </c>
      <c r="C1950" s="13" t="s">
        <v>3877</v>
      </c>
      <c r="D1950" s="13" t="n">
        <v>56</v>
      </c>
      <c r="E1950" s="13" t="s">
        <v>90</v>
      </c>
      <c r="F1950" s="13" t="s">
        <v>33</v>
      </c>
      <c r="G1950" s="13" t="s">
        <v>110</v>
      </c>
      <c r="H1950" s="13" t="s">
        <v>41</v>
      </c>
      <c r="I1950" s="13" t="n">
        <v>5</v>
      </c>
      <c r="J1950" s="13" t="n">
        <v>1</v>
      </c>
      <c r="K1950" s="13" t="s">
        <v>85</v>
      </c>
      <c r="L1950" s="13" t="n">
        <v>4</v>
      </c>
      <c r="M1950" s="13" t="n">
        <v>1362579.84</v>
      </c>
      <c r="N1950" s="13" t="n">
        <v>340644.96</v>
      </c>
      <c r="O1950" s="13" t="n">
        <v>1148.025</v>
      </c>
      <c r="P1950" s="13" t="n">
        <v>0</v>
      </c>
      <c r="Q1950" s="13" t="n">
        <v>4</v>
      </c>
      <c r="R1950" s="13" t="s">
        <v>117</v>
      </c>
      <c r="S1950" s="13" t="s">
        <v>135</v>
      </c>
      <c r="T1950" s="13" t="n">
        <v>1</v>
      </c>
      <c r="U1950" s="13" t="n">
        <f aca="false">IF(B1950="Individual",1,0)</f>
        <v>1</v>
      </c>
      <c r="V1950" s="13" t="n">
        <f aca="false">IF(B1950="Company",1,0)</f>
        <v>0</v>
      </c>
      <c r="W1950" s="13" t="n">
        <f aca="false">IF(H1950="Home",1,0)</f>
        <v>1</v>
      </c>
      <c r="X1950" s="13" t="n">
        <f aca="false">IF(H1950="Investment",1,0)</f>
        <v>0</v>
      </c>
      <c r="Y1950" s="13" t="n">
        <f aca="false">IF(K1950="Website",1,0)</f>
        <v>1</v>
      </c>
      <c r="Z1950" s="13" t="n">
        <f aca="false">IF(K1950="Agency",1,0)</f>
        <v>0</v>
      </c>
      <c r="AA1950" s="13" t="n">
        <f aca="false">IF(K1950="Client",1,0)</f>
        <v>0</v>
      </c>
      <c r="AB1950" s="13" t="n">
        <f aca="false">(D1950-AVERAGE(D$2:D$2001))/STDEV(D$2:D$2001)</f>
        <v>0.107425154574426</v>
      </c>
      <c r="AC1950" s="13" t="n">
        <f aca="false">(I1950-AVERAGE(I$2:I$2001))/STDEV(I$2:I$2001)</f>
        <v>1.39434968409451</v>
      </c>
      <c r="AD1950" s="13" t="n">
        <f aca="false">(L1950-AVERAGE(L$2:L$2001))/STDEV(L$2:L$2001)</f>
        <v>0.413838214490712</v>
      </c>
      <c r="AE1950" s="13" t="n">
        <f aca="false">(M1950-AVERAGE(M$2:M$2001))/STDEV(M$2:M$2001)</f>
        <v>0.293833666536261</v>
      </c>
      <c r="AF1950" s="13" t="n">
        <f aca="false">(N1950-AVERAGE(N$2:N$2001))/STDEV(N$2:N$2001)</f>
        <v>-0.09243871863137</v>
      </c>
      <c r="AG1950" s="13" t="n">
        <f aca="false">(O1950-AVERAGE(O$2:O$2001))/STDEV(O$2:O$2001)</f>
        <v>0.00247965437851227</v>
      </c>
      <c r="AH1950" s="0" t="str">
        <f aca="false">IF(B1950="Company","C3 - Corporate Buyers",IF(AND(H1950="Investment",M1950&gt;'Segmentation Summary'!$C$1),"C1 - Global Investors",IF(AND(I1950&gt;=4,M1950&gt;'Segmentation Summary'!$C$1),"C4 - Luxury Investors",IF(AND(D1950&lt;'Segmentation Summary'!$C$2,J1950=1),"C2 - First-Time Buyers","C5 - Other Individual Buyers"))))</f>
        <v>C4 - Luxury Investors</v>
      </c>
    </row>
    <row r="1951" customFormat="false" ht="15" hidden="false" customHeight="true" outlineLevel="0" collapsed="false">
      <c r="A1951" s="13" t="s">
        <v>3878</v>
      </c>
      <c r="B1951" s="13" t="s">
        <v>34</v>
      </c>
      <c r="C1951" s="13" t="s">
        <v>3879</v>
      </c>
      <c r="D1951" s="13" t="n">
        <v>65</v>
      </c>
      <c r="E1951" s="13" t="s">
        <v>90</v>
      </c>
      <c r="F1951" s="13" t="s">
        <v>33</v>
      </c>
      <c r="G1951" s="13" t="s">
        <v>120</v>
      </c>
      <c r="H1951" s="13" t="s">
        <v>41</v>
      </c>
      <c r="I1951" s="13" t="n">
        <v>3</v>
      </c>
      <c r="J1951" s="13" t="n">
        <v>0</v>
      </c>
      <c r="K1951" s="13" t="s">
        <v>85</v>
      </c>
      <c r="L1951" s="13" t="n">
        <v>3</v>
      </c>
      <c r="M1951" s="13" t="n">
        <v>1363309.64</v>
      </c>
      <c r="N1951" s="13" t="n">
        <v>454436.546666667</v>
      </c>
      <c r="O1951" s="13" t="n">
        <v>1487.66</v>
      </c>
      <c r="P1951" s="13" t="n">
        <v>1</v>
      </c>
      <c r="Q1951" s="13" t="n">
        <v>2</v>
      </c>
      <c r="R1951" s="13" t="s">
        <v>117</v>
      </c>
      <c r="S1951" s="13" t="s">
        <v>114</v>
      </c>
      <c r="T1951" s="13" t="n">
        <v>1</v>
      </c>
      <c r="U1951" s="13" t="n">
        <f aca="false">IF(B1951="Individual",1,0)</f>
        <v>1</v>
      </c>
      <c r="V1951" s="13" t="n">
        <f aca="false">IF(B1951="Company",1,0)</f>
        <v>0</v>
      </c>
      <c r="W1951" s="13" t="n">
        <f aca="false">IF(H1951="Home",1,0)</f>
        <v>1</v>
      </c>
      <c r="X1951" s="13" t="n">
        <f aca="false">IF(H1951="Investment",1,0)</f>
        <v>0</v>
      </c>
      <c r="Y1951" s="13" t="n">
        <f aca="false">IF(K1951="Website",1,0)</f>
        <v>1</v>
      </c>
      <c r="Z1951" s="13" t="n">
        <f aca="false">IF(K1951="Agency",1,0)</f>
        <v>0</v>
      </c>
      <c r="AA1951" s="13" t="n">
        <f aca="false">IF(K1951="Client",1,0)</f>
        <v>0</v>
      </c>
      <c r="AB1951" s="13" t="n">
        <f aca="false">(D1951-AVERAGE(D$2:D$2001))/STDEV(D$2:D$2001)</f>
        <v>0.626387253967787</v>
      </c>
      <c r="AC1951" s="13" t="n">
        <f aca="false">(I1951-AVERAGE(I$2:I$2001))/STDEV(I$2:I$2001)</f>
        <v>-0.0205155458339628</v>
      </c>
      <c r="AD1951" s="13" t="n">
        <f aca="false">(L1951-AVERAGE(L$2:L$2001))/STDEV(L$2:L$2001)</f>
        <v>-0.777063122173208</v>
      </c>
      <c r="AE1951" s="13" t="n">
        <f aca="false">(M1951-AVERAGE(M$2:M$2001))/STDEV(M$2:M$2001)</f>
        <v>0.295931813921748</v>
      </c>
      <c r="AF1951" s="13" t="n">
        <f aca="false">(N1951-AVERAGE(N$2:N$2001))/STDEV(N$2:N$2001)</f>
        <v>1.53964121998888</v>
      </c>
      <c r="AG1951" s="13" t="n">
        <f aca="false">(O1951-AVERAGE(O$2:O$2001))/STDEV(O$2:O$2001)</f>
        <v>1.54681852695562</v>
      </c>
      <c r="AH1951" s="0" t="str">
        <f aca="false">IF(B1951="Company","C3 - Corporate Buyers",IF(AND(H1951="Investment",M1951&gt;'Segmentation Summary'!$C$1),"C1 - Global Investors",IF(AND(I1951&gt;=4,M1951&gt;'Segmentation Summary'!$C$1),"C4 - Luxury Investors",IF(AND(D1951&lt;'Segmentation Summary'!$C$2,J1951=1),"C2 - First-Time Buyers","C5 - Other Individual Buyers"))))</f>
        <v>C5 - Other Individual Buyers</v>
      </c>
    </row>
    <row r="1952" customFormat="false" ht="15" hidden="false" customHeight="true" outlineLevel="0" collapsed="false">
      <c r="A1952" s="13" t="s">
        <v>3880</v>
      </c>
      <c r="B1952" s="13" t="s">
        <v>34</v>
      </c>
      <c r="C1952" s="13" t="s">
        <v>3881</v>
      </c>
      <c r="D1952" s="13" t="n">
        <v>69</v>
      </c>
      <c r="E1952" s="13" t="s">
        <v>90</v>
      </c>
      <c r="F1952" s="13" t="s">
        <v>33</v>
      </c>
      <c r="G1952" s="13" t="s">
        <v>207</v>
      </c>
      <c r="H1952" s="13" t="s">
        <v>43</v>
      </c>
      <c r="I1952" s="13" t="n">
        <v>3</v>
      </c>
      <c r="J1952" s="13" t="n">
        <v>0</v>
      </c>
      <c r="K1952" s="13" t="s">
        <v>91</v>
      </c>
      <c r="L1952" s="13" t="n">
        <v>3</v>
      </c>
      <c r="M1952" s="13" t="n">
        <v>1199490.31</v>
      </c>
      <c r="N1952" s="13" t="n">
        <v>399830.103333333</v>
      </c>
      <c r="O1952" s="13" t="n">
        <v>1267.40666666667</v>
      </c>
      <c r="P1952" s="13" t="n">
        <v>1</v>
      </c>
      <c r="Q1952" s="13" t="n">
        <v>2</v>
      </c>
      <c r="R1952" s="13" t="s">
        <v>124</v>
      </c>
      <c r="S1952" s="13" t="s">
        <v>107</v>
      </c>
      <c r="T1952" s="13" t="n">
        <v>1</v>
      </c>
      <c r="U1952" s="13" t="n">
        <f aca="false">IF(B1952="Individual",1,0)</f>
        <v>1</v>
      </c>
      <c r="V1952" s="13" t="n">
        <f aca="false">IF(B1952="Company",1,0)</f>
        <v>0</v>
      </c>
      <c r="W1952" s="13" t="n">
        <f aca="false">IF(H1952="Home",1,0)</f>
        <v>0</v>
      </c>
      <c r="X1952" s="13" t="n">
        <f aca="false">IF(H1952="Investment",1,0)</f>
        <v>1</v>
      </c>
      <c r="Y1952" s="13" t="n">
        <f aca="false">IF(K1952="Website",1,0)</f>
        <v>0</v>
      </c>
      <c r="Z1952" s="13" t="n">
        <f aca="false">IF(K1952="Agency",1,0)</f>
        <v>1</v>
      </c>
      <c r="AA1952" s="13" t="n">
        <f aca="false">IF(K1952="Client",1,0)</f>
        <v>0</v>
      </c>
      <c r="AB1952" s="13" t="n">
        <f aca="false">(D1952-AVERAGE(D$2:D$2001))/STDEV(D$2:D$2001)</f>
        <v>0.857037075920391</v>
      </c>
      <c r="AC1952" s="13" t="n">
        <f aca="false">(I1952-AVERAGE(I$2:I$2001))/STDEV(I$2:I$2001)</f>
        <v>-0.0205155458339628</v>
      </c>
      <c r="AD1952" s="13" t="n">
        <f aca="false">(L1952-AVERAGE(L$2:L$2001))/STDEV(L$2:L$2001)</f>
        <v>-0.777063122173208</v>
      </c>
      <c r="AE1952" s="13" t="n">
        <f aca="false">(M1952-AVERAGE(M$2:M$2001))/STDEV(M$2:M$2001)</f>
        <v>-0.175042561156018</v>
      </c>
      <c r="AF1952" s="13" t="n">
        <f aca="false">(N1952-AVERAGE(N$2:N$2001))/STDEV(N$2:N$2001)</f>
        <v>0.756436738054676</v>
      </c>
      <c r="AG1952" s="13" t="n">
        <f aca="false">(O1952-AVERAGE(O$2:O$2001))/STDEV(O$2:O$2001)</f>
        <v>0.545314605153259</v>
      </c>
      <c r="AH1952" s="0" t="str">
        <f aca="false">IF(B1952="Company","C3 - Corporate Buyers",IF(AND(H1952="Investment",M1952&gt;'Segmentation Summary'!$C$1),"C1 - Global Investors",IF(AND(I1952&gt;=4,M1952&gt;'Segmentation Summary'!$C$1),"C4 - Luxury Investors",IF(AND(D1952&lt;'Segmentation Summary'!$C$2,J1952=1),"C2 - First-Time Buyers","C5 - Other Individual Buyers"))))</f>
        <v>C5 - Other Individual Buyers</v>
      </c>
    </row>
    <row r="1953" customFormat="false" ht="15" hidden="false" customHeight="true" outlineLevel="0" collapsed="false">
      <c r="A1953" s="13" t="s">
        <v>3882</v>
      </c>
      <c r="B1953" s="13" t="s">
        <v>34</v>
      </c>
      <c r="C1953" s="13" t="s">
        <v>3883</v>
      </c>
      <c r="D1953" s="13" t="n">
        <v>73</v>
      </c>
      <c r="E1953" s="13" t="s">
        <v>90</v>
      </c>
      <c r="F1953" s="13" t="s">
        <v>38</v>
      </c>
      <c r="G1953" s="13" t="s">
        <v>339</v>
      </c>
      <c r="H1953" s="13" t="s">
        <v>41</v>
      </c>
      <c r="I1953" s="13" t="n">
        <v>5</v>
      </c>
      <c r="J1953" s="13" t="n">
        <v>0</v>
      </c>
      <c r="K1953" s="13" t="s">
        <v>91</v>
      </c>
      <c r="L1953" s="13" t="n">
        <v>3</v>
      </c>
      <c r="M1953" s="13" t="n">
        <v>1286265.14</v>
      </c>
      <c r="N1953" s="13" t="n">
        <v>428755.046666667</v>
      </c>
      <c r="O1953" s="13" t="n">
        <v>1471.9</v>
      </c>
      <c r="P1953" s="13" t="n">
        <v>0</v>
      </c>
      <c r="Q1953" s="13" t="n">
        <v>3</v>
      </c>
      <c r="R1953" s="13" t="s">
        <v>92</v>
      </c>
      <c r="S1953" s="13" t="s">
        <v>125</v>
      </c>
      <c r="T1953" s="13" t="n">
        <v>1</v>
      </c>
      <c r="U1953" s="13" t="n">
        <f aca="false">IF(B1953="Individual",1,0)</f>
        <v>1</v>
      </c>
      <c r="V1953" s="13" t="n">
        <f aca="false">IF(B1953="Company",1,0)</f>
        <v>0</v>
      </c>
      <c r="W1953" s="13" t="n">
        <f aca="false">IF(H1953="Home",1,0)</f>
        <v>1</v>
      </c>
      <c r="X1953" s="13" t="n">
        <f aca="false">IF(H1953="Investment",1,0)</f>
        <v>0</v>
      </c>
      <c r="Y1953" s="13" t="n">
        <f aca="false">IF(K1953="Website",1,0)</f>
        <v>0</v>
      </c>
      <c r="Z1953" s="13" t="n">
        <f aca="false">IF(K1953="Agency",1,0)</f>
        <v>1</v>
      </c>
      <c r="AA1953" s="13" t="n">
        <f aca="false">IF(K1953="Client",1,0)</f>
        <v>0</v>
      </c>
      <c r="AB1953" s="13" t="n">
        <f aca="false">(D1953-AVERAGE(D$2:D$2001))/STDEV(D$2:D$2001)</f>
        <v>1.087686897873</v>
      </c>
      <c r="AC1953" s="13" t="n">
        <f aca="false">(I1953-AVERAGE(I$2:I$2001))/STDEV(I$2:I$2001)</f>
        <v>1.39434968409451</v>
      </c>
      <c r="AD1953" s="13" t="n">
        <f aca="false">(L1953-AVERAGE(L$2:L$2001))/STDEV(L$2:L$2001)</f>
        <v>-0.777063122173208</v>
      </c>
      <c r="AE1953" s="13" t="n">
        <f aca="false">(M1953-AVERAGE(M$2:M$2001))/STDEV(M$2:M$2001)</f>
        <v>0.074431791667482</v>
      </c>
      <c r="AF1953" s="13" t="n">
        <f aca="false">(N1953-AVERAGE(N$2:N$2001))/STDEV(N$2:N$2001)</f>
        <v>1.17129886558919</v>
      </c>
      <c r="AG1953" s="13" t="n">
        <f aca="false">(O1953-AVERAGE(O$2:O$2001))/STDEV(O$2:O$2001)</f>
        <v>1.47515694722498</v>
      </c>
      <c r="AH1953" s="0" t="str">
        <f aca="false">IF(B1953="Company","C3 - Corporate Buyers",IF(AND(H1953="Investment",M1953&gt;'Segmentation Summary'!$C$1),"C1 - Global Investors",IF(AND(I1953&gt;=4,M1953&gt;'Segmentation Summary'!$C$1),"C4 - Luxury Investors",IF(AND(D1953&lt;'Segmentation Summary'!$C$2,J1953=1),"C2 - First-Time Buyers","C5 - Other Individual Buyers"))))</f>
        <v>C4 - Luxury Investors</v>
      </c>
    </row>
    <row r="1954" customFormat="false" ht="15" hidden="false" customHeight="true" outlineLevel="0" collapsed="false">
      <c r="A1954" s="13" t="s">
        <v>3884</v>
      </c>
      <c r="B1954" s="13" t="s">
        <v>34</v>
      </c>
      <c r="C1954" s="13" t="s">
        <v>3885</v>
      </c>
      <c r="D1954" s="13" t="n">
        <v>78</v>
      </c>
      <c r="E1954" s="13" t="s">
        <v>90</v>
      </c>
      <c r="F1954" s="13" t="s">
        <v>33</v>
      </c>
      <c r="G1954" s="13" t="s">
        <v>120</v>
      </c>
      <c r="H1954" s="13" t="s">
        <v>43</v>
      </c>
      <c r="I1954" s="13" t="n">
        <v>3</v>
      </c>
      <c r="J1954" s="13" t="n">
        <v>1</v>
      </c>
      <c r="K1954" s="13" t="s">
        <v>91</v>
      </c>
      <c r="L1954" s="13" t="n">
        <v>3</v>
      </c>
      <c r="M1954" s="13" t="n">
        <v>1000529.67</v>
      </c>
      <c r="N1954" s="13" t="n">
        <v>333509.89</v>
      </c>
      <c r="O1954" s="13" t="n">
        <v>1156.56333333333</v>
      </c>
      <c r="P1954" s="13" t="n">
        <v>1</v>
      </c>
      <c r="Q1954" s="13" t="n">
        <v>2</v>
      </c>
      <c r="R1954" s="13" t="s">
        <v>98</v>
      </c>
      <c r="S1954" s="13" t="s">
        <v>152</v>
      </c>
      <c r="T1954" s="13" t="n">
        <v>1</v>
      </c>
      <c r="U1954" s="13" t="n">
        <f aca="false">IF(B1954="Individual",1,0)</f>
        <v>1</v>
      </c>
      <c r="V1954" s="13" t="n">
        <f aca="false">IF(B1954="Company",1,0)</f>
        <v>0</v>
      </c>
      <c r="W1954" s="13" t="n">
        <f aca="false">IF(H1954="Home",1,0)</f>
        <v>0</v>
      </c>
      <c r="X1954" s="13" t="n">
        <f aca="false">IF(H1954="Investment",1,0)</f>
        <v>1</v>
      </c>
      <c r="Y1954" s="13" t="n">
        <f aca="false">IF(K1954="Website",1,0)</f>
        <v>0</v>
      </c>
      <c r="Z1954" s="13" t="n">
        <f aca="false">IF(K1954="Agency",1,0)</f>
        <v>1</v>
      </c>
      <c r="AA1954" s="13" t="n">
        <f aca="false">IF(K1954="Client",1,0)</f>
        <v>0</v>
      </c>
      <c r="AB1954" s="13" t="n">
        <f aca="false">(D1954-AVERAGE(D$2:D$2001))/STDEV(D$2:D$2001)</f>
        <v>1.37599917531375</v>
      </c>
      <c r="AC1954" s="13" t="n">
        <f aca="false">(I1954-AVERAGE(I$2:I$2001))/STDEV(I$2:I$2001)</f>
        <v>-0.0205155458339628</v>
      </c>
      <c r="AD1954" s="13" t="n">
        <f aca="false">(L1954-AVERAGE(L$2:L$2001))/STDEV(L$2:L$2001)</f>
        <v>-0.777063122173208</v>
      </c>
      <c r="AE1954" s="13" t="n">
        <f aca="false">(M1954-AVERAGE(M$2:M$2001))/STDEV(M$2:M$2001)</f>
        <v>-0.747046872790502</v>
      </c>
      <c r="AF1954" s="13" t="n">
        <f aca="false">(N1954-AVERAGE(N$2:N$2001))/STDEV(N$2:N$2001)</f>
        <v>-0.194774971677593</v>
      </c>
      <c r="AG1954" s="13" t="n">
        <f aca="false">(O1954-AVERAGE(O$2:O$2001))/STDEV(O$2:O$2001)</f>
        <v>0.0413039218235118</v>
      </c>
      <c r="AH1954" s="0" t="str">
        <f aca="false">IF(B1954="Company","C3 - Corporate Buyers",IF(AND(H1954="Investment",M1954&gt;'Segmentation Summary'!$C$1),"C1 - Global Investors",IF(AND(I1954&gt;=4,M1954&gt;'Segmentation Summary'!$C$1),"C4 - Luxury Investors",IF(AND(D1954&lt;'Segmentation Summary'!$C$2,J1954=1),"C2 - First-Time Buyers","C5 - Other Individual Buyers"))))</f>
        <v>C5 - Other Individual Buyers</v>
      </c>
    </row>
    <row r="1955" customFormat="false" ht="15" hidden="false" customHeight="true" outlineLevel="0" collapsed="false">
      <c r="A1955" s="13" t="s">
        <v>3886</v>
      </c>
      <c r="B1955" s="13" t="s">
        <v>34</v>
      </c>
      <c r="C1955" s="13" t="s">
        <v>3887</v>
      </c>
      <c r="D1955" s="13" t="n">
        <v>46</v>
      </c>
      <c r="E1955" s="13" t="s">
        <v>90</v>
      </c>
      <c r="F1955" s="13" t="s">
        <v>33</v>
      </c>
      <c r="G1955" s="13" t="s">
        <v>95</v>
      </c>
      <c r="H1955" s="13" t="s">
        <v>41</v>
      </c>
      <c r="I1955" s="13" t="n">
        <v>2</v>
      </c>
      <c r="J1955" s="13" t="n">
        <v>1</v>
      </c>
      <c r="K1955" s="13" t="s">
        <v>91</v>
      </c>
      <c r="L1955" s="13" t="n">
        <v>4</v>
      </c>
      <c r="M1955" s="13" t="n">
        <v>1172782.93</v>
      </c>
      <c r="N1955" s="13" t="n">
        <v>293195.7325</v>
      </c>
      <c r="O1955" s="13" t="n">
        <v>956.6725</v>
      </c>
      <c r="P1955" s="13" t="n">
        <v>1</v>
      </c>
      <c r="Q1955" s="13" t="n">
        <v>3</v>
      </c>
      <c r="R1955" s="13" t="s">
        <v>117</v>
      </c>
      <c r="S1955" s="13" t="s">
        <v>164</v>
      </c>
      <c r="T1955" s="13" t="n">
        <v>1</v>
      </c>
      <c r="U1955" s="13" t="n">
        <f aca="false">IF(B1955="Individual",1,0)</f>
        <v>1</v>
      </c>
      <c r="V1955" s="13" t="n">
        <f aca="false">IF(B1955="Company",1,0)</f>
        <v>0</v>
      </c>
      <c r="W1955" s="13" t="n">
        <f aca="false">IF(H1955="Home",1,0)</f>
        <v>1</v>
      </c>
      <c r="X1955" s="13" t="n">
        <f aca="false">IF(H1955="Investment",1,0)</f>
        <v>0</v>
      </c>
      <c r="Y1955" s="13" t="n">
        <f aca="false">IF(K1955="Website",1,0)</f>
        <v>0</v>
      </c>
      <c r="Z1955" s="13" t="n">
        <f aca="false">IF(K1955="Agency",1,0)</f>
        <v>1</v>
      </c>
      <c r="AA1955" s="13" t="n">
        <f aca="false">IF(K1955="Client",1,0)</f>
        <v>0</v>
      </c>
      <c r="AB1955" s="13" t="n">
        <f aca="false">(D1955-AVERAGE(D$2:D$2001))/STDEV(D$2:D$2001)</f>
        <v>-0.469199400307086</v>
      </c>
      <c r="AC1955" s="13" t="n">
        <f aca="false">(I1955-AVERAGE(I$2:I$2001))/STDEV(I$2:I$2001)</f>
        <v>-0.727948160798201</v>
      </c>
      <c r="AD1955" s="13" t="n">
        <f aca="false">(L1955-AVERAGE(L$2:L$2001))/STDEV(L$2:L$2001)</f>
        <v>0.413838214490712</v>
      </c>
      <c r="AE1955" s="13" t="n">
        <f aca="false">(M1955-AVERAGE(M$2:M$2001))/STDEV(M$2:M$2001)</f>
        <v>-0.251825268089714</v>
      </c>
      <c r="AF1955" s="13" t="n">
        <f aca="false">(N1955-AVERAGE(N$2:N$2001))/STDEV(N$2:N$2001)</f>
        <v>-0.772989316213143</v>
      </c>
      <c r="AG1955" s="13" t="n">
        <f aca="false">(O1955-AVERAGE(O$2:O$2001))/STDEV(O$2:O$2001)</f>
        <v>-0.867610601675226</v>
      </c>
      <c r="AH1955" s="0" t="str">
        <f aca="false">IF(B1955="Company","C3 - Corporate Buyers",IF(AND(H1955="Investment",M1955&gt;'Segmentation Summary'!$C$1),"C1 - Global Investors",IF(AND(I1955&gt;=4,M1955&gt;'Segmentation Summary'!$C$1),"C4 - Luxury Investors",IF(AND(D1955&lt;'Segmentation Summary'!$C$2,J1955=1),"C2 - First-Time Buyers","C5 - Other Individual Buyers"))))</f>
        <v>C2 - First-Time Buyers</v>
      </c>
    </row>
    <row r="1956" customFormat="false" ht="15" hidden="false" customHeight="true" outlineLevel="0" collapsed="false">
      <c r="A1956" s="13" t="s">
        <v>3888</v>
      </c>
      <c r="B1956" s="13" t="s">
        <v>34</v>
      </c>
      <c r="C1956" s="13" t="s">
        <v>3889</v>
      </c>
      <c r="D1956" s="13" t="n">
        <v>41</v>
      </c>
      <c r="E1956" s="13" t="s">
        <v>83</v>
      </c>
      <c r="F1956" s="13" t="s">
        <v>33</v>
      </c>
      <c r="G1956" s="13" t="s">
        <v>265</v>
      </c>
      <c r="H1956" s="13" t="s">
        <v>41</v>
      </c>
      <c r="I1956" s="13" t="n">
        <v>4</v>
      </c>
      <c r="J1956" s="13" t="n">
        <v>0</v>
      </c>
      <c r="K1956" s="13" t="s">
        <v>85</v>
      </c>
      <c r="L1956" s="13" t="n">
        <v>4</v>
      </c>
      <c r="M1956" s="13" t="n">
        <v>1424465.81</v>
      </c>
      <c r="N1956" s="13" t="n">
        <v>356116.4525</v>
      </c>
      <c r="O1956" s="13" t="n">
        <v>1159.9675</v>
      </c>
      <c r="P1956" s="13" t="n">
        <v>1</v>
      </c>
      <c r="Q1956" s="13" t="n">
        <v>3</v>
      </c>
      <c r="R1956" s="13" t="s">
        <v>92</v>
      </c>
      <c r="S1956" s="13" t="s">
        <v>133</v>
      </c>
      <c r="T1956" s="13" t="n">
        <v>1</v>
      </c>
      <c r="U1956" s="13" t="n">
        <f aca="false">IF(B1956="Individual",1,0)</f>
        <v>1</v>
      </c>
      <c r="V1956" s="13" t="n">
        <f aca="false">IF(B1956="Company",1,0)</f>
        <v>0</v>
      </c>
      <c r="W1956" s="13" t="n">
        <f aca="false">IF(H1956="Home",1,0)</f>
        <v>1</v>
      </c>
      <c r="X1956" s="13" t="n">
        <f aca="false">IF(H1956="Investment",1,0)</f>
        <v>0</v>
      </c>
      <c r="Y1956" s="13" t="n">
        <f aca="false">IF(K1956="Website",1,0)</f>
        <v>1</v>
      </c>
      <c r="Z1956" s="13" t="n">
        <f aca="false">IF(K1956="Agency",1,0)</f>
        <v>0</v>
      </c>
      <c r="AA1956" s="13" t="n">
        <f aca="false">IF(K1956="Client",1,0)</f>
        <v>0</v>
      </c>
      <c r="AB1956" s="13" t="n">
        <f aca="false">(D1956-AVERAGE(D$2:D$2001))/STDEV(D$2:D$2001)</f>
        <v>-0.757511677747842</v>
      </c>
      <c r="AC1956" s="13" t="n">
        <f aca="false">(I1956-AVERAGE(I$2:I$2001))/STDEV(I$2:I$2001)</f>
        <v>0.686917069130275</v>
      </c>
      <c r="AD1956" s="13" t="n">
        <f aca="false">(L1956-AVERAGE(L$2:L$2001))/STDEV(L$2:L$2001)</f>
        <v>0.413838214490712</v>
      </c>
      <c r="AE1956" s="13" t="n">
        <f aca="false">(M1956-AVERAGE(M$2:M$2001))/STDEV(M$2:M$2001)</f>
        <v>0.471753488616057</v>
      </c>
      <c r="AF1956" s="13" t="n">
        <f aca="false">(N1956-AVERAGE(N$2:N$2001))/STDEV(N$2:N$2001)</f>
        <v>0.12946444019997</v>
      </c>
      <c r="AG1956" s="13" t="n">
        <f aca="false">(O1956-AVERAGE(O$2:O$2001))/STDEV(O$2:O$2001)</f>
        <v>0.0567828533590412</v>
      </c>
      <c r="AH1956" s="0" t="str">
        <f aca="false">IF(B1956="Company","C3 - Corporate Buyers",IF(AND(H1956="Investment",M1956&gt;'Segmentation Summary'!$C$1),"C1 - Global Investors",IF(AND(I1956&gt;=4,M1956&gt;'Segmentation Summary'!$C$1),"C4 - Luxury Investors",IF(AND(D1956&lt;'Segmentation Summary'!$C$2,J1956=1),"C2 - First-Time Buyers","C5 - Other Individual Buyers"))))</f>
        <v>C4 - Luxury Investors</v>
      </c>
    </row>
    <row r="1957" customFormat="false" ht="15" hidden="false" customHeight="true" outlineLevel="0" collapsed="false">
      <c r="A1957" s="13" t="s">
        <v>3890</v>
      </c>
      <c r="B1957" s="13" t="s">
        <v>34</v>
      </c>
      <c r="C1957" s="13" t="s">
        <v>3891</v>
      </c>
      <c r="D1957" s="13" t="n">
        <v>63</v>
      </c>
      <c r="E1957" s="13" t="s">
        <v>83</v>
      </c>
      <c r="F1957" s="13" t="s">
        <v>33</v>
      </c>
      <c r="G1957" s="13" t="s">
        <v>120</v>
      </c>
      <c r="H1957" s="13" t="s">
        <v>41</v>
      </c>
      <c r="I1957" s="13" t="n">
        <v>5</v>
      </c>
      <c r="J1957" s="13" t="n">
        <v>0</v>
      </c>
      <c r="K1957" s="13" t="s">
        <v>91</v>
      </c>
      <c r="L1957" s="13" t="n">
        <v>3</v>
      </c>
      <c r="M1957" s="13" t="n">
        <v>905899.79</v>
      </c>
      <c r="N1957" s="13" t="n">
        <v>301966.596666667</v>
      </c>
      <c r="O1957" s="13" t="n">
        <v>1008.13</v>
      </c>
      <c r="P1957" s="13" t="n">
        <v>1</v>
      </c>
      <c r="Q1957" s="13" t="n">
        <v>2</v>
      </c>
      <c r="R1957" s="13" t="s">
        <v>98</v>
      </c>
      <c r="S1957" s="13" t="s">
        <v>125</v>
      </c>
      <c r="T1957" s="13" t="n">
        <v>1</v>
      </c>
      <c r="U1957" s="13" t="n">
        <f aca="false">IF(B1957="Individual",1,0)</f>
        <v>1</v>
      </c>
      <c r="V1957" s="13" t="n">
        <f aca="false">IF(B1957="Company",1,0)</f>
        <v>0</v>
      </c>
      <c r="W1957" s="13" t="n">
        <f aca="false">IF(H1957="Home",1,0)</f>
        <v>1</v>
      </c>
      <c r="X1957" s="13" t="n">
        <f aca="false">IF(H1957="Investment",1,0)</f>
        <v>0</v>
      </c>
      <c r="Y1957" s="13" t="n">
        <f aca="false">IF(K1957="Website",1,0)</f>
        <v>0</v>
      </c>
      <c r="Z1957" s="13" t="n">
        <f aca="false">IF(K1957="Agency",1,0)</f>
        <v>1</v>
      </c>
      <c r="AA1957" s="13" t="n">
        <f aca="false">IF(K1957="Client",1,0)</f>
        <v>0</v>
      </c>
      <c r="AB1957" s="13" t="n">
        <f aca="false">(D1957-AVERAGE(D$2:D$2001))/STDEV(D$2:D$2001)</f>
        <v>0.511062342991484</v>
      </c>
      <c r="AC1957" s="13" t="n">
        <f aca="false">(I1957-AVERAGE(I$2:I$2001))/STDEV(I$2:I$2001)</f>
        <v>1.39434968409451</v>
      </c>
      <c r="AD1957" s="13" t="n">
        <f aca="false">(L1957-AVERAGE(L$2:L$2001))/STDEV(L$2:L$2001)</f>
        <v>-0.777063122173208</v>
      </c>
      <c r="AE1957" s="13" t="n">
        <f aca="false">(M1957-AVERAGE(M$2:M$2001))/STDEV(M$2:M$2001)</f>
        <v>-1.01910419714096</v>
      </c>
      <c r="AF1957" s="13" t="n">
        <f aca="false">(N1957-AVERAGE(N$2:N$2001))/STDEV(N$2:N$2001)</f>
        <v>-0.647191338786981</v>
      </c>
      <c r="AG1957" s="13" t="n">
        <f aca="false">(O1957-AVERAGE(O$2:O$2001))/STDEV(O$2:O$2001)</f>
        <v>-0.633630542094687</v>
      </c>
      <c r="AH1957" s="0" t="str">
        <f aca="false">IF(B1957="Company","C3 - Corporate Buyers",IF(AND(H1957="Investment",M1957&gt;'Segmentation Summary'!$C$1),"C1 - Global Investors",IF(AND(I1957&gt;=4,M1957&gt;'Segmentation Summary'!$C$1),"C4 - Luxury Investors",IF(AND(D1957&lt;'Segmentation Summary'!$C$2,J1957=1),"C2 - First-Time Buyers","C5 - Other Individual Buyers"))))</f>
        <v>C5 - Other Individual Buyers</v>
      </c>
    </row>
    <row r="1958" customFormat="false" ht="15" hidden="false" customHeight="true" outlineLevel="0" collapsed="false">
      <c r="A1958" s="13" t="s">
        <v>3892</v>
      </c>
      <c r="B1958" s="13" t="s">
        <v>34</v>
      </c>
      <c r="C1958" s="13" t="s">
        <v>3893</v>
      </c>
      <c r="D1958" s="13" t="n">
        <v>44</v>
      </c>
      <c r="E1958" s="13" t="s">
        <v>83</v>
      </c>
      <c r="F1958" s="13" t="s">
        <v>33</v>
      </c>
      <c r="G1958" s="13" t="s">
        <v>145</v>
      </c>
      <c r="H1958" s="13" t="s">
        <v>41</v>
      </c>
      <c r="I1958" s="13" t="n">
        <v>2</v>
      </c>
      <c r="J1958" s="13" t="n">
        <v>1</v>
      </c>
      <c r="K1958" s="13" t="s">
        <v>85</v>
      </c>
      <c r="L1958" s="13" t="n">
        <v>4</v>
      </c>
      <c r="M1958" s="13" t="n">
        <v>1359425.86</v>
      </c>
      <c r="N1958" s="13" t="n">
        <v>339856.465</v>
      </c>
      <c r="O1958" s="13" t="n">
        <v>1101.9875</v>
      </c>
      <c r="P1958" s="13" t="n">
        <v>1</v>
      </c>
      <c r="Q1958" s="13" t="n">
        <v>3</v>
      </c>
      <c r="R1958" s="13" t="s">
        <v>121</v>
      </c>
      <c r="S1958" s="13" t="s">
        <v>103</v>
      </c>
      <c r="T1958" s="13" t="n">
        <v>1</v>
      </c>
      <c r="U1958" s="13" t="n">
        <f aca="false">IF(B1958="Individual",1,0)</f>
        <v>1</v>
      </c>
      <c r="V1958" s="13" t="n">
        <f aca="false">IF(B1958="Company",1,0)</f>
        <v>0</v>
      </c>
      <c r="W1958" s="13" t="n">
        <f aca="false">IF(H1958="Home",1,0)</f>
        <v>1</v>
      </c>
      <c r="X1958" s="13" t="n">
        <f aca="false">IF(H1958="Investment",1,0)</f>
        <v>0</v>
      </c>
      <c r="Y1958" s="13" t="n">
        <f aca="false">IF(K1958="Website",1,0)</f>
        <v>1</v>
      </c>
      <c r="Z1958" s="13" t="n">
        <f aca="false">IF(K1958="Agency",1,0)</f>
        <v>0</v>
      </c>
      <c r="AA1958" s="13" t="n">
        <f aca="false">IF(K1958="Client",1,0)</f>
        <v>0</v>
      </c>
      <c r="AB1958" s="13" t="n">
        <f aca="false">(D1958-AVERAGE(D$2:D$2001))/STDEV(D$2:D$2001)</f>
        <v>-0.584524311283389</v>
      </c>
      <c r="AC1958" s="13" t="n">
        <f aca="false">(I1958-AVERAGE(I$2:I$2001))/STDEV(I$2:I$2001)</f>
        <v>-0.727948160798201</v>
      </c>
      <c r="AD1958" s="13" t="n">
        <f aca="false">(L1958-AVERAGE(L$2:L$2001))/STDEV(L$2:L$2001)</f>
        <v>0.413838214490712</v>
      </c>
      <c r="AE1958" s="13" t="n">
        <f aca="false">(M1958-AVERAGE(M$2:M$2001))/STDEV(M$2:M$2001)</f>
        <v>0.284766093378028</v>
      </c>
      <c r="AF1958" s="13" t="n">
        <f aca="false">(N1958-AVERAGE(N$2:N$2001))/STDEV(N$2:N$2001)</f>
        <v>-0.10374787521227</v>
      </c>
      <c r="AG1958" s="13" t="n">
        <f aca="false">(O1958-AVERAGE(O$2:O$2001))/STDEV(O$2:O$2001)</f>
        <v>-0.206855369533243</v>
      </c>
      <c r="AH1958" s="0" t="str">
        <f aca="false">IF(B1958="Company","C3 - Corporate Buyers",IF(AND(H1958="Investment",M1958&gt;'Segmentation Summary'!$C$1),"C1 - Global Investors",IF(AND(I1958&gt;=4,M1958&gt;'Segmentation Summary'!$C$1),"C4 - Luxury Investors",IF(AND(D1958&lt;'Segmentation Summary'!$C$2,J1958=1),"C2 - First-Time Buyers","C5 - Other Individual Buyers"))))</f>
        <v>C2 - First-Time Buyers</v>
      </c>
    </row>
    <row r="1959" customFormat="false" ht="15" hidden="false" customHeight="true" outlineLevel="0" collapsed="false">
      <c r="A1959" s="13" t="s">
        <v>3894</v>
      </c>
      <c r="B1959" s="13" t="s">
        <v>34</v>
      </c>
      <c r="C1959" s="13" t="s">
        <v>3895</v>
      </c>
      <c r="D1959" s="13" t="n">
        <v>37</v>
      </c>
      <c r="E1959" s="13" t="s">
        <v>83</v>
      </c>
      <c r="F1959" s="13" t="s">
        <v>33</v>
      </c>
      <c r="G1959" s="13" t="s">
        <v>95</v>
      </c>
      <c r="H1959" s="13" t="s">
        <v>43</v>
      </c>
      <c r="I1959" s="13" t="n">
        <v>2</v>
      </c>
      <c r="J1959" s="13" t="n">
        <v>1</v>
      </c>
      <c r="K1959" s="13" t="s">
        <v>85</v>
      </c>
      <c r="L1959" s="13" t="n">
        <v>3</v>
      </c>
      <c r="M1959" s="13" t="n">
        <v>919814.94</v>
      </c>
      <c r="N1959" s="13" t="n">
        <v>306604.98</v>
      </c>
      <c r="O1959" s="13" t="n">
        <v>932.37</v>
      </c>
      <c r="P1959" s="13" t="n">
        <v>1</v>
      </c>
      <c r="Q1959" s="13" t="n">
        <v>2</v>
      </c>
      <c r="R1959" s="13" t="s">
        <v>128</v>
      </c>
      <c r="S1959" s="13" t="s">
        <v>114</v>
      </c>
      <c r="T1959" s="13" t="n">
        <v>1</v>
      </c>
      <c r="U1959" s="13" t="n">
        <f aca="false">IF(B1959="Individual",1,0)</f>
        <v>1</v>
      </c>
      <c r="V1959" s="13" t="n">
        <f aca="false">IF(B1959="Company",1,0)</f>
        <v>0</v>
      </c>
      <c r="W1959" s="13" t="n">
        <f aca="false">IF(H1959="Home",1,0)</f>
        <v>0</v>
      </c>
      <c r="X1959" s="13" t="n">
        <f aca="false">IF(H1959="Investment",1,0)</f>
        <v>1</v>
      </c>
      <c r="Y1959" s="13" t="n">
        <f aca="false">IF(K1959="Website",1,0)</f>
        <v>1</v>
      </c>
      <c r="Z1959" s="13" t="n">
        <f aca="false">IF(K1959="Agency",1,0)</f>
        <v>0</v>
      </c>
      <c r="AA1959" s="13" t="n">
        <f aca="false">IF(K1959="Client",1,0)</f>
        <v>0</v>
      </c>
      <c r="AB1959" s="13" t="n">
        <f aca="false">(D1959-AVERAGE(D$2:D$2001))/STDEV(D$2:D$2001)</f>
        <v>-0.988161499700447</v>
      </c>
      <c r="AC1959" s="13" t="n">
        <f aca="false">(I1959-AVERAGE(I$2:I$2001))/STDEV(I$2:I$2001)</f>
        <v>-0.727948160798201</v>
      </c>
      <c r="AD1959" s="13" t="n">
        <f aca="false">(L1959-AVERAGE(L$2:L$2001))/STDEV(L$2:L$2001)</f>
        <v>-0.777063122173208</v>
      </c>
      <c r="AE1959" s="13" t="n">
        <f aca="false">(M1959-AVERAGE(M$2:M$2001))/STDEV(M$2:M$2001)</f>
        <v>-0.979098667418893</v>
      </c>
      <c r="AF1959" s="13" t="n">
        <f aca="false">(N1959-AVERAGE(N$2:N$2001))/STDEV(N$2:N$2001)</f>
        <v>-0.580664343182826</v>
      </c>
      <c r="AG1959" s="13" t="n">
        <f aca="false">(O1959-AVERAGE(O$2:O$2001))/STDEV(O$2:O$2001)</f>
        <v>-0.97811539491151</v>
      </c>
      <c r="AH1959" s="0" t="str">
        <f aca="false">IF(B1959="Company","C3 - Corporate Buyers",IF(AND(H1959="Investment",M1959&gt;'Segmentation Summary'!$C$1),"C1 - Global Investors",IF(AND(I1959&gt;=4,M1959&gt;'Segmentation Summary'!$C$1),"C4 - Luxury Investors",IF(AND(D1959&lt;'Segmentation Summary'!$C$2,J1959=1),"C2 - First-Time Buyers","C5 - Other Individual Buyers"))))</f>
        <v>C2 - First-Time Buyers</v>
      </c>
    </row>
    <row r="1960" customFormat="false" ht="15" hidden="false" customHeight="true" outlineLevel="0" collapsed="false">
      <c r="A1960" s="13" t="s">
        <v>3896</v>
      </c>
      <c r="B1960" s="13" t="s">
        <v>34</v>
      </c>
      <c r="C1960" s="13" t="s">
        <v>3897</v>
      </c>
      <c r="D1960" s="13" t="n">
        <v>77</v>
      </c>
      <c r="E1960" s="13" t="s">
        <v>83</v>
      </c>
      <c r="F1960" s="13" t="s">
        <v>38</v>
      </c>
      <c r="G1960" s="13" t="s">
        <v>665</v>
      </c>
      <c r="H1960" s="13" t="s">
        <v>43</v>
      </c>
      <c r="I1960" s="13" t="n">
        <v>3</v>
      </c>
      <c r="J1960" s="13" t="n">
        <v>1</v>
      </c>
      <c r="K1960" s="13" t="s">
        <v>85</v>
      </c>
      <c r="L1960" s="13" t="n">
        <v>4</v>
      </c>
      <c r="M1960" s="13" t="n">
        <v>1552316.39</v>
      </c>
      <c r="N1960" s="13" t="n">
        <v>388079.0975</v>
      </c>
      <c r="O1960" s="13" t="n">
        <v>1294.645</v>
      </c>
      <c r="P1960" s="13" t="n">
        <v>2</v>
      </c>
      <c r="Q1960" s="13" t="n">
        <v>2</v>
      </c>
      <c r="R1960" s="13" t="s">
        <v>92</v>
      </c>
      <c r="S1960" s="13" t="s">
        <v>141</v>
      </c>
      <c r="T1960" s="13" t="n">
        <v>1</v>
      </c>
      <c r="U1960" s="13" t="n">
        <f aca="false">IF(B1960="Individual",1,0)</f>
        <v>1</v>
      </c>
      <c r="V1960" s="13" t="n">
        <f aca="false">IF(B1960="Company",1,0)</f>
        <v>0</v>
      </c>
      <c r="W1960" s="13" t="n">
        <f aca="false">IF(H1960="Home",1,0)</f>
        <v>0</v>
      </c>
      <c r="X1960" s="13" t="n">
        <f aca="false">IF(H1960="Investment",1,0)</f>
        <v>1</v>
      </c>
      <c r="Y1960" s="13" t="n">
        <f aca="false">IF(K1960="Website",1,0)</f>
        <v>1</v>
      </c>
      <c r="Z1960" s="13" t="n">
        <f aca="false">IF(K1960="Agency",1,0)</f>
        <v>0</v>
      </c>
      <c r="AA1960" s="13" t="n">
        <f aca="false">IF(K1960="Client",1,0)</f>
        <v>0</v>
      </c>
      <c r="AB1960" s="13" t="n">
        <f aca="false">(D1960-AVERAGE(D$2:D$2001))/STDEV(D$2:D$2001)</f>
        <v>1.3183367198256</v>
      </c>
      <c r="AC1960" s="13" t="n">
        <f aca="false">(I1960-AVERAGE(I$2:I$2001))/STDEV(I$2:I$2001)</f>
        <v>-0.0205155458339628</v>
      </c>
      <c r="AD1960" s="13" t="n">
        <f aca="false">(L1960-AVERAGE(L$2:L$2001))/STDEV(L$2:L$2001)</f>
        <v>0.413838214490712</v>
      </c>
      <c r="AE1960" s="13" t="n">
        <f aca="false">(M1960-AVERAGE(M$2:M$2001))/STDEV(M$2:M$2001)</f>
        <v>0.839319068446165</v>
      </c>
      <c r="AF1960" s="13" t="n">
        <f aca="false">(N1960-AVERAGE(N$2:N$2001))/STDEV(N$2:N$2001)</f>
        <v>0.587895447428571</v>
      </c>
      <c r="AG1960" s="13" t="n">
        <f aca="false">(O1960-AVERAGE(O$2:O$2001))/STDEV(O$2:O$2001)</f>
        <v>0.66916879271012</v>
      </c>
      <c r="AH1960" s="0" t="str">
        <f aca="false">IF(B1960="Company","C3 - Corporate Buyers",IF(AND(H1960="Investment",M1960&gt;'Segmentation Summary'!$C$1),"C1 - Global Investors",IF(AND(I1960&gt;=4,M1960&gt;'Segmentation Summary'!$C$1),"C4 - Luxury Investors",IF(AND(D1960&lt;'Segmentation Summary'!$C$2,J1960=1),"C2 - First-Time Buyers","C5 - Other Individual Buyers"))))</f>
        <v>C1 - Global Investors</v>
      </c>
    </row>
    <row r="1961" customFormat="false" ht="15" hidden="false" customHeight="true" outlineLevel="0" collapsed="false">
      <c r="A1961" s="13" t="s">
        <v>3898</v>
      </c>
      <c r="B1961" s="13" t="s">
        <v>34</v>
      </c>
      <c r="C1961" s="13" t="s">
        <v>3899</v>
      </c>
      <c r="D1961" s="13" t="n">
        <v>45</v>
      </c>
      <c r="E1961" s="13" t="s">
        <v>83</v>
      </c>
      <c r="F1961" s="13" t="s">
        <v>33</v>
      </c>
      <c r="G1961" s="13" t="s">
        <v>84</v>
      </c>
      <c r="H1961" s="13" t="s">
        <v>41</v>
      </c>
      <c r="I1961" s="13" t="n">
        <v>3</v>
      </c>
      <c r="J1961" s="13" t="n">
        <v>0</v>
      </c>
      <c r="K1961" s="13" t="s">
        <v>85</v>
      </c>
      <c r="L1961" s="13" t="n">
        <v>3</v>
      </c>
      <c r="M1961" s="13" t="n">
        <v>1247905.56</v>
      </c>
      <c r="N1961" s="13" t="n">
        <v>415968.52</v>
      </c>
      <c r="O1961" s="13" t="n">
        <v>1328.47</v>
      </c>
      <c r="P1961" s="13" t="n">
        <v>0</v>
      </c>
      <c r="Q1961" s="13" t="n">
        <v>3</v>
      </c>
      <c r="R1961" s="13" t="s">
        <v>117</v>
      </c>
      <c r="S1961" s="13" t="s">
        <v>87</v>
      </c>
      <c r="T1961" s="13" t="n">
        <v>1</v>
      </c>
      <c r="U1961" s="13" t="n">
        <f aca="false">IF(B1961="Individual",1,0)</f>
        <v>1</v>
      </c>
      <c r="V1961" s="13" t="n">
        <f aca="false">IF(B1961="Company",1,0)</f>
        <v>0</v>
      </c>
      <c r="W1961" s="13" t="n">
        <f aca="false">IF(H1961="Home",1,0)</f>
        <v>1</v>
      </c>
      <c r="X1961" s="13" t="n">
        <f aca="false">IF(H1961="Investment",1,0)</f>
        <v>0</v>
      </c>
      <c r="Y1961" s="13" t="n">
        <f aca="false">IF(K1961="Website",1,0)</f>
        <v>1</v>
      </c>
      <c r="Z1961" s="13" t="n">
        <f aca="false">IF(K1961="Agency",1,0)</f>
        <v>0</v>
      </c>
      <c r="AA1961" s="13" t="n">
        <f aca="false">IF(K1961="Client",1,0)</f>
        <v>0</v>
      </c>
      <c r="AB1961" s="13" t="n">
        <f aca="false">(D1961-AVERAGE(D$2:D$2001))/STDEV(D$2:D$2001)</f>
        <v>-0.526861855795238</v>
      </c>
      <c r="AC1961" s="13" t="n">
        <f aca="false">(I1961-AVERAGE(I$2:I$2001))/STDEV(I$2:I$2001)</f>
        <v>-0.0205155458339628</v>
      </c>
      <c r="AD1961" s="13" t="n">
        <f aca="false">(L1961-AVERAGE(L$2:L$2001))/STDEV(L$2:L$2001)</f>
        <v>-0.777063122173208</v>
      </c>
      <c r="AE1961" s="13" t="n">
        <f aca="false">(M1961-AVERAGE(M$2:M$2001))/STDEV(M$2:M$2001)</f>
        <v>-0.0358505493648339</v>
      </c>
      <c r="AF1961" s="13" t="n">
        <f aca="false">(N1961-AVERAGE(N$2:N$2001))/STDEV(N$2:N$2001)</f>
        <v>0.987905398034944</v>
      </c>
      <c r="AG1961" s="13" t="n">
        <f aca="false">(O1961-AVERAGE(O$2:O$2001))/STDEV(O$2:O$2001)</f>
        <v>0.822972912912457</v>
      </c>
      <c r="AH1961" s="0" t="str">
        <f aca="false">IF(B1961="Company","C3 - Corporate Buyers",IF(AND(H1961="Investment",M1961&gt;'Segmentation Summary'!$C$1),"C1 - Global Investors",IF(AND(I1961&gt;=4,M1961&gt;'Segmentation Summary'!$C$1),"C4 - Luxury Investors",IF(AND(D1961&lt;'Segmentation Summary'!$C$2,J1961=1),"C2 - First-Time Buyers","C5 - Other Individual Buyers"))))</f>
        <v>C5 - Other Individual Buyers</v>
      </c>
    </row>
    <row r="1962" customFormat="false" ht="15" hidden="false" customHeight="true" outlineLevel="0" collapsed="false">
      <c r="A1962" s="13" t="s">
        <v>3900</v>
      </c>
      <c r="B1962" s="13" t="s">
        <v>34</v>
      </c>
      <c r="C1962" s="13" t="s">
        <v>3901</v>
      </c>
      <c r="D1962" s="13" t="n">
        <v>73</v>
      </c>
      <c r="E1962" s="13" t="s">
        <v>83</v>
      </c>
      <c r="F1962" s="13" t="s">
        <v>37</v>
      </c>
      <c r="G1962" s="13" t="s">
        <v>940</v>
      </c>
      <c r="H1962" s="13" t="s">
        <v>43</v>
      </c>
      <c r="I1962" s="13" t="n">
        <v>1</v>
      </c>
      <c r="J1962" s="13" t="n">
        <v>0</v>
      </c>
      <c r="K1962" s="13" t="s">
        <v>85</v>
      </c>
      <c r="L1962" s="13" t="n">
        <v>3</v>
      </c>
      <c r="M1962" s="13" t="n">
        <v>1060812.68</v>
      </c>
      <c r="N1962" s="13" t="n">
        <v>353604.226666667</v>
      </c>
      <c r="O1962" s="13" t="n">
        <v>1101.55</v>
      </c>
      <c r="P1962" s="13" t="n">
        <v>0</v>
      </c>
      <c r="Q1962" s="13" t="n">
        <v>3</v>
      </c>
      <c r="R1962" s="13" t="s">
        <v>92</v>
      </c>
      <c r="S1962" s="13" t="s">
        <v>107</v>
      </c>
      <c r="T1962" s="13" t="n">
        <v>1</v>
      </c>
      <c r="U1962" s="13" t="n">
        <f aca="false">IF(B1962="Individual",1,0)</f>
        <v>1</v>
      </c>
      <c r="V1962" s="13" t="n">
        <f aca="false">IF(B1962="Company",1,0)</f>
        <v>0</v>
      </c>
      <c r="W1962" s="13" t="n">
        <f aca="false">IF(H1962="Home",1,0)</f>
        <v>0</v>
      </c>
      <c r="X1962" s="13" t="n">
        <f aca="false">IF(H1962="Investment",1,0)</f>
        <v>1</v>
      </c>
      <c r="Y1962" s="13" t="n">
        <f aca="false">IF(K1962="Website",1,0)</f>
        <v>1</v>
      </c>
      <c r="Z1962" s="13" t="n">
        <f aca="false">IF(K1962="Agency",1,0)</f>
        <v>0</v>
      </c>
      <c r="AA1962" s="13" t="n">
        <f aca="false">IF(K1962="Client",1,0)</f>
        <v>0</v>
      </c>
      <c r="AB1962" s="13" t="n">
        <f aca="false">(D1962-AVERAGE(D$2:D$2001))/STDEV(D$2:D$2001)</f>
        <v>1.087686897873</v>
      </c>
      <c r="AC1962" s="13" t="n">
        <f aca="false">(I1962-AVERAGE(I$2:I$2001))/STDEV(I$2:I$2001)</f>
        <v>-1.43538077576244</v>
      </c>
      <c r="AD1962" s="13" t="n">
        <f aca="false">(L1962-AVERAGE(L$2:L$2001))/STDEV(L$2:L$2001)</f>
        <v>-0.777063122173208</v>
      </c>
      <c r="AE1962" s="13" t="n">
        <f aca="false">(M1962-AVERAGE(M$2:M$2001))/STDEV(M$2:M$2001)</f>
        <v>-0.573735500057158</v>
      </c>
      <c r="AF1962" s="13" t="n">
        <f aca="false">(N1962-AVERAGE(N$2:N$2001))/STDEV(N$2:N$2001)</f>
        <v>0.0934323089680095</v>
      </c>
      <c r="AG1962" s="13" t="n">
        <f aca="false">(O1962-AVERAGE(O$2:O$2001))/STDEV(O$2:O$2001)</f>
        <v>-0.208844705899496</v>
      </c>
      <c r="AH1962" s="0" t="str">
        <f aca="false">IF(B1962="Company","C3 - Corporate Buyers",IF(AND(H1962="Investment",M1962&gt;'Segmentation Summary'!$C$1),"C1 - Global Investors",IF(AND(I1962&gt;=4,M1962&gt;'Segmentation Summary'!$C$1),"C4 - Luxury Investors",IF(AND(D1962&lt;'Segmentation Summary'!$C$2,J1962=1),"C2 - First-Time Buyers","C5 - Other Individual Buyers"))))</f>
        <v>C5 - Other Individual Buyers</v>
      </c>
    </row>
    <row r="1963" customFormat="false" ht="15" hidden="false" customHeight="true" outlineLevel="0" collapsed="false">
      <c r="A1963" s="13" t="s">
        <v>3902</v>
      </c>
      <c r="B1963" s="13" t="s">
        <v>34</v>
      </c>
      <c r="C1963" s="13" t="s">
        <v>3903</v>
      </c>
      <c r="D1963" s="13" t="n">
        <v>51</v>
      </c>
      <c r="E1963" s="13" t="s">
        <v>83</v>
      </c>
      <c r="F1963" s="13" t="s">
        <v>33</v>
      </c>
      <c r="G1963" s="13" t="s">
        <v>120</v>
      </c>
      <c r="H1963" s="13" t="s">
        <v>43</v>
      </c>
      <c r="I1963" s="13" t="n">
        <v>5</v>
      </c>
      <c r="J1963" s="13" t="n">
        <v>0</v>
      </c>
      <c r="K1963" s="13" t="s">
        <v>85</v>
      </c>
      <c r="L1963" s="13" t="n">
        <v>4</v>
      </c>
      <c r="M1963" s="13" t="n">
        <v>1748372.75</v>
      </c>
      <c r="N1963" s="13" t="n">
        <v>437093.1875</v>
      </c>
      <c r="O1963" s="13" t="n">
        <v>1296.985</v>
      </c>
      <c r="P1963" s="13" t="n">
        <v>1</v>
      </c>
      <c r="Q1963" s="13" t="n">
        <v>3</v>
      </c>
      <c r="R1963" s="13" t="s">
        <v>98</v>
      </c>
      <c r="S1963" s="13" t="s">
        <v>125</v>
      </c>
      <c r="T1963" s="13" t="n">
        <v>1</v>
      </c>
      <c r="U1963" s="13" t="n">
        <f aca="false">IF(B1963="Individual",1,0)</f>
        <v>1</v>
      </c>
      <c r="V1963" s="13" t="n">
        <f aca="false">IF(B1963="Company",1,0)</f>
        <v>0</v>
      </c>
      <c r="W1963" s="13" t="n">
        <f aca="false">IF(H1963="Home",1,0)</f>
        <v>0</v>
      </c>
      <c r="X1963" s="13" t="n">
        <f aca="false">IF(H1963="Investment",1,0)</f>
        <v>1</v>
      </c>
      <c r="Y1963" s="13" t="n">
        <f aca="false">IF(K1963="Website",1,0)</f>
        <v>1</v>
      </c>
      <c r="Z1963" s="13" t="n">
        <f aca="false">IF(K1963="Agency",1,0)</f>
        <v>0</v>
      </c>
      <c r="AA1963" s="13" t="n">
        <f aca="false">IF(K1963="Client",1,0)</f>
        <v>0</v>
      </c>
      <c r="AB1963" s="13" t="n">
        <f aca="false">(D1963-AVERAGE(D$2:D$2001))/STDEV(D$2:D$2001)</f>
        <v>-0.18088712286633</v>
      </c>
      <c r="AC1963" s="13" t="n">
        <f aca="false">(I1963-AVERAGE(I$2:I$2001))/STDEV(I$2:I$2001)</f>
        <v>1.39434968409451</v>
      </c>
      <c r="AD1963" s="13" t="n">
        <f aca="false">(L1963-AVERAGE(L$2:L$2001))/STDEV(L$2:L$2001)</f>
        <v>0.413838214490712</v>
      </c>
      <c r="AE1963" s="13" t="n">
        <f aca="false">(M1963-AVERAGE(M$2:M$2001))/STDEV(M$2:M$2001)</f>
        <v>1.40297368497415</v>
      </c>
      <c r="AF1963" s="13" t="n">
        <f aca="false">(N1963-AVERAGE(N$2:N$2001))/STDEV(N$2:N$2001)</f>
        <v>1.29089041693417</v>
      </c>
      <c r="AG1963" s="13" t="n">
        <f aca="false">(O1963-AVERAGE(O$2:O$2001))/STDEV(O$2:O$2001)</f>
        <v>0.679808900360481</v>
      </c>
      <c r="AH1963" s="0" t="str">
        <f aca="false">IF(B1963="Company","C3 - Corporate Buyers",IF(AND(H1963="Investment",M1963&gt;'Segmentation Summary'!$C$1),"C1 - Global Investors",IF(AND(I1963&gt;=4,M1963&gt;'Segmentation Summary'!$C$1),"C4 - Luxury Investors",IF(AND(D1963&lt;'Segmentation Summary'!$C$2,J1963=1),"C2 - First-Time Buyers","C5 - Other Individual Buyers"))))</f>
        <v>C1 - Global Investors</v>
      </c>
    </row>
    <row r="1964" customFormat="false" ht="15" hidden="false" customHeight="true" outlineLevel="0" collapsed="false">
      <c r="A1964" s="13" t="s">
        <v>3904</v>
      </c>
      <c r="B1964" s="13" t="s">
        <v>34</v>
      </c>
      <c r="C1964" s="13" t="s">
        <v>3905</v>
      </c>
      <c r="D1964" s="13" t="n">
        <v>78</v>
      </c>
      <c r="E1964" s="13" t="s">
        <v>83</v>
      </c>
      <c r="F1964" s="13" t="s">
        <v>42</v>
      </c>
      <c r="G1964" s="13" t="s">
        <v>288</v>
      </c>
      <c r="H1964" s="13" t="s">
        <v>43</v>
      </c>
      <c r="I1964" s="13" t="n">
        <v>2</v>
      </c>
      <c r="J1964" s="13" t="n">
        <v>1</v>
      </c>
      <c r="K1964" s="13" t="s">
        <v>91</v>
      </c>
      <c r="L1964" s="13" t="n">
        <v>3</v>
      </c>
      <c r="M1964" s="13" t="n">
        <v>1234470.16</v>
      </c>
      <c r="N1964" s="13" t="n">
        <v>411490.053333333</v>
      </c>
      <c r="O1964" s="13" t="n">
        <v>1371.61333333333</v>
      </c>
      <c r="P1964" s="13" t="n">
        <v>2</v>
      </c>
      <c r="Q1964" s="13" t="n">
        <v>1</v>
      </c>
      <c r="R1964" s="13" t="s">
        <v>86</v>
      </c>
      <c r="S1964" s="13" t="s">
        <v>111</v>
      </c>
      <c r="T1964" s="13" t="n">
        <v>1</v>
      </c>
      <c r="U1964" s="13" t="n">
        <f aca="false">IF(B1964="Individual",1,0)</f>
        <v>1</v>
      </c>
      <c r="V1964" s="13" t="n">
        <f aca="false">IF(B1964="Company",1,0)</f>
        <v>0</v>
      </c>
      <c r="W1964" s="13" t="n">
        <f aca="false">IF(H1964="Home",1,0)</f>
        <v>0</v>
      </c>
      <c r="X1964" s="13" t="n">
        <f aca="false">IF(H1964="Investment",1,0)</f>
        <v>1</v>
      </c>
      <c r="Y1964" s="13" t="n">
        <f aca="false">IF(K1964="Website",1,0)</f>
        <v>0</v>
      </c>
      <c r="Z1964" s="13" t="n">
        <f aca="false">IF(K1964="Agency",1,0)</f>
        <v>1</v>
      </c>
      <c r="AA1964" s="13" t="n">
        <f aca="false">IF(K1964="Client",1,0)</f>
        <v>0</v>
      </c>
      <c r="AB1964" s="13" t="n">
        <f aca="false">(D1964-AVERAGE(D$2:D$2001))/STDEV(D$2:D$2001)</f>
        <v>1.37599917531375</v>
      </c>
      <c r="AC1964" s="13" t="n">
        <f aca="false">(I1964-AVERAGE(I$2:I$2001))/STDEV(I$2:I$2001)</f>
        <v>-0.727948160798201</v>
      </c>
      <c r="AD1964" s="13" t="n">
        <f aca="false">(L1964-AVERAGE(L$2:L$2001))/STDEV(L$2:L$2001)</f>
        <v>-0.777063122173208</v>
      </c>
      <c r="AE1964" s="13" t="n">
        <f aca="false">(M1964-AVERAGE(M$2:M$2001))/STDEV(M$2:M$2001)</f>
        <v>-0.0744768159899012</v>
      </c>
      <c r="AF1964" s="13" t="n">
        <f aca="false">(N1964-AVERAGE(N$2:N$2001))/STDEV(N$2:N$2001)</f>
        <v>0.923672041100939</v>
      </c>
      <c r="AG1964" s="13" t="n">
        <f aca="false">(O1964-AVERAGE(O$2:O$2001))/STDEV(O$2:O$2001)</f>
        <v>1.01914800310991</v>
      </c>
      <c r="AH1964" s="0" t="str">
        <f aca="false">IF(B1964="Company","C3 - Corporate Buyers",IF(AND(H1964="Investment",M1964&gt;'Segmentation Summary'!$C$1),"C1 - Global Investors",IF(AND(I1964&gt;=4,M1964&gt;'Segmentation Summary'!$C$1),"C4 - Luxury Investors",IF(AND(D1964&lt;'Segmentation Summary'!$C$2,J1964=1),"C2 - First-Time Buyers","C5 - Other Individual Buyers"))))</f>
        <v>C1 - Global Investors</v>
      </c>
    </row>
    <row r="1965" customFormat="false" ht="15" hidden="false" customHeight="true" outlineLevel="0" collapsed="false">
      <c r="A1965" s="13" t="s">
        <v>3906</v>
      </c>
      <c r="B1965" s="13" t="s">
        <v>34</v>
      </c>
      <c r="C1965" s="13" t="s">
        <v>3907</v>
      </c>
      <c r="D1965" s="13" t="n">
        <v>61</v>
      </c>
      <c r="E1965" s="13" t="s">
        <v>83</v>
      </c>
      <c r="F1965" s="13" t="s">
        <v>46</v>
      </c>
      <c r="G1965" s="13" t="s">
        <v>359</v>
      </c>
      <c r="H1965" s="13" t="s">
        <v>41</v>
      </c>
      <c r="I1965" s="13" t="n">
        <v>1</v>
      </c>
      <c r="J1965" s="13" t="n">
        <v>0</v>
      </c>
      <c r="K1965" s="13" t="s">
        <v>85</v>
      </c>
      <c r="L1965" s="13" t="n">
        <v>3</v>
      </c>
      <c r="M1965" s="13" t="n">
        <v>1067644.33</v>
      </c>
      <c r="N1965" s="13" t="n">
        <v>355881.443333333</v>
      </c>
      <c r="O1965" s="13" t="n">
        <v>1339.74666666667</v>
      </c>
      <c r="P1965" s="13" t="n">
        <v>0</v>
      </c>
      <c r="Q1965" s="13" t="n">
        <v>3</v>
      </c>
      <c r="R1965" s="13" t="s">
        <v>101</v>
      </c>
      <c r="S1965" s="13" t="s">
        <v>111</v>
      </c>
      <c r="T1965" s="13" t="n">
        <v>1</v>
      </c>
      <c r="U1965" s="13" t="n">
        <f aca="false">IF(B1965="Individual",1,0)</f>
        <v>1</v>
      </c>
      <c r="V1965" s="13" t="n">
        <f aca="false">IF(B1965="Company",1,0)</f>
        <v>0</v>
      </c>
      <c r="W1965" s="13" t="n">
        <f aca="false">IF(H1965="Home",1,0)</f>
        <v>1</v>
      </c>
      <c r="X1965" s="13" t="n">
        <f aca="false">IF(H1965="Investment",1,0)</f>
        <v>0</v>
      </c>
      <c r="Y1965" s="13" t="n">
        <f aca="false">IF(K1965="Website",1,0)</f>
        <v>1</v>
      </c>
      <c r="Z1965" s="13" t="n">
        <f aca="false">IF(K1965="Agency",1,0)</f>
        <v>0</v>
      </c>
      <c r="AA1965" s="13" t="n">
        <f aca="false">IF(K1965="Client",1,0)</f>
        <v>0</v>
      </c>
      <c r="AB1965" s="13" t="n">
        <f aca="false">(D1965-AVERAGE(D$2:D$2001))/STDEV(D$2:D$2001)</f>
        <v>0.395737432015182</v>
      </c>
      <c r="AC1965" s="13" t="n">
        <f aca="false">(I1965-AVERAGE(I$2:I$2001))/STDEV(I$2:I$2001)</f>
        <v>-1.43538077576244</v>
      </c>
      <c r="AD1965" s="13" t="n">
        <f aca="false">(L1965-AVERAGE(L$2:L$2001))/STDEV(L$2:L$2001)</f>
        <v>-0.777063122173208</v>
      </c>
      <c r="AE1965" s="13" t="n">
        <f aca="false">(M1965-AVERAGE(M$2:M$2001))/STDEV(M$2:M$2001)</f>
        <v>-0.554094764806317</v>
      </c>
      <c r="AF1965" s="13" t="n">
        <f aca="false">(N1965-AVERAGE(N$2:N$2001))/STDEV(N$2:N$2001)</f>
        <v>0.126093771440138</v>
      </c>
      <c r="AG1965" s="13" t="n">
        <f aca="false">(O1965-AVERAGE(O$2:O$2001))/STDEV(O$2:O$2001)</f>
        <v>0.874248531404171</v>
      </c>
      <c r="AH1965" s="0" t="str">
        <f aca="false">IF(B1965="Company","C3 - Corporate Buyers",IF(AND(H1965="Investment",M1965&gt;'Segmentation Summary'!$C$1),"C1 - Global Investors",IF(AND(I1965&gt;=4,M1965&gt;'Segmentation Summary'!$C$1),"C4 - Luxury Investors",IF(AND(D1965&lt;'Segmentation Summary'!$C$2,J1965=1),"C2 - First-Time Buyers","C5 - Other Individual Buyers"))))</f>
        <v>C5 - Other Individual Buyers</v>
      </c>
    </row>
    <row r="1966" customFormat="false" ht="15" hidden="false" customHeight="true" outlineLevel="0" collapsed="false">
      <c r="A1966" s="13" t="s">
        <v>3908</v>
      </c>
      <c r="B1966" s="13" t="s">
        <v>34</v>
      </c>
      <c r="C1966" s="13" t="s">
        <v>3907</v>
      </c>
      <c r="D1966" s="13" t="n">
        <v>80</v>
      </c>
      <c r="E1966" s="13" t="s">
        <v>83</v>
      </c>
      <c r="F1966" s="13" t="s">
        <v>33</v>
      </c>
      <c r="G1966" s="13" t="s">
        <v>95</v>
      </c>
      <c r="H1966" s="13" t="s">
        <v>41</v>
      </c>
      <c r="I1966" s="13" t="n">
        <v>5</v>
      </c>
      <c r="J1966" s="13" t="n">
        <v>1</v>
      </c>
      <c r="K1966" s="13" t="s">
        <v>85</v>
      </c>
      <c r="L1966" s="13" t="n">
        <v>4</v>
      </c>
      <c r="M1966" s="13" t="n">
        <v>1058019.94</v>
      </c>
      <c r="N1966" s="13" t="n">
        <v>264504.985</v>
      </c>
      <c r="O1966" s="13" t="n">
        <v>827.2</v>
      </c>
      <c r="P1966" s="13" t="n">
        <v>3</v>
      </c>
      <c r="Q1966" s="13" t="n">
        <v>1</v>
      </c>
      <c r="R1966" s="13" t="s">
        <v>121</v>
      </c>
      <c r="S1966" s="13" t="s">
        <v>125</v>
      </c>
      <c r="T1966" s="13" t="n">
        <v>1</v>
      </c>
      <c r="U1966" s="13" t="n">
        <f aca="false">IF(B1966="Individual",1,0)</f>
        <v>1</v>
      </c>
      <c r="V1966" s="13" t="n">
        <f aca="false">IF(B1966="Company",1,0)</f>
        <v>0</v>
      </c>
      <c r="W1966" s="13" t="n">
        <f aca="false">IF(H1966="Home",1,0)</f>
        <v>1</v>
      </c>
      <c r="X1966" s="13" t="n">
        <f aca="false">IF(H1966="Investment",1,0)</f>
        <v>0</v>
      </c>
      <c r="Y1966" s="13" t="n">
        <f aca="false">IF(K1966="Website",1,0)</f>
        <v>1</v>
      </c>
      <c r="Z1966" s="13" t="n">
        <f aca="false">IF(K1966="Agency",1,0)</f>
        <v>0</v>
      </c>
      <c r="AA1966" s="13" t="n">
        <f aca="false">IF(K1966="Client",1,0)</f>
        <v>0</v>
      </c>
      <c r="AB1966" s="13" t="n">
        <f aca="false">(D1966-AVERAGE(D$2:D$2001))/STDEV(D$2:D$2001)</f>
        <v>1.49132408629005</v>
      </c>
      <c r="AC1966" s="13" t="n">
        <f aca="false">(I1966-AVERAGE(I$2:I$2001))/STDEV(I$2:I$2001)</f>
        <v>1.39434968409451</v>
      </c>
      <c r="AD1966" s="13" t="n">
        <f aca="false">(L1966-AVERAGE(L$2:L$2001))/STDEV(L$2:L$2001)</f>
        <v>0.413838214490712</v>
      </c>
      <c r="AE1966" s="13" t="n">
        <f aca="false">(M1966-AVERAGE(M$2:M$2001))/STDEV(M$2:M$2001)</f>
        <v>-0.581764521884159</v>
      </c>
      <c r="AF1966" s="13" t="n">
        <f aca="false">(N1966-AVERAGE(N$2:N$2001))/STDEV(N$2:N$2001)</f>
        <v>-1.18449244039346</v>
      </c>
      <c r="AG1966" s="13" t="n">
        <f aca="false">(O1966-AVERAGE(O$2:O$2001))/STDEV(O$2:O$2001)</f>
        <v>-1.45632912208608</v>
      </c>
      <c r="AH1966" s="0" t="str">
        <f aca="false">IF(B1966="Company","C3 - Corporate Buyers",IF(AND(H1966="Investment",M1966&gt;'Segmentation Summary'!$C$1),"C1 - Global Investors",IF(AND(I1966&gt;=4,M1966&gt;'Segmentation Summary'!$C$1),"C4 - Luxury Investors",IF(AND(D1966&lt;'Segmentation Summary'!$C$2,J1966=1),"C2 - First-Time Buyers","C5 - Other Individual Buyers"))))</f>
        <v>C5 - Other Individual Buyers</v>
      </c>
    </row>
    <row r="1967" customFormat="false" ht="15" hidden="false" customHeight="true" outlineLevel="0" collapsed="false">
      <c r="A1967" s="13" t="s">
        <v>3909</v>
      </c>
      <c r="B1967" s="13" t="s">
        <v>34</v>
      </c>
      <c r="C1967" s="13" t="s">
        <v>3910</v>
      </c>
      <c r="D1967" s="13" t="n">
        <v>30</v>
      </c>
      <c r="E1967" s="13" t="s">
        <v>83</v>
      </c>
      <c r="F1967" s="13" t="s">
        <v>33</v>
      </c>
      <c r="G1967" s="13" t="s">
        <v>95</v>
      </c>
      <c r="H1967" s="13" t="s">
        <v>41</v>
      </c>
      <c r="I1967" s="13" t="n">
        <v>5</v>
      </c>
      <c r="J1967" s="13" t="n">
        <v>0</v>
      </c>
      <c r="K1967" s="13" t="s">
        <v>91</v>
      </c>
      <c r="L1967" s="13" t="n">
        <v>4</v>
      </c>
      <c r="M1967" s="13" t="n">
        <v>1289265.38</v>
      </c>
      <c r="N1967" s="13" t="n">
        <v>322316.345</v>
      </c>
      <c r="O1967" s="13" t="n">
        <v>1138.4975</v>
      </c>
      <c r="P1967" s="13" t="n">
        <v>0</v>
      </c>
      <c r="Q1967" s="13" t="n">
        <v>4</v>
      </c>
      <c r="R1967" s="13" t="s">
        <v>150</v>
      </c>
      <c r="S1967" s="13" t="s">
        <v>114</v>
      </c>
      <c r="T1967" s="13" t="n">
        <v>1</v>
      </c>
      <c r="U1967" s="13" t="n">
        <f aca="false">IF(B1967="Individual",1,0)</f>
        <v>1</v>
      </c>
      <c r="V1967" s="13" t="n">
        <f aca="false">IF(B1967="Company",1,0)</f>
        <v>0</v>
      </c>
      <c r="W1967" s="13" t="n">
        <f aca="false">IF(H1967="Home",1,0)</f>
        <v>1</v>
      </c>
      <c r="X1967" s="13" t="n">
        <f aca="false">IF(H1967="Investment",1,0)</f>
        <v>0</v>
      </c>
      <c r="Y1967" s="13" t="n">
        <f aca="false">IF(K1967="Website",1,0)</f>
        <v>0</v>
      </c>
      <c r="Z1967" s="13" t="n">
        <f aca="false">IF(K1967="Agency",1,0)</f>
        <v>1</v>
      </c>
      <c r="AA1967" s="13" t="n">
        <f aca="false">IF(K1967="Client",1,0)</f>
        <v>0</v>
      </c>
      <c r="AB1967" s="13" t="n">
        <f aca="false">(D1967-AVERAGE(D$2:D$2001))/STDEV(D$2:D$2001)</f>
        <v>-1.39179868811751</v>
      </c>
      <c r="AC1967" s="13" t="n">
        <f aca="false">(I1967-AVERAGE(I$2:I$2001))/STDEV(I$2:I$2001)</f>
        <v>1.39434968409451</v>
      </c>
      <c r="AD1967" s="13" t="n">
        <f aca="false">(L1967-AVERAGE(L$2:L$2001))/STDEV(L$2:L$2001)</f>
        <v>0.413838214490712</v>
      </c>
      <c r="AE1967" s="13" t="n">
        <f aca="false">(M1967-AVERAGE(M$2:M$2001))/STDEV(M$2:M$2001)</f>
        <v>0.0830573681430011</v>
      </c>
      <c r="AF1967" s="13" t="n">
        <f aca="false">(N1967-AVERAGE(N$2:N$2001))/STDEV(N$2:N$2001)</f>
        <v>-0.355320762203023</v>
      </c>
      <c r="AG1967" s="13" t="n">
        <f aca="false">(O1967-AVERAGE(O$2:O$2001))/STDEV(O$2:O$2001)</f>
        <v>-0.0408424078602989</v>
      </c>
      <c r="AH1967" s="0" t="str">
        <f aca="false">IF(B1967="Company","C3 - Corporate Buyers",IF(AND(H1967="Investment",M1967&gt;'Segmentation Summary'!$C$1),"C1 - Global Investors",IF(AND(I1967&gt;=4,M1967&gt;'Segmentation Summary'!$C$1),"C4 - Luxury Investors",IF(AND(D1967&lt;'Segmentation Summary'!$C$2,J1967=1),"C2 - First-Time Buyers","C5 - Other Individual Buyers"))))</f>
        <v>C4 - Luxury Investors</v>
      </c>
    </row>
    <row r="1968" customFormat="false" ht="15" hidden="false" customHeight="true" outlineLevel="0" collapsed="false">
      <c r="A1968" s="13" t="s">
        <v>3911</v>
      </c>
      <c r="B1968" s="13" t="s">
        <v>34</v>
      </c>
      <c r="C1968" s="13" t="s">
        <v>3912</v>
      </c>
      <c r="D1968" s="13" t="n">
        <v>27</v>
      </c>
      <c r="E1968" s="13" t="s">
        <v>83</v>
      </c>
      <c r="F1968" s="13" t="s">
        <v>33</v>
      </c>
      <c r="G1968" s="13" t="s">
        <v>95</v>
      </c>
      <c r="H1968" s="13" t="s">
        <v>43</v>
      </c>
      <c r="I1968" s="13" t="n">
        <v>4</v>
      </c>
      <c r="J1968" s="13" t="n">
        <v>1</v>
      </c>
      <c r="K1968" s="13" t="s">
        <v>85</v>
      </c>
      <c r="L1968" s="13" t="n">
        <v>3</v>
      </c>
      <c r="M1968" s="13" t="n">
        <v>1007204.78</v>
      </c>
      <c r="N1968" s="13" t="n">
        <v>335734.926666667</v>
      </c>
      <c r="O1968" s="13" t="n">
        <v>1186.43666666667</v>
      </c>
      <c r="P1968" s="13" t="n">
        <v>0</v>
      </c>
      <c r="Q1968" s="13" t="n">
        <v>3</v>
      </c>
      <c r="R1968" s="13" t="s">
        <v>93</v>
      </c>
      <c r="S1968" s="13" t="s">
        <v>154</v>
      </c>
      <c r="T1968" s="13" t="n">
        <v>1</v>
      </c>
      <c r="U1968" s="13" t="n">
        <f aca="false">IF(B1968="Individual",1,0)</f>
        <v>1</v>
      </c>
      <c r="V1968" s="13" t="n">
        <f aca="false">IF(B1968="Company",1,0)</f>
        <v>0</v>
      </c>
      <c r="W1968" s="13" t="n">
        <f aca="false">IF(H1968="Home",1,0)</f>
        <v>0</v>
      </c>
      <c r="X1968" s="13" t="n">
        <f aca="false">IF(H1968="Investment",1,0)</f>
        <v>1</v>
      </c>
      <c r="Y1968" s="13" t="n">
        <f aca="false">IF(K1968="Website",1,0)</f>
        <v>1</v>
      </c>
      <c r="Z1968" s="13" t="n">
        <f aca="false">IF(K1968="Agency",1,0)</f>
        <v>0</v>
      </c>
      <c r="AA1968" s="13" t="n">
        <f aca="false">IF(K1968="Client",1,0)</f>
        <v>0</v>
      </c>
      <c r="AB1968" s="13" t="n">
        <f aca="false">(D1968-AVERAGE(D$2:D$2001))/STDEV(D$2:D$2001)</f>
        <v>-1.56478605458196</v>
      </c>
      <c r="AC1968" s="13" t="n">
        <f aca="false">(I1968-AVERAGE(I$2:I$2001))/STDEV(I$2:I$2001)</f>
        <v>0.686917069130275</v>
      </c>
      <c r="AD1968" s="13" t="n">
        <f aca="false">(L1968-AVERAGE(L$2:L$2001))/STDEV(L$2:L$2001)</f>
        <v>-0.777063122173208</v>
      </c>
      <c r="AE1968" s="13" t="n">
        <f aca="false">(M1968-AVERAGE(M$2:M$2001))/STDEV(M$2:M$2001)</f>
        <v>-0.727856184116428</v>
      </c>
      <c r="AF1968" s="13" t="n">
        <f aca="false">(N1968-AVERAGE(N$2:N$2001))/STDEV(N$2:N$2001)</f>
        <v>-0.162861911909832</v>
      </c>
      <c r="AG1968" s="13" t="n">
        <f aca="false">(O1968-AVERAGE(O$2:O$2001))/STDEV(O$2:O$2001)</f>
        <v>0.177139598123452</v>
      </c>
      <c r="AH1968" s="0" t="str">
        <f aca="false">IF(B1968="Company","C3 - Corporate Buyers",IF(AND(H1968="Investment",M1968&gt;'Segmentation Summary'!$C$1),"C1 - Global Investors",IF(AND(I1968&gt;=4,M1968&gt;'Segmentation Summary'!$C$1),"C4 - Luxury Investors",IF(AND(D1968&lt;'Segmentation Summary'!$C$2,J1968=1),"C2 - First-Time Buyers","C5 - Other Individual Buyers"))))</f>
        <v>C2 - First-Time Buyers</v>
      </c>
    </row>
    <row r="1969" customFormat="false" ht="15" hidden="false" customHeight="true" outlineLevel="0" collapsed="false">
      <c r="A1969" s="13" t="s">
        <v>3913</v>
      </c>
      <c r="B1969" s="13" t="s">
        <v>34</v>
      </c>
      <c r="C1969" s="13" t="s">
        <v>3914</v>
      </c>
      <c r="D1969" s="13" t="n">
        <v>61</v>
      </c>
      <c r="E1969" s="13" t="s">
        <v>83</v>
      </c>
      <c r="F1969" s="13" t="s">
        <v>46</v>
      </c>
      <c r="G1969" s="13" t="s">
        <v>359</v>
      </c>
      <c r="H1969" s="13" t="s">
        <v>41</v>
      </c>
      <c r="I1969" s="13" t="n">
        <v>4</v>
      </c>
      <c r="J1969" s="13" t="n">
        <v>0</v>
      </c>
      <c r="K1969" s="13" t="s">
        <v>85</v>
      </c>
      <c r="L1969" s="13" t="n">
        <v>3</v>
      </c>
      <c r="M1969" s="13" t="n">
        <v>854217.7</v>
      </c>
      <c r="N1969" s="13" t="n">
        <v>284739.233333333</v>
      </c>
      <c r="O1969" s="13" t="n">
        <v>851.87</v>
      </c>
      <c r="P1969" s="13" t="n">
        <v>0</v>
      </c>
      <c r="Q1969" s="13" t="n">
        <v>3</v>
      </c>
      <c r="R1969" s="13" t="s">
        <v>92</v>
      </c>
      <c r="S1969" s="13" t="s">
        <v>141</v>
      </c>
      <c r="T1969" s="13" t="n">
        <v>1</v>
      </c>
      <c r="U1969" s="13" t="n">
        <f aca="false">IF(B1969="Individual",1,0)</f>
        <v>1</v>
      </c>
      <c r="V1969" s="13" t="n">
        <f aca="false">IF(B1969="Company",1,0)</f>
        <v>0</v>
      </c>
      <c r="W1969" s="13" t="n">
        <f aca="false">IF(H1969="Home",1,0)</f>
        <v>1</v>
      </c>
      <c r="X1969" s="13" t="n">
        <f aca="false">IF(H1969="Investment",1,0)</f>
        <v>0</v>
      </c>
      <c r="Y1969" s="13" t="n">
        <f aca="false">IF(K1969="Website",1,0)</f>
        <v>1</v>
      </c>
      <c r="Z1969" s="13" t="n">
        <f aca="false">IF(K1969="Agency",1,0)</f>
        <v>0</v>
      </c>
      <c r="AA1969" s="13" t="n">
        <f aca="false">IF(K1969="Client",1,0)</f>
        <v>0</v>
      </c>
      <c r="AB1969" s="13" t="n">
        <f aca="false">(D1969-AVERAGE(D$2:D$2001))/STDEV(D$2:D$2001)</f>
        <v>0.395737432015182</v>
      </c>
      <c r="AC1969" s="13" t="n">
        <f aca="false">(I1969-AVERAGE(I$2:I$2001))/STDEV(I$2:I$2001)</f>
        <v>0.686917069130275</v>
      </c>
      <c r="AD1969" s="13" t="n">
        <f aca="false">(L1969-AVERAGE(L$2:L$2001))/STDEV(L$2:L$2001)</f>
        <v>-0.777063122173208</v>
      </c>
      <c r="AE1969" s="13" t="n">
        <f aca="false">(M1969-AVERAGE(M$2:M$2001))/STDEV(M$2:M$2001)</f>
        <v>-1.16768825031992</v>
      </c>
      <c r="AF1969" s="13" t="n">
        <f aca="false">(N1969-AVERAGE(N$2:N$2001))/STDEV(N$2:N$2001)</f>
        <v>-0.894278447028286</v>
      </c>
      <c r="AG1969" s="13" t="n">
        <f aca="false">(O1969-AVERAGE(O$2:O$2001))/STDEV(O$2:O$2001)</f>
        <v>-1.34415328630214</v>
      </c>
      <c r="AH1969" s="0" t="str">
        <f aca="false">IF(B1969="Company","C3 - Corporate Buyers",IF(AND(H1969="Investment",M1969&gt;'Segmentation Summary'!$C$1),"C1 - Global Investors",IF(AND(I1969&gt;=4,M1969&gt;'Segmentation Summary'!$C$1),"C4 - Luxury Investors",IF(AND(D1969&lt;'Segmentation Summary'!$C$2,J1969=1),"C2 - First-Time Buyers","C5 - Other Individual Buyers"))))</f>
        <v>C5 - Other Individual Buyers</v>
      </c>
    </row>
    <row r="1970" customFormat="false" ht="15" hidden="false" customHeight="true" outlineLevel="0" collapsed="false">
      <c r="A1970" s="13" t="s">
        <v>3915</v>
      </c>
      <c r="B1970" s="13" t="s">
        <v>34</v>
      </c>
      <c r="C1970" s="13" t="s">
        <v>3916</v>
      </c>
      <c r="D1970" s="13" t="n">
        <v>30</v>
      </c>
      <c r="E1970" s="13" t="s">
        <v>83</v>
      </c>
      <c r="F1970" s="13" t="s">
        <v>33</v>
      </c>
      <c r="G1970" s="13" t="s">
        <v>100</v>
      </c>
      <c r="H1970" s="13" t="s">
        <v>41</v>
      </c>
      <c r="I1970" s="13" t="n">
        <v>3</v>
      </c>
      <c r="J1970" s="13" t="n">
        <v>0</v>
      </c>
      <c r="K1970" s="13" t="s">
        <v>91</v>
      </c>
      <c r="L1970" s="13" t="n">
        <v>4</v>
      </c>
      <c r="M1970" s="13" t="n">
        <v>1012922.06</v>
      </c>
      <c r="N1970" s="13" t="n">
        <v>253230.515</v>
      </c>
      <c r="O1970" s="13" t="n">
        <v>799.9225</v>
      </c>
      <c r="P1970" s="13" t="n">
        <v>2</v>
      </c>
      <c r="Q1970" s="13" t="n">
        <v>2</v>
      </c>
      <c r="R1970" s="13" t="s">
        <v>164</v>
      </c>
      <c r="S1970" s="13" t="s">
        <v>87</v>
      </c>
      <c r="T1970" s="13" t="n">
        <v>1</v>
      </c>
      <c r="U1970" s="13" t="n">
        <f aca="false">IF(B1970="Individual",1,0)</f>
        <v>1</v>
      </c>
      <c r="V1970" s="13" t="n">
        <f aca="false">IF(B1970="Company",1,0)</f>
        <v>0</v>
      </c>
      <c r="W1970" s="13" t="n">
        <f aca="false">IF(H1970="Home",1,0)</f>
        <v>1</v>
      </c>
      <c r="X1970" s="13" t="n">
        <f aca="false">IF(H1970="Investment",1,0)</f>
        <v>0</v>
      </c>
      <c r="Y1970" s="13" t="n">
        <f aca="false">IF(K1970="Website",1,0)</f>
        <v>0</v>
      </c>
      <c r="Z1970" s="13" t="n">
        <f aca="false">IF(K1970="Agency",1,0)</f>
        <v>1</v>
      </c>
      <c r="AA1970" s="13" t="n">
        <f aca="false">IF(K1970="Client",1,0)</f>
        <v>0</v>
      </c>
      <c r="AB1970" s="13" t="n">
        <f aca="false">(D1970-AVERAGE(D$2:D$2001))/STDEV(D$2:D$2001)</f>
        <v>-1.39179868811751</v>
      </c>
      <c r="AC1970" s="13" t="n">
        <f aca="false">(I1970-AVERAGE(I$2:I$2001))/STDEV(I$2:I$2001)</f>
        <v>-0.0205155458339628</v>
      </c>
      <c r="AD1970" s="13" t="n">
        <f aca="false">(L1970-AVERAGE(L$2:L$2001))/STDEV(L$2:L$2001)</f>
        <v>0.413838214490712</v>
      </c>
      <c r="AE1970" s="13" t="n">
        <f aca="false">(M1970-AVERAGE(M$2:M$2001))/STDEV(M$2:M$2001)</f>
        <v>-0.711419220449536</v>
      </c>
      <c r="AF1970" s="13" t="n">
        <f aca="false">(N1970-AVERAGE(N$2:N$2001))/STDEV(N$2:N$2001)</f>
        <v>-1.34619891487543</v>
      </c>
      <c r="AG1970" s="13" t="n">
        <f aca="false">(O1970-AVERAGE(O$2:O$2001))/STDEV(O$2:O$2001)</f>
        <v>-1.58036140261289</v>
      </c>
      <c r="AH1970" s="0" t="str">
        <f aca="false">IF(B1970="Company","C3 - Corporate Buyers",IF(AND(H1970="Investment",M1970&gt;'Segmentation Summary'!$C$1),"C1 - Global Investors",IF(AND(I1970&gt;=4,M1970&gt;'Segmentation Summary'!$C$1),"C4 - Luxury Investors",IF(AND(D1970&lt;'Segmentation Summary'!$C$2,J1970=1),"C2 - First-Time Buyers","C5 - Other Individual Buyers"))))</f>
        <v>C5 - Other Individual Buyers</v>
      </c>
    </row>
    <row r="1971" customFormat="false" ht="15" hidden="false" customHeight="true" outlineLevel="0" collapsed="false">
      <c r="A1971" s="13" t="s">
        <v>3917</v>
      </c>
      <c r="B1971" s="13" t="s">
        <v>34</v>
      </c>
      <c r="C1971" s="13" t="s">
        <v>3918</v>
      </c>
      <c r="D1971" s="13" t="n">
        <v>53</v>
      </c>
      <c r="E1971" s="13" t="s">
        <v>83</v>
      </c>
      <c r="F1971" s="13" t="s">
        <v>33</v>
      </c>
      <c r="G1971" s="13" t="s">
        <v>95</v>
      </c>
      <c r="H1971" s="13" t="s">
        <v>43</v>
      </c>
      <c r="I1971" s="13" t="n">
        <v>3</v>
      </c>
      <c r="J1971" s="13" t="n">
        <v>1</v>
      </c>
      <c r="K1971" s="13" t="s">
        <v>91</v>
      </c>
      <c r="L1971" s="13" t="n">
        <v>4</v>
      </c>
      <c r="M1971" s="13" t="n">
        <v>1256766.51</v>
      </c>
      <c r="N1971" s="13" t="n">
        <v>314191.6275</v>
      </c>
      <c r="O1971" s="13" t="n">
        <v>1004.1575</v>
      </c>
      <c r="P1971" s="13" t="n">
        <v>1</v>
      </c>
      <c r="Q1971" s="13" t="n">
        <v>3</v>
      </c>
      <c r="R1971" s="13" t="s">
        <v>86</v>
      </c>
      <c r="S1971" s="13" t="s">
        <v>87</v>
      </c>
      <c r="T1971" s="13" t="n">
        <v>1</v>
      </c>
      <c r="U1971" s="13" t="n">
        <f aca="false">IF(B1971="Individual",1,0)</f>
        <v>1</v>
      </c>
      <c r="V1971" s="13" t="n">
        <f aca="false">IF(B1971="Company",1,0)</f>
        <v>0</v>
      </c>
      <c r="W1971" s="13" t="n">
        <f aca="false">IF(H1971="Home",1,0)</f>
        <v>0</v>
      </c>
      <c r="X1971" s="13" t="n">
        <f aca="false">IF(H1971="Investment",1,0)</f>
        <v>1</v>
      </c>
      <c r="Y1971" s="13" t="n">
        <f aca="false">IF(K1971="Website",1,0)</f>
        <v>0</v>
      </c>
      <c r="Z1971" s="13" t="n">
        <f aca="false">IF(K1971="Agency",1,0)</f>
        <v>1</v>
      </c>
      <c r="AA1971" s="13" t="n">
        <f aca="false">IF(K1971="Client",1,0)</f>
        <v>0</v>
      </c>
      <c r="AB1971" s="13" t="n">
        <f aca="false">(D1971-AVERAGE(D$2:D$2001))/STDEV(D$2:D$2001)</f>
        <v>-0.065562211890028</v>
      </c>
      <c r="AC1971" s="13" t="n">
        <f aca="false">(I1971-AVERAGE(I$2:I$2001))/STDEV(I$2:I$2001)</f>
        <v>-0.0205155458339628</v>
      </c>
      <c r="AD1971" s="13" t="n">
        <f aca="false">(L1971-AVERAGE(L$2:L$2001))/STDEV(L$2:L$2001)</f>
        <v>0.413838214490712</v>
      </c>
      <c r="AE1971" s="13" t="n">
        <f aca="false">(M1971-AVERAGE(M$2:M$2001))/STDEV(M$2:M$2001)</f>
        <v>-0.010375653399594</v>
      </c>
      <c r="AF1971" s="13" t="n">
        <f aca="false">(N1971-AVERAGE(N$2:N$2001))/STDEV(N$2:N$2001)</f>
        <v>-0.471851244175739</v>
      </c>
      <c r="AG1971" s="13" t="n">
        <f aca="false">(O1971-AVERAGE(O$2:O$2001))/STDEV(O$2:O$2001)</f>
        <v>-0.651693716300268</v>
      </c>
      <c r="AH1971" s="0" t="str">
        <f aca="false">IF(B1971="Company","C3 - Corporate Buyers",IF(AND(H1971="Investment",M1971&gt;'Segmentation Summary'!$C$1),"C1 - Global Investors",IF(AND(I1971&gt;=4,M1971&gt;'Segmentation Summary'!$C$1),"C4 - Luxury Investors",IF(AND(D1971&lt;'Segmentation Summary'!$C$2,J1971=1),"C2 - First-Time Buyers","C5 - Other Individual Buyers"))))</f>
        <v>C1 - Global Investors</v>
      </c>
    </row>
    <row r="1972" customFormat="false" ht="15" hidden="false" customHeight="true" outlineLevel="0" collapsed="false">
      <c r="A1972" s="13" t="s">
        <v>3919</v>
      </c>
      <c r="B1972" s="13" t="s">
        <v>34</v>
      </c>
      <c r="C1972" s="13" t="s">
        <v>3920</v>
      </c>
      <c r="D1972" s="13" t="n">
        <v>69</v>
      </c>
      <c r="E1972" s="13" t="s">
        <v>83</v>
      </c>
      <c r="F1972" s="13" t="s">
        <v>33</v>
      </c>
      <c r="G1972" s="13" t="s">
        <v>84</v>
      </c>
      <c r="H1972" s="13" t="s">
        <v>41</v>
      </c>
      <c r="I1972" s="13" t="n">
        <v>2</v>
      </c>
      <c r="J1972" s="13" t="n">
        <v>0</v>
      </c>
      <c r="K1972" s="13" t="s">
        <v>91</v>
      </c>
      <c r="L1972" s="13" t="n">
        <v>4</v>
      </c>
      <c r="M1972" s="13" t="n">
        <v>1731153.76</v>
      </c>
      <c r="N1972" s="13" t="n">
        <v>432788.44</v>
      </c>
      <c r="O1972" s="13" t="n">
        <v>1356.32</v>
      </c>
      <c r="P1972" s="13" t="n">
        <v>0</v>
      </c>
      <c r="Q1972" s="13" t="n">
        <v>4</v>
      </c>
      <c r="R1972" s="13" t="s">
        <v>98</v>
      </c>
      <c r="S1972" s="13" t="s">
        <v>125</v>
      </c>
      <c r="T1972" s="13" t="n">
        <v>1</v>
      </c>
      <c r="U1972" s="13" t="n">
        <f aca="false">IF(B1972="Individual",1,0)</f>
        <v>1</v>
      </c>
      <c r="V1972" s="13" t="n">
        <f aca="false">IF(B1972="Company",1,0)</f>
        <v>0</v>
      </c>
      <c r="W1972" s="13" t="n">
        <f aca="false">IF(H1972="Home",1,0)</f>
        <v>1</v>
      </c>
      <c r="X1972" s="13" t="n">
        <f aca="false">IF(H1972="Investment",1,0)</f>
        <v>0</v>
      </c>
      <c r="Y1972" s="13" t="n">
        <f aca="false">IF(K1972="Website",1,0)</f>
        <v>0</v>
      </c>
      <c r="Z1972" s="13" t="n">
        <f aca="false">IF(K1972="Agency",1,0)</f>
        <v>1</v>
      </c>
      <c r="AA1972" s="13" t="n">
        <f aca="false">IF(K1972="Client",1,0)</f>
        <v>0</v>
      </c>
      <c r="AB1972" s="13" t="n">
        <f aca="false">(D1972-AVERAGE(D$2:D$2001))/STDEV(D$2:D$2001)</f>
        <v>0.857037075920391</v>
      </c>
      <c r="AC1972" s="13" t="n">
        <f aca="false">(I1972-AVERAGE(I$2:I$2001))/STDEV(I$2:I$2001)</f>
        <v>-0.727948160798201</v>
      </c>
      <c r="AD1972" s="13" t="n">
        <f aca="false">(L1972-AVERAGE(L$2:L$2001))/STDEV(L$2:L$2001)</f>
        <v>0.413838214490712</v>
      </c>
      <c r="AE1972" s="13" t="n">
        <f aca="false">(M1972-AVERAGE(M$2:M$2001))/STDEV(M$2:M$2001)</f>
        <v>1.35346974026433</v>
      </c>
      <c r="AF1972" s="13" t="n">
        <f aca="false">(N1972-AVERAGE(N$2:N$2001))/STDEV(N$2:N$2001)</f>
        <v>1.22914866395066</v>
      </c>
      <c r="AG1972" s="13" t="n">
        <f aca="false">(O1972-AVERAGE(O$2:O$2001))/STDEV(O$2:O$2001)</f>
        <v>0.949608382169962</v>
      </c>
      <c r="AH1972" s="0" t="str">
        <f aca="false">IF(B1972="Company","C3 - Corporate Buyers",IF(AND(H1972="Investment",M1972&gt;'Segmentation Summary'!$C$1),"C1 - Global Investors",IF(AND(I1972&gt;=4,M1972&gt;'Segmentation Summary'!$C$1),"C4 - Luxury Investors",IF(AND(D1972&lt;'Segmentation Summary'!$C$2,J1972=1),"C2 - First-Time Buyers","C5 - Other Individual Buyers"))))</f>
        <v>C5 - Other Individual Buyers</v>
      </c>
    </row>
    <row r="1973" customFormat="false" ht="15" hidden="false" customHeight="true" outlineLevel="0" collapsed="false">
      <c r="A1973" s="13" t="s">
        <v>3921</v>
      </c>
      <c r="B1973" s="13" t="s">
        <v>34</v>
      </c>
      <c r="C1973" s="13" t="s">
        <v>3922</v>
      </c>
      <c r="D1973" s="13" t="n">
        <v>33</v>
      </c>
      <c r="E1973" s="13" t="s">
        <v>83</v>
      </c>
      <c r="F1973" s="13" t="s">
        <v>33</v>
      </c>
      <c r="G1973" s="13" t="s">
        <v>95</v>
      </c>
      <c r="H1973" s="13" t="s">
        <v>41</v>
      </c>
      <c r="I1973" s="13" t="n">
        <v>2</v>
      </c>
      <c r="J1973" s="13" t="n">
        <v>1</v>
      </c>
      <c r="K1973" s="13" t="s">
        <v>91</v>
      </c>
      <c r="L1973" s="13" t="n">
        <v>4</v>
      </c>
      <c r="M1973" s="13" t="n">
        <v>1012807.93</v>
      </c>
      <c r="N1973" s="13" t="n">
        <v>253201.9825</v>
      </c>
      <c r="O1973" s="13" t="n">
        <v>842.75</v>
      </c>
      <c r="P1973" s="13" t="n">
        <v>1</v>
      </c>
      <c r="Q1973" s="13" t="n">
        <v>3</v>
      </c>
      <c r="R1973" s="13" t="s">
        <v>93</v>
      </c>
      <c r="S1973" s="13" t="s">
        <v>164</v>
      </c>
      <c r="T1973" s="13" t="n">
        <v>1</v>
      </c>
      <c r="U1973" s="13" t="n">
        <f aca="false">IF(B1973="Individual",1,0)</f>
        <v>1</v>
      </c>
      <c r="V1973" s="13" t="n">
        <f aca="false">IF(B1973="Company",1,0)</f>
        <v>0</v>
      </c>
      <c r="W1973" s="13" t="n">
        <f aca="false">IF(H1973="Home",1,0)</f>
        <v>1</v>
      </c>
      <c r="X1973" s="13" t="n">
        <f aca="false">IF(H1973="Investment",1,0)</f>
        <v>0</v>
      </c>
      <c r="Y1973" s="13" t="n">
        <f aca="false">IF(K1973="Website",1,0)</f>
        <v>0</v>
      </c>
      <c r="Z1973" s="13" t="n">
        <f aca="false">IF(K1973="Agency",1,0)</f>
        <v>1</v>
      </c>
      <c r="AA1973" s="13" t="n">
        <f aca="false">IF(K1973="Client",1,0)</f>
        <v>0</v>
      </c>
      <c r="AB1973" s="13" t="n">
        <f aca="false">(D1973-AVERAGE(D$2:D$2001))/STDEV(D$2:D$2001)</f>
        <v>-1.21881132165305</v>
      </c>
      <c r="AC1973" s="13" t="n">
        <f aca="false">(I1973-AVERAGE(I$2:I$2001))/STDEV(I$2:I$2001)</f>
        <v>-0.727948160798201</v>
      </c>
      <c r="AD1973" s="13" t="n">
        <f aca="false">(L1973-AVERAGE(L$2:L$2001))/STDEV(L$2:L$2001)</f>
        <v>0.413838214490712</v>
      </c>
      <c r="AE1973" s="13" t="n">
        <f aca="false">(M1973-AVERAGE(M$2:M$2001))/STDEV(M$2:M$2001)</f>
        <v>-0.711747339881032</v>
      </c>
      <c r="AF1973" s="13" t="n">
        <f aca="false">(N1973-AVERAGE(N$2:N$2001))/STDEV(N$2:N$2001)</f>
        <v>-1.34660814830132</v>
      </c>
      <c r="AG1973" s="13" t="n">
        <f aca="false">(O1973-AVERAGE(O$2:O$2001))/STDEV(O$2:O$2001)</f>
        <v>-1.38562242381124</v>
      </c>
      <c r="AH1973" s="0" t="str">
        <f aca="false">IF(B1973="Company","C3 - Corporate Buyers",IF(AND(H1973="Investment",M1973&gt;'Segmentation Summary'!$C$1),"C1 - Global Investors",IF(AND(I1973&gt;=4,M1973&gt;'Segmentation Summary'!$C$1),"C4 - Luxury Investors",IF(AND(D1973&lt;'Segmentation Summary'!$C$2,J1973=1),"C2 - First-Time Buyers","C5 - Other Individual Buyers"))))</f>
        <v>C2 - First-Time Buyers</v>
      </c>
    </row>
    <row r="1974" customFormat="false" ht="15" hidden="false" customHeight="true" outlineLevel="0" collapsed="false">
      <c r="A1974" s="13" t="s">
        <v>3923</v>
      </c>
      <c r="B1974" s="13" t="s">
        <v>34</v>
      </c>
      <c r="C1974" s="13" t="s">
        <v>3924</v>
      </c>
      <c r="D1974" s="13" t="n">
        <v>72</v>
      </c>
      <c r="E1974" s="13" t="s">
        <v>83</v>
      </c>
      <c r="F1974" s="13" t="s">
        <v>33</v>
      </c>
      <c r="G1974" s="13" t="s">
        <v>157</v>
      </c>
      <c r="H1974" s="13" t="s">
        <v>43</v>
      </c>
      <c r="I1974" s="13" t="n">
        <v>3</v>
      </c>
      <c r="J1974" s="13" t="n">
        <v>0</v>
      </c>
      <c r="K1974" s="13" t="s">
        <v>91</v>
      </c>
      <c r="L1974" s="13" t="n">
        <v>4</v>
      </c>
      <c r="M1974" s="13" t="n">
        <v>1518798.69</v>
      </c>
      <c r="N1974" s="13" t="n">
        <v>379699.6725</v>
      </c>
      <c r="O1974" s="13" t="n">
        <v>1169.615</v>
      </c>
      <c r="P1974" s="13" t="n">
        <v>0</v>
      </c>
      <c r="Q1974" s="13" t="n">
        <v>4</v>
      </c>
      <c r="R1974" s="13" t="s">
        <v>128</v>
      </c>
      <c r="S1974" s="13" t="s">
        <v>87</v>
      </c>
      <c r="T1974" s="13" t="n">
        <v>1</v>
      </c>
      <c r="U1974" s="13" t="n">
        <f aca="false">IF(B1974="Individual",1,0)</f>
        <v>1</v>
      </c>
      <c r="V1974" s="13" t="n">
        <f aca="false">IF(B1974="Company",1,0)</f>
        <v>0</v>
      </c>
      <c r="W1974" s="13" t="n">
        <f aca="false">IF(H1974="Home",1,0)</f>
        <v>0</v>
      </c>
      <c r="X1974" s="13" t="n">
        <f aca="false">IF(H1974="Investment",1,0)</f>
        <v>1</v>
      </c>
      <c r="Y1974" s="13" t="n">
        <f aca="false">IF(K1974="Website",1,0)</f>
        <v>0</v>
      </c>
      <c r="Z1974" s="13" t="n">
        <f aca="false">IF(K1974="Agency",1,0)</f>
        <v>1</v>
      </c>
      <c r="AA1974" s="13" t="n">
        <f aca="false">IF(K1974="Client",1,0)</f>
        <v>0</v>
      </c>
      <c r="AB1974" s="13" t="n">
        <f aca="false">(D1974-AVERAGE(D$2:D$2001))/STDEV(D$2:D$2001)</f>
        <v>1.03002444238485</v>
      </c>
      <c r="AC1974" s="13" t="n">
        <f aca="false">(I1974-AVERAGE(I$2:I$2001))/STDEV(I$2:I$2001)</f>
        <v>-0.0205155458339628</v>
      </c>
      <c r="AD1974" s="13" t="n">
        <f aca="false">(L1974-AVERAGE(L$2:L$2001))/STDEV(L$2:L$2001)</f>
        <v>0.413838214490712</v>
      </c>
      <c r="AE1974" s="13" t="n">
        <f aca="false">(M1974-AVERAGE(M$2:M$2001))/STDEV(M$2:M$2001)</f>
        <v>0.742956949204535</v>
      </c>
      <c r="AF1974" s="13" t="n">
        <f aca="false">(N1974-AVERAGE(N$2:N$2001))/STDEV(N$2:N$2001)</f>
        <v>0.467711769177084</v>
      </c>
      <c r="AG1974" s="13" t="n">
        <f aca="false">(O1974-AVERAGE(O$2:O$2001))/STDEV(O$2:O$2001)</f>
        <v>0.100650562144024</v>
      </c>
      <c r="AH1974" s="0" t="str">
        <f aca="false">IF(B1974="Company","C3 - Corporate Buyers",IF(AND(H1974="Investment",M1974&gt;'Segmentation Summary'!$C$1),"C1 - Global Investors",IF(AND(I1974&gt;=4,M1974&gt;'Segmentation Summary'!$C$1),"C4 - Luxury Investors",IF(AND(D1974&lt;'Segmentation Summary'!$C$2,J1974=1),"C2 - First-Time Buyers","C5 - Other Individual Buyers"))))</f>
        <v>C1 - Global Investors</v>
      </c>
    </row>
    <row r="1975" customFormat="false" ht="15" hidden="false" customHeight="true" outlineLevel="0" collapsed="false">
      <c r="A1975" s="13" t="s">
        <v>3925</v>
      </c>
      <c r="B1975" s="13" t="s">
        <v>34</v>
      </c>
      <c r="C1975" s="13" t="s">
        <v>3926</v>
      </c>
      <c r="D1975" s="13" t="n">
        <v>81</v>
      </c>
      <c r="E1975" s="13" t="s">
        <v>83</v>
      </c>
      <c r="F1975" s="13" t="s">
        <v>33</v>
      </c>
      <c r="G1975" s="13" t="s">
        <v>265</v>
      </c>
      <c r="H1975" s="13" t="s">
        <v>41</v>
      </c>
      <c r="I1975" s="13" t="n">
        <v>1</v>
      </c>
      <c r="J1975" s="13" t="n">
        <v>0</v>
      </c>
      <c r="K1975" s="13" t="s">
        <v>85</v>
      </c>
      <c r="L1975" s="13" t="n">
        <v>4</v>
      </c>
      <c r="M1975" s="13" t="n">
        <v>1423923.98</v>
      </c>
      <c r="N1975" s="13" t="n">
        <v>355980.995</v>
      </c>
      <c r="O1975" s="13" t="n">
        <v>1169.615</v>
      </c>
      <c r="P1975" s="13" t="n">
        <v>1</v>
      </c>
      <c r="Q1975" s="13" t="n">
        <v>3</v>
      </c>
      <c r="R1975" s="13" t="s">
        <v>101</v>
      </c>
      <c r="S1975" s="13" t="s">
        <v>141</v>
      </c>
      <c r="T1975" s="13" t="n">
        <v>1</v>
      </c>
      <c r="U1975" s="13" t="n">
        <f aca="false">IF(B1975="Individual",1,0)</f>
        <v>1</v>
      </c>
      <c r="V1975" s="13" t="n">
        <f aca="false">IF(B1975="Company",1,0)</f>
        <v>0</v>
      </c>
      <c r="W1975" s="13" t="n">
        <f aca="false">IF(H1975="Home",1,0)</f>
        <v>1</v>
      </c>
      <c r="X1975" s="13" t="n">
        <f aca="false">IF(H1975="Investment",1,0)</f>
        <v>0</v>
      </c>
      <c r="Y1975" s="13" t="n">
        <f aca="false">IF(K1975="Website",1,0)</f>
        <v>1</v>
      </c>
      <c r="Z1975" s="13" t="n">
        <f aca="false">IF(K1975="Agency",1,0)</f>
        <v>0</v>
      </c>
      <c r="AA1975" s="13" t="n">
        <f aca="false">IF(K1975="Client",1,0)</f>
        <v>0</v>
      </c>
      <c r="AB1975" s="13" t="n">
        <f aca="false">(D1975-AVERAGE(D$2:D$2001))/STDEV(D$2:D$2001)</f>
        <v>1.54898654177821</v>
      </c>
      <c r="AC1975" s="13" t="n">
        <f aca="false">(I1975-AVERAGE(I$2:I$2001))/STDEV(I$2:I$2001)</f>
        <v>-1.43538077576244</v>
      </c>
      <c r="AD1975" s="13" t="n">
        <f aca="false">(L1975-AVERAGE(L$2:L$2001))/STDEV(L$2:L$2001)</f>
        <v>0.413838214490712</v>
      </c>
      <c r="AE1975" s="13" t="n">
        <f aca="false">(M1975-AVERAGE(M$2:M$2001))/STDEV(M$2:M$2001)</f>
        <v>0.470195747868073</v>
      </c>
      <c r="AF1975" s="13" t="n">
        <f aca="false">(N1975-AVERAGE(N$2:N$2001))/STDEV(N$2:N$2001)</f>
        <v>0.127521612309423</v>
      </c>
      <c r="AG1975" s="13" t="n">
        <f aca="false">(O1975-AVERAGE(O$2:O$2001))/STDEV(O$2:O$2001)</f>
        <v>0.100650562144024</v>
      </c>
      <c r="AH1975" s="0" t="str">
        <f aca="false">IF(B1975="Company","C3 - Corporate Buyers",IF(AND(H1975="Investment",M1975&gt;'Segmentation Summary'!$C$1),"C1 - Global Investors",IF(AND(I1975&gt;=4,M1975&gt;'Segmentation Summary'!$C$1),"C4 - Luxury Investors",IF(AND(D1975&lt;'Segmentation Summary'!$C$2,J1975=1),"C2 - First-Time Buyers","C5 - Other Individual Buyers"))))</f>
        <v>C5 - Other Individual Buyers</v>
      </c>
    </row>
    <row r="1976" customFormat="false" ht="15" hidden="false" customHeight="true" outlineLevel="0" collapsed="false">
      <c r="A1976" s="13" t="s">
        <v>3927</v>
      </c>
      <c r="B1976" s="13" t="s">
        <v>34</v>
      </c>
      <c r="C1976" s="13" t="s">
        <v>3926</v>
      </c>
      <c r="D1976" s="13" t="n">
        <v>65</v>
      </c>
      <c r="E1976" s="13" t="s">
        <v>83</v>
      </c>
      <c r="F1976" s="13" t="s">
        <v>33</v>
      </c>
      <c r="G1976" s="13" t="s">
        <v>265</v>
      </c>
      <c r="H1976" s="13" t="s">
        <v>41</v>
      </c>
      <c r="I1976" s="13" t="n">
        <v>3</v>
      </c>
      <c r="J1976" s="13" t="n">
        <v>0</v>
      </c>
      <c r="K1976" s="13" t="s">
        <v>91</v>
      </c>
      <c r="L1976" s="13" t="n">
        <v>4</v>
      </c>
      <c r="M1976" s="13" t="n">
        <v>1380788.86</v>
      </c>
      <c r="N1976" s="13" t="n">
        <v>345197.215</v>
      </c>
      <c r="O1976" s="13" t="n">
        <v>1135.325</v>
      </c>
      <c r="P1976" s="13" t="n">
        <v>1</v>
      </c>
      <c r="Q1976" s="13" t="n">
        <v>3</v>
      </c>
      <c r="R1976" s="13" t="s">
        <v>111</v>
      </c>
      <c r="S1976" s="13" t="s">
        <v>114</v>
      </c>
      <c r="T1976" s="13" t="n">
        <v>1</v>
      </c>
      <c r="U1976" s="13" t="n">
        <f aca="false">IF(B1976="Individual",1,0)</f>
        <v>1</v>
      </c>
      <c r="V1976" s="13" t="n">
        <f aca="false">IF(B1976="Company",1,0)</f>
        <v>0</v>
      </c>
      <c r="W1976" s="13" t="n">
        <f aca="false">IF(H1976="Home",1,0)</f>
        <v>1</v>
      </c>
      <c r="X1976" s="13" t="n">
        <f aca="false">IF(H1976="Investment",1,0)</f>
        <v>0</v>
      </c>
      <c r="Y1976" s="13" t="n">
        <f aca="false">IF(K1976="Website",1,0)</f>
        <v>0</v>
      </c>
      <c r="Z1976" s="13" t="n">
        <f aca="false">IF(K1976="Agency",1,0)</f>
        <v>1</v>
      </c>
      <c r="AA1976" s="13" t="n">
        <f aca="false">IF(K1976="Client",1,0)</f>
        <v>0</v>
      </c>
      <c r="AB1976" s="13" t="n">
        <f aca="false">(D1976-AVERAGE(D$2:D$2001))/STDEV(D$2:D$2001)</f>
        <v>0.626387253967787</v>
      </c>
      <c r="AC1976" s="13" t="n">
        <f aca="false">(I1976-AVERAGE(I$2:I$2001))/STDEV(I$2:I$2001)</f>
        <v>-0.0205155458339628</v>
      </c>
      <c r="AD1976" s="13" t="n">
        <f aca="false">(L1976-AVERAGE(L$2:L$2001))/STDEV(L$2:L$2001)</f>
        <v>0.413838214490712</v>
      </c>
      <c r="AE1976" s="13" t="n">
        <f aca="false">(M1976-AVERAGE(M$2:M$2001))/STDEV(M$2:M$2001)</f>
        <v>0.346183910034868</v>
      </c>
      <c r="AF1976" s="13" t="n">
        <f aca="false">(N1976-AVERAGE(N$2:N$2001))/STDEV(N$2:N$2001)</f>
        <v>-0.02714703689441</v>
      </c>
      <c r="AG1976" s="13" t="n">
        <f aca="false">(O1976-AVERAGE(O$2:O$2001))/STDEV(O$2:O$2001)</f>
        <v>-0.0552679384247305</v>
      </c>
      <c r="AH1976" s="0" t="str">
        <f aca="false">IF(B1976="Company","C3 - Corporate Buyers",IF(AND(H1976="Investment",M1976&gt;'Segmentation Summary'!$C$1),"C1 - Global Investors",IF(AND(I1976&gt;=4,M1976&gt;'Segmentation Summary'!$C$1),"C4 - Luxury Investors",IF(AND(D1976&lt;'Segmentation Summary'!$C$2,J1976=1),"C2 - First-Time Buyers","C5 - Other Individual Buyers"))))</f>
        <v>C5 - Other Individual Buyers</v>
      </c>
    </row>
    <row r="1977" customFormat="false" ht="15" hidden="false" customHeight="true" outlineLevel="0" collapsed="false">
      <c r="A1977" s="13" t="s">
        <v>3928</v>
      </c>
      <c r="B1977" s="13" t="s">
        <v>34</v>
      </c>
      <c r="C1977" s="13" t="s">
        <v>3929</v>
      </c>
      <c r="D1977" s="13" t="n">
        <v>32</v>
      </c>
      <c r="E1977" s="13" t="s">
        <v>83</v>
      </c>
      <c r="F1977" s="13" t="s">
        <v>44</v>
      </c>
      <c r="G1977" s="13" t="s">
        <v>1956</v>
      </c>
      <c r="H1977" s="13" t="s">
        <v>43</v>
      </c>
      <c r="I1977" s="13" t="n">
        <v>2</v>
      </c>
      <c r="J1977" s="13" t="n">
        <v>1</v>
      </c>
      <c r="K1977" s="13" t="s">
        <v>85</v>
      </c>
      <c r="L1977" s="13" t="n">
        <v>3</v>
      </c>
      <c r="M1977" s="13" t="n">
        <v>1231356.24</v>
      </c>
      <c r="N1977" s="13" t="n">
        <v>410452.08</v>
      </c>
      <c r="O1977" s="13" t="n">
        <v>1280.28</v>
      </c>
      <c r="P1977" s="13" t="n">
        <v>0</v>
      </c>
      <c r="Q1977" s="13" t="n">
        <v>3</v>
      </c>
      <c r="R1977" s="13" t="s">
        <v>111</v>
      </c>
      <c r="S1977" s="13" t="s">
        <v>112</v>
      </c>
      <c r="T1977" s="13" t="n">
        <v>1</v>
      </c>
      <c r="U1977" s="13" t="n">
        <f aca="false">IF(B1977="Individual",1,0)</f>
        <v>1</v>
      </c>
      <c r="V1977" s="13" t="n">
        <f aca="false">IF(B1977="Company",1,0)</f>
        <v>0</v>
      </c>
      <c r="W1977" s="13" t="n">
        <f aca="false">IF(H1977="Home",1,0)</f>
        <v>0</v>
      </c>
      <c r="X1977" s="13" t="n">
        <f aca="false">IF(H1977="Investment",1,0)</f>
        <v>1</v>
      </c>
      <c r="Y1977" s="13" t="n">
        <f aca="false">IF(K1977="Website",1,0)</f>
        <v>1</v>
      </c>
      <c r="Z1977" s="13" t="n">
        <f aca="false">IF(K1977="Agency",1,0)</f>
        <v>0</v>
      </c>
      <c r="AA1977" s="13" t="n">
        <f aca="false">IF(K1977="Client",1,0)</f>
        <v>0</v>
      </c>
      <c r="AB1977" s="13" t="n">
        <f aca="false">(D1977-AVERAGE(D$2:D$2001))/STDEV(D$2:D$2001)</f>
        <v>-1.2764737771412</v>
      </c>
      <c r="AC1977" s="13" t="n">
        <f aca="false">(I1977-AVERAGE(I$2:I$2001))/STDEV(I$2:I$2001)</f>
        <v>-0.727948160798201</v>
      </c>
      <c r="AD1977" s="13" t="n">
        <f aca="false">(L1977-AVERAGE(L$2:L$2001))/STDEV(L$2:L$2001)</f>
        <v>-0.777063122173208</v>
      </c>
      <c r="AE1977" s="13" t="n">
        <f aca="false">(M1977-AVERAGE(M$2:M$2001))/STDEV(M$2:M$2001)</f>
        <v>-0.0834292181639433</v>
      </c>
      <c r="AF1977" s="13" t="n">
        <f aca="false">(N1977-AVERAGE(N$2:N$2001))/STDEV(N$2:N$2001)</f>
        <v>0.908784688671994</v>
      </c>
      <c r="AG1977" s="13" t="n">
        <f aca="false">(O1977-AVERAGE(O$2:O$2001))/STDEV(O$2:O$2001)</f>
        <v>0.603850354078736</v>
      </c>
      <c r="AH1977" s="0" t="str">
        <f aca="false">IF(B1977="Company","C3 - Corporate Buyers",IF(AND(H1977="Investment",M1977&gt;'Segmentation Summary'!$C$1),"C1 - Global Investors",IF(AND(I1977&gt;=4,M1977&gt;'Segmentation Summary'!$C$1),"C4 - Luxury Investors",IF(AND(D1977&lt;'Segmentation Summary'!$C$2,J1977=1),"C2 - First-Time Buyers","C5 - Other Individual Buyers"))))</f>
        <v>C1 - Global Investors</v>
      </c>
    </row>
    <row r="1978" customFormat="false" ht="15" hidden="false" customHeight="true" outlineLevel="0" collapsed="false">
      <c r="A1978" s="13" t="s">
        <v>3930</v>
      </c>
      <c r="B1978" s="13" t="s">
        <v>34</v>
      </c>
      <c r="C1978" s="13" t="s">
        <v>3931</v>
      </c>
      <c r="D1978" s="13" t="n">
        <v>24</v>
      </c>
      <c r="E1978" s="13" t="s">
        <v>83</v>
      </c>
      <c r="F1978" s="13" t="s">
        <v>33</v>
      </c>
      <c r="G1978" s="13" t="s">
        <v>157</v>
      </c>
      <c r="H1978" s="13" t="s">
        <v>41</v>
      </c>
      <c r="I1978" s="13" t="n">
        <v>1</v>
      </c>
      <c r="J1978" s="13" t="n">
        <v>1</v>
      </c>
      <c r="K1978" s="13" t="s">
        <v>85</v>
      </c>
      <c r="L1978" s="13" t="n">
        <v>4</v>
      </c>
      <c r="M1978" s="13" t="n">
        <v>1237500.3</v>
      </c>
      <c r="N1978" s="13" t="n">
        <v>309375.075</v>
      </c>
      <c r="O1978" s="13" t="n">
        <v>1177.3375</v>
      </c>
      <c r="P1978" s="13" t="n">
        <v>1</v>
      </c>
      <c r="Q1978" s="13" t="n">
        <v>3</v>
      </c>
      <c r="R1978" s="13" t="s">
        <v>121</v>
      </c>
      <c r="S1978" s="13" t="s">
        <v>87</v>
      </c>
      <c r="T1978" s="13" t="n">
        <v>1</v>
      </c>
      <c r="U1978" s="13" t="n">
        <f aca="false">IF(B1978="Individual",1,0)</f>
        <v>1</v>
      </c>
      <c r="V1978" s="13" t="n">
        <f aca="false">IF(B1978="Company",1,0)</f>
        <v>0</v>
      </c>
      <c r="W1978" s="13" t="n">
        <f aca="false">IF(H1978="Home",1,0)</f>
        <v>1</v>
      </c>
      <c r="X1978" s="13" t="n">
        <f aca="false">IF(H1978="Investment",1,0)</f>
        <v>0</v>
      </c>
      <c r="Y1978" s="13" t="n">
        <f aca="false">IF(K1978="Website",1,0)</f>
        <v>1</v>
      </c>
      <c r="Z1978" s="13" t="n">
        <f aca="false">IF(K1978="Agency",1,0)</f>
        <v>0</v>
      </c>
      <c r="AA1978" s="13" t="n">
        <f aca="false">IF(K1978="Client",1,0)</f>
        <v>0</v>
      </c>
      <c r="AB1978" s="13" t="n">
        <f aca="false">(D1978-AVERAGE(D$2:D$2001))/STDEV(D$2:D$2001)</f>
        <v>-1.73777342104641</v>
      </c>
      <c r="AC1978" s="13" t="n">
        <f aca="false">(I1978-AVERAGE(I$2:I$2001))/STDEV(I$2:I$2001)</f>
        <v>-1.43538077576244</v>
      </c>
      <c r="AD1978" s="13" t="n">
        <f aca="false">(L1978-AVERAGE(L$2:L$2001))/STDEV(L$2:L$2001)</f>
        <v>0.413838214490712</v>
      </c>
      <c r="AE1978" s="13" t="n">
        <f aca="false">(M1978-AVERAGE(M$2:M$2001))/STDEV(M$2:M$2001)</f>
        <v>-0.0657652781457518</v>
      </c>
      <c r="AF1978" s="13" t="n">
        <f aca="false">(N1978-AVERAGE(N$2:N$2001))/STDEV(N$2:N$2001)</f>
        <v>-0.54093366879812</v>
      </c>
      <c r="AG1978" s="13" t="n">
        <f aca="false">(O1978-AVERAGE(O$2:O$2001))/STDEV(O$2:O$2001)</f>
        <v>0.135765190917492</v>
      </c>
      <c r="AH1978" s="0" t="str">
        <f aca="false">IF(B1978="Company","C3 - Corporate Buyers",IF(AND(H1978="Investment",M1978&gt;'Segmentation Summary'!$C$1),"C1 - Global Investors",IF(AND(I1978&gt;=4,M1978&gt;'Segmentation Summary'!$C$1),"C4 - Luxury Investors",IF(AND(D1978&lt;'Segmentation Summary'!$C$2,J1978=1),"C2 - First-Time Buyers","C5 - Other Individual Buyers"))))</f>
        <v>C2 - First-Time Buyers</v>
      </c>
    </row>
    <row r="1979" customFormat="false" ht="15" hidden="false" customHeight="true" outlineLevel="0" collapsed="false">
      <c r="A1979" s="13" t="s">
        <v>3932</v>
      </c>
      <c r="B1979" s="13" t="s">
        <v>34</v>
      </c>
      <c r="C1979" s="13" t="s">
        <v>3933</v>
      </c>
      <c r="D1979" s="13" t="n">
        <v>36</v>
      </c>
      <c r="E1979" s="13" t="s">
        <v>83</v>
      </c>
      <c r="F1979" s="13" t="s">
        <v>33</v>
      </c>
      <c r="G1979" s="13" t="s">
        <v>95</v>
      </c>
      <c r="H1979" s="13" t="s">
        <v>41</v>
      </c>
      <c r="I1979" s="13" t="n">
        <v>4</v>
      </c>
      <c r="J1979" s="13" t="n">
        <v>0</v>
      </c>
      <c r="K1979" s="13" t="s">
        <v>85</v>
      </c>
      <c r="L1979" s="13" t="n">
        <v>4</v>
      </c>
      <c r="M1979" s="13" t="n">
        <v>1267653.57</v>
      </c>
      <c r="N1979" s="13" t="n">
        <v>316913.3925</v>
      </c>
      <c r="O1979" s="13" t="n">
        <v>1035.1925</v>
      </c>
      <c r="P1979" s="13" t="n">
        <v>1</v>
      </c>
      <c r="Q1979" s="13" t="n">
        <v>3</v>
      </c>
      <c r="R1979" s="13" t="s">
        <v>101</v>
      </c>
      <c r="S1979" s="13" t="s">
        <v>87</v>
      </c>
      <c r="T1979" s="13" t="n">
        <v>1</v>
      </c>
      <c r="U1979" s="13" t="n">
        <f aca="false">IF(B1979="Individual",1,0)</f>
        <v>1</v>
      </c>
      <c r="V1979" s="13" t="n">
        <f aca="false">IF(B1979="Company",1,0)</f>
        <v>0</v>
      </c>
      <c r="W1979" s="13" t="n">
        <f aca="false">IF(H1979="Home",1,0)</f>
        <v>1</v>
      </c>
      <c r="X1979" s="13" t="n">
        <f aca="false">IF(H1979="Investment",1,0)</f>
        <v>0</v>
      </c>
      <c r="Y1979" s="13" t="n">
        <f aca="false">IF(K1979="Website",1,0)</f>
        <v>1</v>
      </c>
      <c r="Z1979" s="13" t="n">
        <f aca="false">IF(K1979="Agency",1,0)</f>
        <v>0</v>
      </c>
      <c r="AA1979" s="13" t="n">
        <f aca="false">IF(K1979="Client",1,0)</f>
        <v>0</v>
      </c>
      <c r="AB1979" s="13" t="n">
        <f aca="false">(D1979-AVERAGE(D$2:D$2001))/STDEV(D$2:D$2001)</f>
        <v>-1.0458239551886</v>
      </c>
      <c r="AC1979" s="13" t="n">
        <f aca="false">(I1979-AVERAGE(I$2:I$2001))/STDEV(I$2:I$2001)</f>
        <v>0.686917069130275</v>
      </c>
      <c r="AD1979" s="13" t="n">
        <f aca="false">(L1979-AVERAGE(L$2:L$2001))/STDEV(L$2:L$2001)</f>
        <v>0.413838214490712</v>
      </c>
      <c r="AE1979" s="13" t="n">
        <f aca="false">(M1979-AVERAGE(M$2:M$2001))/STDEV(M$2:M$2001)</f>
        <v>0.0209242321507508</v>
      </c>
      <c r="AF1979" s="13" t="n">
        <f aca="false">(N1979-AVERAGE(N$2:N$2001))/STDEV(N$2:N$2001)</f>
        <v>-0.43281375305479</v>
      </c>
      <c r="AG1979" s="13" t="n">
        <f aca="false">(O1979-AVERAGE(O$2:O$2001))/STDEV(O$2:O$2001)</f>
        <v>-0.510575878296438</v>
      </c>
      <c r="AH1979" s="0" t="str">
        <f aca="false">IF(B1979="Company","C3 - Corporate Buyers",IF(AND(H1979="Investment",M1979&gt;'Segmentation Summary'!$C$1),"C1 - Global Investors",IF(AND(I1979&gt;=4,M1979&gt;'Segmentation Summary'!$C$1),"C4 - Luxury Investors",IF(AND(D1979&lt;'Segmentation Summary'!$C$2,J1979=1),"C2 - First-Time Buyers","C5 - Other Individual Buyers"))))</f>
        <v>C4 - Luxury Investors</v>
      </c>
    </row>
    <row r="1980" customFormat="false" ht="15" hidden="false" customHeight="true" outlineLevel="0" collapsed="false">
      <c r="A1980" s="13" t="s">
        <v>3934</v>
      </c>
      <c r="B1980" s="13" t="s">
        <v>34</v>
      </c>
      <c r="C1980" s="13" t="s">
        <v>3935</v>
      </c>
      <c r="D1980" s="13" t="n">
        <v>33</v>
      </c>
      <c r="E1980" s="13" t="s">
        <v>83</v>
      </c>
      <c r="F1980" s="13" t="s">
        <v>33</v>
      </c>
      <c r="G1980" s="13" t="s">
        <v>95</v>
      </c>
      <c r="H1980" s="13" t="s">
        <v>43</v>
      </c>
      <c r="I1980" s="13" t="n">
        <v>2</v>
      </c>
      <c r="J1980" s="13" t="n">
        <v>1</v>
      </c>
      <c r="K1980" s="13" t="s">
        <v>85</v>
      </c>
      <c r="L1980" s="13" t="n">
        <v>4</v>
      </c>
      <c r="M1980" s="13" t="n">
        <v>1199213.25</v>
      </c>
      <c r="N1980" s="13" t="n">
        <v>299803.3125</v>
      </c>
      <c r="O1980" s="13" t="n">
        <v>1114.2125</v>
      </c>
      <c r="P1980" s="13" t="n">
        <v>1</v>
      </c>
      <c r="Q1980" s="13" t="n">
        <v>3</v>
      </c>
      <c r="R1980" s="13" t="s">
        <v>135</v>
      </c>
      <c r="S1980" s="13" t="s">
        <v>164</v>
      </c>
      <c r="T1980" s="13" t="n">
        <v>1</v>
      </c>
      <c r="U1980" s="13" t="n">
        <f aca="false">IF(B1980="Individual",1,0)</f>
        <v>1</v>
      </c>
      <c r="V1980" s="13" t="n">
        <f aca="false">IF(B1980="Company",1,0)</f>
        <v>0</v>
      </c>
      <c r="W1980" s="13" t="n">
        <f aca="false">IF(H1980="Home",1,0)</f>
        <v>0</v>
      </c>
      <c r="X1980" s="13" t="n">
        <f aca="false">IF(H1980="Investment",1,0)</f>
        <v>1</v>
      </c>
      <c r="Y1980" s="13" t="n">
        <f aca="false">IF(K1980="Website",1,0)</f>
        <v>1</v>
      </c>
      <c r="Z1980" s="13" t="n">
        <f aca="false">IF(K1980="Agency",1,0)</f>
        <v>0</v>
      </c>
      <c r="AA1980" s="13" t="n">
        <f aca="false">IF(K1980="Client",1,0)</f>
        <v>0</v>
      </c>
      <c r="AB1980" s="13" t="n">
        <f aca="false">(D1980-AVERAGE(D$2:D$2001))/STDEV(D$2:D$2001)</f>
        <v>-1.21881132165305</v>
      </c>
      <c r="AC1980" s="13" t="n">
        <f aca="false">(I1980-AVERAGE(I$2:I$2001))/STDEV(I$2:I$2001)</f>
        <v>-0.727948160798201</v>
      </c>
      <c r="AD1980" s="13" t="n">
        <f aca="false">(L1980-AVERAGE(L$2:L$2001))/STDEV(L$2:L$2001)</f>
        <v>0.413838214490712</v>
      </c>
      <c r="AE1980" s="13" t="n">
        <f aca="false">(M1980-AVERAGE(M$2:M$2001))/STDEV(M$2:M$2001)</f>
        <v>-0.175839098172492</v>
      </c>
      <c r="AF1980" s="13" t="n">
        <f aca="false">(N1980-AVERAGE(N$2:N$2001))/STDEV(N$2:N$2001)</f>
        <v>-0.678218700241168</v>
      </c>
      <c r="AG1980" s="13" t="n">
        <f aca="false">(O1980-AVERAGE(O$2:O$2001))/STDEV(O$2:O$2001)</f>
        <v>-0.151267627641932</v>
      </c>
      <c r="AH1980" s="0" t="str">
        <f aca="false">IF(B1980="Company","C3 - Corporate Buyers",IF(AND(H1980="Investment",M1980&gt;'Segmentation Summary'!$C$1),"C1 - Global Investors",IF(AND(I1980&gt;=4,M1980&gt;'Segmentation Summary'!$C$1),"C4 - Luxury Investors",IF(AND(D1980&lt;'Segmentation Summary'!$C$2,J1980=1),"C2 - First-Time Buyers","C5 - Other Individual Buyers"))))</f>
        <v>C2 - First-Time Buyers</v>
      </c>
    </row>
    <row r="1981" customFormat="false" ht="15" hidden="false" customHeight="true" outlineLevel="0" collapsed="false">
      <c r="A1981" s="13" t="s">
        <v>3936</v>
      </c>
      <c r="B1981" s="13" t="s">
        <v>34</v>
      </c>
      <c r="C1981" s="13" t="s">
        <v>3937</v>
      </c>
      <c r="D1981" s="13" t="n">
        <v>47</v>
      </c>
      <c r="E1981" s="13" t="s">
        <v>83</v>
      </c>
      <c r="F1981" s="13" t="s">
        <v>33</v>
      </c>
      <c r="G1981" s="13" t="s">
        <v>95</v>
      </c>
      <c r="H1981" s="13" t="s">
        <v>41</v>
      </c>
      <c r="I1981" s="13" t="n">
        <v>5</v>
      </c>
      <c r="J1981" s="13" t="n">
        <v>0</v>
      </c>
      <c r="K1981" s="13" t="s">
        <v>85</v>
      </c>
      <c r="L1981" s="13" t="n">
        <v>3</v>
      </c>
      <c r="M1981" s="13" t="n">
        <v>1577625</v>
      </c>
      <c r="N1981" s="13" t="n">
        <v>525875</v>
      </c>
      <c r="O1981" s="13" t="n">
        <v>1679.10666666667</v>
      </c>
      <c r="P1981" s="13" t="n">
        <v>1</v>
      </c>
      <c r="Q1981" s="13" t="n">
        <v>2</v>
      </c>
      <c r="R1981" s="13" t="s">
        <v>121</v>
      </c>
      <c r="S1981" s="13" t="s">
        <v>125</v>
      </c>
      <c r="T1981" s="13" t="n">
        <v>1</v>
      </c>
      <c r="U1981" s="13" t="n">
        <f aca="false">IF(B1981="Individual",1,0)</f>
        <v>1</v>
      </c>
      <c r="V1981" s="13" t="n">
        <f aca="false">IF(B1981="Company",1,0)</f>
        <v>0</v>
      </c>
      <c r="W1981" s="13" t="n">
        <f aca="false">IF(H1981="Home",1,0)</f>
        <v>1</v>
      </c>
      <c r="X1981" s="13" t="n">
        <f aca="false">IF(H1981="Investment",1,0)</f>
        <v>0</v>
      </c>
      <c r="Y1981" s="13" t="n">
        <f aca="false">IF(K1981="Website",1,0)</f>
        <v>1</v>
      </c>
      <c r="Z1981" s="13" t="n">
        <f aca="false">IF(K1981="Agency",1,0)</f>
        <v>0</v>
      </c>
      <c r="AA1981" s="13" t="n">
        <f aca="false">IF(K1981="Client",1,0)</f>
        <v>0</v>
      </c>
      <c r="AB1981" s="13" t="n">
        <f aca="false">(D1981-AVERAGE(D$2:D$2001))/STDEV(D$2:D$2001)</f>
        <v>-0.411536944818935</v>
      </c>
      <c r="AC1981" s="13" t="n">
        <f aca="false">(I1981-AVERAGE(I$2:I$2001))/STDEV(I$2:I$2001)</f>
        <v>1.39434968409451</v>
      </c>
      <c r="AD1981" s="13" t="n">
        <f aca="false">(L1981-AVERAGE(L$2:L$2001))/STDEV(L$2:L$2001)</f>
        <v>-0.777063122173208</v>
      </c>
      <c r="AE1981" s="13" t="n">
        <f aca="false">(M1981-AVERAGE(M$2:M$2001))/STDEV(M$2:M$2001)</f>
        <v>0.912080364557174</v>
      </c>
      <c r="AF1981" s="13" t="n">
        <f aca="false">(N1981-AVERAGE(N$2:N$2001))/STDEV(N$2:N$2001)</f>
        <v>2.56426237122506</v>
      </c>
      <c r="AG1981" s="13" t="n">
        <f aca="false">(O1981-AVERAGE(O$2:O$2001))/STDEV(O$2:O$2001)</f>
        <v>2.41733696397964</v>
      </c>
      <c r="AH1981" s="0" t="str">
        <f aca="false">IF(B1981="Company","C3 - Corporate Buyers",IF(AND(H1981="Investment",M1981&gt;'Segmentation Summary'!$C$1),"C1 - Global Investors",IF(AND(I1981&gt;=4,M1981&gt;'Segmentation Summary'!$C$1),"C4 - Luxury Investors",IF(AND(D1981&lt;'Segmentation Summary'!$C$2,J1981=1),"C2 - First-Time Buyers","C5 - Other Individual Buyers"))))</f>
        <v>C4 - Luxury Investors</v>
      </c>
    </row>
    <row r="1982" customFormat="false" ht="15" hidden="false" customHeight="true" outlineLevel="0" collapsed="false">
      <c r="A1982" s="13" t="s">
        <v>3938</v>
      </c>
      <c r="B1982" s="13" t="s">
        <v>34</v>
      </c>
      <c r="C1982" s="13" t="s">
        <v>3937</v>
      </c>
      <c r="D1982" s="13" t="n">
        <v>78</v>
      </c>
      <c r="E1982" s="13" t="s">
        <v>83</v>
      </c>
      <c r="F1982" s="13" t="s">
        <v>33</v>
      </c>
      <c r="G1982" s="13" t="s">
        <v>95</v>
      </c>
      <c r="H1982" s="13" t="s">
        <v>41</v>
      </c>
      <c r="I1982" s="13" t="n">
        <v>1</v>
      </c>
      <c r="J1982" s="13" t="n">
        <v>1</v>
      </c>
      <c r="K1982" s="13" t="s">
        <v>116</v>
      </c>
      <c r="L1982" s="13" t="n">
        <v>4</v>
      </c>
      <c r="M1982" s="13" t="n">
        <v>1356560.31</v>
      </c>
      <c r="N1982" s="13" t="n">
        <v>339140.0775</v>
      </c>
      <c r="O1982" s="13" t="n">
        <v>1030.21</v>
      </c>
      <c r="P1982" s="13" t="n">
        <v>0</v>
      </c>
      <c r="Q1982" s="13" t="n">
        <v>4</v>
      </c>
      <c r="R1982" s="13" t="s">
        <v>98</v>
      </c>
      <c r="S1982" s="13" t="s">
        <v>114</v>
      </c>
      <c r="T1982" s="13" t="n">
        <v>1</v>
      </c>
      <c r="U1982" s="13" t="n">
        <f aca="false">IF(B1982="Individual",1,0)</f>
        <v>1</v>
      </c>
      <c r="V1982" s="13" t="n">
        <f aca="false">IF(B1982="Company",1,0)</f>
        <v>0</v>
      </c>
      <c r="W1982" s="13" t="n">
        <f aca="false">IF(H1982="Home",1,0)</f>
        <v>1</v>
      </c>
      <c r="X1982" s="13" t="n">
        <f aca="false">IF(H1982="Investment",1,0)</f>
        <v>0</v>
      </c>
      <c r="Y1982" s="13" t="n">
        <f aca="false">IF(K1982="Website",1,0)</f>
        <v>0</v>
      </c>
      <c r="Z1982" s="13" t="n">
        <f aca="false">IF(K1982="Agency",1,0)</f>
        <v>0</v>
      </c>
      <c r="AA1982" s="13" t="n">
        <f aca="false">IF(K1982="Client",1,0)</f>
        <v>1</v>
      </c>
      <c r="AB1982" s="13" t="n">
        <f aca="false">(D1982-AVERAGE(D$2:D$2001))/STDEV(D$2:D$2001)</f>
        <v>1.37599917531375</v>
      </c>
      <c r="AC1982" s="13" t="n">
        <f aca="false">(I1982-AVERAGE(I$2:I$2001))/STDEV(I$2:I$2001)</f>
        <v>-1.43538077576244</v>
      </c>
      <c r="AD1982" s="13" t="n">
        <f aca="false">(L1982-AVERAGE(L$2:L$2001))/STDEV(L$2:L$2001)</f>
        <v>0.413838214490712</v>
      </c>
      <c r="AE1982" s="13" t="n">
        <f aca="false">(M1982-AVERAGE(M$2:M$2001))/STDEV(M$2:M$2001)</f>
        <v>0.276527745556046</v>
      </c>
      <c r="AF1982" s="13" t="n">
        <f aca="false">(N1982-AVERAGE(N$2:N$2001))/STDEV(N$2:N$2001)</f>
        <v>-0.114022814698379</v>
      </c>
      <c r="AG1982" s="13" t="n">
        <f aca="false">(O1982-AVERAGE(O$2:O$2001))/STDEV(O$2:O$2001)</f>
        <v>-0.53323157759897</v>
      </c>
      <c r="AH1982" s="0" t="str">
        <f aca="false">IF(B1982="Company","C3 - Corporate Buyers",IF(AND(H1982="Investment",M1982&gt;'Segmentation Summary'!$C$1),"C1 - Global Investors",IF(AND(I1982&gt;=4,M1982&gt;'Segmentation Summary'!$C$1),"C4 - Luxury Investors",IF(AND(D1982&lt;'Segmentation Summary'!$C$2,J1982=1),"C2 - First-Time Buyers","C5 - Other Individual Buyers"))))</f>
        <v>C5 - Other Individual Buyers</v>
      </c>
    </row>
    <row r="1983" customFormat="false" ht="15" hidden="false" customHeight="true" outlineLevel="0" collapsed="false">
      <c r="A1983" s="13" t="s">
        <v>3939</v>
      </c>
      <c r="B1983" s="13" t="s">
        <v>34</v>
      </c>
      <c r="C1983" s="13" t="s">
        <v>3940</v>
      </c>
      <c r="D1983" s="13" t="n">
        <v>77</v>
      </c>
      <c r="E1983" s="13" t="s">
        <v>83</v>
      </c>
      <c r="F1983" s="13" t="s">
        <v>37</v>
      </c>
      <c r="G1983" s="13" t="s">
        <v>259</v>
      </c>
      <c r="H1983" s="13" t="s">
        <v>43</v>
      </c>
      <c r="I1983" s="13" t="n">
        <v>5</v>
      </c>
      <c r="J1983" s="13" t="n">
        <v>0</v>
      </c>
      <c r="K1983" s="13" t="s">
        <v>85</v>
      </c>
      <c r="L1983" s="13" t="n">
        <v>11</v>
      </c>
      <c r="M1983" s="13" t="n">
        <v>3251147.83</v>
      </c>
      <c r="N1983" s="13" t="n">
        <v>295558.893636364</v>
      </c>
      <c r="O1983" s="13" t="n">
        <v>995.693636363636</v>
      </c>
      <c r="P1983" s="13" t="n">
        <v>0</v>
      </c>
      <c r="Q1983" s="13" t="n">
        <v>11</v>
      </c>
      <c r="R1983" s="13" t="s">
        <v>92</v>
      </c>
      <c r="S1983" s="13" t="s">
        <v>87</v>
      </c>
      <c r="T1983" s="13" t="n">
        <v>1</v>
      </c>
      <c r="U1983" s="13" t="n">
        <f aca="false">IF(B1983="Individual",1,0)</f>
        <v>1</v>
      </c>
      <c r="V1983" s="13" t="n">
        <f aca="false">IF(B1983="Company",1,0)</f>
        <v>0</v>
      </c>
      <c r="W1983" s="13" t="n">
        <f aca="false">IF(H1983="Home",1,0)</f>
        <v>0</v>
      </c>
      <c r="X1983" s="13" t="n">
        <f aca="false">IF(H1983="Investment",1,0)</f>
        <v>1</v>
      </c>
      <c r="Y1983" s="13" t="n">
        <f aca="false">IF(K1983="Website",1,0)</f>
        <v>1</v>
      </c>
      <c r="Z1983" s="13" t="n">
        <f aca="false">IF(K1983="Agency",1,0)</f>
        <v>0</v>
      </c>
      <c r="AA1983" s="13" t="n">
        <f aca="false">IF(K1983="Client",1,0)</f>
        <v>0</v>
      </c>
      <c r="AB1983" s="13" t="n">
        <f aca="false">(D1983-AVERAGE(D$2:D$2001))/STDEV(D$2:D$2001)</f>
        <v>1.3183367198256</v>
      </c>
      <c r="AC1983" s="13" t="n">
        <f aca="false">(I1983-AVERAGE(I$2:I$2001))/STDEV(I$2:I$2001)</f>
        <v>1.39434968409451</v>
      </c>
      <c r="AD1983" s="13" t="n">
        <f aca="false">(L1983-AVERAGE(L$2:L$2001))/STDEV(L$2:L$2001)</f>
        <v>8.75014757113815</v>
      </c>
      <c r="AE1983" s="13" t="n">
        <f aca="false">(M1983-AVERAGE(M$2:M$2001))/STDEV(M$2:M$2001)</f>
        <v>5.7233951772696</v>
      </c>
      <c r="AF1983" s="13" t="n">
        <f aca="false">(N1983-AVERAGE(N$2:N$2001))/STDEV(N$2:N$2001)</f>
        <v>-0.739095176976955</v>
      </c>
      <c r="AG1983" s="13" t="n">
        <f aca="false">(O1983-AVERAGE(O$2:O$2001))/STDEV(O$2:O$2001)</f>
        <v>-0.690179365970734</v>
      </c>
      <c r="AH1983" s="0" t="str">
        <f aca="false">IF(B1983="Company","C3 - Corporate Buyers",IF(AND(H1983="Investment",M1983&gt;'Segmentation Summary'!$C$1),"C1 - Global Investors",IF(AND(I1983&gt;=4,M1983&gt;'Segmentation Summary'!$C$1),"C4 - Luxury Investors",IF(AND(D1983&lt;'Segmentation Summary'!$C$2,J1983=1),"C2 - First-Time Buyers","C5 - Other Individual Buyers"))))</f>
        <v>C1 - Global Investors</v>
      </c>
    </row>
    <row r="1984" customFormat="false" ht="15" hidden="false" customHeight="true" outlineLevel="0" collapsed="false">
      <c r="A1984" s="13" t="s">
        <v>3941</v>
      </c>
      <c r="B1984" s="13" t="s">
        <v>34</v>
      </c>
      <c r="C1984" s="13" t="s">
        <v>3942</v>
      </c>
      <c r="D1984" s="13" t="n">
        <v>82</v>
      </c>
      <c r="E1984" s="13" t="s">
        <v>90</v>
      </c>
      <c r="F1984" s="13" t="s">
        <v>33</v>
      </c>
      <c r="G1984" s="13" t="s">
        <v>120</v>
      </c>
      <c r="H1984" s="13" t="s">
        <v>41</v>
      </c>
      <c r="I1984" s="13" t="n">
        <v>4</v>
      </c>
      <c r="J1984" s="13" t="n">
        <v>0</v>
      </c>
      <c r="K1984" s="13" t="s">
        <v>85</v>
      </c>
      <c r="L1984" s="13" t="n">
        <v>5</v>
      </c>
      <c r="M1984" s="13" t="n">
        <v>1625480.88</v>
      </c>
      <c r="N1984" s="13" t="n">
        <v>325096.176</v>
      </c>
      <c r="O1984" s="13" t="n">
        <v>1112.538</v>
      </c>
      <c r="P1984" s="13" t="n">
        <v>0</v>
      </c>
      <c r="Q1984" s="13" t="n">
        <v>5</v>
      </c>
      <c r="R1984" s="13" t="s">
        <v>128</v>
      </c>
      <c r="S1984" s="13" t="s">
        <v>152</v>
      </c>
      <c r="T1984" s="13" t="n">
        <v>1</v>
      </c>
      <c r="U1984" s="13" t="n">
        <f aca="false">IF(B1984="Individual",1,0)</f>
        <v>1</v>
      </c>
      <c r="V1984" s="13" t="n">
        <f aca="false">IF(B1984="Company",1,0)</f>
        <v>0</v>
      </c>
      <c r="W1984" s="13" t="n">
        <f aca="false">IF(H1984="Home",1,0)</f>
        <v>1</v>
      </c>
      <c r="X1984" s="13" t="n">
        <f aca="false">IF(H1984="Investment",1,0)</f>
        <v>0</v>
      </c>
      <c r="Y1984" s="13" t="n">
        <f aca="false">IF(K1984="Website",1,0)</f>
        <v>1</v>
      </c>
      <c r="Z1984" s="13" t="n">
        <f aca="false">IF(K1984="Agency",1,0)</f>
        <v>0</v>
      </c>
      <c r="AA1984" s="13" t="n">
        <f aca="false">IF(K1984="Client",1,0)</f>
        <v>0</v>
      </c>
      <c r="AB1984" s="13" t="n">
        <f aca="false">(D1984-AVERAGE(D$2:D$2001))/STDEV(D$2:D$2001)</f>
        <v>1.60664899726636</v>
      </c>
      <c r="AC1984" s="13" t="n">
        <f aca="false">(I1984-AVERAGE(I$2:I$2001))/STDEV(I$2:I$2001)</f>
        <v>0.686917069130275</v>
      </c>
      <c r="AD1984" s="13" t="n">
        <f aca="false">(L1984-AVERAGE(L$2:L$2001))/STDEV(L$2:L$2001)</f>
        <v>1.60473955115463</v>
      </c>
      <c r="AE1984" s="13" t="n">
        <f aca="false">(M1984-AVERAGE(M$2:M$2001))/STDEV(M$2:M$2001)</f>
        <v>1.04966420876406</v>
      </c>
      <c r="AF1984" s="13" t="n">
        <f aca="false">(N1984-AVERAGE(N$2:N$2001))/STDEV(N$2:N$2001)</f>
        <v>-0.315450447175737</v>
      </c>
      <c r="AG1984" s="13" t="n">
        <f aca="false">(O1984-AVERAGE(O$2:O$2001))/STDEV(O$2:O$2001)</f>
        <v>-0.158881670488312</v>
      </c>
      <c r="AH1984" s="0" t="str">
        <f aca="false">IF(B1984="Company","C3 - Corporate Buyers",IF(AND(H1984="Investment",M1984&gt;'Segmentation Summary'!$C$1),"C1 - Global Investors",IF(AND(I1984&gt;=4,M1984&gt;'Segmentation Summary'!$C$1),"C4 - Luxury Investors",IF(AND(D1984&lt;'Segmentation Summary'!$C$2,J1984=1),"C2 - First-Time Buyers","C5 - Other Individual Buyers"))))</f>
        <v>C4 - Luxury Investors</v>
      </c>
    </row>
    <row r="1985" customFormat="false" ht="15" hidden="false" customHeight="true" outlineLevel="0" collapsed="false">
      <c r="A1985" s="13" t="s">
        <v>3943</v>
      </c>
      <c r="B1985" s="13" t="s">
        <v>34</v>
      </c>
      <c r="C1985" s="13" t="s">
        <v>3944</v>
      </c>
      <c r="D1985" s="13" t="n">
        <v>67</v>
      </c>
      <c r="E1985" s="13" t="s">
        <v>83</v>
      </c>
      <c r="F1985" s="13" t="s">
        <v>33</v>
      </c>
      <c r="G1985" s="13" t="s">
        <v>95</v>
      </c>
      <c r="H1985" s="13" t="s">
        <v>41</v>
      </c>
      <c r="I1985" s="13" t="n">
        <v>3</v>
      </c>
      <c r="J1985" s="13" t="n">
        <v>1</v>
      </c>
      <c r="K1985" s="13" t="s">
        <v>85</v>
      </c>
      <c r="L1985" s="13" t="n">
        <v>5</v>
      </c>
      <c r="M1985" s="13" t="n">
        <v>1514131.06</v>
      </c>
      <c r="N1985" s="13" t="n">
        <v>302826.212</v>
      </c>
      <c r="O1985" s="13" t="n">
        <v>989.59</v>
      </c>
      <c r="P1985" s="13" t="n">
        <v>0</v>
      </c>
      <c r="Q1985" s="13" t="n">
        <v>5</v>
      </c>
      <c r="R1985" s="13" t="s">
        <v>92</v>
      </c>
      <c r="S1985" s="13" t="s">
        <v>125</v>
      </c>
      <c r="T1985" s="13" t="n">
        <v>1</v>
      </c>
      <c r="U1985" s="13" t="n">
        <f aca="false">IF(B1985="Individual",1,0)</f>
        <v>1</v>
      </c>
      <c r="V1985" s="13" t="n">
        <f aca="false">IF(B1985="Company",1,0)</f>
        <v>0</v>
      </c>
      <c r="W1985" s="13" t="n">
        <f aca="false">IF(H1985="Home",1,0)</f>
        <v>1</v>
      </c>
      <c r="X1985" s="13" t="n">
        <f aca="false">IF(H1985="Investment",1,0)</f>
        <v>0</v>
      </c>
      <c r="Y1985" s="13" t="n">
        <f aca="false">IF(K1985="Website",1,0)</f>
        <v>1</v>
      </c>
      <c r="Z1985" s="13" t="n">
        <f aca="false">IF(K1985="Agency",1,0)</f>
        <v>0</v>
      </c>
      <c r="AA1985" s="13" t="n">
        <f aca="false">IF(K1985="Client",1,0)</f>
        <v>0</v>
      </c>
      <c r="AB1985" s="13" t="n">
        <f aca="false">(D1985-AVERAGE(D$2:D$2001))/STDEV(D$2:D$2001)</f>
        <v>0.741712164944089</v>
      </c>
      <c r="AC1985" s="13" t="n">
        <f aca="false">(I1985-AVERAGE(I$2:I$2001))/STDEV(I$2:I$2001)</f>
        <v>-0.0205155458339628</v>
      </c>
      <c r="AD1985" s="13" t="n">
        <f aca="false">(L1985-AVERAGE(L$2:L$2001))/STDEV(L$2:L$2001)</f>
        <v>1.60473955115463</v>
      </c>
      <c r="AE1985" s="13" t="n">
        <f aca="false">(M1985-AVERAGE(M$2:M$2001))/STDEV(M$2:M$2001)</f>
        <v>0.729537689570497</v>
      </c>
      <c r="AF1985" s="13" t="n">
        <f aca="false">(N1985-AVERAGE(N$2:N$2001))/STDEV(N$2:N$2001)</f>
        <v>-0.634862123758344</v>
      </c>
      <c r="AG1985" s="13" t="n">
        <f aca="false">(O1985-AVERAGE(O$2:O$2001))/STDEV(O$2:O$2001)</f>
        <v>-0.717932933478318</v>
      </c>
      <c r="AH1985" s="0" t="str">
        <f aca="false">IF(B1985="Company","C3 - Corporate Buyers",IF(AND(H1985="Investment",M1985&gt;'Segmentation Summary'!$C$1),"C1 - Global Investors",IF(AND(I1985&gt;=4,M1985&gt;'Segmentation Summary'!$C$1),"C4 - Luxury Investors",IF(AND(D1985&lt;'Segmentation Summary'!$C$2,J1985=1),"C2 - First-Time Buyers","C5 - Other Individual Buyers"))))</f>
        <v>C5 - Other Individual Buyers</v>
      </c>
    </row>
    <row r="1986" customFormat="false" ht="15" hidden="false" customHeight="true" outlineLevel="0" collapsed="false">
      <c r="A1986" s="13" t="s">
        <v>3945</v>
      </c>
      <c r="B1986" s="13" t="s">
        <v>34</v>
      </c>
      <c r="C1986" s="13" t="s">
        <v>3946</v>
      </c>
      <c r="D1986" s="13" t="n">
        <v>83</v>
      </c>
      <c r="E1986" s="13" t="s">
        <v>83</v>
      </c>
      <c r="F1986" s="13" t="s">
        <v>33</v>
      </c>
      <c r="G1986" s="13" t="s">
        <v>84</v>
      </c>
      <c r="H1986" s="13" t="s">
        <v>41</v>
      </c>
      <c r="I1986" s="13" t="n">
        <v>3</v>
      </c>
      <c r="J1986" s="13" t="n">
        <v>1</v>
      </c>
      <c r="K1986" s="13" t="s">
        <v>85</v>
      </c>
      <c r="L1986" s="13" t="n">
        <v>4</v>
      </c>
      <c r="M1986" s="13" t="n">
        <v>1105668.66</v>
      </c>
      <c r="N1986" s="13" t="n">
        <v>276417.165</v>
      </c>
      <c r="O1986" s="13" t="n">
        <v>962.32</v>
      </c>
      <c r="P1986" s="13" t="n">
        <v>0</v>
      </c>
      <c r="Q1986" s="13" t="n">
        <v>4</v>
      </c>
      <c r="R1986" s="13" t="s">
        <v>86</v>
      </c>
      <c r="S1986" s="13" t="s">
        <v>135</v>
      </c>
      <c r="T1986" s="13" t="n">
        <v>1</v>
      </c>
      <c r="U1986" s="13" t="n">
        <f aca="false">IF(B1986="Individual",1,0)</f>
        <v>1</v>
      </c>
      <c r="V1986" s="13" t="n">
        <f aca="false">IF(B1986="Company",1,0)</f>
        <v>0</v>
      </c>
      <c r="W1986" s="13" t="n">
        <f aca="false">IF(H1986="Home",1,0)</f>
        <v>1</v>
      </c>
      <c r="X1986" s="13" t="n">
        <f aca="false">IF(H1986="Investment",1,0)</f>
        <v>0</v>
      </c>
      <c r="Y1986" s="13" t="n">
        <f aca="false">IF(K1986="Website",1,0)</f>
        <v>1</v>
      </c>
      <c r="Z1986" s="13" t="n">
        <f aca="false">IF(K1986="Agency",1,0)</f>
        <v>0</v>
      </c>
      <c r="AA1986" s="13" t="n">
        <f aca="false">IF(K1986="Client",1,0)</f>
        <v>0</v>
      </c>
      <c r="AB1986" s="13" t="n">
        <f aca="false">(D1986-AVERAGE(D$2:D$2001))/STDEV(D$2:D$2001)</f>
        <v>1.66431145275451</v>
      </c>
      <c r="AC1986" s="13" t="n">
        <f aca="false">(I1986-AVERAGE(I$2:I$2001))/STDEV(I$2:I$2001)</f>
        <v>-0.0205155458339628</v>
      </c>
      <c r="AD1986" s="13" t="n">
        <f aca="false">(L1986-AVERAGE(L$2:L$2001))/STDEV(L$2:L$2001)</f>
        <v>0.413838214490712</v>
      </c>
      <c r="AE1986" s="13" t="n">
        <f aca="false">(M1986-AVERAGE(M$2:M$2001))/STDEV(M$2:M$2001)</f>
        <v>-0.444776254838655</v>
      </c>
      <c r="AF1986" s="13" t="n">
        <f aca="false">(N1986-AVERAGE(N$2:N$2001))/STDEV(N$2:N$2001)</f>
        <v>-1.01363947513704</v>
      </c>
      <c r="AG1986" s="13" t="n">
        <f aca="false">(O1986-AVERAGE(O$2:O$2001))/STDEV(O$2:O$2001)</f>
        <v>-0.841931111095989</v>
      </c>
      <c r="AH1986" s="0" t="str">
        <f aca="false">IF(B1986="Company","C3 - Corporate Buyers",IF(AND(H1986="Investment",M1986&gt;'Segmentation Summary'!$C$1),"C1 - Global Investors",IF(AND(I1986&gt;=4,M1986&gt;'Segmentation Summary'!$C$1),"C4 - Luxury Investors",IF(AND(D1986&lt;'Segmentation Summary'!$C$2,J1986=1),"C2 - First-Time Buyers","C5 - Other Individual Buyers"))))</f>
        <v>C5 - Other Individual Buyers</v>
      </c>
    </row>
    <row r="1987" customFormat="false" ht="15" hidden="false" customHeight="true" outlineLevel="0" collapsed="false">
      <c r="A1987" s="13" t="s">
        <v>3947</v>
      </c>
      <c r="B1987" s="13" t="s">
        <v>34</v>
      </c>
      <c r="C1987" s="13" t="s">
        <v>3948</v>
      </c>
      <c r="D1987" s="13" t="n">
        <v>49</v>
      </c>
      <c r="E1987" s="13" t="s">
        <v>83</v>
      </c>
      <c r="F1987" s="13" t="s">
        <v>38</v>
      </c>
      <c r="G1987" s="13" t="s">
        <v>475</v>
      </c>
      <c r="H1987" s="13" t="s">
        <v>43</v>
      </c>
      <c r="I1987" s="13" t="n">
        <v>5</v>
      </c>
      <c r="J1987" s="13" t="n">
        <v>1</v>
      </c>
      <c r="K1987" s="13" t="s">
        <v>85</v>
      </c>
      <c r="L1987" s="13" t="n">
        <v>4</v>
      </c>
      <c r="M1987" s="13" t="n">
        <v>1495763.37</v>
      </c>
      <c r="N1987" s="13" t="n">
        <v>373940.8425</v>
      </c>
      <c r="O1987" s="13" t="n">
        <v>1203.905</v>
      </c>
      <c r="P1987" s="13" t="n">
        <v>0</v>
      </c>
      <c r="Q1987" s="13" t="n">
        <v>4</v>
      </c>
      <c r="R1987" s="13" t="s">
        <v>86</v>
      </c>
      <c r="S1987" s="13" t="s">
        <v>87</v>
      </c>
      <c r="T1987" s="13" t="n">
        <v>1</v>
      </c>
      <c r="U1987" s="13" t="n">
        <f aca="false">IF(B1987="Individual",1,0)</f>
        <v>1</v>
      </c>
      <c r="V1987" s="13" t="n">
        <f aca="false">IF(B1987="Company",1,0)</f>
        <v>0</v>
      </c>
      <c r="W1987" s="13" t="n">
        <f aca="false">IF(H1987="Home",1,0)</f>
        <v>0</v>
      </c>
      <c r="X1987" s="13" t="n">
        <f aca="false">IF(H1987="Investment",1,0)</f>
        <v>1</v>
      </c>
      <c r="Y1987" s="13" t="n">
        <f aca="false">IF(K1987="Website",1,0)</f>
        <v>1</v>
      </c>
      <c r="Z1987" s="13" t="n">
        <f aca="false">IF(K1987="Agency",1,0)</f>
        <v>0</v>
      </c>
      <c r="AA1987" s="13" t="n">
        <f aca="false">IF(K1987="Client",1,0)</f>
        <v>0</v>
      </c>
      <c r="AB1987" s="13" t="n">
        <f aca="false">(D1987-AVERAGE(D$2:D$2001))/STDEV(D$2:D$2001)</f>
        <v>-0.296212033842633</v>
      </c>
      <c r="AC1987" s="13" t="n">
        <f aca="false">(I1987-AVERAGE(I$2:I$2001))/STDEV(I$2:I$2001)</f>
        <v>1.39434968409451</v>
      </c>
      <c r="AD1987" s="13" t="n">
        <f aca="false">(L1987-AVERAGE(L$2:L$2001))/STDEV(L$2:L$2001)</f>
        <v>0.413838214490712</v>
      </c>
      <c r="AE1987" s="13" t="n">
        <f aca="false">(M1987-AVERAGE(M$2:M$2001))/STDEV(M$2:M$2001)</f>
        <v>0.67673127582572</v>
      </c>
      <c r="AF1987" s="13" t="n">
        <f aca="false">(N1987-AVERAGE(N$2:N$2001))/STDEV(N$2:N$2001)</f>
        <v>0.385114529888587</v>
      </c>
      <c r="AG1987" s="13" t="n">
        <f aca="false">(O1987-AVERAGE(O$2:O$2001))/STDEV(O$2:O$2001)</f>
        <v>0.256569062712779</v>
      </c>
      <c r="AH1987" s="0" t="str">
        <f aca="false">IF(B1987="Company","C3 - Corporate Buyers",IF(AND(H1987="Investment",M1987&gt;'Segmentation Summary'!$C$1),"C1 - Global Investors",IF(AND(I1987&gt;=4,M1987&gt;'Segmentation Summary'!$C$1),"C4 - Luxury Investors",IF(AND(D1987&lt;'Segmentation Summary'!$C$2,J1987=1),"C2 - First-Time Buyers","C5 - Other Individual Buyers"))))</f>
        <v>C1 - Global Investors</v>
      </c>
    </row>
    <row r="1988" customFormat="false" ht="15" hidden="false" customHeight="true" outlineLevel="0" collapsed="false">
      <c r="A1988" s="13" t="s">
        <v>3949</v>
      </c>
      <c r="B1988" s="13" t="s">
        <v>34</v>
      </c>
      <c r="C1988" s="13" t="s">
        <v>3948</v>
      </c>
      <c r="D1988" s="13" t="n">
        <v>29</v>
      </c>
      <c r="E1988" s="13" t="s">
        <v>83</v>
      </c>
      <c r="F1988" s="13" t="s">
        <v>33</v>
      </c>
      <c r="G1988" s="13" t="s">
        <v>95</v>
      </c>
      <c r="H1988" s="13" t="s">
        <v>41</v>
      </c>
      <c r="I1988" s="13" t="n">
        <v>4</v>
      </c>
      <c r="J1988" s="13" t="n">
        <v>0</v>
      </c>
      <c r="K1988" s="13" t="s">
        <v>91</v>
      </c>
      <c r="L1988" s="13" t="n">
        <v>3</v>
      </c>
      <c r="M1988" s="13" t="n">
        <v>961894.92</v>
      </c>
      <c r="N1988" s="13" t="n">
        <v>320631.64</v>
      </c>
      <c r="O1988" s="13" t="n">
        <v>975.943333333333</v>
      </c>
      <c r="P1988" s="13" t="n">
        <v>1</v>
      </c>
      <c r="Q1988" s="13" t="n">
        <v>2</v>
      </c>
      <c r="R1988" s="13" t="s">
        <v>124</v>
      </c>
      <c r="S1988" s="13" t="s">
        <v>112</v>
      </c>
      <c r="T1988" s="13" t="n">
        <v>1</v>
      </c>
      <c r="U1988" s="13" t="n">
        <f aca="false">IF(B1988="Individual",1,0)</f>
        <v>1</v>
      </c>
      <c r="V1988" s="13" t="n">
        <f aca="false">IF(B1988="Company",1,0)</f>
        <v>0</v>
      </c>
      <c r="W1988" s="13" t="n">
        <f aca="false">IF(H1988="Home",1,0)</f>
        <v>1</v>
      </c>
      <c r="X1988" s="13" t="n">
        <f aca="false">IF(H1988="Investment",1,0)</f>
        <v>0</v>
      </c>
      <c r="Y1988" s="13" t="n">
        <f aca="false">IF(K1988="Website",1,0)</f>
        <v>0</v>
      </c>
      <c r="Z1988" s="13" t="n">
        <f aca="false">IF(K1988="Agency",1,0)</f>
        <v>1</v>
      </c>
      <c r="AA1988" s="13" t="n">
        <f aca="false">IF(K1988="Client",1,0)</f>
        <v>0</v>
      </c>
      <c r="AB1988" s="13" t="n">
        <f aca="false">(D1988-AVERAGE(D$2:D$2001))/STDEV(D$2:D$2001)</f>
        <v>-1.44946114360566</v>
      </c>
      <c r="AC1988" s="13" t="n">
        <f aca="false">(I1988-AVERAGE(I$2:I$2001))/STDEV(I$2:I$2001)</f>
        <v>0.686917069130275</v>
      </c>
      <c r="AD1988" s="13" t="n">
        <f aca="false">(L1988-AVERAGE(L$2:L$2001))/STDEV(L$2:L$2001)</f>
        <v>-0.777063122173208</v>
      </c>
      <c r="AE1988" s="13" t="n">
        <f aca="false">(M1988-AVERAGE(M$2:M$2001))/STDEV(M$2:M$2001)</f>
        <v>-0.858120317160807</v>
      </c>
      <c r="AF1988" s="13" t="n">
        <f aca="false">(N1988-AVERAGE(N$2:N$2001))/STDEV(N$2:N$2001)</f>
        <v>-0.379484000571845</v>
      </c>
      <c r="AG1988" s="13" t="n">
        <f aca="false">(O1988-AVERAGE(O$2:O$2001))/STDEV(O$2:O$2001)</f>
        <v>-0.779985071256922</v>
      </c>
      <c r="AH1988" s="0" t="str">
        <f aca="false">IF(B1988="Company","C3 - Corporate Buyers",IF(AND(H1988="Investment",M1988&gt;'Segmentation Summary'!$C$1),"C1 - Global Investors",IF(AND(I1988&gt;=4,M1988&gt;'Segmentation Summary'!$C$1),"C4 - Luxury Investors",IF(AND(D1988&lt;'Segmentation Summary'!$C$2,J1988=1),"C2 - First-Time Buyers","C5 - Other Individual Buyers"))))</f>
        <v>C5 - Other Individual Buyers</v>
      </c>
    </row>
    <row r="1989" customFormat="false" ht="15" hidden="false" customHeight="true" outlineLevel="0" collapsed="false">
      <c r="A1989" s="13" t="s">
        <v>3950</v>
      </c>
      <c r="B1989" s="13" t="s">
        <v>34</v>
      </c>
      <c r="C1989" s="13" t="s">
        <v>3951</v>
      </c>
      <c r="D1989" s="13" t="n">
        <v>59</v>
      </c>
      <c r="E1989" s="13" t="s">
        <v>83</v>
      </c>
      <c r="F1989" s="13" t="s">
        <v>33</v>
      </c>
      <c r="G1989" s="13" t="s">
        <v>106</v>
      </c>
      <c r="H1989" s="13" t="s">
        <v>41</v>
      </c>
      <c r="I1989" s="13" t="n">
        <v>1</v>
      </c>
      <c r="J1989" s="13" t="n">
        <v>1</v>
      </c>
      <c r="K1989" s="13" t="s">
        <v>91</v>
      </c>
      <c r="L1989" s="13" t="n">
        <v>3</v>
      </c>
      <c r="M1989" s="13" t="n">
        <v>917562.71</v>
      </c>
      <c r="N1989" s="13" t="n">
        <v>305854.236666667</v>
      </c>
      <c r="O1989" s="13" t="n">
        <v>1033.48333333333</v>
      </c>
      <c r="P1989" s="13" t="n">
        <v>1</v>
      </c>
      <c r="Q1989" s="13" t="n">
        <v>2</v>
      </c>
      <c r="R1989" s="13" t="s">
        <v>107</v>
      </c>
      <c r="S1989" s="13" t="s">
        <v>87</v>
      </c>
      <c r="T1989" s="13" t="n">
        <v>1</v>
      </c>
      <c r="U1989" s="13" t="n">
        <f aca="false">IF(B1989="Individual",1,0)</f>
        <v>1</v>
      </c>
      <c r="V1989" s="13" t="n">
        <f aca="false">IF(B1989="Company",1,0)</f>
        <v>0</v>
      </c>
      <c r="W1989" s="13" t="n">
        <f aca="false">IF(H1989="Home",1,0)</f>
        <v>1</v>
      </c>
      <c r="X1989" s="13" t="n">
        <f aca="false">IF(H1989="Investment",1,0)</f>
        <v>0</v>
      </c>
      <c r="Y1989" s="13" t="n">
        <f aca="false">IF(K1989="Website",1,0)</f>
        <v>0</v>
      </c>
      <c r="Z1989" s="13" t="n">
        <f aca="false">IF(K1989="Agency",1,0)</f>
        <v>1</v>
      </c>
      <c r="AA1989" s="13" t="n">
        <f aca="false">IF(K1989="Client",1,0)</f>
        <v>0</v>
      </c>
      <c r="AB1989" s="13" t="n">
        <f aca="false">(D1989-AVERAGE(D$2:D$2001))/STDEV(D$2:D$2001)</f>
        <v>0.280412521038879</v>
      </c>
      <c r="AC1989" s="13" t="n">
        <f aca="false">(I1989-AVERAGE(I$2:I$2001))/STDEV(I$2:I$2001)</f>
        <v>-1.43538077576244</v>
      </c>
      <c r="AD1989" s="13" t="n">
        <f aca="false">(L1989-AVERAGE(L$2:L$2001))/STDEV(L$2:L$2001)</f>
        <v>-0.777063122173208</v>
      </c>
      <c r="AE1989" s="13" t="n">
        <f aca="false">(M1989-AVERAGE(M$2:M$2001))/STDEV(M$2:M$2001)</f>
        <v>-0.985573743447963</v>
      </c>
      <c r="AF1989" s="13" t="n">
        <f aca="false">(N1989-AVERAGE(N$2:N$2001))/STDEV(N$2:N$2001)</f>
        <v>-0.591432038486828</v>
      </c>
      <c r="AG1989" s="13" t="n">
        <f aca="false">(O1989-AVERAGE(O$2:O$2001))/STDEV(O$2:O$2001)</f>
        <v>-0.518347552367284</v>
      </c>
      <c r="AH1989" s="0" t="str">
        <f aca="false">IF(B1989="Company","C3 - Corporate Buyers",IF(AND(H1989="Investment",M1989&gt;'Segmentation Summary'!$C$1),"C1 - Global Investors",IF(AND(I1989&gt;=4,M1989&gt;'Segmentation Summary'!$C$1),"C4 - Luxury Investors",IF(AND(D1989&lt;'Segmentation Summary'!$C$2,J1989=1),"C2 - First-Time Buyers","C5 - Other Individual Buyers"))))</f>
        <v>C5 - Other Individual Buyers</v>
      </c>
    </row>
    <row r="1990" customFormat="false" ht="15" hidden="false" customHeight="true" outlineLevel="0" collapsed="false">
      <c r="A1990" s="13" t="s">
        <v>3952</v>
      </c>
      <c r="B1990" s="13" t="s">
        <v>34</v>
      </c>
      <c r="C1990" s="13" t="s">
        <v>3953</v>
      </c>
      <c r="D1990" s="13" t="n">
        <v>35</v>
      </c>
      <c r="E1990" s="13" t="s">
        <v>83</v>
      </c>
      <c r="F1990" s="13" t="s">
        <v>33</v>
      </c>
      <c r="G1990" s="13" t="s">
        <v>95</v>
      </c>
      <c r="H1990" s="13" t="s">
        <v>41</v>
      </c>
      <c r="I1990" s="13" t="n">
        <v>3</v>
      </c>
      <c r="J1990" s="13" t="n">
        <v>0</v>
      </c>
      <c r="K1990" s="13" t="s">
        <v>85</v>
      </c>
      <c r="L1990" s="13" t="n">
        <v>3</v>
      </c>
      <c r="M1990" s="13" t="n">
        <v>1116876.81</v>
      </c>
      <c r="N1990" s="13" t="n">
        <v>372292.27</v>
      </c>
      <c r="O1990" s="13" t="n">
        <v>1155.69666666667</v>
      </c>
      <c r="P1990" s="13" t="n">
        <v>0</v>
      </c>
      <c r="Q1990" s="13" t="n">
        <v>3</v>
      </c>
      <c r="R1990" s="13" t="s">
        <v>92</v>
      </c>
      <c r="S1990" s="13" t="s">
        <v>133</v>
      </c>
      <c r="T1990" s="13" t="n">
        <v>1</v>
      </c>
      <c r="U1990" s="13" t="n">
        <f aca="false">IF(B1990="Individual",1,0)</f>
        <v>1</v>
      </c>
      <c r="V1990" s="13" t="n">
        <f aca="false">IF(B1990="Company",1,0)</f>
        <v>0</v>
      </c>
      <c r="W1990" s="13" t="n">
        <f aca="false">IF(H1990="Home",1,0)</f>
        <v>1</v>
      </c>
      <c r="X1990" s="13" t="n">
        <f aca="false">IF(H1990="Investment",1,0)</f>
        <v>0</v>
      </c>
      <c r="Y1990" s="13" t="n">
        <f aca="false">IF(K1990="Website",1,0)</f>
        <v>1</v>
      </c>
      <c r="Z1990" s="13" t="n">
        <f aca="false">IF(K1990="Agency",1,0)</f>
        <v>0</v>
      </c>
      <c r="AA1990" s="13" t="n">
        <f aca="false">IF(K1990="Client",1,0)</f>
        <v>0</v>
      </c>
      <c r="AB1990" s="13" t="n">
        <f aca="false">(D1990-AVERAGE(D$2:D$2001))/STDEV(D$2:D$2001)</f>
        <v>-1.10348641067675</v>
      </c>
      <c r="AC1990" s="13" t="n">
        <f aca="false">(I1990-AVERAGE(I$2:I$2001))/STDEV(I$2:I$2001)</f>
        <v>-0.0205155458339628</v>
      </c>
      <c r="AD1990" s="13" t="n">
        <f aca="false">(L1990-AVERAGE(L$2:L$2001))/STDEV(L$2:L$2001)</f>
        <v>-0.777063122173208</v>
      </c>
      <c r="AE1990" s="13" t="n">
        <f aca="false">(M1990-AVERAGE(M$2:M$2001))/STDEV(M$2:M$2001)</f>
        <v>-0.412553247687864</v>
      </c>
      <c r="AF1990" s="13" t="n">
        <f aca="false">(N1990-AVERAGE(N$2:N$2001))/STDEV(N$2:N$2001)</f>
        <v>0.361469529555718</v>
      </c>
      <c r="AG1990" s="13" t="n">
        <f aca="false">(O1990-AVERAGE(O$2:O$2001))/STDEV(O$2:O$2001)</f>
        <v>0.0373631412122963</v>
      </c>
      <c r="AH1990" s="0" t="str">
        <f aca="false">IF(B1990="Company","C3 - Corporate Buyers",IF(AND(H1990="Investment",M1990&gt;'Segmentation Summary'!$C$1),"C1 - Global Investors",IF(AND(I1990&gt;=4,M1990&gt;'Segmentation Summary'!$C$1),"C4 - Luxury Investors",IF(AND(D1990&lt;'Segmentation Summary'!$C$2,J1990=1),"C2 - First-Time Buyers","C5 - Other Individual Buyers"))))</f>
        <v>C5 - Other Individual Buyers</v>
      </c>
    </row>
    <row r="1991" customFormat="false" ht="15" hidden="false" customHeight="true" outlineLevel="0" collapsed="false">
      <c r="A1991" s="13" t="s">
        <v>3954</v>
      </c>
      <c r="B1991" s="13" t="s">
        <v>34</v>
      </c>
      <c r="C1991" s="13" t="s">
        <v>3955</v>
      </c>
      <c r="D1991" s="13" t="n">
        <v>57</v>
      </c>
      <c r="E1991" s="13" t="s">
        <v>83</v>
      </c>
      <c r="F1991" s="13" t="s">
        <v>33</v>
      </c>
      <c r="G1991" s="13" t="s">
        <v>265</v>
      </c>
      <c r="H1991" s="13" t="s">
        <v>43</v>
      </c>
      <c r="I1991" s="13" t="n">
        <v>2</v>
      </c>
      <c r="J1991" s="13" t="n">
        <v>0</v>
      </c>
      <c r="K1991" s="13" t="s">
        <v>91</v>
      </c>
      <c r="L1991" s="13" t="n">
        <v>3</v>
      </c>
      <c r="M1991" s="13" t="n">
        <v>903765.87</v>
      </c>
      <c r="N1991" s="13" t="n">
        <v>301255.29</v>
      </c>
      <c r="O1991" s="13" t="n">
        <v>945.65</v>
      </c>
      <c r="P1991" s="13" t="n">
        <v>1</v>
      </c>
      <c r="Q1991" s="13" t="n">
        <v>2</v>
      </c>
      <c r="R1991" s="13" t="s">
        <v>92</v>
      </c>
      <c r="S1991" s="13" t="s">
        <v>164</v>
      </c>
      <c r="T1991" s="13" t="n">
        <v>1</v>
      </c>
      <c r="U1991" s="13" t="n">
        <f aca="false">IF(B1991="Individual",1,0)</f>
        <v>1</v>
      </c>
      <c r="V1991" s="13" t="n">
        <f aca="false">IF(B1991="Company",1,0)</f>
        <v>0</v>
      </c>
      <c r="W1991" s="13" t="n">
        <f aca="false">IF(H1991="Home",1,0)</f>
        <v>0</v>
      </c>
      <c r="X1991" s="13" t="n">
        <f aca="false">IF(H1991="Investment",1,0)</f>
        <v>1</v>
      </c>
      <c r="Y1991" s="13" t="n">
        <f aca="false">IF(K1991="Website",1,0)</f>
        <v>0</v>
      </c>
      <c r="Z1991" s="13" t="n">
        <f aca="false">IF(K1991="Agency",1,0)</f>
        <v>1</v>
      </c>
      <c r="AA1991" s="13" t="n">
        <f aca="false">IF(K1991="Client",1,0)</f>
        <v>0</v>
      </c>
      <c r="AB1991" s="13" t="n">
        <f aca="false">(D1991-AVERAGE(D$2:D$2001))/STDEV(D$2:D$2001)</f>
        <v>0.165087610062577</v>
      </c>
      <c r="AC1991" s="13" t="n">
        <f aca="false">(I1991-AVERAGE(I$2:I$2001))/STDEV(I$2:I$2001)</f>
        <v>-0.727948160798201</v>
      </c>
      <c r="AD1991" s="13" t="n">
        <f aca="false">(L1991-AVERAGE(L$2:L$2001))/STDEV(L$2:L$2001)</f>
        <v>-0.777063122173208</v>
      </c>
      <c r="AE1991" s="13" t="n">
        <f aca="false">(M1991-AVERAGE(M$2:M$2001))/STDEV(M$2:M$2001)</f>
        <v>-1.02523913639669</v>
      </c>
      <c r="AF1991" s="13" t="n">
        <f aca="false">(N1991-AVERAGE(N$2:N$2001))/STDEV(N$2:N$2001)</f>
        <v>-0.657393405344633</v>
      </c>
      <c r="AG1991" s="13" t="n">
        <f aca="false">(O1991-AVERAGE(O$2:O$2001))/STDEV(O$2:O$2001)</f>
        <v>-0.917730510468435</v>
      </c>
      <c r="AH1991" s="0" t="str">
        <f aca="false">IF(B1991="Company","C3 - Corporate Buyers",IF(AND(H1991="Investment",M1991&gt;'Segmentation Summary'!$C$1),"C1 - Global Investors",IF(AND(I1991&gt;=4,M1991&gt;'Segmentation Summary'!$C$1),"C4 - Luxury Investors",IF(AND(D1991&lt;'Segmentation Summary'!$C$2,J1991=1),"C2 - First-Time Buyers","C5 - Other Individual Buyers"))))</f>
        <v>C5 - Other Individual Buyers</v>
      </c>
    </row>
    <row r="1992" customFormat="false" ht="15" hidden="false" customHeight="true" outlineLevel="0" collapsed="false">
      <c r="A1992" s="13" t="s">
        <v>3956</v>
      </c>
      <c r="B1992" s="13" t="s">
        <v>34</v>
      </c>
      <c r="C1992" s="13" t="s">
        <v>3957</v>
      </c>
      <c r="D1992" s="13" t="n">
        <v>65</v>
      </c>
      <c r="E1992" s="13" t="s">
        <v>83</v>
      </c>
      <c r="F1992" s="13" t="s">
        <v>37</v>
      </c>
      <c r="G1992" s="13" t="s">
        <v>169</v>
      </c>
      <c r="H1992" s="13" t="s">
        <v>41</v>
      </c>
      <c r="I1992" s="13" t="n">
        <v>5</v>
      </c>
      <c r="J1992" s="13" t="n">
        <v>1</v>
      </c>
      <c r="K1992" s="13" t="s">
        <v>85</v>
      </c>
      <c r="L1992" s="13" t="n">
        <v>3</v>
      </c>
      <c r="M1992" s="13" t="n">
        <v>844956.55</v>
      </c>
      <c r="N1992" s="13" t="n">
        <v>281652.183333333</v>
      </c>
      <c r="O1992" s="13" t="n">
        <v>877.963333333333</v>
      </c>
      <c r="P1992" s="13" t="n">
        <v>0</v>
      </c>
      <c r="Q1992" s="13" t="n">
        <v>3</v>
      </c>
      <c r="R1992" s="13" t="s">
        <v>111</v>
      </c>
      <c r="S1992" s="13" t="s">
        <v>133</v>
      </c>
      <c r="T1992" s="13" t="n">
        <v>1</v>
      </c>
      <c r="U1992" s="13" t="n">
        <f aca="false">IF(B1992="Individual",1,0)</f>
        <v>1</v>
      </c>
      <c r="V1992" s="13" t="n">
        <f aca="false">IF(B1992="Company",1,0)</f>
        <v>0</v>
      </c>
      <c r="W1992" s="13" t="n">
        <f aca="false">IF(H1992="Home",1,0)</f>
        <v>1</v>
      </c>
      <c r="X1992" s="13" t="n">
        <f aca="false">IF(H1992="Investment",1,0)</f>
        <v>0</v>
      </c>
      <c r="Y1992" s="13" t="n">
        <f aca="false">IF(K1992="Website",1,0)</f>
        <v>1</v>
      </c>
      <c r="Z1992" s="13" t="n">
        <f aca="false">IF(K1992="Agency",1,0)</f>
        <v>0</v>
      </c>
      <c r="AA1992" s="13" t="n">
        <f aca="false">IF(K1992="Client",1,0)</f>
        <v>0</v>
      </c>
      <c r="AB1992" s="13" t="n">
        <f aca="false">(D1992-AVERAGE(D$2:D$2001))/STDEV(D$2:D$2001)</f>
        <v>0.626387253967787</v>
      </c>
      <c r="AC1992" s="13" t="n">
        <f aca="false">(I1992-AVERAGE(I$2:I$2001))/STDEV(I$2:I$2001)</f>
        <v>1.39434968409451</v>
      </c>
      <c r="AD1992" s="13" t="n">
        <f aca="false">(L1992-AVERAGE(L$2:L$2001))/STDEV(L$2:L$2001)</f>
        <v>-0.777063122173208</v>
      </c>
      <c r="AE1992" s="13" t="n">
        <f aca="false">(M1992-AVERAGE(M$2:M$2001))/STDEV(M$2:M$2001)</f>
        <v>-1.19431370614221</v>
      </c>
      <c r="AF1992" s="13" t="n">
        <f aca="false">(N1992-AVERAGE(N$2:N$2001))/STDEV(N$2:N$2001)</f>
        <v>-0.938555115647702</v>
      </c>
      <c r="AG1992" s="13" t="n">
        <f aca="false">(O1992-AVERAGE(O$2:O$2001))/STDEV(O$2:O$2001)</f>
        <v>-1.22550547620666</v>
      </c>
      <c r="AH1992" s="0" t="str">
        <f aca="false">IF(B1992="Company","C3 - Corporate Buyers",IF(AND(H1992="Investment",M1992&gt;'Segmentation Summary'!$C$1),"C1 - Global Investors",IF(AND(I1992&gt;=4,M1992&gt;'Segmentation Summary'!$C$1),"C4 - Luxury Investors",IF(AND(D1992&lt;'Segmentation Summary'!$C$2,J1992=1),"C2 - First-Time Buyers","C5 - Other Individual Buyers"))))</f>
        <v>C5 - Other Individual Buyers</v>
      </c>
    </row>
    <row r="1993" customFormat="false" ht="15" hidden="false" customHeight="true" outlineLevel="0" collapsed="false">
      <c r="A1993" s="13" t="s">
        <v>3958</v>
      </c>
      <c r="B1993" s="13" t="s">
        <v>34</v>
      </c>
      <c r="C1993" s="13" t="s">
        <v>3959</v>
      </c>
      <c r="D1993" s="13" t="n">
        <v>61</v>
      </c>
      <c r="E1993" s="13" t="s">
        <v>83</v>
      </c>
      <c r="F1993" s="13" t="s">
        <v>42</v>
      </c>
      <c r="G1993" s="13" t="s">
        <v>143</v>
      </c>
      <c r="H1993" s="13" t="s">
        <v>43</v>
      </c>
      <c r="I1993" s="13" t="n">
        <v>5</v>
      </c>
      <c r="J1993" s="13" t="n">
        <v>0</v>
      </c>
      <c r="K1993" s="13" t="s">
        <v>91</v>
      </c>
      <c r="L1993" s="13" t="n">
        <v>4</v>
      </c>
      <c r="M1993" s="13" t="n">
        <v>1222274.6</v>
      </c>
      <c r="N1993" s="13" t="n">
        <v>305568.65</v>
      </c>
      <c r="O1993" s="13" t="n">
        <v>948.835</v>
      </c>
      <c r="P1993" s="13" t="n">
        <v>1</v>
      </c>
      <c r="Q1993" s="13" t="n">
        <v>3</v>
      </c>
      <c r="R1993" s="13" t="s">
        <v>92</v>
      </c>
      <c r="S1993" s="13" t="s">
        <v>87</v>
      </c>
      <c r="T1993" s="13" t="n">
        <v>1</v>
      </c>
      <c r="U1993" s="13" t="n">
        <f aca="false">IF(B1993="Individual",1,0)</f>
        <v>1</v>
      </c>
      <c r="V1993" s="13" t="n">
        <f aca="false">IF(B1993="Company",1,0)</f>
        <v>0</v>
      </c>
      <c r="W1993" s="13" t="n">
        <f aca="false">IF(H1993="Home",1,0)</f>
        <v>0</v>
      </c>
      <c r="X1993" s="13" t="n">
        <f aca="false">IF(H1993="Investment",1,0)</f>
        <v>1</v>
      </c>
      <c r="Y1993" s="13" t="n">
        <f aca="false">IF(K1993="Website",1,0)</f>
        <v>0</v>
      </c>
      <c r="Z1993" s="13" t="n">
        <f aca="false">IF(K1993="Agency",1,0)</f>
        <v>1</v>
      </c>
      <c r="AA1993" s="13" t="n">
        <f aca="false">IF(K1993="Client",1,0)</f>
        <v>0</v>
      </c>
      <c r="AB1993" s="13" t="n">
        <f aca="false">(D1993-AVERAGE(D$2:D$2001))/STDEV(D$2:D$2001)</f>
        <v>0.395737432015182</v>
      </c>
      <c r="AC1993" s="13" t="n">
        <f aca="false">(I1993-AVERAGE(I$2:I$2001))/STDEV(I$2:I$2001)</f>
        <v>1.39434968409451</v>
      </c>
      <c r="AD1993" s="13" t="n">
        <f aca="false">(L1993-AVERAGE(L$2:L$2001))/STDEV(L$2:L$2001)</f>
        <v>0.413838214490712</v>
      </c>
      <c r="AE1993" s="13" t="n">
        <f aca="false">(M1993-AVERAGE(M$2:M$2001))/STDEV(M$2:M$2001)</f>
        <v>-0.109538589528612</v>
      </c>
      <c r="AF1993" s="13" t="n">
        <f aca="false">(N1993-AVERAGE(N$2:N$2001))/STDEV(N$2:N$2001)</f>
        <v>-0.595528125755301</v>
      </c>
      <c r="AG1993" s="13" t="n">
        <f aca="false">(O1993-AVERAGE(O$2:O$2001))/STDEV(O$2:O$2001)</f>
        <v>-0.903248141722109</v>
      </c>
      <c r="AH1993" s="0" t="str">
        <f aca="false">IF(B1993="Company","C3 - Corporate Buyers",IF(AND(H1993="Investment",M1993&gt;'Segmentation Summary'!$C$1),"C1 - Global Investors",IF(AND(I1993&gt;=4,M1993&gt;'Segmentation Summary'!$C$1),"C4 - Luxury Investors",IF(AND(D1993&lt;'Segmentation Summary'!$C$2,J1993=1),"C2 - First-Time Buyers","C5 - Other Individual Buyers"))))</f>
        <v>C1 - Global Investors</v>
      </c>
    </row>
    <row r="1994" customFormat="false" ht="15" hidden="false" customHeight="true" outlineLevel="0" collapsed="false">
      <c r="A1994" s="13" t="s">
        <v>3960</v>
      </c>
      <c r="B1994" s="13" t="s">
        <v>34</v>
      </c>
      <c r="C1994" s="13" t="s">
        <v>3961</v>
      </c>
      <c r="D1994" s="13" t="n">
        <v>29</v>
      </c>
      <c r="E1994" s="13" t="s">
        <v>83</v>
      </c>
      <c r="F1994" s="13" t="s">
        <v>33</v>
      </c>
      <c r="G1994" s="13" t="s">
        <v>100</v>
      </c>
      <c r="H1994" s="13" t="s">
        <v>41</v>
      </c>
      <c r="I1994" s="13" t="n">
        <v>5</v>
      </c>
      <c r="J1994" s="13" t="n">
        <v>1</v>
      </c>
      <c r="K1994" s="13" t="s">
        <v>85</v>
      </c>
      <c r="L1994" s="13" t="n">
        <v>4</v>
      </c>
      <c r="M1994" s="13" t="n">
        <v>1171255.22</v>
      </c>
      <c r="N1994" s="13" t="n">
        <v>292813.805</v>
      </c>
      <c r="O1994" s="13" t="n">
        <v>956.935</v>
      </c>
      <c r="P1994" s="13" t="n">
        <v>1</v>
      </c>
      <c r="Q1994" s="13" t="n">
        <v>3</v>
      </c>
      <c r="R1994" s="13" t="s">
        <v>117</v>
      </c>
      <c r="S1994" s="13" t="s">
        <v>154</v>
      </c>
      <c r="T1994" s="13" t="n">
        <v>1</v>
      </c>
      <c r="U1994" s="13" t="n">
        <f aca="false">IF(B1994="Individual",1,0)</f>
        <v>1</v>
      </c>
      <c r="V1994" s="13" t="n">
        <f aca="false">IF(B1994="Company",1,0)</f>
        <v>0</v>
      </c>
      <c r="W1994" s="13" t="n">
        <f aca="false">IF(H1994="Home",1,0)</f>
        <v>1</v>
      </c>
      <c r="X1994" s="13" t="n">
        <f aca="false">IF(H1994="Investment",1,0)</f>
        <v>0</v>
      </c>
      <c r="Y1994" s="13" t="n">
        <f aca="false">IF(K1994="Website",1,0)</f>
        <v>1</v>
      </c>
      <c r="Z1994" s="13" t="n">
        <f aca="false">IF(K1994="Agency",1,0)</f>
        <v>0</v>
      </c>
      <c r="AA1994" s="13" t="n">
        <f aca="false">IF(K1994="Client",1,0)</f>
        <v>0</v>
      </c>
      <c r="AB1994" s="13" t="n">
        <f aca="false">(D1994-AVERAGE(D$2:D$2001))/STDEV(D$2:D$2001)</f>
        <v>-1.44946114360566</v>
      </c>
      <c r="AC1994" s="13" t="n">
        <f aca="false">(I1994-AVERAGE(I$2:I$2001))/STDEV(I$2:I$2001)</f>
        <v>1.39434968409451</v>
      </c>
      <c r="AD1994" s="13" t="n">
        <f aca="false">(L1994-AVERAGE(L$2:L$2001))/STDEV(L$2:L$2001)</f>
        <v>0.413838214490712</v>
      </c>
      <c r="AE1994" s="13" t="n">
        <f aca="false">(M1994-AVERAGE(M$2:M$2001))/STDEV(M$2:M$2001)</f>
        <v>-0.25621737653351</v>
      </c>
      <c r="AF1994" s="13" t="n">
        <f aca="false">(N1994-AVERAGE(N$2:N$2001))/STDEV(N$2:N$2001)</f>
        <v>-0.778467192293589</v>
      </c>
      <c r="AG1994" s="13" t="n">
        <f aca="false">(O1994-AVERAGE(O$2:O$2001))/STDEV(O$2:O$2001)</f>
        <v>-0.866416999855475</v>
      </c>
      <c r="AH1994" s="0" t="str">
        <f aca="false">IF(B1994="Company","C3 - Corporate Buyers",IF(AND(H1994="Investment",M1994&gt;'Segmentation Summary'!$C$1),"C1 - Global Investors",IF(AND(I1994&gt;=4,M1994&gt;'Segmentation Summary'!$C$1),"C4 - Luxury Investors",IF(AND(D1994&lt;'Segmentation Summary'!$C$2,J1994=1),"C2 - First-Time Buyers","C5 - Other Individual Buyers"))))</f>
        <v>C2 - First-Time Buyers</v>
      </c>
    </row>
    <row r="1995" customFormat="false" ht="15" hidden="false" customHeight="true" outlineLevel="0" collapsed="false">
      <c r="A1995" s="13" t="s">
        <v>3962</v>
      </c>
      <c r="B1995" s="13" t="s">
        <v>34</v>
      </c>
      <c r="C1995" s="13" t="s">
        <v>3963</v>
      </c>
      <c r="D1995" s="13" t="n">
        <v>49</v>
      </c>
      <c r="E1995" s="13" t="s">
        <v>83</v>
      </c>
      <c r="F1995" s="13" t="s">
        <v>33</v>
      </c>
      <c r="G1995" s="13" t="s">
        <v>95</v>
      </c>
      <c r="H1995" s="13" t="s">
        <v>41</v>
      </c>
      <c r="I1995" s="13" t="n">
        <v>5</v>
      </c>
      <c r="J1995" s="13" t="n">
        <v>0</v>
      </c>
      <c r="K1995" s="13" t="s">
        <v>85</v>
      </c>
      <c r="L1995" s="13" t="n">
        <v>3</v>
      </c>
      <c r="M1995" s="13" t="n">
        <v>1078504.94</v>
      </c>
      <c r="N1995" s="13" t="n">
        <v>359501.646666667</v>
      </c>
      <c r="O1995" s="13" t="n">
        <v>1254.50333333333</v>
      </c>
      <c r="P1995" s="13" t="n">
        <v>0</v>
      </c>
      <c r="Q1995" s="13" t="n">
        <v>3</v>
      </c>
      <c r="R1995" s="13" t="s">
        <v>92</v>
      </c>
      <c r="S1995" s="13" t="s">
        <v>114</v>
      </c>
      <c r="T1995" s="13" t="n">
        <v>1</v>
      </c>
      <c r="U1995" s="13" t="n">
        <f aca="false">IF(B1995="Individual",1,0)</f>
        <v>1</v>
      </c>
      <c r="V1995" s="13" t="n">
        <f aca="false">IF(B1995="Company",1,0)</f>
        <v>0</v>
      </c>
      <c r="W1995" s="13" t="n">
        <f aca="false">IF(H1995="Home",1,0)</f>
        <v>1</v>
      </c>
      <c r="X1995" s="13" t="n">
        <f aca="false">IF(H1995="Investment",1,0)</f>
        <v>0</v>
      </c>
      <c r="Y1995" s="13" t="n">
        <f aca="false">IF(K1995="Website",1,0)</f>
        <v>1</v>
      </c>
      <c r="Z1995" s="13" t="n">
        <f aca="false">IF(K1995="Agency",1,0)</f>
        <v>0</v>
      </c>
      <c r="AA1995" s="13" t="n">
        <f aca="false">IF(K1995="Client",1,0)</f>
        <v>0</v>
      </c>
      <c r="AB1995" s="13" t="n">
        <f aca="false">(D1995-AVERAGE(D$2:D$2001))/STDEV(D$2:D$2001)</f>
        <v>-0.296212033842633</v>
      </c>
      <c r="AC1995" s="13" t="n">
        <f aca="false">(I1995-AVERAGE(I$2:I$2001))/STDEV(I$2:I$2001)</f>
        <v>1.39434968409451</v>
      </c>
      <c r="AD1995" s="13" t="n">
        <f aca="false">(L1995-AVERAGE(L$2:L$2001))/STDEV(L$2:L$2001)</f>
        <v>-0.777063122173208</v>
      </c>
      <c r="AE1995" s="13" t="n">
        <f aca="false">(M1995-AVERAGE(M$2:M$2001))/STDEV(M$2:M$2001)</f>
        <v>-0.522870922005145</v>
      </c>
      <c r="AF1995" s="13" t="n">
        <f aca="false">(N1995-AVERAGE(N$2:N$2001))/STDEV(N$2:N$2001)</f>
        <v>0.178017304691928</v>
      </c>
      <c r="AG1995" s="13" t="n">
        <f aca="false">(O1995-AVERAGE(O$2:O$2001))/STDEV(O$2:O$2001)</f>
        <v>0.486642444591194</v>
      </c>
      <c r="AH1995" s="0" t="str">
        <f aca="false">IF(B1995="Company","C3 - Corporate Buyers",IF(AND(H1995="Investment",M1995&gt;'Segmentation Summary'!$C$1),"C1 - Global Investors",IF(AND(I1995&gt;=4,M1995&gt;'Segmentation Summary'!$C$1),"C4 - Luxury Investors",IF(AND(D1995&lt;'Segmentation Summary'!$C$2,J1995=1),"C2 - First-Time Buyers","C5 - Other Individual Buyers"))))</f>
        <v>C5 - Other Individual Buyers</v>
      </c>
    </row>
    <row r="1996" customFormat="false" ht="15" hidden="false" customHeight="true" outlineLevel="0" collapsed="false">
      <c r="A1996" s="13" t="s">
        <v>3964</v>
      </c>
      <c r="B1996" s="13" t="s">
        <v>34</v>
      </c>
      <c r="C1996" s="13" t="s">
        <v>3965</v>
      </c>
      <c r="D1996" s="13" t="n">
        <v>66</v>
      </c>
      <c r="E1996" s="13" t="s">
        <v>83</v>
      </c>
      <c r="F1996" s="13" t="s">
        <v>33</v>
      </c>
      <c r="G1996" s="13" t="s">
        <v>162</v>
      </c>
      <c r="H1996" s="13" t="s">
        <v>41</v>
      </c>
      <c r="I1996" s="13" t="n">
        <v>5</v>
      </c>
      <c r="J1996" s="13" t="n">
        <v>0</v>
      </c>
      <c r="K1996" s="13" t="s">
        <v>85</v>
      </c>
      <c r="L1996" s="13" t="n">
        <v>3</v>
      </c>
      <c r="M1996" s="13" t="n">
        <v>1335478.18</v>
      </c>
      <c r="N1996" s="13" t="n">
        <v>445159.393333333</v>
      </c>
      <c r="O1996" s="13" t="n">
        <v>1526.95666666667</v>
      </c>
      <c r="P1996" s="13" t="n">
        <v>1</v>
      </c>
      <c r="Q1996" s="13" t="n">
        <v>2</v>
      </c>
      <c r="R1996" s="13" t="s">
        <v>117</v>
      </c>
      <c r="S1996" s="13" t="s">
        <v>125</v>
      </c>
      <c r="T1996" s="13" t="n">
        <v>1</v>
      </c>
      <c r="U1996" s="13" t="n">
        <f aca="false">IF(B1996="Individual",1,0)</f>
        <v>1</v>
      </c>
      <c r="V1996" s="13" t="n">
        <f aca="false">IF(B1996="Company",1,0)</f>
        <v>0</v>
      </c>
      <c r="W1996" s="13" t="n">
        <f aca="false">IF(H1996="Home",1,0)</f>
        <v>1</v>
      </c>
      <c r="X1996" s="13" t="n">
        <f aca="false">IF(H1996="Investment",1,0)</f>
        <v>0</v>
      </c>
      <c r="Y1996" s="13" t="n">
        <f aca="false">IF(K1996="Website",1,0)</f>
        <v>1</v>
      </c>
      <c r="Z1996" s="13" t="n">
        <f aca="false">IF(K1996="Agency",1,0)</f>
        <v>0</v>
      </c>
      <c r="AA1996" s="13" t="n">
        <f aca="false">IF(K1996="Client",1,0)</f>
        <v>0</v>
      </c>
      <c r="AB1996" s="13" t="n">
        <f aca="false">(D1996-AVERAGE(D$2:D$2001))/STDEV(D$2:D$2001)</f>
        <v>0.684049709455938</v>
      </c>
      <c r="AC1996" s="13" t="n">
        <f aca="false">(I1996-AVERAGE(I$2:I$2001))/STDEV(I$2:I$2001)</f>
        <v>1.39434968409451</v>
      </c>
      <c r="AD1996" s="13" t="n">
        <f aca="false">(L1996-AVERAGE(L$2:L$2001))/STDEV(L$2:L$2001)</f>
        <v>-0.777063122173208</v>
      </c>
      <c r="AE1996" s="13" t="n">
        <f aca="false">(M1996-AVERAGE(M$2:M$2001))/STDEV(M$2:M$2001)</f>
        <v>0.215917419521516</v>
      </c>
      <c r="AF1996" s="13" t="n">
        <f aca="false">(N1996-AVERAGE(N$2:N$2001))/STDEV(N$2:N$2001)</f>
        <v>1.40658168293197</v>
      </c>
      <c r="AG1996" s="13" t="n">
        <f aca="false">(O1996-AVERAGE(O$2:O$2001))/STDEV(O$2:O$2001)</f>
        <v>1.72550261397858</v>
      </c>
      <c r="AH1996" s="0" t="str">
        <f aca="false">IF(B1996="Company","C3 - Corporate Buyers",IF(AND(H1996="Investment",M1996&gt;'Segmentation Summary'!$C$1),"C1 - Global Investors",IF(AND(I1996&gt;=4,M1996&gt;'Segmentation Summary'!$C$1),"C4 - Luxury Investors",IF(AND(D1996&lt;'Segmentation Summary'!$C$2,J1996=1),"C2 - First-Time Buyers","C5 - Other Individual Buyers"))))</f>
        <v>C4 - Luxury Investors</v>
      </c>
    </row>
    <row r="1997" customFormat="false" ht="15" hidden="false" customHeight="true" outlineLevel="0" collapsed="false">
      <c r="A1997" s="13" t="s">
        <v>3966</v>
      </c>
      <c r="B1997" s="13" t="s">
        <v>34</v>
      </c>
      <c r="C1997" s="13" t="s">
        <v>3967</v>
      </c>
      <c r="D1997" s="13" t="n">
        <v>74</v>
      </c>
      <c r="E1997" s="13" t="s">
        <v>83</v>
      </c>
      <c r="F1997" s="13" t="s">
        <v>35</v>
      </c>
      <c r="G1997" s="13" t="s">
        <v>185</v>
      </c>
      <c r="H1997" s="13" t="s">
        <v>41</v>
      </c>
      <c r="I1997" s="13" t="n">
        <v>4</v>
      </c>
      <c r="J1997" s="13" t="n">
        <v>1</v>
      </c>
      <c r="K1997" s="13" t="s">
        <v>85</v>
      </c>
      <c r="L1997" s="13" t="n">
        <v>3</v>
      </c>
      <c r="M1997" s="13" t="n">
        <v>764529.97</v>
      </c>
      <c r="N1997" s="13" t="n">
        <v>254843.323333333</v>
      </c>
      <c r="O1997" s="13" t="n">
        <v>901.626666666667</v>
      </c>
      <c r="P1997" s="13" t="n">
        <v>0</v>
      </c>
      <c r="Q1997" s="13" t="n">
        <v>3</v>
      </c>
      <c r="R1997" s="13" t="s">
        <v>92</v>
      </c>
      <c r="S1997" s="13" t="s">
        <v>93</v>
      </c>
      <c r="T1997" s="13" t="n">
        <v>1</v>
      </c>
      <c r="U1997" s="13" t="n">
        <f aca="false">IF(B1997="Individual",1,0)</f>
        <v>1</v>
      </c>
      <c r="V1997" s="13" t="n">
        <f aca="false">IF(B1997="Company",1,0)</f>
        <v>0</v>
      </c>
      <c r="W1997" s="13" t="n">
        <f aca="false">IF(H1997="Home",1,0)</f>
        <v>1</v>
      </c>
      <c r="X1997" s="13" t="n">
        <f aca="false">IF(H1997="Investment",1,0)</f>
        <v>0</v>
      </c>
      <c r="Y1997" s="13" t="n">
        <f aca="false">IF(K1997="Website",1,0)</f>
        <v>1</v>
      </c>
      <c r="Z1997" s="13" t="n">
        <f aca="false">IF(K1997="Agency",1,0)</f>
        <v>0</v>
      </c>
      <c r="AA1997" s="13" t="n">
        <f aca="false">IF(K1997="Client",1,0)</f>
        <v>0</v>
      </c>
      <c r="AB1997" s="13" t="n">
        <f aca="false">(D1997-AVERAGE(D$2:D$2001))/STDEV(D$2:D$2001)</f>
        <v>1.14534935336115</v>
      </c>
      <c r="AC1997" s="13" t="n">
        <f aca="false">(I1997-AVERAGE(I$2:I$2001))/STDEV(I$2:I$2001)</f>
        <v>0.686917069130275</v>
      </c>
      <c r="AD1997" s="13" t="n">
        <f aca="false">(L1997-AVERAGE(L$2:L$2001))/STDEV(L$2:L$2001)</f>
        <v>-0.777063122173208</v>
      </c>
      <c r="AE1997" s="13" t="n">
        <f aca="false">(M1997-AVERAGE(M$2:M$2001))/STDEV(M$2:M$2001)</f>
        <v>-1.42553708042375</v>
      </c>
      <c r="AF1997" s="13" t="n">
        <f aca="false">(N1997-AVERAGE(N$2:N$2001))/STDEV(N$2:N$2001)</f>
        <v>-1.32306686967965</v>
      </c>
      <c r="AG1997" s="13" t="n">
        <f aca="false">(O1997-AVERAGE(O$2:O$2001))/STDEV(O$2:O$2001)</f>
        <v>-1.11790700867117</v>
      </c>
      <c r="AH1997" s="0" t="str">
        <f aca="false">IF(B1997="Company","C3 - Corporate Buyers",IF(AND(H1997="Investment",M1997&gt;'Segmentation Summary'!$C$1),"C1 - Global Investors",IF(AND(I1997&gt;=4,M1997&gt;'Segmentation Summary'!$C$1),"C4 - Luxury Investors",IF(AND(D1997&lt;'Segmentation Summary'!$C$2,J1997=1),"C2 - First-Time Buyers","C5 - Other Individual Buyers"))))</f>
        <v>C5 - Other Individual Buyers</v>
      </c>
    </row>
    <row r="1998" customFormat="false" ht="15" hidden="false" customHeight="true" outlineLevel="0" collapsed="false">
      <c r="A1998" s="13" t="s">
        <v>3968</v>
      </c>
      <c r="B1998" s="13" t="s">
        <v>34</v>
      </c>
      <c r="C1998" s="13" t="s">
        <v>3969</v>
      </c>
      <c r="D1998" s="13" t="n">
        <v>81</v>
      </c>
      <c r="E1998" s="13" t="s">
        <v>83</v>
      </c>
      <c r="F1998" s="13" t="s">
        <v>33</v>
      </c>
      <c r="G1998" s="13" t="s">
        <v>95</v>
      </c>
      <c r="H1998" s="13" t="s">
        <v>41</v>
      </c>
      <c r="I1998" s="13" t="n">
        <v>5</v>
      </c>
      <c r="J1998" s="13" t="n">
        <v>1</v>
      </c>
      <c r="K1998" s="13" t="s">
        <v>116</v>
      </c>
      <c r="L1998" s="13" t="n">
        <v>4</v>
      </c>
      <c r="M1998" s="13" t="n">
        <v>1087561.59</v>
      </c>
      <c r="N1998" s="13" t="n">
        <v>271890.3975</v>
      </c>
      <c r="O1998" s="13" t="n">
        <v>862.28</v>
      </c>
      <c r="P1998" s="13" t="n">
        <v>2</v>
      </c>
      <c r="Q1998" s="13" t="n">
        <v>2</v>
      </c>
      <c r="R1998" s="13" t="s">
        <v>121</v>
      </c>
      <c r="S1998" s="13" t="s">
        <v>114</v>
      </c>
      <c r="T1998" s="13" t="n">
        <v>1</v>
      </c>
      <c r="U1998" s="13" t="n">
        <f aca="false">IF(B1998="Individual",1,0)</f>
        <v>1</v>
      </c>
      <c r="V1998" s="13" t="n">
        <f aca="false">IF(B1998="Company",1,0)</f>
        <v>0</v>
      </c>
      <c r="W1998" s="13" t="n">
        <f aca="false">IF(H1998="Home",1,0)</f>
        <v>1</v>
      </c>
      <c r="X1998" s="13" t="n">
        <f aca="false">IF(H1998="Investment",1,0)</f>
        <v>0</v>
      </c>
      <c r="Y1998" s="13" t="n">
        <f aca="false">IF(K1998="Website",1,0)</f>
        <v>0</v>
      </c>
      <c r="Z1998" s="13" t="n">
        <f aca="false">IF(K1998="Agency",1,0)</f>
        <v>0</v>
      </c>
      <c r="AA1998" s="13" t="n">
        <f aca="false">IF(K1998="Client",1,0)</f>
        <v>1</v>
      </c>
      <c r="AB1998" s="13" t="n">
        <f aca="false">(D1998-AVERAGE(D$2:D$2001))/STDEV(D$2:D$2001)</f>
        <v>1.54898654177821</v>
      </c>
      <c r="AC1998" s="13" t="n">
        <f aca="false">(I1998-AVERAGE(I$2:I$2001))/STDEV(I$2:I$2001)</f>
        <v>1.39434968409451</v>
      </c>
      <c r="AD1998" s="13" t="n">
        <f aca="false">(L1998-AVERAGE(L$2:L$2001))/STDEV(L$2:L$2001)</f>
        <v>0.413838214490712</v>
      </c>
      <c r="AE1998" s="13" t="n">
        <f aca="false">(M1998-AVERAGE(M$2:M$2001))/STDEV(M$2:M$2001)</f>
        <v>-0.496833395944893</v>
      </c>
      <c r="AF1998" s="13" t="n">
        <f aca="false">(N1998-AVERAGE(N$2:N$2001))/STDEV(N$2:N$2001)</f>
        <v>-1.0785655970057</v>
      </c>
      <c r="AG1998" s="13" t="n">
        <f aca="false">(O1998-AVERAGE(O$2:O$2001))/STDEV(O$2:O$2001)</f>
        <v>-1.29681844842169</v>
      </c>
      <c r="AH1998" s="0" t="str">
        <f aca="false">IF(B1998="Company","C3 - Corporate Buyers",IF(AND(H1998="Investment",M1998&gt;'Segmentation Summary'!$C$1),"C1 - Global Investors",IF(AND(I1998&gt;=4,M1998&gt;'Segmentation Summary'!$C$1),"C4 - Luxury Investors",IF(AND(D1998&lt;'Segmentation Summary'!$C$2,J1998=1),"C2 - First-Time Buyers","C5 - Other Individual Buyers"))))</f>
        <v>C5 - Other Individual Buyers</v>
      </c>
    </row>
    <row r="1999" customFormat="false" ht="15" hidden="false" customHeight="true" outlineLevel="0" collapsed="false">
      <c r="A1999" s="13" t="s">
        <v>3970</v>
      </c>
      <c r="B1999" s="13" t="s">
        <v>34</v>
      </c>
      <c r="C1999" s="13" t="s">
        <v>3971</v>
      </c>
      <c r="D1999" s="13" t="n">
        <v>76</v>
      </c>
      <c r="E1999" s="13" t="s">
        <v>83</v>
      </c>
      <c r="F1999" s="13" t="s">
        <v>33</v>
      </c>
      <c r="G1999" s="13" t="s">
        <v>95</v>
      </c>
      <c r="H1999" s="13" t="s">
        <v>43</v>
      </c>
      <c r="I1999" s="13" t="n">
        <v>2</v>
      </c>
      <c r="J1999" s="13" t="n">
        <v>0</v>
      </c>
      <c r="K1999" s="13" t="s">
        <v>85</v>
      </c>
      <c r="L1999" s="13" t="n">
        <v>3</v>
      </c>
      <c r="M1999" s="13" t="n">
        <v>1257058.52</v>
      </c>
      <c r="N1999" s="13" t="n">
        <v>419019.506666667</v>
      </c>
      <c r="O1999" s="13" t="n">
        <v>1303.77666666667</v>
      </c>
      <c r="P1999" s="13" t="n">
        <v>0</v>
      </c>
      <c r="Q1999" s="13" t="n">
        <v>3</v>
      </c>
      <c r="R1999" s="13" t="s">
        <v>128</v>
      </c>
      <c r="S1999" s="13" t="s">
        <v>87</v>
      </c>
      <c r="T1999" s="13" t="n">
        <v>1</v>
      </c>
      <c r="U1999" s="13" t="n">
        <f aca="false">IF(B1999="Individual",1,0)</f>
        <v>1</v>
      </c>
      <c r="V1999" s="13" t="n">
        <f aca="false">IF(B1999="Company",1,0)</f>
        <v>0</v>
      </c>
      <c r="W1999" s="13" t="n">
        <f aca="false">IF(H1999="Home",1,0)</f>
        <v>0</v>
      </c>
      <c r="X1999" s="13" t="n">
        <f aca="false">IF(H1999="Investment",1,0)</f>
        <v>1</v>
      </c>
      <c r="Y1999" s="13" t="n">
        <f aca="false">IF(K1999="Website",1,0)</f>
        <v>1</v>
      </c>
      <c r="Z1999" s="13" t="n">
        <f aca="false">IF(K1999="Agency",1,0)</f>
        <v>0</v>
      </c>
      <c r="AA1999" s="13" t="n">
        <f aca="false">IF(K1999="Client",1,0)</f>
        <v>0</v>
      </c>
      <c r="AB1999" s="13" t="n">
        <f aca="false">(D1999-AVERAGE(D$2:D$2001))/STDEV(D$2:D$2001)</f>
        <v>1.26067426433745</v>
      </c>
      <c r="AC1999" s="13" t="n">
        <f aca="false">(I1999-AVERAGE(I$2:I$2001))/STDEV(I$2:I$2001)</f>
        <v>-0.727948160798201</v>
      </c>
      <c r="AD1999" s="13" t="n">
        <f aca="false">(L1999-AVERAGE(L$2:L$2001))/STDEV(L$2:L$2001)</f>
        <v>-0.777063122173208</v>
      </c>
      <c r="AE1999" s="13" t="n">
        <f aca="false">(M1999-AVERAGE(M$2:M$2001))/STDEV(M$2:M$2001)</f>
        <v>-0.00953613569880457</v>
      </c>
      <c r="AF1999" s="13" t="n">
        <f aca="false">(N1999-AVERAGE(N$2:N$2001))/STDEV(N$2:N$2001)</f>
        <v>1.03166482065598</v>
      </c>
      <c r="AG1999" s="13" t="n">
        <f aca="false">(O1999-AVERAGE(O$2:O$2001))/STDEV(O$2:O$2001)</f>
        <v>0.710690979189003</v>
      </c>
      <c r="AH1999" s="0" t="str">
        <f aca="false">IF(B1999="Company","C3 - Corporate Buyers",IF(AND(H1999="Investment",M1999&gt;'Segmentation Summary'!$C$1),"C1 - Global Investors",IF(AND(I1999&gt;=4,M1999&gt;'Segmentation Summary'!$C$1),"C4 - Luxury Investors",IF(AND(D1999&lt;'Segmentation Summary'!$C$2,J1999=1),"C2 - First-Time Buyers","C5 - Other Individual Buyers"))))</f>
        <v>C1 - Global Investors</v>
      </c>
    </row>
    <row r="2000" customFormat="false" ht="15" hidden="false" customHeight="true" outlineLevel="0" collapsed="false">
      <c r="A2000" s="13" t="s">
        <v>3972</v>
      </c>
      <c r="B2000" s="13" t="s">
        <v>34</v>
      </c>
      <c r="C2000" s="13" t="s">
        <v>3973</v>
      </c>
      <c r="D2000" s="13" t="n">
        <v>76</v>
      </c>
      <c r="E2000" s="13" t="s">
        <v>83</v>
      </c>
      <c r="F2000" s="13" t="s">
        <v>33</v>
      </c>
      <c r="G2000" s="13" t="s">
        <v>3974</v>
      </c>
      <c r="H2000" s="13" t="s">
        <v>41</v>
      </c>
      <c r="I2000" s="13" t="n">
        <v>3</v>
      </c>
      <c r="J2000" s="13" t="n">
        <v>0</v>
      </c>
      <c r="K2000" s="13" t="s">
        <v>91</v>
      </c>
      <c r="L2000" s="13" t="n">
        <v>5</v>
      </c>
      <c r="M2000" s="13" t="n">
        <v>1762231.92</v>
      </c>
      <c r="N2000" s="13" t="n">
        <v>352446.384</v>
      </c>
      <c r="O2000" s="13" t="n">
        <v>1083.612</v>
      </c>
      <c r="P2000" s="13" t="n">
        <v>2</v>
      </c>
      <c r="Q2000" s="13" t="n">
        <v>3</v>
      </c>
      <c r="R2000" s="13" t="s">
        <v>92</v>
      </c>
      <c r="S2000" s="13" t="s">
        <v>141</v>
      </c>
      <c r="T2000" s="13" t="n">
        <v>1</v>
      </c>
      <c r="U2000" s="13" t="n">
        <f aca="false">IF(B2000="Individual",1,0)</f>
        <v>1</v>
      </c>
      <c r="V2000" s="13" t="n">
        <f aca="false">IF(B2000="Company",1,0)</f>
        <v>0</v>
      </c>
      <c r="W2000" s="13" t="n">
        <f aca="false">IF(H2000="Home",1,0)</f>
        <v>1</v>
      </c>
      <c r="X2000" s="13" t="n">
        <f aca="false">IF(H2000="Investment",1,0)</f>
        <v>0</v>
      </c>
      <c r="Y2000" s="13" t="n">
        <f aca="false">IF(K2000="Website",1,0)</f>
        <v>0</v>
      </c>
      <c r="Z2000" s="13" t="n">
        <f aca="false">IF(K2000="Agency",1,0)</f>
        <v>1</v>
      </c>
      <c r="AA2000" s="13" t="n">
        <f aca="false">IF(K2000="Client",1,0)</f>
        <v>0</v>
      </c>
      <c r="AB2000" s="13" t="n">
        <f aca="false">(D2000-AVERAGE(D$2:D$2001))/STDEV(D$2:D$2001)</f>
        <v>1.26067426433745</v>
      </c>
      <c r="AC2000" s="13" t="n">
        <f aca="false">(I2000-AVERAGE(I$2:I$2001))/STDEV(I$2:I$2001)</f>
        <v>-0.0205155458339628</v>
      </c>
      <c r="AD2000" s="13" t="n">
        <f aca="false">(L2000-AVERAGE(L$2:L$2001))/STDEV(L$2:L$2001)</f>
        <v>1.60473955115463</v>
      </c>
      <c r="AE2000" s="13" t="n">
        <f aca="false">(M2000-AVERAGE(M$2:M$2001))/STDEV(M$2:M$2001)</f>
        <v>1.44281827431441</v>
      </c>
      <c r="AF2000" s="13" t="n">
        <f aca="false">(N2000-AVERAGE(N$2:N$2001))/STDEV(N$2:N$2001)</f>
        <v>0.0768257052312918</v>
      </c>
      <c r="AG2000" s="13" t="n">
        <f aca="false">(O2000-AVERAGE(O$2:O$2001))/STDEV(O$2:O$2001)</f>
        <v>-0.290409770443162</v>
      </c>
      <c r="AH2000" s="0" t="str">
        <f aca="false">IF(B2000="Company","C3 - Corporate Buyers",IF(AND(H2000="Investment",M2000&gt;'Segmentation Summary'!$C$1),"C1 - Global Investors",IF(AND(I2000&gt;=4,M2000&gt;'Segmentation Summary'!$C$1),"C4 - Luxury Investors",IF(AND(D2000&lt;'Segmentation Summary'!$C$2,J2000=1),"C2 - First-Time Buyers","C5 - Other Individual Buyers"))))</f>
        <v>C5 - Other Individual Buyers</v>
      </c>
    </row>
    <row r="2001" customFormat="false" ht="15" hidden="false" customHeight="true" outlineLevel="0" collapsed="false">
      <c r="A2001" s="13" t="s">
        <v>3975</v>
      </c>
      <c r="B2001" s="13" t="s">
        <v>34</v>
      </c>
      <c r="C2001" s="13" t="s">
        <v>3976</v>
      </c>
      <c r="D2001" s="13" t="n">
        <v>57</v>
      </c>
      <c r="E2001" s="13" t="s">
        <v>83</v>
      </c>
      <c r="F2001" s="13" t="s">
        <v>33</v>
      </c>
      <c r="G2001" s="13" t="s">
        <v>120</v>
      </c>
      <c r="H2001" s="13" t="s">
        <v>41</v>
      </c>
      <c r="I2001" s="13" t="n">
        <v>1</v>
      </c>
      <c r="J2001" s="13" t="n">
        <v>1</v>
      </c>
      <c r="K2001" s="13" t="s">
        <v>85</v>
      </c>
      <c r="L2001" s="13" t="n">
        <v>5</v>
      </c>
      <c r="M2001" s="13" t="n">
        <v>1374460.79</v>
      </c>
      <c r="N2001" s="13" t="n">
        <v>274892.158</v>
      </c>
      <c r="O2001" s="13" t="n">
        <v>872.838</v>
      </c>
      <c r="P2001" s="13" t="n">
        <v>2</v>
      </c>
      <c r="Q2001" s="13" t="n">
        <v>3</v>
      </c>
      <c r="R2001" s="13" t="s">
        <v>117</v>
      </c>
      <c r="S2001" s="13" t="s">
        <v>114</v>
      </c>
      <c r="T2001" s="13" t="n">
        <v>1</v>
      </c>
      <c r="U2001" s="13" t="n">
        <f aca="false">IF(B2001="Individual",1,0)</f>
        <v>1</v>
      </c>
      <c r="V2001" s="13" t="n">
        <f aca="false">IF(B2001="Company",1,0)</f>
        <v>0</v>
      </c>
      <c r="W2001" s="13" t="n">
        <f aca="false">IF(H2001="Home",1,0)</f>
        <v>1</v>
      </c>
      <c r="X2001" s="13" t="n">
        <f aca="false">IF(H2001="Investment",1,0)</f>
        <v>0</v>
      </c>
      <c r="Y2001" s="13" t="n">
        <f aca="false">IF(K2001="Website",1,0)</f>
        <v>1</v>
      </c>
      <c r="Z2001" s="13" t="n">
        <f aca="false">IF(K2001="Agency",1,0)</f>
        <v>0</v>
      </c>
      <c r="AA2001" s="13" t="n">
        <f aca="false">IF(K2001="Client",1,0)</f>
        <v>0</v>
      </c>
      <c r="AB2001" s="13" t="n">
        <f aca="false">(D2001-AVERAGE(D$2:D$2001))/STDEV(D$2:D$2001)</f>
        <v>0.165087610062577</v>
      </c>
      <c r="AC2001" s="13" t="n">
        <f aca="false">(I2001-AVERAGE(I$2:I$2001))/STDEV(I$2:I$2001)</f>
        <v>-1.43538077576244</v>
      </c>
      <c r="AD2001" s="13" t="n">
        <f aca="false">(L2001-AVERAGE(L$2:L$2001))/STDEV(L$2:L$2001)</f>
        <v>1.60473955115463</v>
      </c>
      <c r="AE2001" s="13" t="n">
        <f aca="false">(M2001-AVERAGE(M$2:M$2001))/STDEV(M$2:M$2001)</f>
        <v>0.327990948229332</v>
      </c>
      <c r="AF2001" s="13" t="n">
        <f aca="false">(N2001-AVERAGE(N$2:N$2001))/STDEV(N$2:N$2001)</f>
        <v>-1.03551221110869</v>
      </c>
      <c r="AG2001" s="13" t="n">
        <f aca="false">(O2001-AVERAGE(O$2:O$2001))/STDEV(O$2:O$2001)</f>
        <v>-1.24881064646762</v>
      </c>
      <c r="AH2001" s="0" t="str">
        <f aca="false">IF(B2001="Company","C3 - Corporate Buyers",IF(AND(H2001="Investment",M2001&gt;'Segmentation Summary'!$C$1),"C1 - Global Investors",IF(AND(I2001&gt;=4,M2001&gt;'Segmentation Summary'!$C$1),"C4 - Luxury Investors",IF(AND(D2001&lt;'Segmentation Summary'!$C$2,J2001=1),"C2 - First-Time Buyers","C5 - Other Individual Buyers"))))</f>
        <v>C5 - Other Individual Buyers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05"/>
  </cols>
  <sheetData>
    <row r="1" customFormat="false" ht="18" hidden="false" customHeight="true" outlineLevel="0" collapsed="false">
      <c r="A1" s="30" t="s">
        <v>3977</v>
      </c>
    </row>
    <row r="3" customFormat="false" ht="15" hidden="false" customHeight="true" outlineLevel="0" collapsed="false">
      <c r="A3" s="31" t="s">
        <v>3978</v>
      </c>
    </row>
    <row r="4" customFormat="false" ht="15" hidden="false" customHeight="true" outlineLevel="0" collapsed="false">
      <c r="A4" s="32" t="s">
        <v>3979</v>
      </c>
    </row>
    <row r="5" customFormat="false" ht="15" hidden="false" customHeight="true" outlineLevel="0" collapsed="false">
      <c r="A5" s="32" t="s">
        <v>3980</v>
      </c>
    </row>
    <row r="7" customFormat="false" ht="15" hidden="false" customHeight="true" outlineLevel="0" collapsed="false">
      <c r="A7" s="31" t="s">
        <v>3981</v>
      </c>
    </row>
    <row r="8" customFormat="false" ht="15" hidden="false" customHeight="true" outlineLevel="0" collapsed="false">
      <c r="A8" s="32" t="s">
        <v>3982</v>
      </c>
    </row>
    <row r="9" customFormat="false" ht="15" hidden="false" customHeight="true" outlineLevel="0" collapsed="false">
      <c r="A9" s="32" t="s">
        <v>3983</v>
      </c>
    </row>
    <row r="10" customFormat="false" ht="15" hidden="false" customHeight="true" outlineLevel="0" collapsed="false">
      <c r="A10" s="32" t="s">
        <v>3984</v>
      </c>
    </row>
    <row r="12" customFormat="false" ht="15" hidden="false" customHeight="true" outlineLevel="0" collapsed="false">
      <c r="A12" s="31" t="s">
        <v>3985</v>
      </c>
    </row>
    <row r="13" customFormat="false" ht="15" hidden="false" customHeight="true" outlineLevel="0" collapsed="false">
      <c r="A13" s="32" t="s">
        <v>3986</v>
      </c>
    </row>
    <row r="14" customFormat="false" ht="15" hidden="false" customHeight="true" outlineLevel="0" collapsed="false">
      <c r="A14" s="32" t="s">
        <v>3987</v>
      </c>
    </row>
    <row r="15" customFormat="false" ht="15" hidden="false" customHeight="true" outlineLevel="0" collapsed="false">
      <c r="A15" s="32" t="s">
        <v>3988</v>
      </c>
    </row>
    <row r="16" customFormat="false" ht="15" hidden="false" customHeight="true" outlineLevel="0" collapsed="false">
      <c r="A16" s="32" t="s">
        <v>3989</v>
      </c>
    </row>
    <row r="17" customFormat="false" ht="15" hidden="false" customHeight="true" outlineLevel="0" collapsed="false">
      <c r="A17" s="32" t="s">
        <v>3990</v>
      </c>
    </row>
    <row r="19" customFormat="false" ht="15" hidden="false" customHeight="true" outlineLevel="0" collapsed="false">
      <c r="A19" s="31" t="s">
        <v>3991</v>
      </c>
    </row>
    <row r="20" customFormat="false" ht="15" hidden="false" customHeight="true" outlineLevel="0" collapsed="false">
      <c r="A20" s="32" t="s">
        <v>3992</v>
      </c>
    </row>
    <row r="21" customFormat="false" ht="15" hidden="false" customHeight="true" outlineLevel="0" collapsed="false">
      <c r="A21" s="32" t="s">
        <v>3993</v>
      </c>
    </row>
    <row r="23" customFormat="false" ht="15" hidden="false" customHeight="true" outlineLevel="0" collapsed="false">
      <c r="A23" s="33" t="s">
        <v>3994</v>
      </c>
    </row>
    <row r="24" customFormat="false" ht="15" hidden="false" customHeight="true" outlineLevel="0" collapsed="false">
      <c r="A24" s="32" t="s">
        <v>3995</v>
      </c>
    </row>
    <row r="25" customFormat="false" ht="15" hidden="false" customHeight="true" outlineLevel="0" collapsed="false">
      <c r="A25" s="32" t="s">
        <v>3996</v>
      </c>
    </row>
    <row r="26" customFormat="false" ht="15" hidden="false" customHeight="true" outlineLevel="0" collapsed="false">
      <c r="A26" s="32" t="s">
        <v>3997</v>
      </c>
    </row>
    <row r="27" customFormat="false" ht="15" hidden="false" customHeight="true" outlineLevel="0" collapsed="false">
      <c r="A27" s="32" t="s">
        <v>3998</v>
      </c>
    </row>
    <row r="28" customFormat="false" ht="15" hidden="false" customHeight="true" outlineLevel="0" collapsed="false">
      <c r="A28" s="32" t="s">
        <v>3999</v>
      </c>
    </row>
    <row r="29" customFormat="false" ht="15" hidden="false" customHeight="true" outlineLevel="0" collapsed="false">
      <c r="A29" s="32" t="s">
        <v>4000</v>
      </c>
    </row>
    <row r="30" customFormat="false" ht="15" hidden="false" customHeight="true" outlineLevel="0" collapsed="false">
      <c r="A30" s="32" t="s">
        <v>4001</v>
      </c>
    </row>
    <row r="31" customFormat="false" ht="15" hidden="false" customHeight="true" outlineLevel="0" collapsed="false">
      <c r="A31" s="32" t="s">
        <v>4002</v>
      </c>
    </row>
    <row r="32" customFormat="false" ht="15" hidden="false" customHeight="true" outlineLevel="0" collapsed="false">
      <c r="A32" s="32" t="s">
        <v>4003</v>
      </c>
    </row>
    <row r="33" customFormat="false" ht="15" hidden="false" customHeight="true" outlineLevel="0" collapsed="false">
      <c r="A33" s="32" t="s">
        <v>4004</v>
      </c>
    </row>
    <row r="34" customFormat="false" ht="15" hidden="false" customHeight="true" outlineLevel="0" collapsed="false">
      <c r="A34" s="32" t="s">
        <v>4005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2026-08-31T08:39:39Z</dcterms:created>
  <dc:creator>openpyxl</dc:creator>
  <dc:description/>
  <dc:language>en-US</dc:language>
  <cp:lastModifiedBy/>
  <dcterms:modified xsi:type="dcterms:W3CDTF">2026-08-31T09:27:35Z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